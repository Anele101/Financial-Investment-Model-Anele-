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1.xml" ContentType="application/vnd.openxmlformats-officedocument.themeOverride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elengubane/Desktop/BWIA Project/"/>
    </mc:Choice>
  </mc:AlternateContent>
  <xr:revisionPtr revIDLastSave="0" documentId="13_ncr:1_{8E4A5EAB-F840-8142-BE6E-9652D13DBABF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HOME PAGE" sheetId="15" r:id="rId1"/>
    <sheet name="Assignment1(Back End)" sheetId="1" r:id="rId2"/>
    <sheet name="Assignment1(User Interface)" sheetId="2" r:id="rId3"/>
    <sheet name="Assignment2 (Back End)" sheetId="3" r:id="rId4"/>
    <sheet name="Assignment2(User Interface)" sheetId="4" r:id="rId5"/>
    <sheet name="Assignment3 (Back End)" sheetId="6" r:id="rId6"/>
    <sheet name="Assignment3 (User Interface)" sheetId="5" r:id="rId7"/>
    <sheet name="Assignment4 (Back End)" sheetId="7" r:id="rId8"/>
    <sheet name="Assignment4 (User Interface)" sheetId="8" r:id="rId9"/>
    <sheet name="Investment(Single + Annuity)" sheetId="11" r:id="rId10"/>
    <sheet name="Investments back office" sheetId="12" r:id="rId11"/>
    <sheet name="Assignment6 (Back Office)" sheetId="9" r:id="rId12"/>
    <sheet name="Assignment6 (User Interface)" sheetId="10" r:id="rId13"/>
    <sheet name="Single + Increasing Annuity" sheetId="13" r:id="rId14"/>
    <sheet name="Single + Increasing Annuity(Bac" sheetId="14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14" l="1"/>
  <c r="B6" i="3"/>
  <c r="B5" i="3"/>
  <c r="E2" i="1"/>
  <c r="B3" i="1"/>
  <c r="I11" i="8"/>
  <c r="B29" i="14"/>
  <c r="B28" i="14"/>
  <c r="B7" i="14"/>
  <c r="B27" i="14"/>
  <c r="B26" i="14"/>
  <c r="B18" i="14"/>
  <c r="B32" i="14" s="1"/>
  <c r="B25" i="14"/>
  <c r="B22" i="14"/>
  <c r="A33" i="14" s="1"/>
  <c r="B21" i="14"/>
  <c r="B20" i="14"/>
  <c r="B19" i="14"/>
  <c r="D32" i="14" s="1"/>
  <c r="B11" i="14"/>
  <c r="B9" i="14"/>
  <c r="B8" i="14"/>
  <c r="B6" i="14"/>
  <c r="B5" i="14"/>
  <c r="B4" i="14"/>
  <c r="M32" i="14" s="1"/>
  <c r="B7" i="12"/>
  <c r="B8" i="12"/>
  <c r="B2" i="12"/>
  <c r="K22" i="12" s="1"/>
  <c r="B6" i="12"/>
  <c r="B4" i="12"/>
  <c r="B3" i="12"/>
  <c r="M22" i="12" s="1"/>
  <c r="B11" i="12"/>
  <c r="B10" i="12"/>
  <c r="B9" i="12"/>
  <c r="B11" i="7"/>
  <c r="B10" i="7"/>
  <c r="B13" i="5"/>
  <c r="L33" i="14" l="1"/>
  <c r="I13" i="12"/>
  <c r="I19" i="12"/>
  <c r="J19" i="12"/>
  <c r="G22" i="14"/>
  <c r="C32" i="14"/>
  <c r="G32" i="14" s="1"/>
  <c r="N32" i="14"/>
  <c r="G4" i="14"/>
  <c r="L34" i="14"/>
  <c r="A34" i="14"/>
  <c r="A35" i="14" s="1"/>
  <c r="O32" i="14"/>
  <c r="G5" i="14"/>
  <c r="G18" i="14"/>
  <c r="G19" i="14"/>
  <c r="D33" i="14"/>
  <c r="J10" i="12"/>
  <c r="I12" i="12"/>
  <c r="B22" i="12"/>
  <c r="C22" i="12" s="1"/>
  <c r="G22" i="12" s="1"/>
  <c r="J12" i="12"/>
  <c r="J13" i="12"/>
  <c r="D22" i="12"/>
  <c r="I10" i="12"/>
  <c r="A23" i="12"/>
  <c r="J23" i="12"/>
  <c r="J24" i="12" s="1"/>
  <c r="L22" i="12"/>
  <c r="P22" i="12" s="1"/>
  <c r="B2" i="3"/>
  <c r="B24" i="9"/>
  <c r="B23" i="9"/>
  <c r="B22" i="9"/>
  <c r="B21" i="9"/>
  <c r="B20" i="9"/>
  <c r="I25" i="9" s="1"/>
  <c r="B19" i="9"/>
  <c r="B18" i="9"/>
  <c r="B10" i="9"/>
  <c r="B9" i="9"/>
  <c r="K12" i="9" s="1"/>
  <c r="B8" i="9"/>
  <c r="B7" i="9"/>
  <c r="B6" i="9"/>
  <c r="B5" i="9"/>
  <c r="G12" i="9" s="1"/>
  <c r="B4" i="9"/>
  <c r="G26" i="9"/>
  <c r="G25" i="9"/>
  <c r="D34" i="14" l="1"/>
  <c r="E32" i="14"/>
  <c r="H32" i="14" s="1"/>
  <c r="L35" i="14"/>
  <c r="L36" i="14" s="1"/>
  <c r="L37" i="14" s="1"/>
  <c r="L38" i="14" s="1"/>
  <c r="L39" i="14" s="1"/>
  <c r="L40" i="14" s="1"/>
  <c r="L41" i="14" s="1"/>
  <c r="L42" i="14" s="1"/>
  <c r="L43" i="14" s="1"/>
  <c r="L44" i="14" s="1"/>
  <c r="L45" i="14" s="1"/>
  <c r="L46" i="14" s="1"/>
  <c r="L47" i="14" s="1"/>
  <c r="L48" i="14" s="1"/>
  <c r="L49" i="14" s="1"/>
  <c r="L50" i="14" s="1"/>
  <c r="L51" i="14" s="1"/>
  <c r="L52" i="14" s="1"/>
  <c r="L53" i="14" s="1"/>
  <c r="L54" i="14" s="1"/>
  <c r="L55" i="14" s="1"/>
  <c r="L56" i="14" s="1"/>
  <c r="L57" i="14" s="1"/>
  <c r="L58" i="14" s="1"/>
  <c r="L59" i="14" s="1"/>
  <c r="L60" i="14" s="1"/>
  <c r="L61" i="14" s="1"/>
  <c r="L62" i="14" s="1"/>
  <c r="L63" i="14" s="1"/>
  <c r="L64" i="14" s="1"/>
  <c r="L65" i="14" s="1"/>
  <c r="L66" i="14" s="1"/>
  <c r="L67" i="14" s="1"/>
  <c r="L68" i="14" s="1"/>
  <c r="L69" i="14" s="1"/>
  <c r="L70" i="14" s="1"/>
  <c r="L71" i="14" s="1"/>
  <c r="L72" i="14" s="1"/>
  <c r="P32" i="14"/>
  <c r="M33" i="14" s="1"/>
  <c r="N33" i="14" s="1"/>
  <c r="Q32" i="14"/>
  <c r="O33" i="14"/>
  <c r="O34" i="14" s="1"/>
  <c r="A36" i="14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D35" i="14"/>
  <c r="E22" i="12"/>
  <c r="F22" i="12"/>
  <c r="M23" i="12"/>
  <c r="A24" i="12"/>
  <c r="D23" i="12"/>
  <c r="N22" i="12"/>
  <c r="O22" i="12"/>
  <c r="K23" i="12" s="1"/>
  <c r="M24" i="12"/>
  <c r="J25" i="12"/>
  <c r="B23" i="12"/>
  <c r="I11" i="9"/>
  <c r="H12" i="9"/>
  <c r="I12" i="9"/>
  <c r="G11" i="9"/>
  <c r="H11" i="9"/>
  <c r="J11" i="9" s="1"/>
  <c r="L11" i="9" s="1"/>
  <c r="K25" i="9"/>
  <c r="H25" i="9"/>
  <c r="J25" i="9" s="1"/>
  <c r="L25" i="9" s="1"/>
  <c r="H26" i="9"/>
  <c r="K26" i="9"/>
  <c r="I26" i="9"/>
  <c r="M25" i="9"/>
  <c r="K11" i="9"/>
  <c r="M12" i="9"/>
  <c r="J12" i="9"/>
  <c r="L12" i="9" s="1"/>
  <c r="B27" i="4"/>
  <c r="B26" i="4"/>
  <c r="B25" i="4"/>
  <c r="B24" i="4"/>
  <c r="B23" i="4"/>
  <c r="B22" i="4"/>
  <c r="B21" i="4"/>
  <c r="B20" i="4"/>
  <c r="B6" i="7"/>
  <c r="B8" i="7"/>
  <c r="AI21" i="8"/>
  <c r="AF22" i="8"/>
  <c r="AF23" i="8" s="1"/>
  <c r="AF24" i="8" s="1"/>
  <c r="AF25" i="8" s="1"/>
  <c r="AF26" i="8" s="1"/>
  <c r="AF27" i="8" s="1"/>
  <c r="AF28" i="8" s="1"/>
  <c r="AF29" i="8" s="1"/>
  <c r="AF30" i="8" s="1"/>
  <c r="AF31" i="8" s="1"/>
  <c r="AF32" i="8" s="1"/>
  <c r="AF33" i="8" s="1"/>
  <c r="AF34" i="8" s="1"/>
  <c r="AF35" i="8" s="1"/>
  <c r="AF36" i="8" s="1"/>
  <c r="AF37" i="8" s="1"/>
  <c r="AF38" i="8" s="1"/>
  <c r="AF39" i="8" s="1"/>
  <c r="AF40" i="8" s="1"/>
  <c r="AF41" i="8" s="1"/>
  <c r="AF42" i="8" s="1"/>
  <c r="AF43" i="8" s="1"/>
  <c r="AF44" i="8" s="1"/>
  <c r="AF45" i="8" s="1"/>
  <c r="AF46" i="8" s="1"/>
  <c r="AF47" i="8" s="1"/>
  <c r="AF48" i="8" s="1"/>
  <c r="AF49" i="8" s="1"/>
  <c r="AF50" i="8" s="1"/>
  <c r="B9" i="7"/>
  <c r="B5" i="7"/>
  <c r="B4" i="7"/>
  <c r="S22" i="8"/>
  <c r="L23" i="8"/>
  <c r="A23" i="8"/>
  <c r="B6" i="6"/>
  <c r="B14" i="5"/>
  <c r="B28" i="5"/>
  <c r="B29" i="5"/>
  <c r="B30" i="5"/>
  <c r="B31" i="5"/>
  <c r="B32" i="5"/>
  <c r="B33" i="5"/>
  <c r="B27" i="5"/>
  <c r="B26" i="5"/>
  <c r="B25" i="5"/>
  <c r="B24" i="5"/>
  <c r="J26" i="5"/>
  <c r="J27" i="5"/>
  <c r="J28" i="5"/>
  <c r="J29" i="5"/>
  <c r="J30" i="5"/>
  <c r="J31" i="5"/>
  <c r="J32" i="5"/>
  <c r="J33" i="5"/>
  <c r="J25" i="5"/>
  <c r="J24" i="5"/>
  <c r="E27" i="4"/>
  <c r="E21" i="4"/>
  <c r="J23" i="5"/>
  <c r="B7" i="6"/>
  <c r="B5" i="6"/>
  <c r="B4" i="6"/>
  <c r="B3" i="6"/>
  <c r="B2" i="6"/>
  <c r="D36" i="14" l="1"/>
  <c r="D37" i="14" s="1"/>
  <c r="D38" i="14" s="1"/>
  <c r="D39" i="14" s="1"/>
  <c r="D40" i="14" s="1"/>
  <c r="D41" i="14" s="1"/>
  <c r="D42" i="14" s="1"/>
  <c r="D43" i="14" s="1"/>
  <c r="D44" i="14" s="1"/>
  <c r="D45" i="14"/>
  <c r="D46" i="14" s="1"/>
  <c r="D47" i="14" s="1"/>
  <c r="D48" i="14" s="1"/>
  <c r="D49" i="14" s="1"/>
  <c r="D50" i="14" s="1"/>
  <c r="D51" i="14" s="1"/>
  <c r="D52" i="14" s="1"/>
  <c r="D53" i="14" s="1"/>
  <c r="D54" i="14" s="1"/>
  <c r="D55" i="14" s="1"/>
  <c r="D56" i="14" s="1"/>
  <c r="D57" i="14" s="1"/>
  <c r="D58" i="14" s="1"/>
  <c r="D59" i="14" s="1"/>
  <c r="D60" i="14" s="1"/>
  <c r="D61" i="14" s="1"/>
  <c r="D62" i="14" s="1"/>
  <c r="D63" i="14" s="1"/>
  <c r="D64" i="14" s="1"/>
  <c r="D65" i="14" s="1"/>
  <c r="D66" i="14" s="1"/>
  <c r="D67" i="14" s="1"/>
  <c r="L73" i="14"/>
  <c r="N72" i="14"/>
  <c r="O35" i="14"/>
  <c r="O36" i="14" s="1"/>
  <c r="O37" i="14" s="1"/>
  <c r="O38" i="14" s="1"/>
  <c r="O39" i="14" s="1"/>
  <c r="O40" i="14" s="1"/>
  <c r="O41" i="14" s="1"/>
  <c r="O42" i="14" s="1"/>
  <c r="O43" i="14" s="1"/>
  <c r="O44" i="14" s="1"/>
  <c r="O45" i="14" s="1"/>
  <c r="O46" i="14" s="1"/>
  <c r="O47" i="14" s="1"/>
  <c r="O48" i="14" s="1"/>
  <c r="O49" i="14" s="1"/>
  <c r="O50" i="14" s="1"/>
  <c r="O51" i="14" s="1"/>
  <c r="O52" i="14" s="1"/>
  <c r="O53" i="14" s="1"/>
  <c r="O54" i="14" s="1"/>
  <c r="O55" i="14" s="1"/>
  <c r="O56" i="14" s="1"/>
  <c r="O57" i="14" s="1"/>
  <c r="O58" i="14" s="1"/>
  <c r="O59" i="14" s="1"/>
  <c r="O60" i="14" s="1"/>
  <c r="O61" i="14" s="1"/>
  <c r="O62" i="14" s="1"/>
  <c r="O63" i="14" s="1"/>
  <c r="O64" i="14" s="1"/>
  <c r="O65" i="14" s="1"/>
  <c r="O66" i="14" s="1"/>
  <c r="O67" i="14" s="1"/>
  <c r="O68" i="14" s="1"/>
  <c r="O69" i="14" s="1"/>
  <c r="O70" i="14" s="1"/>
  <c r="O71" i="14" s="1"/>
  <c r="O72" i="14" s="1"/>
  <c r="O73" i="14" s="1"/>
  <c r="F32" i="14"/>
  <c r="B33" i="14" s="1"/>
  <c r="C33" i="14" s="1"/>
  <c r="A69" i="14"/>
  <c r="D68" i="14"/>
  <c r="L23" i="12"/>
  <c r="P23" i="12" s="1"/>
  <c r="A25" i="12"/>
  <c r="D24" i="12"/>
  <c r="M25" i="12"/>
  <c r="J26" i="12"/>
  <c r="C23" i="12"/>
  <c r="G23" i="12" s="1"/>
  <c r="L24" i="8"/>
  <c r="AI23" i="8" s="1"/>
  <c r="A24" i="8"/>
  <c r="I11" i="6"/>
  <c r="M11" i="9"/>
  <c r="E9" i="10"/>
  <c r="M26" i="9"/>
  <c r="M9" i="10" s="1"/>
  <c r="J26" i="9"/>
  <c r="L26" i="9" s="1"/>
  <c r="J12" i="6"/>
  <c r="J13" i="6"/>
  <c r="W29" i="6"/>
  <c r="W37" i="6"/>
  <c r="W45" i="6"/>
  <c r="W53" i="6"/>
  <c r="W61" i="6"/>
  <c r="W69" i="6"/>
  <c r="W77" i="6"/>
  <c r="W85" i="6"/>
  <c r="W93" i="6"/>
  <c r="W101" i="6"/>
  <c r="W109" i="6"/>
  <c r="W117" i="6"/>
  <c r="W125" i="6"/>
  <c r="W133" i="6"/>
  <c r="W141" i="6"/>
  <c r="W149" i="6"/>
  <c r="W157" i="6"/>
  <c r="W165" i="6"/>
  <c r="W173" i="6"/>
  <c r="W181" i="6"/>
  <c r="W189" i="6"/>
  <c r="W197" i="6"/>
  <c r="W205" i="6"/>
  <c r="W213" i="6"/>
  <c r="W221" i="6"/>
  <c r="W229" i="6"/>
  <c r="W237" i="6"/>
  <c r="W245" i="6"/>
  <c r="W253" i="6"/>
  <c r="W261" i="6"/>
  <c r="W269" i="6"/>
  <c r="W277" i="6"/>
  <c r="W285" i="6"/>
  <c r="W293" i="6"/>
  <c r="W301" i="6"/>
  <c r="W309" i="6"/>
  <c r="W317" i="6"/>
  <c r="W325" i="6"/>
  <c r="W333" i="6"/>
  <c r="W341" i="6"/>
  <c r="W349" i="6"/>
  <c r="W357" i="6"/>
  <c r="W365" i="6"/>
  <c r="W373" i="6"/>
  <c r="W381" i="6"/>
  <c r="W389" i="6"/>
  <c r="W397" i="6"/>
  <c r="W405" i="6"/>
  <c r="W413" i="6"/>
  <c r="W421" i="6"/>
  <c r="W429" i="6"/>
  <c r="W437" i="6"/>
  <c r="W445" i="6"/>
  <c r="W453" i="6"/>
  <c r="W461" i="6"/>
  <c r="W469" i="6"/>
  <c r="W477" i="6"/>
  <c r="W485" i="6"/>
  <c r="W493" i="6"/>
  <c r="W501" i="6"/>
  <c r="W509" i="6"/>
  <c r="W517" i="6"/>
  <c r="W525" i="6"/>
  <c r="W533" i="6"/>
  <c r="W541" i="6"/>
  <c r="W549" i="6"/>
  <c r="W557" i="6"/>
  <c r="W565" i="6"/>
  <c r="W573" i="6"/>
  <c r="W581" i="6"/>
  <c r="W589" i="6"/>
  <c r="W597" i="6"/>
  <c r="W605" i="6"/>
  <c r="W613" i="6"/>
  <c r="W621" i="6"/>
  <c r="W629" i="6"/>
  <c r="W637" i="6"/>
  <c r="W645" i="6"/>
  <c r="W653" i="6"/>
  <c r="W661" i="6"/>
  <c r="W669" i="6"/>
  <c r="W677" i="6"/>
  <c r="W685" i="6"/>
  <c r="W693" i="6"/>
  <c r="W701" i="6"/>
  <c r="W27" i="6"/>
  <c r="W36" i="6"/>
  <c r="W46" i="6"/>
  <c r="W55" i="6"/>
  <c r="W64" i="6"/>
  <c r="W73" i="6"/>
  <c r="W82" i="6"/>
  <c r="W91" i="6"/>
  <c r="W100" i="6"/>
  <c r="W110" i="6"/>
  <c r="W119" i="6"/>
  <c r="W128" i="6"/>
  <c r="W137" i="6"/>
  <c r="W146" i="6"/>
  <c r="W155" i="6"/>
  <c r="W164" i="6"/>
  <c r="W174" i="6"/>
  <c r="W183" i="6"/>
  <c r="W192" i="6"/>
  <c r="W201" i="6"/>
  <c r="W210" i="6"/>
  <c r="W219" i="6"/>
  <c r="W228" i="6"/>
  <c r="W238" i="6"/>
  <c r="W247" i="6"/>
  <c r="W256" i="6"/>
  <c r="W265" i="6"/>
  <c r="W274" i="6"/>
  <c r="W283" i="6"/>
  <c r="W292" i="6"/>
  <c r="W302" i="6"/>
  <c r="W311" i="6"/>
  <c r="W320" i="6"/>
  <c r="W329" i="6"/>
  <c r="W338" i="6"/>
  <c r="W347" i="6"/>
  <c r="W356" i="6"/>
  <c r="W366" i="6"/>
  <c r="W375" i="6"/>
  <c r="W384" i="6"/>
  <c r="W393" i="6"/>
  <c r="W402" i="6"/>
  <c r="W411" i="6"/>
  <c r="W420" i="6"/>
  <c r="W430" i="6"/>
  <c r="W439" i="6"/>
  <c r="W448" i="6"/>
  <c r="W457" i="6"/>
  <c r="W466" i="6"/>
  <c r="W475" i="6"/>
  <c r="W484" i="6"/>
  <c r="W494" i="6"/>
  <c r="W503" i="6"/>
  <c r="W512" i="6"/>
  <c r="W521" i="6"/>
  <c r="W530" i="6"/>
  <c r="W539" i="6"/>
  <c r="W548" i="6"/>
  <c r="W558" i="6"/>
  <c r="W567" i="6"/>
  <c r="W576" i="6"/>
  <c r="W585" i="6"/>
  <c r="W594" i="6"/>
  <c r="W603" i="6"/>
  <c r="W612" i="6"/>
  <c r="W622" i="6"/>
  <c r="W631" i="6"/>
  <c r="W640" i="6"/>
  <c r="W649" i="6"/>
  <c r="W658" i="6"/>
  <c r="W667" i="6"/>
  <c r="W676" i="6"/>
  <c r="W686" i="6"/>
  <c r="W695" i="6"/>
  <c r="W704" i="6"/>
  <c r="W712" i="6"/>
  <c r="W720" i="6"/>
  <c r="W728" i="6"/>
  <c r="W736" i="6"/>
  <c r="W744" i="6"/>
  <c r="W752" i="6"/>
  <c r="W760" i="6"/>
  <c r="W768" i="6"/>
  <c r="W776" i="6"/>
  <c r="W30" i="6"/>
  <c r="W40" i="6"/>
  <c r="W50" i="6"/>
  <c r="W60" i="6"/>
  <c r="W71" i="6"/>
  <c r="W81" i="6"/>
  <c r="W92" i="6"/>
  <c r="W103" i="6"/>
  <c r="W113" i="6"/>
  <c r="W123" i="6"/>
  <c r="W134" i="6"/>
  <c r="W144" i="6"/>
  <c r="W154" i="6"/>
  <c r="W166" i="6"/>
  <c r="W176" i="6"/>
  <c r="W186" i="6"/>
  <c r="W196" i="6"/>
  <c r="W207" i="6"/>
  <c r="W217" i="6"/>
  <c r="W227" i="6"/>
  <c r="W239" i="6"/>
  <c r="W249" i="6"/>
  <c r="W259" i="6"/>
  <c r="W270" i="6"/>
  <c r="W280" i="6"/>
  <c r="W290" i="6"/>
  <c r="W300" i="6"/>
  <c r="W312" i="6"/>
  <c r="W322" i="6"/>
  <c r="W332" i="6"/>
  <c r="W343" i="6"/>
  <c r="W353" i="6"/>
  <c r="W363" i="6"/>
  <c r="W374" i="6"/>
  <c r="W385" i="6"/>
  <c r="W395" i="6"/>
  <c r="W406" i="6"/>
  <c r="W416" i="6"/>
  <c r="W426" i="6"/>
  <c r="W436" i="6"/>
  <c r="W447" i="6"/>
  <c r="W458" i="6"/>
  <c r="W468" i="6"/>
  <c r="W479" i="6"/>
  <c r="W489" i="6"/>
  <c r="W499" i="6"/>
  <c r="W510" i="6"/>
  <c r="W520" i="6"/>
  <c r="W531" i="6"/>
  <c r="W542" i="6"/>
  <c r="W552" i="6"/>
  <c r="W562" i="6"/>
  <c r="W572" i="6"/>
  <c r="W583" i="6"/>
  <c r="W593" i="6"/>
  <c r="W604" i="6"/>
  <c r="W615" i="6"/>
  <c r="W625" i="6"/>
  <c r="W635" i="6"/>
  <c r="W646" i="6"/>
  <c r="W656" i="6"/>
  <c r="W666" i="6"/>
  <c r="W678" i="6"/>
  <c r="W688" i="6"/>
  <c r="W698" i="6"/>
  <c r="W708" i="6"/>
  <c r="W717" i="6"/>
  <c r="W726" i="6"/>
  <c r="W735" i="6"/>
  <c r="W745" i="6"/>
  <c r="W754" i="6"/>
  <c r="W763" i="6"/>
  <c r="W772" i="6"/>
  <c r="W781" i="6"/>
  <c r="W789" i="6"/>
  <c r="W797" i="6"/>
  <c r="W805" i="6"/>
  <c r="W813" i="6"/>
  <c r="W821" i="6"/>
  <c r="W829" i="6"/>
  <c r="W837" i="6"/>
  <c r="W845" i="6"/>
  <c r="W853" i="6"/>
  <c r="W861" i="6"/>
  <c r="W869" i="6"/>
  <c r="W877" i="6"/>
  <c r="W885" i="6"/>
  <c r="W893" i="6"/>
  <c r="W901" i="6"/>
  <c r="W909" i="6"/>
  <c r="W917" i="6"/>
  <c r="W925" i="6"/>
  <c r="W933" i="6"/>
  <c r="W941" i="6"/>
  <c r="W949" i="6"/>
  <c r="W957" i="6"/>
  <c r="W965" i="6"/>
  <c r="W973" i="6"/>
  <c r="W981" i="6"/>
  <c r="W989" i="6"/>
  <c r="W997" i="6"/>
  <c r="W1005" i="6"/>
  <c r="W1013" i="6"/>
  <c r="W21" i="6"/>
  <c r="W32" i="6"/>
  <c r="W43" i="6"/>
  <c r="W56" i="6"/>
  <c r="W67" i="6"/>
  <c r="W79" i="6"/>
  <c r="W90" i="6"/>
  <c r="W104" i="6"/>
  <c r="W115" i="6"/>
  <c r="W127" i="6"/>
  <c r="W139" i="6"/>
  <c r="W151" i="6"/>
  <c r="W162" i="6"/>
  <c r="W175" i="6"/>
  <c r="W187" i="6"/>
  <c r="W199" i="6"/>
  <c r="W211" i="6"/>
  <c r="W223" i="6"/>
  <c r="W234" i="6"/>
  <c r="W246" i="6"/>
  <c r="W258" i="6"/>
  <c r="W271" i="6"/>
  <c r="W282" i="6"/>
  <c r="W295" i="6"/>
  <c r="W306" i="6"/>
  <c r="W318" i="6"/>
  <c r="W330" i="6"/>
  <c r="W342" i="6"/>
  <c r="W354" i="6"/>
  <c r="W367" i="6"/>
  <c r="W378" i="6"/>
  <c r="W390" i="6"/>
  <c r="W401" i="6"/>
  <c r="W414" i="6"/>
  <c r="W425" i="6"/>
  <c r="W438" i="6"/>
  <c r="W450" i="6"/>
  <c r="W462" i="6"/>
  <c r="W473" i="6"/>
  <c r="W486" i="6"/>
  <c r="W497" i="6"/>
  <c r="W508" i="6"/>
  <c r="W522" i="6"/>
  <c r="W534" i="6"/>
  <c r="W545" i="6"/>
  <c r="W556" i="6"/>
  <c r="W569" i="6"/>
  <c r="W580" i="6"/>
  <c r="W592" i="6"/>
  <c r="W606" i="6"/>
  <c r="W617" i="6"/>
  <c r="W628" i="6"/>
  <c r="W641" i="6"/>
  <c r="W652" i="6"/>
  <c r="W664" i="6"/>
  <c r="W675" i="6"/>
  <c r="W689" i="6"/>
  <c r="W700" i="6"/>
  <c r="W711" i="6"/>
  <c r="W722" i="6"/>
  <c r="W732" i="6"/>
  <c r="W742" i="6"/>
  <c r="W753" i="6"/>
  <c r="W764" i="6"/>
  <c r="W774" i="6"/>
  <c r="W784" i="6"/>
  <c r="W793" i="6"/>
  <c r="W802" i="6"/>
  <c r="W811" i="6"/>
  <c r="W820" i="6"/>
  <c r="W830" i="6"/>
  <c r="W839" i="6"/>
  <c r="W848" i="6"/>
  <c r="W857" i="6"/>
  <c r="W866" i="6"/>
  <c r="W875" i="6"/>
  <c r="W884" i="6"/>
  <c r="W894" i="6"/>
  <c r="W903" i="6"/>
  <c r="W912" i="6"/>
  <c r="W921" i="6"/>
  <c r="W930" i="6"/>
  <c r="W939" i="6"/>
  <c r="W948" i="6"/>
  <c r="W958" i="6"/>
  <c r="W967" i="6"/>
  <c r="W976" i="6"/>
  <c r="W985" i="6"/>
  <c r="W994" i="6"/>
  <c r="W1003" i="6"/>
  <c r="W1012" i="6"/>
  <c r="AA26" i="6"/>
  <c r="AA34" i="6"/>
  <c r="AA42" i="6"/>
  <c r="AA50" i="6"/>
  <c r="AA58" i="6"/>
  <c r="AA66" i="6"/>
  <c r="AA74" i="6"/>
  <c r="AA82" i="6"/>
  <c r="AA90" i="6"/>
  <c r="AA98" i="6"/>
  <c r="AA106" i="6"/>
  <c r="AA114" i="6"/>
  <c r="AA122" i="6"/>
  <c r="AA130" i="6"/>
  <c r="AA138" i="6"/>
  <c r="AA146" i="6"/>
  <c r="AA154" i="6"/>
  <c r="AA162" i="6"/>
  <c r="AA170" i="6"/>
  <c r="AA178" i="6"/>
  <c r="AA186" i="6"/>
  <c r="AA194" i="6"/>
  <c r="AA202" i="6"/>
  <c r="AA210" i="6"/>
  <c r="AA218" i="6"/>
  <c r="AA226" i="6"/>
  <c r="AA234" i="6"/>
  <c r="AA242" i="6"/>
  <c r="AA250" i="6"/>
  <c r="AA258" i="6"/>
  <c r="AA266" i="6"/>
  <c r="AA274" i="6"/>
  <c r="AA282" i="6"/>
  <c r="AA290" i="6"/>
  <c r="AA298" i="6"/>
  <c r="AA306" i="6"/>
  <c r="AA314" i="6"/>
  <c r="AA322" i="6"/>
  <c r="AA330" i="6"/>
  <c r="AA338" i="6"/>
  <c r="AA346" i="6"/>
  <c r="AA354" i="6"/>
  <c r="AA362" i="6"/>
  <c r="AA370" i="6"/>
  <c r="AA378" i="6"/>
  <c r="AA386" i="6"/>
  <c r="AA394" i="6"/>
  <c r="AA402" i="6"/>
  <c r="AA410" i="6"/>
  <c r="AA418" i="6"/>
  <c r="AA426" i="6"/>
  <c r="AA434" i="6"/>
  <c r="AA442" i="6"/>
  <c r="AA450" i="6"/>
  <c r="AA458" i="6"/>
  <c r="AA466" i="6"/>
  <c r="AA474" i="6"/>
  <c r="AA482" i="6"/>
  <c r="AA490" i="6"/>
  <c r="AA498" i="6"/>
  <c r="AA506" i="6"/>
  <c r="AA514" i="6"/>
  <c r="AA522" i="6"/>
  <c r="AA530" i="6"/>
  <c r="AA538" i="6"/>
  <c r="AA546" i="6"/>
  <c r="AA554" i="6"/>
  <c r="AA562" i="6"/>
  <c r="AA570" i="6"/>
  <c r="AA578" i="6"/>
  <c r="AA586" i="6"/>
  <c r="AA594" i="6"/>
  <c r="AA602" i="6"/>
  <c r="AA610" i="6"/>
  <c r="AA618" i="6"/>
  <c r="AA626" i="6"/>
  <c r="AA634" i="6"/>
  <c r="AA642" i="6"/>
  <c r="AA650" i="6"/>
  <c r="AA658" i="6"/>
  <c r="AA666" i="6"/>
  <c r="AA674" i="6"/>
  <c r="AA682" i="6"/>
  <c r="AA690" i="6"/>
  <c r="AA698" i="6"/>
  <c r="AA706" i="6"/>
  <c r="AA714" i="6"/>
  <c r="AA722" i="6"/>
  <c r="AA730" i="6"/>
  <c r="AA738" i="6"/>
  <c r="AA746" i="6"/>
  <c r="AA754" i="6"/>
  <c r="AA762" i="6"/>
  <c r="AA770" i="6"/>
  <c r="AA778" i="6"/>
  <c r="AA786" i="6"/>
  <c r="AA794" i="6"/>
  <c r="AA802" i="6"/>
  <c r="AA810" i="6"/>
  <c r="AA818" i="6"/>
  <c r="AA826" i="6"/>
  <c r="AA834" i="6"/>
  <c r="AA842" i="6"/>
  <c r="AA850" i="6"/>
  <c r="AA858" i="6"/>
  <c r="AA866" i="6"/>
  <c r="AA874" i="6"/>
  <c r="AA882" i="6"/>
  <c r="AA890" i="6"/>
  <c r="AA898" i="6"/>
  <c r="AA906" i="6"/>
  <c r="AA914" i="6"/>
  <c r="AA922" i="6"/>
  <c r="W33" i="6"/>
  <c r="W47" i="6"/>
  <c r="W59" i="6"/>
  <c r="W74" i="6"/>
  <c r="W87" i="6"/>
  <c r="W99" i="6"/>
  <c r="W114" i="6"/>
  <c r="W129" i="6"/>
  <c r="W142" i="6"/>
  <c r="W156" i="6"/>
  <c r="W169" i="6"/>
  <c r="W182" i="6"/>
  <c r="W195" i="6"/>
  <c r="W209" i="6"/>
  <c r="W224" i="6"/>
  <c r="W236" i="6"/>
  <c r="W251" i="6"/>
  <c r="W264" i="6"/>
  <c r="W278" i="6"/>
  <c r="W291" i="6"/>
  <c r="W305" i="6"/>
  <c r="W319" i="6"/>
  <c r="W334" i="6"/>
  <c r="W346" i="6"/>
  <c r="W360" i="6"/>
  <c r="W372" i="6"/>
  <c r="W387" i="6"/>
  <c r="W400" i="6"/>
  <c r="W415" i="6"/>
  <c r="W428" i="6"/>
  <c r="W442" i="6"/>
  <c r="W455" i="6"/>
  <c r="W470" i="6"/>
  <c r="W482" i="6"/>
  <c r="W496" i="6"/>
  <c r="W511" i="6"/>
  <c r="W524" i="6"/>
  <c r="W537" i="6"/>
  <c r="W551" i="6"/>
  <c r="W564" i="6"/>
  <c r="W578" i="6"/>
  <c r="W591" i="6"/>
  <c r="W607" i="6"/>
  <c r="W619" i="6"/>
  <c r="W633" i="6"/>
  <c r="W647" i="6"/>
  <c r="W660" i="6"/>
  <c r="W673" i="6"/>
  <c r="W687" i="6"/>
  <c r="W702" i="6"/>
  <c r="W714" i="6"/>
  <c r="W725" i="6"/>
  <c r="W738" i="6"/>
  <c r="W749" i="6"/>
  <c r="W761" i="6"/>
  <c r="W773" i="6"/>
  <c r="W785" i="6"/>
  <c r="W795" i="6"/>
  <c r="W806" i="6"/>
  <c r="W816" i="6"/>
  <c r="W826" i="6"/>
  <c r="W836" i="6"/>
  <c r="W847" i="6"/>
  <c r="W858" i="6"/>
  <c r="W868" i="6"/>
  <c r="W879" i="6"/>
  <c r="W889" i="6"/>
  <c r="W899" i="6"/>
  <c r="W910" i="6"/>
  <c r="W920" i="6"/>
  <c r="W931" i="6"/>
  <c r="W942" i="6"/>
  <c r="W952" i="6"/>
  <c r="W962" i="6"/>
  <c r="W972" i="6"/>
  <c r="W983" i="6"/>
  <c r="W993" i="6"/>
  <c r="W1004" i="6"/>
  <c r="W1015" i="6"/>
  <c r="AA22" i="6"/>
  <c r="AA31" i="6"/>
  <c r="AA40" i="6"/>
  <c r="AA49" i="6"/>
  <c r="AA59" i="6"/>
  <c r="AA68" i="6"/>
  <c r="AA77" i="6"/>
  <c r="AA86" i="6"/>
  <c r="AA95" i="6"/>
  <c r="AA104" i="6"/>
  <c r="AA113" i="6"/>
  <c r="AA123" i="6"/>
  <c r="AA132" i="6"/>
  <c r="AA141" i="6"/>
  <c r="AA150" i="6"/>
  <c r="AA159" i="6"/>
  <c r="AA168" i="6"/>
  <c r="AA177" i="6"/>
  <c r="AA187" i="6"/>
  <c r="AA196" i="6"/>
  <c r="AA205" i="6"/>
  <c r="AA214" i="6"/>
  <c r="AA223" i="6"/>
  <c r="AA232" i="6"/>
  <c r="AA241" i="6"/>
  <c r="AA251" i="6"/>
  <c r="AA260" i="6"/>
  <c r="AA269" i="6"/>
  <c r="AA278" i="6"/>
  <c r="AA287" i="6"/>
  <c r="AA296" i="6"/>
  <c r="AA305" i="6"/>
  <c r="AA315" i="6"/>
  <c r="AA324" i="6"/>
  <c r="AA333" i="6"/>
  <c r="AA342" i="6"/>
  <c r="AA351" i="6"/>
  <c r="AA360" i="6"/>
  <c r="AA369" i="6"/>
  <c r="AA379" i="6"/>
  <c r="AA388" i="6"/>
  <c r="AA397" i="6"/>
  <c r="AA406" i="6"/>
  <c r="AA415" i="6"/>
  <c r="AA424" i="6"/>
  <c r="AA433" i="6"/>
  <c r="AA443" i="6"/>
  <c r="AA452" i="6"/>
  <c r="AA461" i="6"/>
  <c r="AA470" i="6"/>
  <c r="AA479" i="6"/>
  <c r="AA488" i="6"/>
  <c r="AA497" i="6"/>
  <c r="AA507" i="6"/>
  <c r="AA516" i="6"/>
  <c r="AA525" i="6"/>
  <c r="AA534" i="6"/>
  <c r="AA543" i="6"/>
  <c r="AA552" i="6"/>
  <c r="AA561" i="6"/>
  <c r="AA571" i="6"/>
  <c r="AA580" i="6"/>
  <c r="AA589" i="6"/>
  <c r="AA598" i="6"/>
  <c r="AA607" i="6"/>
  <c r="AA616" i="6"/>
  <c r="AA625" i="6"/>
  <c r="AA635" i="6"/>
  <c r="AA644" i="6"/>
  <c r="AA653" i="6"/>
  <c r="AA662" i="6"/>
  <c r="AA671" i="6"/>
  <c r="AA680" i="6"/>
  <c r="AA689" i="6"/>
  <c r="AA699" i="6"/>
  <c r="AA708" i="6"/>
  <c r="AA717" i="6"/>
  <c r="AA726" i="6"/>
  <c r="AA735" i="6"/>
  <c r="AA744" i="6"/>
  <c r="AA753" i="6"/>
  <c r="AA763" i="6"/>
  <c r="AA772" i="6"/>
  <c r="AA781" i="6"/>
  <c r="AA790" i="6"/>
  <c r="AA799" i="6"/>
  <c r="AA808" i="6"/>
  <c r="AA817" i="6"/>
  <c r="AA827" i="6"/>
  <c r="AA836" i="6"/>
  <c r="AA845" i="6"/>
  <c r="AA854" i="6"/>
  <c r="AA863" i="6"/>
  <c r="AA872" i="6"/>
  <c r="AA881" i="6"/>
  <c r="AA891" i="6"/>
  <c r="AA900" i="6"/>
  <c r="AA909" i="6"/>
  <c r="AA918" i="6"/>
  <c r="AA927" i="6"/>
  <c r="AA935" i="6"/>
  <c r="AA943" i="6"/>
  <c r="AA951" i="6"/>
  <c r="AA959" i="6"/>
  <c r="AA967" i="6"/>
  <c r="AA975" i="6"/>
  <c r="AA983" i="6"/>
  <c r="AA991" i="6"/>
  <c r="AA999" i="6"/>
  <c r="AA1007" i="6"/>
  <c r="AA1015" i="6"/>
  <c r="W22" i="6"/>
  <c r="W34" i="6"/>
  <c r="W48" i="6"/>
  <c r="W62" i="6"/>
  <c r="W75" i="6"/>
  <c r="W88" i="6"/>
  <c r="W102" i="6"/>
  <c r="W116" i="6"/>
  <c r="W130" i="6"/>
  <c r="W143" i="6"/>
  <c r="W158" i="6"/>
  <c r="W170" i="6"/>
  <c r="W184" i="6"/>
  <c r="W198" i="6"/>
  <c r="W212" i="6"/>
  <c r="W225" i="6"/>
  <c r="W240" i="6"/>
  <c r="W252" i="6"/>
  <c r="W266" i="6"/>
  <c r="W279" i="6"/>
  <c r="W294" i="6"/>
  <c r="W307" i="6"/>
  <c r="W321" i="6"/>
  <c r="W335" i="6"/>
  <c r="W348" i="6"/>
  <c r="W361" i="6"/>
  <c r="W376" i="6"/>
  <c r="W388" i="6"/>
  <c r="W403" i="6"/>
  <c r="W417" i="6"/>
  <c r="W431" i="6"/>
  <c r="W443" i="6"/>
  <c r="W456" i="6"/>
  <c r="W471" i="6"/>
  <c r="W483" i="6"/>
  <c r="W498" i="6"/>
  <c r="W513" i="6"/>
  <c r="W526" i="6"/>
  <c r="W538" i="6"/>
  <c r="W553" i="6"/>
  <c r="W566" i="6"/>
  <c r="W579" i="6"/>
  <c r="W595" i="6"/>
  <c r="W608" i="6"/>
  <c r="W620" i="6"/>
  <c r="W634" i="6"/>
  <c r="W648" i="6"/>
  <c r="W662" i="6"/>
  <c r="W674" i="6"/>
  <c r="W690" i="6"/>
  <c r="W703" i="6"/>
  <c r="W715" i="6"/>
  <c r="W727" i="6"/>
  <c r="W739" i="6"/>
  <c r="W750" i="6"/>
  <c r="W762" i="6"/>
  <c r="W775" i="6"/>
  <c r="W786" i="6"/>
  <c r="W796" i="6"/>
  <c r="W807" i="6"/>
  <c r="W817" i="6"/>
  <c r="W827" i="6"/>
  <c r="W838" i="6"/>
  <c r="W849" i="6"/>
  <c r="W859" i="6"/>
  <c r="W870" i="6"/>
  <c r="W880" i="6"/>
  <c r="W890" i="6"/>
  <c r="W900" i="6"/>
  <c r="W911" i="6"/>
  <c r="W922" i="6"/>
  <c r="W932" i="6"/>
  <c r="W943" i="6"/>
  <c r="W953" i="6"/>
  <c r="W963" i="6"/>
  <c r="W974" i="6"/>
  <c r="W984" i="6"/>
  <c r="W995" i="6"/>
  <c r="W1006" i="6"/>
  <c r="W1016" i="6"/>
  <c r="AA23" i="6"/>
  <c r="AA32" i="6"/>
  <c r="AA41" i="6"/>
  <c r="AA51" i="6"/>
  <c r="AA60" i="6"/>
  <c r="AA69" i="6"/>
  <c r="AA78" i="6"/>
  <c r="AA87" i="6"/>
  <c r="AA96" i="6"/>
  <c r="AA105" i="6"/>
  <c r="AA115" i="6"/>
  <c r="AA124" i="6"/>
  <c r="AA133" i="6"/>
  <c r="AA142" i="6"/>
  <c r="AA151" i="6"/>
  <c r="AA160" i="6"/>
  <c r="AA169" i="6"/>
  <c r="AA179" i="6"/>
  <c r="AA188" i="6"/>
  <c r="AA197" i="6"/>
  <c r="AA206" i="6"/>
  <c r="AA215" i="6"/>
  <c r="AA224" i="6"/>
  <c r="AA233" i="6"/>
  <c r="AA243" i="6"/>
  <c r="AA252" i="6"/>
  <c r="AA261" i="6"/>
  <c r="AA270" i="6"/>
  <c r="AA279" i="6"/>
  <c r="AA288" i="6"/>
  <c r="AA297" i="6"/>
  <c r="AA307" i="6"/>
  <c r="AA316" i="6"/>
  <c r="AA325" i="6"/>
  <c r="AA334" i="6"/>
  <c r="AA343" i="6"/>
  <c r="AA352" i="6"/>
  <c r="AA361" i="6"/>
  <c r="AA371" i="6"/>
  <c r="AA380" i="6"/>
  <c r="AA389" i="6"/>
  <c r="AA398" i="6"/>
  <c r="AA407" i="6"/>
  <c r="AA416" i="6"/>
  <c r="AA425" i="6"/>
  <c r="AA435" i="6"/>
  <c r="AA444" i="6"/>
  <c r="AA453" i="6"/>
  <c r="AA462" i="6"/>
  <c r="AA471" i="6"/>
  <c r="AA480" i="6"/>
  <c r="AA489" i="6"/>
  <c r="AA499" i="6"/>
  <c r="AA508" i="6"/>
  <c r="AA517" i="6"/>
  <c r="AA526" i="6"/>
  <c r="AA535" i="6"/>
  <c r="AA544" i="6"/>
  <c r="AA553" i="6"/>
  <c r="AA563" i="6"/>
  <c r="AA572" i="6"/>
  <c r="AA581" i="6"/>
  <c r="AA590" i="6"/>
  <c r="AA599" i="6"/>
  <c r="AA608" i="6"/>
  <c r="AA617" i="6"/>
  <c r="AA627" i="6"/>
  <c r="AA636" i="6"/>
  <c r="AA645" i="6"/>
  <c r="AA654" i="6"/>
  <c r="AA663" i="6"/>
  <c r="AA672" i="6"/>
  <c r="AA681" i="6"/>
  <c r="AA691" i="6"/>
  <c r="AA700" i="6"/>
  <c r="AA709" i="6"/>
  <c r="AA718" i="6"/>
  <c r="AA727" i="6"/>
  <c r="AA736" i="6"/>
  <c r="AA745" i="6"/>
  <c r="AA755" i="6"/>
  <c r="AA764" i="6"/>
  <c r="AA773" i="6"/>
  <c r="AA782" i="6"/>
  <c r="AA791" i="6"/>
  <c r="AA800" i="6"/>
  <c r="AA809" i="6"/>
  <c r="AA819" i="6"/>
  <c r="AA828" i="6"/>
  <c r="AA837" i="6"/>
  <c r="AA846" i="6"/>
  <c r="AA855" i="6"/>
  <c r="AA864" i="6"/>
  <c r="AA873" i="6"/>
  <c r="AA883" i="6"/>
  <c r="AA892" i="6"/>
  <c r="AA901" i="6"/>
  <c r="AA910" i="6"/>
  <c r="AA919" i="6"/>
  <c r="AA928" i="6"/>
  <c r="AA936" i="6"/>
  <c r="AA944" i="6"/>
  <c r="AA952" i="6"/>
  <c r="AA960" i="6"/>
  <c r="AA968" i="6"/>
  <c r="AA976" i="6"/>
  <c r="AA984" i="6"/>
  <c r="AA992" i="6"/>
  <c r="AA1000" i="6"/>
  <c r="AA1008" i="6"/>
  <c r="AA1016" i="6"/>
  <c r="W38" i="6"/>
  <c r="W54" i="6"/>
  <c r="W72" i="6"/>
  <c r="U72" i="6" s="1"/>
  <c r="W94" i="6"/>
  <c r="W108" i="6"/>
  <c r="W126" i="6"/>
  <c r="W147" i="6"/>
  <c r="W163" i="6"/>
  <c r="W180" i="6"/>
  <c r="W202" i="6"/>
  <c r="U202" i="6" s="1"/>
  <c r="W218" i="6"/>
  <c r="U218" i="6" s="1"/>
  <c r="W235" i="6"/>
  <c r="W255" i="6"/>
  <c r="W273" i="6"/>
  <c r="W289" i="6"/>
  <c r="W310" i="6"/>
  <c r="W327" i="6"/>
  <c r="U327" i="6" s="1"/>
  <c r="W345" i="6"/>
  <c r="U345" i="6" s="1"/>
  <c r="W364" i="6"/>
  <c r="W382" i="6"/>
  <c r="W399" i="6"/>
  <c r="W419" i="6"/>
  <c r="W435" i="6"/>
  <c r="W454" i="6"/>
  <c r="W474" i="6"/>
  <c r="U474" i="6" s="1"/>
  <c r="W491" i="6"/>
  <c r="U491" i="6" s="1"/>
  <c r="W507" i="6"/>
  <c r="U507" i="6" s="1"/>
  <c r="W528" i="6"/>
  <c r="U528" i="6" s="1"/>
  <c r="W546" i="6"/>
  <c r="W563" i="6"/>
  <c r="W584" i="6"/>
  <c r="W600" i="6"/>
  <c r="W618" i="6"/>
  <c r="W638" i="6"/>
  <c r="W655" i="6"/>
  <c r="W672" i="6"/>
  <c r="U672" i="6" s="1"/>
  <c r="W692" i="6"/>
  <c r="W709" i="6"/>
  <c r="W724" i="6"/>
  <c r="W741" i="6"/>
  <c r="W757" i="6"/>
  <c r="W771" i="6"/>
  <c r="U771" i="6" s="1"/>
  <c r="W788" i="6"/>
  <c r="W801" i="6"/>
  <c r="W815" i="6"/>
  <c r="W831" i="6"/>
  <c r="W843" i="6"/>
  <c r="W856" i="6"/>
  <c r="W872" i="6"/>
  <c r="W886" i="6"/>
  <c r="W898" i="6"/>
  <c r="W914" i="6"/>
  <c r="W927" i="6"/>
  <c r="W940" i="6"/>
  <c r="W955" i="6"/>
  <c r="W969" i="6"/>
  <c r="W982" i="6"/>
  <c r="W998" i="6"/>
  <c r="W1010" i="6"/>
  <c r="AA35" i="6"/>
  <c r="AA46" i="6"/>
  <c r="AA57" i="6"/>
  <c r="AA71" i="6"/>
  <c r="AA83" i="6"/>
  <c r="AA94" i="6"/>
  <c r="AA108" i="6"/>
  <c r="AA119" i="6"/>
  <c r="AA131" i="6"/>
  <c r="AA144" i="6"/>
  <c r="AA156" i="6"/>
  <c r="AA167" i="6"/>
  <c r="AA181" i="6"/>
  <c r="AA192" i="6"/>
  <c r="AA204" i="6"/>
  <c r="AA217" i="6"/>
  <c r="AA229" i="6"/>
  <c r="AA240" i="6"/>
  <c r="AA254" i="6"/>
  <c r="AA265" i="6"/>
  <c r="AA277" i="6"/>
  <c r="AA291" i="6"/>
  <c r="AA302" i="6"/>
  <c r="AA313" i="6"/>
  <c r="AA327" i="6"/>
  <c r="AA339" i="6"/>
  <c r="AA350" i="6"/>
  <c r="AA364" i="6"/>
  <c r="AA375" i="6"/>
  <c r="AA387" i="6"/>
  <c r="AA400" i="6"/>
  <c r="AA412" i="6"/>
  <c r="AA423" i="6"/>
  <c r="AA437" i="6"/>
  <c r="AA448" i="6"/>
  <c r="AA460" i="6"/>
  <c r="AA473" i="6"/>
  <c r="AA485" i="6"/>
  <c r="AA496" i="6"/>
  <c r="AA510" i="6"/>
  <c r="AA521" i="6"/>
  <c r="AA533" i="6"/>
  <c r="AA547" i="6"/>
  <c r="AA558" i="6"/>
  <c r="AA569" i="6"/>
  <c r="AA583" i="6"/>
  <c r="AA595" i="6"/>
  <c r="AA606" i="6"/>
  <c r="AA620" i="6"/>
  <c r="AA631" i="6"/>
  <c r="AA643" i="6"/>
  <c r="AA656" i="6"/>
  <c r="AA668" i="6"/>
  <c r="AA679" i="6"/>
  <c r="AA693" i="6"/>
  <c r="AA704" i="6"/>
  <c r="AA716" i="6"/>
  <c r="AA729" i="6"/>
  <c r="AA741" i="6"/>
  <c r="AA752" i="6"/>
  <c r="AA766" i="6"/>
  <c r="AA777" i="6"/>
  <c r="AA789" i="6"/>
  <c r="AA803" i="6"/>
  <c r="AA814" i="6"/>
  <c r="AA825" i="6"/>
  <c r="AA839" i="6"/>
  <c r="AA851" i="6"/>
  <c r="AA862" i="6"/>
  <c r="AA876" i="6"/>
  <c r="AA887" i="6"/>
  <c r="AA899" i="6"/>
  <c r="AA912" i="6"/>
  <c r="AA924" i="6"/>
  <c r="AA934" i="6"/>
  <c r="AA946" i="6"/>
  <c r="AA956" i="6"/>
  <c r="AA966" i="6"/>
  <c r="AA978" i="6"/>
  <c r="AA988" i="6"/>
  <c r="AA998" i="6"/>
  <c r="AA1010" i="6"/>
  <c r="AA1020" i="6"/>
  <c r="W23" i="6"/>
  <c r="W39" i="6"/>
  <c r="W57" i="6"/>
  <c r="U57" i="6" s="1"/>
  <c r="W76" i="6"/>
  <c r="W95" i="6"/>
  <c r="W111" i="6"/>
  <c r="W131" i="6"/>
  <c r="W148" i="6"/>
  <c r="W167" i="6"/>
  <c r="W185" i="6"/>
  <c r="W203" i="6"/>
  <c r="U203" i="6" s="1"/>
  <c r="W220" i="6"/>
  <c r="W241" i="6"/>
  <c r="W257" i="6"/>
  <c r="U257" i="6" s="1"/>
  <c r="W275" i="6"/>
  <c r="W296" i="6"/>
  <c r="W313" i="6"/>
  <c r="W328" i="6"/>
  <c r="W350" i="6"/>
  <c r="W368" i="6"/>
  <c r="W383" i="6"/>
  <c r="U383" i="6" s="1"/>
  <c r="W404" i="6"/>
  <c r="U404" i="6" s="1"/>
  <c r="W422" i="6"/>
  <c r="W440" i="6"/>
  <c r="W459" i="6"/>
  <c r="W476" i="6"/>
  <c r="W492" i="6"/>
  <c r="W514" i="6"/>
  <c r="W529" i="6"/>
  <c r="U529" i="6" s="1"/>
  <c r="W547" i="6"/>
  <c r="W568" i="6"/>
  <c r="W586" i="6"/>
  <c r="W601" i="6"/>
  <c r="W623" i="6"/>
  <c r="W639" i="6"/>
  <c r="U639" i="6" s="1"/>
  <c r="W657" i="6"/>
  <c r="U657" i="6" s="1"/>
  <c r="W679" i="6"/>
  <c r="W694" i="6"/>
  <c r="W710" i="6"/>
  <c r="W729" i="6"/>
  <c r="W743" i="6"/>
  <c r="W758" i="6"/>
  <c r="W777" i="6"/>
  <c r="U777" i="6" s="1"/>
  <c r="W790" i="6"/>
  <c r="W803" i="6"/>
  <c r="U803" i="6" s="1"/>
  <c r="W818" i="6"/>
  <c r="U818" i="6" s="1"/>
  <c r="W832" i="6"/>
  <c r="W844" i="6"/>
  <c r="W860" i="6"/>
  <c r="W873" i="6"/>
  <c r="W887" i="6"/>
  <c r="W902" i="6"/>
  <c r="W915" i="6"/>
  <c r="U915" i="6" s="1"/>
  <c r="W928" i="6"/>
  <c r="U928" i="6" s="1"/>
  <c r="W944" i="6"/>
  <c r="W956" i="6"/>
  <c r="W970" i="6"/>
  <c r="W986" i="6"/>
  <c r="W999" i="6"/>
  <c r="W1011" i="6"/>
  <c r="U1011" i="6" s="1"/>
  <c r="AA24" i="6"/>
  <c r="AA36" i="6"/>
  <c r="AA47" i="6"/>
  <c r="AA61" i="6"/>
  <c r="AA72" i="6"/>
  <c r="AA84" i="6"/>
  <c r="AA97" i="6"/>
  <c r="AA109" i="6"/>
  <c r="AA120" i="6"/>
  <c r="AA134" i="6"/>
  <c r="AA145" i="6"/>
  <c r="AA157" i="6"/>
  <c r="AA171" i="6"/>
  <c r="AA182" i="6"/>
  <c r="AA193" i="6"/>
  <c r="AA207" i="6"/>
  <c r="AA219" i="6"/>
  <c r="AA230" i="6"/>
  <c r="AA244" i="6"/>
  <c r="AA255" i="6"/>
  <c r="AA267" i="6"/>
  <c r="AA280" i="6"/>
  <c r="AA292" i="6"/>
  <c r="AA303" i="6"/>
  <c r="AA317" i="6"/>
  <c r="AA328" i="6"/>
  <c r="AA340" i="6"/>
  <c r="AA353" i="6"/>
  <c r="AA365" i="6"/>
  <c r="AA376" i="6"/>
  <c r="AA390" i="6"/>
  <c r="AA401" i="6"/>
  <c r="AA413" i="6"/>
  <c r="AA427" i="6"/>
  <c r="AA438" i="6"/>
  <c r="AA449" i="6"/>
  <c r="AA463" i="6"/>
  <c r="AA475" i="6"/>
  <c r="AA486" i="6"/>
  <c r="AA500" i="6"/>
  <c r="AA511" i="6"/>
  <c r="AA523" i="6"/>
  <c r="AA536" i="6"/>
  <c r="AA548" i="6"/>
  <c r="AA559" i="6"/>
  <c r="AA573" i="6"/>
  <c r="AA584" i="6"/>
  <c r="AA596" i="6"/>
  <c r="AA609" i="6"/>
  <c r="AA621" i="6"/>
  <c r="AA632" i="6"/>
  <c r="AA646" i="6"/>
  <c r="AA657" i="6"/>
  <c r="AA669" i="6"/>
  <c r="AA683" i="6"/>
  <c r="AA694" i="6"/>
  <c r="AA705" i="6"/>
  <c r="AA719" i="6"/>
  <c r="AA731" i="6"/>
  <c r="AA742" i="6"/>
  <c r="AA756" i="6"/>
  <c r="AA767" i="6"/>
  <c r="AA779" i="6"/>
  <c r="AA792" i="6"/>
  <c r="AA804" i="6"/>
  <c r="AA815" i="6"/>
  <c r="AA829" i="6"/>
  <c r="AA840" i="6"/>
  <c r="AA852" i="6"/>
  <c r="AA865" i="6"/>
  <c r="AA877" i="6"/>
  <c r="AA888" i="6"/>
  <c r="AA902" i="6"/>
  <c r="AA913" i="6"/>
  <c r="AA925" i="6"/>
  <c r="AA937" i="6"/>
  <c r="AA947" i="6"/>
  <c r="AA957" i="6"/>
  <c r="AA969" i="6"/>
  <c r="AA979" i="6"/>
  <c r="AA989" i="6"/>
  <c r="AA1001" i="6"/>
  <c r="AA1011" i="6"/>
  <c r="AA21" i="6"/>
  <c r="W24" i="6"/>
  <c r="W41" i="6"/>
  <c r="W58" i="6"/>
  <c r="U58" i="6" s="1"/>
  <c r="W78" i="6"/>
  <c r="W96" i="6"/>
  <c r="U96" i="6" s="1"/>
  <c r="W112" i="6"/>
  <c r="U112" i="6" s="1"/>
  <c r="W132" i="6"/>
  <c r="W150" i="6"/>
  <c r="W168" i="6"/>
  <c r="W188" i="6"/>
  <c r="W204" i="6"/>
  <c r="W222" i="6"/>
  <c r="W242" i="6"/>
  <c r="U242" i="6" s="1"/>
  <c r="W260" i="6"/>
  <c r="W276" i="6"/>
  <c r="W297" i="6"/>
  <c r="W314" i="6"/>
  <c r="W331" i="6"/>
  <c r="W351" i="6"/>
  <c r="W369" i="6"/>
  <c r="U369" i="6" s="1"/>
  <c r="W386" i="6"/>
  <c r="U386" i="6" s="1"/>
  <c r="W407" i="6"/>
  <c r="U407" i="6" s="1"/>
  <c r="W423" i="6"/>
  <c r="W441" i="6"/>
  <c r="W460" i="6"/>
  <c r="W478" i="6"/>
  <c r="W495" i="6"/>
  <c r="U495" i="6" s="1"/>
  <c r="W515" i="6"/>
  <c r="U515" i="6" s="1"/>
  <c r="W532" i="6"/>
  <c r="W550" i="6"/>
  <c r="W570" i="6"/>
  <c r="W587" i="6"/>
  <c r="W602" i="6"/>
  <c r="W624" i="6"/>
  <c r="W642" i="6"/>
  <c r="U642" i="6" s="1"/>
  <c r="W659" i="6"/>
  <c r="U659" i="6" s="1"/>
  <c r="W680" i="6"/>
  <c r="U680" i="6" s="1"/>
  <c r="W696" i="6"/>
  <c r="U696" i="6" s="1"/>
  <c r="W713" i="6"/>
  <c r="W730" i="6"/>
  <c r="W746" i="6"/>
  <c r="W759" i="6"/>
  <c r="W778" i="6"/>
  <c r="U778" i="6" s="1"/>
  <c r="W791" i="6"/>
  <c r="W804" i="6"/>
  <c r="W819" i="6"/>
  <c r="U819" i="6" s="1"/>
  <c r="W833" i="6"/>
  <c r="W846" i="6"/>
  <c r="W862" i="6"/>
  <c r="W874" i="6"/>
  <c r="W888" i="6"/>
  <c r="U888" i="6" s="1"/>
  <c r="W904" i="6"/>
  <c r="U904" i="6" s="1"/>
  <c r="W916" i="6"/>
  <c r="W929" i="6"/>
  <c r="U929" i="6" s="1"/>
  <c r="W945" i="6"/>
  <c r="W959" i="6"/>
  <c r="W971" i="6"/>
  <c r="W987" i="6"/>
  <c r="W1000" i="6"/>
  <c r="W1014" i="6"/>
  <c r="AA25" i="6"/>
  <c r="AA37" i="6"/>
  <c r="AA48" i="6"/>
  <c r="AA62" i="6"/>
  <c r="AA73" i="6"/>
  <c r="AA85" i="6"/>
  <c r="AA99" i="6"/>
  <c r="AA110" i="6"/>
  <c r="AA121" i="6"/>
  <c r="AA135" i="6"/>
  <c r="AA147" i="6"/>
  <c r="AA158" i="6"/>
  <c r="AA172" i="6"/>
  <c r="AA183" i="6"/>
  <c r="AA195" i="6"/>
  <c r="AA208" i="6"/>
  <c r="AA220" i="6"/>
  <c r="AA231" i="6"/>
  <c r="AA245" i="6"/>
  <c r="AA256" i="6"/>
  <c r="AA268" i="6"/>
  <c r="AA281" i="6"/>
  <c r="AA293" i="6"/>
  <c r="AA304" i="6"/>
  <c r="AA318" i="6"/>
  <c r="AA329" i="6"/>
  <c r="AA341" i="6"/>
  <c r="AA355" i="6"/>
  <c r="AA366" i="6"/>
  <c r="AA377" i="6"/>
  <c r="AA391" i="6"/>
  <c r="AA403" i="6"/>
  <c r="AA414" i="6"/>
  <c r="AA428" i="6"/>
  <c r="AA439" i="6"/>
  <c r="AA451" i="6"/>
  <c r="AA464" i="6"/>
  <c r="AA476" i="6"/>
  <c r="AA487" i="6"/>
  <c r="AA501" i="6"/>
  <c r="AA512" i="6"/>
  <c r="AA524" i="6"/>
  <c r="AA537" i="6"/>
  <c r="AA549" i="6"/>
  <c r="AA560" i="6"/>
  <c r="AA574" i="6"/>
  <c r="AA585" i="6"/>
  <c r="AA597" i="6"/>
  <c r="AA611" i="6"/>
  <c r="AA622" i="6"/>
  <c r="AA633" i="6"/>
  <c r="AA647" i="6"/>
  <c r="AA659" i="6"/>
  <c r="AA670" i="6"/>
  <c r="AA684" i="6"/>
  <c r="AA695" i="6"/>
  <c r="AA707" i="6"/>
  <c r="AA720" i="6"/>
  <c r="AA732" i="6"/>
  <c r="AA743" i="6"/>
  <c r="AA757" i="6"/>
  <c r="AA768" i="6"/>
  <c r="AA780" i="6"/>
  <c r="AA793" i="6"/>
  <c r="AA805" i="6"/>
  <c r="AA816" i="6"/>
  <c r="AA830" i="6"/>
  <c r="AA841" i="6"/>
  <c r="AA853" i="6"/>
  <c r="AA867" i="6"/>
  <c r="AA878" i="6"/>
  <c r="AA889" i="6"/>
  <c r="AA903" i="6"/>
  <c r="AA915" i="6"/>
  <c r="AA926" i="6"/>
  <c r="AA938" i="6"/>
  <c r="AA948" i="6"/>
  <c r="AA958" i="6"/>
  <c r="AA970" i="6"/>
  <c r="AA980" i="6"/>
  <c r="AA990" i="6"/>
  <c r="AA1002" i="6"/>
  <c r="AA1012" i="6"/>
  <c r="W25" i="6"/>
  <c r="W42" i="6"/>
  <c r="W63" i="6"/>
  <c r="W80" i="6"/>
  <c r="U80" i="6" s="1"/>
  <c r="W97" i="6"/>
  <c r="U97" i="6" s="1"/>
  <c r="W118" i="6"/>
  <c r="W135" i="6"/>
  <c r="U135" i="6" s="1"/>
  <c r="W152" i="6"/>
  <c r="W171" i="6"/>
  <c r="W190" i="6"/>
  <c r="W206" i="6"/>
  <c r="W226" i="6"/>
  <c r="U226" i="6" s="1"/>
  <c r="W243" i="6"/>
  <c r="U243" i="6" s="1"/>
  <c r="W262" i="6"/>
  <c r="W281" i="6"/>
  <c r="U281" i="6" s="1"/>
  <c r="W298" i="6"/>
  <c r="W315" i="6"/>
  <c r="W336" i="6"/>
  <c r="W352" i="6"/>
  <c r="W370" i="6"/>
  <c r="U370" i="6" s="1"/>
  <c r="W391" i="6"/>
  <c r="U391" i="6" s="1"/>
  <c r="W408" i="6"/>
  <c r="U408" i="6" s="1"/>
  <c r="W424" i="6"/>
  <c r="U424" i="6" s="1"/>
  <c r="W444" i="6"/>
  <c r="W463" i="6"/>
  <c r="W480" i="6"/>
  <c r="W500" i="6"/>
  <c r="W516" i="6"/>
  <c r="W535" i="6"/>
  <c r="W554" i="6"/>
  <c r="U554" i="6" s="1"/>
  <c r="W571" i="6"/>
  <c r="U571" i="6" s="1"/>
  <c r="W588" i="6"/>
  <c r="W609" i="6"/>
  <c r="W626" i="6"/>
  <c r="W643" i="6"/>
  <c r="W663" i="6"/>
  <c r="W681" i="6"/>
  <c r="W697" i="6"/>
  <c r="U697" i="6" s="1"/>
  <c r="W716" i="6"/>
  <c r="W731" i="6"/>
  <c r="W747" i="6"/>
  <c r="W765" i="6"/>
  <c r="W779" i="6"/>
  <c r="W792" i="6"/>
  <c r="U792" i="6" s="1"/>
  <c r="W808" i="6"/>
  <c r="U808" i="6" s="1"/>
  <c r="W822" i="6"/>
  <c r="W834" i="6"/>
  <c r="U834" i="6" s="1"/>
  <c r="W850" i="6"/>
  <c r="W863" i="6"/>
  <c r="W876" i="6"/>
  <c r="W891" i="6"/>
  <c r="W905" i="6"/>
  <c r="U905" i="6" s="1"/>
  <c r="W918" i="6"/>
  <c r="W934" i="6"/>
  <c r="W946" i="6"/>
  <c r="U946" i="6" s="1"/>
  <c r="W960" i="6"/>
  <c r="W975" i="6"/>
  <c r="W988" i="6"/>
  <c r="W1001" i="6"/>
  <c r="W1017" i="6"/>
  <c r="U1017" i="6" s="1"/>
  <c r="AA27" i="6"/>
  <c r="AA38" i="6"/>
  <c r="AA52" i="6"/>
  <c r="AA63" i="6"/>
  <c r="AA75" i="6"/>
  <c r="AA88" i="6"/>
  <c r="AA100" i="6"/>
  <c r="AA111" i="6"/>
  <c r="AA125" i="6"/>
  <c r="AA136" i="6"/>
  <c r="AA148" i="6"/>
  <c r="AA161" i="6"/>
  <c r="AA173" i="6"/>
  <c r="AA184" i="6"/>
  <c r="AA198" i="6"/>
  <c r="AA209" i="6"/>
  <c r="AA221" i="6"/>
  <c r="AA235" i="6"/>
  <c r="AA246" i="6"/>
  <c r="AA257" i="6"/>
  <c r="AA271" i="6"/>
  <c r="AA283" i="6"/>
  <c r="AA294" i="6"/>
  <c r="AA308" i="6"/>
  <c r="AA319" i="6"/>
  <c r="AA331" i="6"/>
  <c r="AA344" i="6"/>
  <c r="AA356" i="6"/>
  <c r="AA367" i="6"/>
  <c r="AA381" i="6"/>
  <c r="AA392" i="6"/>
  <c r="AA404" i="6"/>
  <c r="AA417" i="6"/>
  <c r="AA429" i="6"/>
  <c r="AA440" i="6"/>
  <c r="AA454" i="6"/>
  <c r="AA465" i="6"/>
  <c r="AA477" i="6"/>
  <c r="AA491" i="6"/>
  <c r="AA502" i="6"/>
  <c r="AA513" i="6"/>
  <c r="AA527" i="6"/>
  <c r="AA539" i="6"/>
  <c r="AA550" i="6"/>
  <c r="AA564" i="6"/>
  <c r="AA575" i="6"/>
  <c r="AA587" i="6"/>
  <c r="AA600" i="6"/>
  <c r="AA612" i="6"/>
  <c r="AA623" i="6"/>
  <c r="AA637" i="6"/>
  <c r="AA648" i="6"/>
  <c r="AA660" i="6"/>
  <c r="AA673" i="6"/>
  <c r="AA685" i="6"/>
  <c r="AA696" i="6"/>
  <c r="AA710" i="6"/>
  <c r="AA721" i="6"/>
  <c r="AA733" i="6"/>
  <c r="AA747" i="6"/>
  <c r="AA758" i="6"/>
  <c r="AA769" i="6"/>
  <c r="AA783" i="6"/>
  <c r="AA795" i="6"/>
  <c r="AA806" i="6"/>
  <c r="AA820" i="6"/>
  <c r="AA831" i="6"/>
  <c r="AA843" i="6"/>
  <c r="AA856" i="6"/>
  <c r="AA868" i="6"/>
  <c r="AA879" i="6"/>
  <c r="AA893" i="6"/>
  <c r="AA904" i="6"/>
  <c r="AA916" i="6"/>
  <c r="AA929" i="6"/>
  <c r="AA939" i="6"/>
  <c r="AA949" i="6"/>
  <c r="AA961" i="6"/>
  <c r="AA971" i="6"/>
  <c r="AA981" i="6"/>
  <c r="AA993" i="6"/>
  <c r="AA1003" i="6"/>
  <c r="AA1013" i="6"/>
  <c r="W26" i="6"/>
  <c r="W44" i="6"/>
  <c r="W65" i="6"/>
  <c r="W83" i="6"/>
  <c r="W98" i="6"/>
  <c r="U98" i="6" s="1"/>
  <c r="W120" i="6"/>
  <c r="W136" i="6"/>
  <c r="U136" i="6" s="1"/>
  <c r="W153" i="6"/>
  <c r="U153" i="6" s="1"/>
  <c r="W172" i="6"/>
  <c r="W191" i="6"/>
  <c r="W208" i="6"/>
  <c r="W230" i="6"/>
  <c r="W244" i="6"/>
  <c r="W263" i="6"/>
  <c r="U263" i="6" s="1"/>
  <c r="W284" i="6"/>
  <c r="W299" i="6"/>
  <c r="U299" i="6" s="1"/>
  <c r="W316" i="6"/>
  <c r="W337" i="6"/>
  <c r="W355" i="6"/>
  <c r="W371" i="6"/>
  <c r="W392" i="6"/>
  <c r="W409" i="6"/>
  <c r="U409" i="6" s="1"/>
  <c r="W427" i="6"/>
  <c r="U427" i="6" s="1"/>
  <c r="W446" i="6"/>
  <c r="W464" i="6"/>
  <c r="W481" i="6"/>
  <c r="W502" i="6"/>
  <c r="W518" i="6"/>
  <c r="W536" i="6"/>
  <c r="W555" i="6"/>
  <c r="U555" i="6" s="1"/>
  <c r="W574" i="6"/>
  <c r="W590" i="6"/>
  <c r="W610" i="6"/>
  <c r="W627" i="6"/>
  <c r="W644" i="6"/>
  <c r="W665" i="6"/>
  <c r="W682" i="6"/>
  <c r="U682" i="6" s="1"/>
  <c r="W699" i="6"/>
  <c r="U699" i="6" s="1"/>
  <c r="W718" i="6"/>
  <c r="W733" i="6"/>
  <c r="W748" i="6"/>
  <c r="W766" i="6"/>
  <c r="W780" i="6"/>
  <c r="W794" i="6"/>
  <c r="W809" i="6"/>
  <c r="W823" i="6"/>
  <c r="U823" i="6" s="1"/>
  <c r="W835" i="6"/>
  <c r="U835" i="6" s="1"/>
  <c r="W851" i="6"/>
  <c r="U851" i="6" s="1"/>
  <c r="W864" i="6"/>
  <c r="W878" i="6"/>
  <c r="W892" i="6"/>
  <c r="W906" i="6"/>
  <c r="W919" i="6"/>
  <c r="U919" i="6" s="1"/>
  <c r="W935" i="6"/>
  <c r="W947" i="6"/>
  <c r="U947" i="6" s="1"/>
  <c r="W961" i="6"/>
  <c r="U961" i="6" s="1"/>
  <c r="W977" i="6"/>
  <c r="W990" i="6"/>
  <c r="W1002" i="6"/>
  <c r="W1018" i="6"/>
  <c r="AA28" i="6"/>
  <c r="AA39" i="6"/>
  <c r="AA53" i="6"/>
  <c r="AA64" i="6"/>
  <c r="AA76" i="6"/>
  <c r="AA89" i="6"/>
  <c r="AA101" i="6"/>
  <c r="AA112" i="6"/>
  <c r="AA126" i="6"/>
  <c r="AA137" i="6"/>
  <c r="AA149" i="6"/>
  <c r="AA163" i="6"/>
  <c r="AA174" i="6"/>
  <c r="AA185" i="6"/>
  <c r="AA199" i="6"/>
  <c r="AA211" i="6"/>
  <c r="AA222" i="6"/>
  <c r="AA236" i="6"/>
  <c r="AA247" i="6"/>
  <c r="AA259" i="6"/>
  <c r="AA272" i="6"/>
  <c r="AA284" i="6"/>
  <c r="AA295" i="6"/>
  <c r="AA309" i="6"/>
  <c r="AA320" i="6"/>
  <c r="AA332" i="6"/>
  <c r="AA345" i="6"/>
  <c r="AA357" i="6"/>
  <c r="AA368" i="6"/>
  <c r="AA382" i="6"/>
  <c r="AA393" i="6"/>
  <c r="AA405" i="6"/>
  <c r="AA419" i="6"/>
  <c r="AA430" i="6"/>
  <c r="AA441" i="6"/>
  <c r="AA455" i="6"/>
  <c r="AA467" i="6"/>
  <c r="AA478" i="6"/>
  <c r="AA492" i="6"/>
  <c r="AA503" i="6"/>
  <c r="AA515" i="6"/>
  <c r="AA528" i="6"/>
  <c r="AA540" i="6"/>
  <c r="AA551" i="6"/>
  <c r="AA565" i="6"/>
  <c r="AA576" i="6"/>
  <c r="AA588" i="6"/>
  <c r="AA601" i="6"/>
  <c r="AA613" i="6"/>
  <c r="AA624" i="6"/>
  <c r="AA638" i="6"/>
  <c r="AA649" i="6"/>
  <c r="AA661" i="6"/>
  <c r="AA675" i="6"/>
  <c r="AA686" i="6"/>
  <c r="AA697" i="6"/>
  <c r="AA711" i="6"/>
  <c r="AA723" i="6"/>
  <c r="AA734" i="6"/>
  <c r="AA748" i="6"/>
  <c r="AA759" i="6"/>
  <c r="AA771" i="6"/>
  <c r="AA784" i="6"/>
  <c r="AA796" i="6"/>
  <c r="AA807" i="6"/>
  <c r="AA821" i="6"/>
  <c r="AA832" i="6"/>
  <c r="AA844" i="6"/>
  <c r="AA857" i="6"/>
  <c r="AA869" i="6"/>
  <c r="AA880" i="6"/>
  <c r="AA894" i="6"/>
  <c r="AA905" i="6"/>
  <c r="AA917" i="6"/>
  <c r="AA930" i="6"/>
  <c r="AA940" i="6"/>
  <c r="AA950" i="6"/>
  <c r="AA962" i="6"/>
  <c r="AA972" i="6"/>
  <c r="AA982" i="6"/>
  <c r="AA994" i="6"/>
  <c r="AA1004" i="6"/>
  <c r="AA1014" i="6"/>
  <c r="W28" i="6"/>
  <c r="W49" i="6"/>
  <c r="W66" i="6"/>
  <c r="W84" i="6"/>
  <c r="W105" i="6"/>
  <c r="W121" i="6"/>
  <c r="U121" i="6" s="1"/>
  <c r="W138" i="6"/>
  <c r="U138" i="6" s="1"/>
  <c r="W159" i="6"/>
  <c r="U159" i="6" s="1"/>
  <c r="W177" i="6"/>
  <c r="U177" i="6" s="1"/>
  <c r="W193" i="6"/>
  <c r="W214" i="6"/>
  <c r="W89" i="6"/>
  <c r="W161" i="6"/>
  <c r="W232" i="6"/>
  <c r="U232" i="6" s="1"/>
  <c r="W286" i="6"/>
  <c r="W326" i="6"/>
  <c r="W379" i="6"/>
  <c r="U379" i="6" s="1"/>
  <c r="W432" i="6"/>
  <c r="W472" i="6"/>
  <c r="W523" i="6"/>
  <c r="W575" i="6"/>
  <c r="W616" i="6"/>
  <c r="U616" i="6" s="1"/>
  <c r="W670" i="6"/>
  <c r="W719" i="6"/>
  <c r="W756" i="6"/>
  <c r="W799" i="6"/>
  <c r="W840" i="6"/>
  <c r="W871" i="6"/>
  <c r="W908" i="6"/>
  <c r="W950" i="6"/>
  <c r="W980" i="6"/>
  <c r="W1020" i="6"/>
  <c r="AA29" i="6"/>
  <c r="AA56" i="6"/>
  <c r="AA92" i="6"/>
  <c r="AA127" i="6"/>
  <c r="AA155" i="6"/>
  <c r="AA190" i="6"/>
  <c r="AA225" i="6"/>
  <c r="AA253" i="6"/>
  <c r="AA286" i="6"/>
  <c r="AA321" i="6"/>
  <c r="AA349" i="6"/>
  <c r="AA384" i="6"/>
  <c r="AA420" i="6"/>
  <c r="AA447" i="6"/>
  <c r="AA483" i="6"/>
  <c r="AA518" i="6"/>
  <c r="AA545" i="6"/>
  <c r="AA579" i="6"/>
  <c r="AA614" i="6"/>
  <c r="AA641" i="6"/>
  <c r="AA677" i="6"/>
  <c r="AA712" i="6"/>
  <c r="AA740" i="6"/>
  <c r="AA775" i="6"/>
  <c r="AA811" i="6"/>
  <c r="AA838" i="6"/>
  <c r="AA871" i="6"/>
  <c r="AA907" i="6"/>
  <c r="AA933" i="6"/>
  <c r="AA964" i="6"/>
  <c r="AA995" i="6"/>
  <c r="AA1019" i="6"/>
  <c r="W31" i="6"/>
  <c r="U31" i="6" s="1"/>
  <c r="W106" i="6"/>
  <c r="W178" i="6"/>
  <c r="W233" i="6"/>
  <c r="W287" i="6"/>
  <c r="W339" i="6"/>
  <c r="U339" i="6" s="1"/>
  <c r="W380" i="6"/>
  <c r="W433" i="6"/>
  <c r="U433" i="6" s="1"/>
  <c r="W487" i="6"/>
  <c r="U487" i="6" s="1"/>
  <c r="W527" i="6"/>
  <c r="W577" i="6"/>
  <c r="W630" i="6"/>
  <c r="W671" i="6"/>
  <c r="W721" i="6"/>
  <c r="W767" i="6"/>
  <c r="W800" i="6"/>
  <c r="W841" i="6"/>
  <c r="W881" i="6"/>
  <c r="W913" i="6"/>
  <c r="W951" i="6"/>
  <c r="W991" i="6"/>
  <c r="AA30" i="6"/>
  <c r="AA65" i="6"/>
  <c r="AA93" i="6"/>
  <c r="AA128" i="6"/>
  <c r="AA164" i="6"/>
  <c r="AA191" i="6"/>
  <c r="AA227" i="6"/>
  <c r="AA262" i="6"/>
  <c r="AA289" i="6"/>
  <c r="AA323" i="6"/>
  <c r="AA358" i="6"/>
  <c r="AA385" i="6"/>
  <c r="AA421" i="6"/>
  <c r="AA456" i="6"/>
  <c r="AA484" i="6"/>
  <c r="AA519" i="6"/>
  <c r="AA555" i="6"/>
  <c r="AA582" i="6"/>
  <c r="AA615" i="6"/>
  <c r="AA651" i="6"/>
  <c r="AA678" i="6"/>
  <c r="AA713" i="6"/>
  <c r="AA749" i="6"/>
  <c r="AA776" i="6"/>
  <c r="AA812" i="6"/>
  <c r="AA847" i="6"/>
  <c r="AA875" i="6"/>
  <c r="AA908" i="6"/>
  <c r="AA941" i="6"/>
  <c r="AA965" i="6"/>
  <c r="AA996" i="6"/>
  <c r="I12" i="6"/>
  <c r="W35" i="6"/>
  <c r="U35" i="6" s="1"/>
  <c r="W107" i="6"/>
  <c r="U107" i="6" s="1"/>
  <c r="W179" i="6"/>
  <c r="U179" i="6" s="1"/>
  <c r="W248" i="6"/>
  <c r="U248" i="6" s="1"/>
  <c r="W288" i="6"/>
  <c r="W340" i="6"/>
  <c r="W394" i="6"/>
  <c r="W434" i="6"/>
  <c r="W488" i="6"/>
  <c r="U488" i="6" s="1"/>
  <c r="W540" i="6"/>
  <c r="W582" i="6"/>
  <c r="W632" i="6"/>
  <c r="U632" i="6" s="1"/>
  <c r="W683" i="6"/>
  <c r="W723" i="6"/>
  <c r="W769" i="6"/>
  <c r="W810" i="6"/>
  <c r="W842" i="6"/>
  <c r="U842" i="6" s="1"/>
  <c r="W882" i="6"/>
  <c r="U882" i="6" s="1"/>
  <c r="W923" i="6"/>
  <c r="U923" i="6" s="1"/>
  <c r="W954" i="6"/>
  <c r="U954" i="6" s="1"/>
  <c r="W992" i="6"/>
  <c r="AA33" i="6"/>
  <c r="AA67" i="6"/>
  <c r="AA102" i="6"/>
  <c r="AA129" i="6"/>
  <c r="AA165" i="6"/>
  <c r="AA200" i="6"/>
  <c r="AA228" i="6"/>
  <c r="AA263" i="6"/>
  <c r="AA299" i="6"/>
  <c r="AA326" i="6"/>
  <c r="AA359" i="6"/>
  <c r="AA395" i="6"/>
  <c r="AA422" i="6"/>
  <c r="AA457" i="6"/>
  <c r="AA493" i="6"/>
  <c r="AA520" i="6"/>
  <c r="AA556" i="6"/>
  <c r="AA591" i="6"/>
  <c r="AA619" i="6"/>
  <c r="AA652" i="6"/>
  <c r="AA687" i="6"/>
  <c r="AA715" i="6"/>
  <c r="AA750" i="6"/>
  <c r="AA785" i="6"/>
  <c r="AA813" i="6"/>
  <c r="AA848" i="6"/>
  <c r="AA884" i="6"/>
  <c r="AA911" i="6"/>
  <c r="AA942" i="6"/>
  <c r="AA973" i="6"/>
  <c r="AA997" i="6"/>
  <c r="W51" i="6"/>
  <c r="W122" i="6"/>
  <c r="W194" i="6"/>
  <c r="W250" i="6"/>
  <c r="W303" i="6"/>
  <c r="U303" i="6" s="1"/>
  <c r="W344" i="6"/>
  <c r="U344" i="6" s="1"/>
  <c r="W396" i="6"/>
  <c r="W449" i="6"/>
  <c r="W490" i="6"/>
  <c r="W543" i="6"/>
  <c r="W596" i="6"/>
  <c r="W636" i="6"/>
  <c r="W684" i="6"/>
  <c r="W734" i="6"/>
  <c r="W770" i="6"/>
  <c r="U770" i="6" s="1"/>
  <c r="W812" i="6"/>
  <c r="W852" i="6"/>
  <c r="W883" i="6"/>
  <c r="W924" i="6"/>
  <c r="W964" i="6"/>
  <c r="W996" i="6"/>
  <c r="AA43" i="6"/>
  <c r="AA70" i="6"/>
  <c r="AA103" i="6"/>
  <c r="AA139" i="6"/>
  <c r="AA166" i="6"/>
  <c r="AA201" i="6"/>
  <c r="AA237" i="6"/>
  <c r="AA264" i="6"/>
  <c r="AA300" i="6"/>
  <c r="AA335" i="6"/>
  <c r="AA363" i="6"/>
  <c r="AA396" i="6"/>
  <c r="AA431" i="6"/>
  <c r="AA459" i="6"/>
  <c r="AA494" i="6"/>
  <c r="AA529" i="6"/>
  <c r="AA557" i="6"/>
  <c r="AA592" i="6"/>
  <c r="AA628" i="6"/>
  <c r="AA655" i="6"/>
  <c r="AA688" i="6"/>
  <c r="AA724" i="6"/>
  <c r="AA751" i="6"/>
  <c r="AA787" i="6"/>
  <c r="AA822" i="6"/>
  <c r="AA849" i="6"/>
  <c r="AA885" i="6"/>
  <c r="AA920" i="6"/>
  <c r="AA945" i="6"/>
  <c r="AA974" i="6"/>
  <c r="AA1005" i="6"/>
  <c r="W52" i="6"/>
  <c r="W124" i="6"/>
  <c r="W200" i="6"/>
  <c r="U200" i="6" s="1"/>
  <c r="W254" i="6"/>
  <c r="W304" i="6"/>
  <c r="W358" i="6"/>
  <c r="W398" i="6"/>
  <c r="W451" i="6"/>
  <c r="W504" i="6"/>
  <c r="W544" i="6"/>
  <c r="U544" i="6" s="1"/>
  <c r="W598" i="6"/>
  <c r="W650" i="6"/>
  <c r="U650" i="6" s="1"/>
  <c r="W691" i="6"/>
  <c r="W737" i="6"/>
  <c r="W782" i="6"/>
  <c r="W814" i="6"/>
  <c r="W854" i="6"/>
  <c r="W895" i="6"/>
  <c r="W926" i="6"/>
  <c r="W966" i="6"/>
  <c r="W1007" i="6"/>
  <c r="AA44" i="6"/>
  <c r="AA79" i="6"/>
  <c r="AA107" i="6"/>
  <c r="AA140" i="6"/>
  <c r="AA175" i="6"/>
  <c r="AA203" i="6"/>
  <c r="AA238" i="6"/>
  <c r="AA273" i="6"/>
  <c r="AA301" i="6"/>
  <c r="AA336" i="6"/>
  <c r="AA372" i="6"/>
  <c r="AA399" i="6"/>
  <c r="AA432" i="6"/>
  <c r="AA468" i="6"/>
  <c r="AA495" i="6"/>
  <c r="AA531" i="6"/>
  <c r="AA566" i="6"/>
  <c r="AA593" i="6"/>
  <c r="AA629" i="6"/>
  <c r="AA664" i="6"/>
  <c r="AA692" i="6"/>
  <c r="AA725" i="6"/>
  <c r="AA760" i="6"/>
  <c r="AA788" i="6"/>
  <c r="AA823" i="6"/>
  <c r="AA859" i="6"/>
  <c r="AA886" i="6"/>
  <c r="AA921" i="6"/>
  <c r="AA953" i="6"/>
  <c r="AA977" i="6"/>
  <c r="AA1006" i="6"/>
  <c r="W68" i="6"/>
  <c r="W140" i="6"/>
  <c r="W215" i="6"/>
  <c r="W267" i="6"/>
  <c r="W308" i="6"/>
  <c r="U308" i="6" s="1"/>
  <c r="W359" i="6"/>
  <c r="W410" i="6"/>
  <c r="U410" i="6" s="1"/>
  <c r="W452" i="6"/>
  <c r="W505" i="6"/>
  <c r="W559" i="6"/>
  <c r="W599" i="6"/>
  <c r="W651" i="6"/>
  <c r="W705" i="6"/>
  <c r="U705" i="6" s="1"/>
  <c r="W740" i="6"/>
  <c r="W783" i="6"/>
  <c r="U783" i="6" s="1"/>
  <c r="W824" i="6"/>
  <c r="U824" i="6" s="1"/>
  <c r="W855" i="6"/>
  <c r="W896" i="6"/>
  <c r="W936" i="6"/>
  <c r="W968" i="6"/>
  <c r="W1008" i="6"/>
  <c r="AA45" i="6"/>
  <c r="AA80" i="6"/>
  <c r="AA116" i="6"/>
  <c r="AA143" i="6"/>
  <c r="AA176" i="6"/>
  <c r="AA212" i="6"/>
  <c r="AA239" i="6"/>
  <c r="AA275" i="6"/>
  <c r="AA310" i="6"/>
  <c r="AA337" i="6"/>
  <c r="AA373" i="6"/>
  <c r="AA408" i="6"/>
  <c r="AA436" i="6"/>
  <c r="AA469" i="6"/>
  <c r="AA504" i="6"/>
  <c r="AA532" i="6"/>
  <c r="AA567" i="6"/>
  <c r="AA603" i="6"/>
  <c r="AA630" i="6"/>
  <c r="AA665" i="6"/>
  <c r="AA701" i="6"/>
  <c r="AA728" i="6"/>
  <c r="AA761" i="6"/>
  <c r="AA797" i="6"/>
  <c r="AA824" i="6"/>
  <c r="AA860" i="6"/>
  <c r="AA895" i="6"/>
  <c r="AA923" i="6"/>
  <c r="AA954" i="6"/>
  <c r="AA985" i="6"/>
  <c r="AA1009" i="6"/>
  <c r="W70" i="6"/>
  <c r="W145" i="6"/>
  <c r="U145" i="6" s="1"/>
  <c r="W216" i="6"/>
  <c r="U216" i="6" s="1"/>
  <c r="W268" i="6"/>
  <c r="W323" i="6"/>
  <c r="W362" i="6"/>
  <c r="W412" i="6"/>
  <c r="W465" i="6"/>
  <c r="W506" i="6"/>
  <c r="U506" i="6" s="1"/>
  <c r="W560" i="6"/>
  <c r="W611" i="6"/>
  <c r="U611" i="6" s="1"/>
  <c r="W654" i="6"/>
  <c r="W706" i="6"/>
  <c r="W751" i="6"/>
  <c r="W787" i="6"/>
  <c r="W825" i="6"/>
  <c r="W865" i="6"/>
  <c r="W897" i="6"/>
  <c r="U897" i="6" s="1"/>
  <c r="W937" i="6"/>
  <c r="W978" i="6"/>
  <c r="U978" i="6" s="1"/>
  <c r="W1009" i="6"/>
  <c r="AA54" i="6"/>
  <c r="AA81" i="6"/>
  <c r="AA117" i="6"/>
  <c r="AA152" i="6"/>
  <c r="AA180" i="6"/>
  <c r="AA213" i="6"/>
  <c r="AA248" i="6"/>
  <c r="AA276" i="6"/>
  <c r="AA311" i="6"/>
  <c r="AA347" i="6"/>
  <c r="AA374" i="6"/>
  <c r="AA409" i="6"/>
  <c r="AA445" i="6"/>
  <c r="AA472" i="6"/>
  <c r="AA505" i="6"/>
  <c r="AA541" i="6"/>
  <c r="AA568" i="6"/>
  <c r="AA604" i="6"/>
  <c r="AA639" i="6"/>
  <c r="AA667" i="6"/>
  <c r="AA702" i="6"/>
  <c r="AA737" i="6"/>
  <c r="AA765" i="6"/>
  <c r="AA798" i="6"/>
  <c r="AA833" i="6"/>
  <c r="AA861" i="6"/>
  <c r="AA896" i="6"/>
  <c r="AA931" i="6"/>
  <c r="AA955" i="6"/>
  <c r="AA986" i="6"/>
  <c r="AA1017" i="6"/>
  <c r="W86" i="6"/>
  <c r="W160" i="6"/>
  <c r="W231" i="6"/>
  <c r="W272" i="6"/>
  <c r="W324" i="6"/>
  <c r="W377" i="6"/>
  <c r="U377" i="6" s="1"/>
  <c r="W418" i="6"/>
  <c r="U418" i="6" s="1"/>
  <c r="W467" i="6"/>
  <c r="U467" i="6" s="1"/>
  <c r="W519" i="6"/>
  <c r="W561" i="6"/>
  <c r="W614" i="6"/>
  <c r="W668" i="6"/>
  <c r="W707" i="6"/>
  <c r="U707" i="6" s="1"/>
  <c r="W755" i="6"/>
  <c r="W798" i="6"/>
  <c r="W828" i="6"/>
  <c r="W867" i="6"/>
  <c r="W907" i="6"/>
  <c r="W938" i="6"/>
  <c r="W979" i="6"/>
  <c r="W1019" i="6"/>
  <c r="U1019" i="6" s="1"/>
  <c r="AA55" i="6"/>
  <c r="AA91" i="6"/>
  <c r="AA118" i="6"/>
  <c r="AA153" i="6"/>
  <c r="AA189" i="6"/>
  <c r="AA216" i="6"/>
  <c r="AA249" i="6"/>
  <c r="AA285" i="6"/>
  <c r="AA312" i="6"/>
  <c r="AA348" i="6"/>
  <c r="AA383" i="6"/>
  <c r="AA411" i="6"/>
  <c r="AA446" i="6"/>
  <c r="AA481" i="6"/>
  <c r="AA509" i="6"/>
  <c r="AA542" i="6"/>
  <c r="AA577" i="6"/>
  <c r="AA605" i="6"/>
  <c r="AA640" i="6"/>
  <c r="AA676" i="6"/>
  <c r="AA703" i="6"/>
  <c r="AA739" i="6"/>
  <c r="AA774" i="6"/>
  <c r="AA801" i="6"/>
  <c r="AA835" i="6"/>
  <c r="AA870" i="6"/>
  <c r="AA897" i="6"/>
  <c r="AA932" i="6"/>
  <c r="AA963" i="6"/>
  <c r="AA987" i="6"/>
  <c r="AA1018" i="6"/>
  <c r="J15" i="6"/>
  <c r="I15" i="6"/>
  <c r="I14" i="6"/>
  <c r="J14" i="6"/>
  <c r="H13" i="6"/>
  <c r="I13" i="6"/>
  <c r="B7" i="7"/>
  <c r="AI22" i="8"/>
  <c r="AF310" i="8"/>
  <c r="AF311" i="8" s="1"/>
  <c r="AF312" i="8" s="1"/>
  <c r="AF313" i="8" s="1"/>
  <c r="AF314" i="8" s="1"/>
  <c r="AF315" i="8" s="1"/>
  <c r="AF316" i="8" s="1"/>
  <c r="AF317" i="8" s="1"/>
  <c r="AF318" i="8" s="1"/>
  <c r="AF319" i="8" s="1"/>
  <c r="AF320" i="8" s="1"/>
  <c r="AF321" i="8" s="1"/>
  <c r="AF322" i="8" s="1"/>
  <c r="AF323" i="8" s="1"/>
  <c r="AF324" i="8" s="1"/>
  <c r="AF325" i="8" s="1"/>
  <c r="AF326" i="8" s="1"/>
  <c r="AF327" i="8" s="1"/>
  <c r="AF328" i="8" s="1"/>
  <c r="AF329" i="8" s="1"/>
  <c r="AF330" i="8" s="1"/>
  <c r="AF331" i="8" s="1"/>
  <c r="AF332" i="8" s="1"/>
  <c r="AF333" i="8" s="1"/>
  <c r="AF334" i="8" s="1"/>
  <c r="AF335" i="8" s="1"/>
  <c r="AF336" i="8" s="1"/>
  <c r="AF337" i="8" s="1"/>
  <c r="AF338" i="8" s="1"/>
  <c r="AF339" i="8" s="1"/>
  <c r="AF340" i="8" s="1"/>
  <c r="AF341" i="8" s="1"/>
  <c r="AF342" i="8" s="1"/>
  <c r="AF343" i="8" s="1"/>
  <c r="AF344" i="8" s="1"/>
  <c r="AF345" i="8" s="1"/>
  <c r="AF346" i="8" s="1"/>
  <c r="AF347" i="8" s="1"/>
  <c r="AF348" i="8" s="1"/>
  <c r="AF349" i="8" s="1"/>
  <c r="AF350" i="8" s="1"/>
  <c r="AF351" i="8" s="1"/>
  <c r="AF352" i="8" s="1"/>
  <c r="AF353" i="8" s="1"/>
  <c r="AF354" i="8" s="1"/>
  <c r="AF355" i="8" s="1"/>
  <c r="AF356" i="8" s="1"/>
  <c r="AF357" i="8" s="1"/>
  <c r="AF358" i="8" s="1"/>
  <c r="AF359" i="8" s="1"/>
  <c r="AF360" i="8" s="1"/>
  <c r="AF361" i="8" s="1"/>
  <c r="AF362" i="8" s="1"/>
  <c r="AF363" i="8" s="1"/>
  <c r="AF364" i="8" s="1"/>
  <c r="AF365" i="8" s="1"/>
  <c r="AF366" i="8" s="1"/>
  <c r="AF367" i="8" s="1"/>
  <c r="AF368" i="8" s="1"/>
  <c r="AF369" i="8" s="1"/>
  <c r="AF370" i="8" s="1"/>
  <c r="AF371" i="8" s="1"/>
  <c r="AF372" i="8" s="1"/>
  <c r="AF373" i="8" s="1"/>
  <c r="AF374" i="8" s="1"/>
  <c r="AF375" i="8" s="1"/>
  <c r="AF376" i="8" s="1"/>
  <c r="AF377" i="8" s="1"/>
  <c r="AF378" i="8" s="1"/>
  <c r="AF379" i="8" s="1"/>
  <c r="AF380" i="8" s="1"/>
  <c r="AF381" i="8" s="1"/>
  <c r="AF382" i="8" s="1"/>
  <c r="AF383" i="8" s="1"/>
  <c r="AF384" i="8" s="1"/>
  <c r="AF385" i="8" s="1"/>
  <c r="AF386" i="8" s="1"/>
  <c r="AF387" i="8" s="1"/>
  <c r="AF388" i="8" s="1"/>
  <c r="AF389" i="8" s="1"/>
  <c r="AF390" i="8" s="1"/>
  <c r="AF391" i="8" s="1"/>
  <c r="AF392" i="8" s="1"/>
  <c r="AF393" i="8" s="1"/>
  <c r="AF394" i="8" s="1"/>
  <c r="AF395" i="8" s="1"/>
  <c r="AF396" i="8" s="1"/>
  <c r="AF397" i="8" s="1"/>
  <c r="AF398" i="8" s="1"/>
  <c r="AF399" i="8" s="1"/>
  <c r="AF400" i="8" s="1"/>
  <c r="AF401" i="8" s="1"/>
  <c r="AF402" i="8" s="1"/>
  <c r="AF403" i="8" s="1"/>
  <c r="AF404" i="8" s="1"/>
  <c r="AF405" i="8" s="1"/>
  <c r="AF406" i="8" s="1"/>
  <c r="AF407" i="8" s="1"/>
  <c r="AF408" i="8" s="1"/>
  <c r="AF409" i="8" s="1"/>
  <c r="AF410" i="8" s="1"/>
  <c r="AF411" i="8" s="1"/>
  <c r="AF412" i="8" s="1"/>
  <c r="AF413" i="8" s="1"/>
  <c r="AF414" i="8" s="1"/>
  <c r="AF415" i="8" s="1"/>
  <c r="AF416" i="8" s="1"/>
  <c r="AF417" i="8" s="1"/>
  <c r="AF418" i="8" s="1"/>
  <c r="AF419" i="8" s="1"/>
  <c r="AF420" i="8" s="1"/>
  <c r="AF421" i="8" s="1"/>
  <c r="AF422" i="8" s="1"/>
  <c r="AF423" i="8" s="1"/>
  <c r="AF424" i="8" s="1"/>
  <c r="AF425" i="8" s="1"/>
  <c r="AF426" i="8" s="1"/>
  <c r="AF427" i="8" s="1"/>
  <c r="AF428" i="8" s="1"/>
  <c r="AF429" i="8" s="1"/>
  <c r="AF430" i="8" s="1"/>
  <c r="AF431" i="8" s="1"/>
  <c r="AF432" i="8" s="1"/>
  <c r="AF433" i="8" s="1"/>
  <c r="AF434" i="8" s="1"/>
  <c r="AF435" i="8" s="1"/>
  <c r="AF436" i="8" s="1"/>
  <c r="AF437" i="8" s="1"/>
  <c r="AF438" i="8" s="1"/>
  <c r="AF439" i="8" s="1"/>
  <c r="AF440" i="8" s="1"/>
  <c r="AF441" i="8" s="1"/>
  <c r="AF442" i="8" s="1"/>
  <c r="AF443" i="8" s="1"/>
  <c r="AF444" i="8" s="1"/>
  <c r="AF445" i="8" s="1"/>
  <c r="AF446" i="8" s="1"/>
  <c r="AF447" i="8" s="1"/>
  <c r="AF448" i="8" s="1"/>
  <c r="AF449" i="8" s="1"/>
  <c r="AF450" i="8" s="1"/>
  <c r="AF451" i="8" s="1"/>
  <c r="AF452" i="8" s="1"/>
  <c r="AF453" i="8" s="1"/>
  <c r="AF454" i="8" s="1"/>
  <c r="AF455" i="8" s="1"/>
  <c r="AF456" i="8" s="1"/>
  <c r="AF457" i="8" s="1"/>
  <c r="AF458" i="8" s="1"/>
  <c r="AF459" i="8" s="1"/>
  <c r="AF460" i="8" s="1"/>
  <c r="AF461" i="8" s="1"/>
  <c r="AF462" i="8" s="1"/>
  <c r="AF463" i="8" s="1"/>
  <c r="AF464" i="8" s="1"/>
  <c r="AF465" i="8" s="1"/>
  <c r="AF466" i="8" s="1"/>
  <c r="AF467" i="8" s="1"/>
  <c r="AF468" i="8" s="1"/>
  <c r="AF469" i="8" s="1"/>
  <c r="AF470" i="8" s="1"/>
  <c r="AF471" i="8" s="1"/>
  <c r="AF472" i="8" s="1"/>
  <c r="AF473" i="8" s="1"/>
  <c r="AF474" i="8" s="1"/>
  <c r="AF475" i="8" s="1"/>
  <c r="AF476" i="8" s="1"/>
  <c r="AF477" i="8" s="1"/>
  <c r="AF478" i="8" s="1"/>
  <c r="AF479" i="8" s="1"/>
  <c r="AF480" i="8" s="1"/>
  <c r="AF481" i="8" s="1"/>
  <c r="AF482" i="8" s="1"/>
  <c r="AF483" i="8" s="1"/>
  <c r="AF484" i="8" s="1"/>
  <c r="AF485" i="8" s="1"/>
  <c r="AF486" i="8" s="1"/>
  <c r="AF487" i="8" s="1"/>
  <c r="AF488" i="8" s="1"/>
  <c r="AF489" i="8" s="1"/>
  <c r="AF490" i="8" s="1"/>
  <c r="AF491" i="8" s="1"/>
  <c r="AF492" i="8" s="1"/>
  <c r="AF493" i="8" s="1"/>
  <c r="AF494" i="8" s="1"/>
  <c r="AF495" i="8" s="1"/>
  <c r="AF496" i="8" s="1"/>
  <c r="AF497" i="8" s="1"/>
  <c r="AF498" i="8" s="1"/>
  <c r="AF499" i="8" s="1"/>
  <c r="AF500" i="8" s="1"/>
  <c r="AF501" i="8" s="1"/>
  <c r="AF502" i="8" s="1"/>
  <c r="AF503" i="8" s="1"/>
  <c r="AF504" i="8" s="1"/>
  <c r="AF505" i="8" s="1"/>
  <c r="AF506" i="8" s="1"/>
  <c r="AF507" i="8" s="1"/>
  <c r="AF508" i="8" s="1"/>
  <c r="AF509" i="8" s="1"/>
  <c r="AF510" i="8" s="1"/>
  <c r="AF511" i="8" s="1"/>
  <c r="AF512" i="8" s="1"/>
  <c r="AF513" i="8" s="1"/>
  <c r="AF514" i="8" s="1"/>
  <c r="AF515" i="8" s="1"/>
  <c r="AF516" i="8" s="1"/>
  <c r="AF517" i="8" s="1"/>
  <c r="AF518" i="8" s="1"/>
  <c r="AF519" i="8" s="1"/>
  <c r="AF520" i="8" s="1"/>
  <c r="AF521" i="8" s="1"/>
  <c r="AF522" i="8" s="1"/>
  <c r="AF523" i="8" s="1"/>
  <c r="AF524" i="8" s="1"/>
  <c r="AF525" i="8" s="1"/>
  <c r="AF526" i="8" s="1"/>
  <c r="AF527" i="8" s="1"/>
  <c r="AF528" i="8" s="1"/>
  <c r="AF529" i="8" s="1"/>
  <c r="AF530" i="8" s="1"/>
  <c r="AF531" i="8" s="1"/>
  <c r="AF532" i="8" s="1"/>
  <c r="AF533" i="8" s="1"/>
  <c r="AF534" i="8" s="1"/>
  <c r="AF535" i="8" s="1"/>
  <c r="AF536" i="8" s="1"/>
  <c r="AF537" i="8" s="1"/>
  <c r="AF538" i="8" s="1"/>
  <c r="AF539" i="8" s="1"/>
  <c r="AF540" i="8" s="1"/>
  <c r="AF541" i="8" s="1"/>
  <c r="AF542" i="8" s="1"/>
  <c r="AF543" i="8" s="1"/>
  <c r="AF544" i="8" s="1"/>
  <c r="AF545" i="8" s="1"/>
  <c r="AF546" i="8" s="1"/>
  <c r="AF547" i="8" s="1"/>
  <c r="AF548" i="8" s="1"/>
  <c r="AF549" i="8" s="1"/>
  <c r="AF550" i="8" s="1"/>
  <c r="AF551" i="8" s="1"/>
  <c r="AF552" i="8" s="1"/>
  <c r="AF553" i="8" s="1"/>
  <c r="AF554" i="8" s="1"/>
  <c r="AF555" i="8" s="1"/>
  <c r="AF556" i="8" s="1"/>
  <c r="AF557" i="8" s="1"/>
  <c r="AF558" i="8" s="1"/>
  <c r="AF559" i="8" s="1"/>
  <c r="AF560" i="8" s="1"/>
  <c r="AF561" i="8" s="1"/>
  <c r="AF562" i="8" s="1"/>
  <c r="AF563" i="8" s="1"/>
  <c r="AF564" i="8" s="1"/>
  <c r="AF565" i="8" s="1"/>
  <c r="AF566" i="8" s="1"/>
  <c r="AF567" i="8" s="1"/>
  <c r="AF568" i="8" s="1"/>
  <c r="AF569" i="8" s="1"/>
  <c r="AF570" i="8" s="1"/>
  <c r="AF571" i="8" s="1"/>
  <c r="AF572" i="8" s="1"/>
  <c r="AF573" i="8" s="1"/>
  <c r="AF574" i="8" s="1"/>
  <c r="AF575" i="8" s="1"/>
  <c r="AF576" i="8" s="1"/>
  <c r="AF577" i="8" s="1"/>
  <c r="AF578" i="8" s="1"/>
  <c r="AF579" i="8" s="1"/>
  <c r="AF580" i="8" s="1"/>
  <c r="AF581" i="8" s="1"/>
  <c r="AF582" i="8" s="1"/>
  <c r="AF583" i="8" s="1"/>
  <c r="AF584" i="8" s="1"/>
  <c r="AF585" i="8" s="1"/>
  <c r="AF586" i="8" s="1"/>
  <c r="AF587" i="8" s="1"/>
  <c r="AF588" i="8" s="1"/>
  <c r="AF589" i="8" s="1"/>
  <c r="AF590" i="8" s="1"/>
  <c r="AF591" i="8" s="1"/>
  <c r="AF592" i="8" s="1"/>
  <c r="AF593" i="8" s="1"/>
  <c r="AF594" i="8" s="1"/>
  <c r="AF595" i="8" s="1"/>
  <c r="AF596" i="8" s="1"/>
  <c r="AF597" i="8" s="1"/>
  <c r="AF598" i="8" s="1"/>
  <c r="AF599" i="8" s="1"/>
  <c r="AF600" i="8" s="1"/>
  <c r="AF601" i="8" s="1"/>
  <c r="AF602" i="8" s="1"/>
  <c r="AF603" i="8" s="1"/>
  <c r="AF604" i="8" s="1"/>
  <c r="AF605" i="8" s="1"/>
  <c r="AF606" i="8" s="1"/>
  <c r="AF607" i="8" s="1"/>
  <c r="AF608" i="8" s="1"/>
  <c r="AF609" i="8" s="1"/>
  <c r="AF610" i="8" s="1"/>
  <c r="AF611" i="8" s="1"/>
  <c r="AF612" i="8" s="1"/>
  <c r="AF613" i="8" s="1"/>
  <c r="AF614" i="8" s="1"/>
  <c r="AF615" i="8" s="1"/>
  <c r="AF616" i="8" s="1"/>
  <c r="AF617" i="8" s="1"/>
  <c r="AF618" i="8" s="1"/>
  <c r="AF619" i="8" s="1"/>
  <c r="AF620" i="8" s="1"/>
  <c r="AF621" i="8" s="1"/>
  <c r="AF622" i="8" s="1"/>
  <c r="AF623" i="8" s="1"/>
  <c r="AF624" i="8" s="1"/>
  <c r="AF625" i="8" s="1"/>
  <c r="AF626" i="8" s="1"/>
  <c r="AF627" i="8" s="1"/>
  <c r="AF628" i="8" s="1"/>
  <c r="AF629" i="8" s="1"/>
  <c r="AF630" i="8" s="1"/>
  <c r="AF631" i="8" s="1"/>
  <c r="AF632" i="8" s="1"/>
  <c r="AF633" i="8" s="1"/>
  <c r="AF634" i="8" s="1"/>
  <c r="AF635" i="8" s="1"/>
  <c r="AF636" i="8" s="1"/>
  <c r="AF637" i="8" s="1"/>
  <c r="AF638" i="8" s="1"/>
  <c r="AF639" i="8" s="1"/>
  <c r="AF640" i="8" s="1"/>
  <c r="AF641" i="8" s="1"/>
  <c r="AF642" i="8" s="1"/>
  <c r="AF643" i="8" s="1"/>
  <c r="AF644" i="8" s="1"/>
  <c r="AF645" i="8" s="1"/>
  <c r="AF646" i="8" s="1"/>
  <c r="AF647" i="8" s="1"/>
  <c r="AF648" i="8" s="1"/>
  <c r="AF649" i="8" s="1"/>
  <c r="AF650" i="8" s="1"/>
  <c r="AF651" i="8" s="1"/>
  <c r="AF652" i="8" s="1"/>
  <c r="AF653" i="8" s="1"/>
  <c r="AF654" i="8" s="1"/>
  <c r="AF655" i="8" s="1"/>
  <c r="AF656" i="8" s="1"/>
  <c r="AF657" i="8" s="1"/>
  <c r="AF658" i="8" s="1"/>
  <c r="AF659" i="8" s="1"/>
  <c r="AF660" i="8" s="1"/>
  <c r="AF661" i="8" s="1"/>
  <c r="AF662" i="8" s="1"/>
  <c r="AF663" i="8" s="1"/>
  <c r="AF664" i="8" s="1"/>
  <c r="AF665" i="8" s="1"/>
  <c r="AF666" i="8" s="1"/>
  <c r="AF667" i="8" s="1"/>
  <c r="AF668" i="8" s="1"/>
  <c r="AF669" i="8" s="1"/>
  <c r="AF670" i="8" s="1"/>
  <c r="AF671" i="8" s="1"/>
  <c r="AF672" i="8" s="1"/>
  <c r="AF673" i="8" s="1"/>
  <c r="AF674" i="8" s="1"/>
  <c r="AF675" i="8" s="1"/>
  <c r="AF676" i="8" s="1"/>
  <c r="AF677" i="8" s="1"/>
  <c r="AF678" i="8" s="1"/>
  <c r="AF679" i="8" s="1"/>
  <c r="AF680" i="8" s="1"/>
  <c r="AF681" i="8" s="1"/>
  <c r="AF682" i="8" s="1"/>
  <c r="AF683" i="8" s="1"/>
  <c r="AF684" i="8" s="1"/>
  <c r="AF685" i="8" s="1"/>
  <c r="AF686" i="8" s="1"/>
  <c r="AF687" i="8" s="1"/>
  <c r="AF688" i="8" s="1"/>
  <c r="AF689" i="8" s="1"/>
  <c r="AF690" i="8" s="1"/>
  <c r="AF691" i="8" s="1"/>
  <c r="AF692" i="8" s="1"/>
  <c r="AF693" i="8" s="1"/>
  <c r="AF694" i="8" s="1"/>
  <c r="AF695" i="8" s="1"/>
  <c r="AF696" i="8" s="1"/>
  <c r="AF697" i="8" s="1"/>
  <c r="AF698" i="8" s="1"/>
  <c r="AF699" i="8" s="1"/>
  <c r="AF700" i="8" s="1"/>
  <c r="AF701" i="8" s="1"/>
  <c r="AF702" i="8" s="1"/>
  <c r="AF703" i="8" s="1"/>
  <c r="AF704" i="8" s="1"/>
  <c r="AF705" i="8" s="1"/>
  <c r="AF706" i="8" s="1"/>
  <c r="AF707" i="8" s="1"/>
  <c r="AF708" i="8" s="1"/>
  <c r="AF709" i="8" s="1"/>
  <c r="AF710" i="8" s="1"/>
  <c r="AF711" i="8" s="1"/>
  <c r="AF712" i="8" s="1"/>
  <c r="AF713" i="8" s="1"/>
  <c r="AF714" i="8" s="1"/>
  <c r="AF715" i="8" s="1"/>
  <c r="AF716" i="8" s="1"/>
  <c r="AF717" i="8" s="1"/>
  <c r="AF718" i="8" s="1"/>
  <c r="AF719" i="8" s="1"/>
  <c r="AF720" i="8" s="1"/>
  <c r="AF721" i="8" s="1"/>
  <c r="AF722" i="8" s="1"/>
  <c r="AF723" i="8" s="1"/>
  <c r="AF724" i="8" s="1"/>
  <c r="AF725" i="8" s="1"/>
  <c r="AF726" i="8" s="1"/>
  <c r="AF727" i="8" s="1"/>
  <c r="AF728" i="8" s="1"/>
  <c r="AF729" i="8" s="1"/>
  <c r="AF730" i="8" s="1"/>
  <c r="AF731" i="8" s="1"/>
  <c r="AF732" i="8" s="1"/>
  <c r="AF733" i="8" s="1"/>
  <c r="AF734" i="8" s="1"/>
  <c r="AF735" i="8" s="1"/>
  <c r="AF736" i="8" s="1"/>
  <c r="AF737" i="8" s="1"/>
  <c r="AF738" i="8" s="1"/>
  <c r="AF739" i="8" s="1"/>
  <c r="AF740" i="8" s="1"/>
  <c r="AF741" i="8" s="1"/>
  <c r="AF742" i="8" s="1"/>
  <c r="AF743" i="8" s="1"/>
  <c r="AF744" i="8" s="1"/>
  <c r="AF745" i="8" s="1"/>
  <c r="AF746" i="8" s="1"/>
  <c r="AF747" i="8" s="1"/>
  <c r="AF748" i="8" s="1"/>
  <c r="AF749" i="8" s="1"/>
  <c r="AF750" i="8" s="1"/>
  <c r="AF751" i="8" s="1"/>
  <c r="AF752" i="8" s="1"/>
  <c r="AF753" i="8" s="1"/>
  <c r="AF754" i="8" s="1"/>
  <c r="AF755" i="8" s="1"/>
  <c r="AF756" i="8" s="1"/>
  <c r="AF757" i="8" s="1"/>
  <c r="AF758" i="8" s="1"/>
  <c r="AF759" i="8" s="1"/>
  <c r="AF760" i="8" s="1"/>
  <c r="AF761" i="8" s="1"/>
  <c r="AF762" i="8" s="1"/>
  <c r="AF763" i="8" s="1"/>
  <c r="AF764" i="8" s="1"/>
  <c r="AF765" i="8" s="1"/>
  <c r="AF766" i="8" s="1"/>
  <c r="AF767" i="8" s="1"/>
  <c r="AF768" i="8" s="1"/>
  <c r="AF769" i="8" s="1"/>
  <c r="AF770" i="8" s="1"/>
  <c r="AF771" i="8" s="1"/>
  <c r="AF772" i="8" s="1"/>
  <c r="AF773" i="8" s="1"/>
  <c r="AF774" i="8" s="1"/>
  <c r="AF775" i="8" s="1"/>
  <c r="AF776" i="8" s="1"/>
  <c r="AF777" i="8" s="1"/>
  <c r="AF778" i="8" s="1"/>
  <c r="AF779" i="8" s="1"/>
  <c r="AF780" i="8" s="1"/>
  <c r="AF781" i="8" s="1"/>
  <c r="AF782" i="8" s="1"/>
  <c r="AF783" i="8" s="1"/>
  <c r="AF784" i="8" s="1"/>
  <c r="AF785" i="8" s="1"/>
  <c r="AF786" i="8" s="1"/>
  <c r="AF787" i="8" s="1"/>
  <c r="AF788" i="8" s="1"/>
  <c r="AF789" i="8" s="1"/>
  <c r="AF790" i="8" s="1"/>
  <c r="AF791" i="8" s="1"/>
  <c r="AF792" i="8" s="1"/>
  <c r="AF793" i="8" s="1"/>
  <c r="AF794" i="8" s="1"/>
  <c r="AF795" i="8" s="1"/>
  <c r="AF796" i="8" s="1"/>
  <c r="AF797" i="8" s="1"/>
  <c r="AF798" i="8" s="1"/>
  <c r="AF799" i="8" s="1"/>
  <c r="AF800" i="8" s="1"/>
  <c r="AF801" i="8" s="1"/>
  <c r="AF802" i="8" s="1"/>
  <c r="AF803" i="8" s="1"/>
  <c r="AF804" i="8" s="1"/>
  <c r="AF805" i="8" s="1"/>
  <c r="AF806" i="8" s="1"/>
  <c r="AF807" i="8" s="1"/>
  <c r="AF808" i="8" s="1"/>
  <c r="AF809" i="8" s="1"/>
  <c r="AF810" i="8" s="1"/>
  <c r="AF811" i="8" s="1"/>
  <c r="AF812" i="8" s="1"/>
  <c r="AF813" i="8" s="1"/>
  <c r="AF814" i="8" s="1"/>
  <c r="AF815" i="8" s="1"/>
  <c r="AF816" i="8" s="1"/>
  <c r="AF817" i="8" s="1"/>
  <c r="AF818" i="8" s="1"/>
  <c r="AF819" i="8" s="1"/>
  <c r="AF820" i="8" s="1"/>
  <c r="AF821" i="8" s="1"/>
  <c r="AF822" i="8" s="1"/>
  <c r="AF823" i="8" s="1"/>
  <c r="AF824" i="8" s="1"/>
  <c r="AF825" i="8" s="1"/>
  <c r="AF826" i="8" s="1"/>
  <c r="AF827" i="8" s="1"/>
  <c r="AF828" i="8" s="1"/>
  <c r="AF829" i="8" s="1"/>
  <c r="L25" i="8"/>
  <c r="AI24" i="8" s="1"/>
  <c r="A25" i="8"/>
  <c r="H11" i="6"/>
  <c r="H12" i="6"/>
  <c r="S763" i="6"/>
  <c r="G999" i="6"/>
  <c r="G940" i="6"/>
  <c r="G915" i="6"/>
  <c r="G851" i="6"/>
  <c r="G816" i="6"/>
  <c r="G768" i="6"/>
  <c r="G680" i="6"/>
  <c r="G632" i="6"/>
  <c r="G574" i="6"/>
  <c r="G447" i="6"/>
  <c r="G384" i="6"/>
  <c r="G300" i="6"/>
  <c r="G220" i="6"/>
  <c r="G144" i="6"/>
  <c r="G60" i="6"/>
  <c r="K993" i="6"/>
  <c r="K905" i="6"/>
  <c r="K837" i="6"/>
  <c r="K741" i="6"/>
  <c r="K640" i="6"/>
  <c r="K561" i="6"/>
  <c r="K428" i="6"/>
  <c r="K273" i="6"/>
  <c r="K102" i="6"/>
  <c r="O741" i="6"/>
  <c r="O144" i="6"/>
  <c r="F12" i="6"/>
  <c r="G998" i="6"/>
  <c r="G939" i="6"/>
  <c r="G903" i="6"/>
  <c r="G848" i="6"/>
  <c r="G767" i="6"/>
  <c r="G670" i="6"/>
  <c r="G630" i="6"/>
  <c r="G517" i="6"/>
  <c r="G364" i="6"/>
  <c r="G292" i="6"/>
  <c r="G143" i="6"/>
  <c r="G52" i="6"/>
  <c r="K904" i="6"/>
  <c r="K814" i="6"/>
  <c r="K738" i="6"/>
  <c r="K537" i="6"/>
  <c r="K405" i="6"/>
  <c r="K257" i="6"/>
  <c r="K33" i="6"/>
  <c r="G997" i="6"/>
  <c r="G964" i="6"/>
  <c r="G902" i="6"/>
  <c r="G843" i="6"/>
  <c r="G812" i="6"/>
  <c r="G715" i="6"/>
  <c r="G613" i="6"/>
  <c r="G507" i="6"/>
  <c r="G432" i="6"/>
  <c r="G278" i="6"/>
  <c r="G120" i="6"/>
  <c r="G48" i="6"/>
  <c r="K903" i="6"/>
  <c r="K805" i="6"/>
  <c r="K720" i="6"/>
  <c r="K638" i="6"/>
  <c r="K529" i="6"/>
  <c r="K401" i="6"/>
  <c r="K237" i="6"/>
  <c r="K25" i="6"/>
  <c r="O652" i="6"/>
  <c r="S807" i="6"/>
  <c r="G1012" i="6"/>
  <c r="G982" i="6"/>
  <c r="G952" i="6"/>
  <c r="G924" i="6"/>
  <c r="G896" i="6"/>
  <c r="G863" i="6"/>
  <c r="G838" i="6"/>
  <c r="G789" i="6"/>
  <c r="G742" i="6"/>
  <c r="G696" i="6"/>
  <c r="G645" i="6"/>
  <c r="G600" i="6"/>
  <c r="G548" i="6"/>
  <c r="G485" i="6"/>
  <c r="G392" i="6"/>
  <c r="G332" i="6"/>
  <c r="G245" i="6"/>
  <c r="G175" i="6"/>
  <c r="G92" i="6"/>
  <c r="K1007" i="6"/>
  <c r="K937" i="6"/>
  <c r="K861" i="6"/>
  <c r="K782" i="6"/>
  <c r="K689" i="6"/>
  <c r="K594" i="6"/>
  <c r="K474" i="6"/>
  <c r="K321" i="6"/>
  <c r="K161" i="6"/>
  <c r="O863" i="6"/>
  <c r="O372" i="6"/>
  <c r="G1007" i="6"/>
  <c r="G976" i="6"/>
  <c r="G948" i="6"/>
  <c r="G923" i="6"/>
  <c r="G888" i="6"/>
  <c r="G862" i="6"/>
  <c r="G827" i="6"/>
  <c r="G788" i="6"/>
  <c r="G741" i="6"/>
  <c r="G691" i="6"/>
  <c r="G644" i="6"/>
  <c r="G598" i="6"/>
  <c r="G534" i="6"/>
  <c r="G478" i="6"/>
  <c r="G390" i="6"/>
  <c r="G320" i="6"/>
  <c r="G244" i="6"/>
  <c r="G150" i="6"/>
  <c r="G88" i="6"/>
  <c r="K1005" i="6"/>
  <c r="K935" i="6"/>
  <c r="K849" i="6"/>
  <c r="K756" i="6"/>
  <c r="K676" i="6"/>
  <c r="K585" i="6"/>
  <c r="K465" i="6"/>
  <c r="K320" i="6"/>
  <c r="K160" i="6"/>
  <c r="O842" i="6"/>
  <c r="O370" i="6"/>
  <c r="G1000" i="6"/>
  <c r="G975" i="6"/>
  <c r="G947" i="6"/>
  <c r="G916" i="6"/>
  <c r="G886" i="6"/>
  <c r="G854" i="6"/>
  <c r="G819" i="6"/>
  <c r="G776" i="6"/>
  <c r="G740" i="6"/>
  <c r="G683" i="6"/>
  <c r="G640" i="6"/>
  <c r="G587" i="6"/>
  <c r="G527" i="6"/>
  <c r="G462" i="6"/>
  <c r="G389" i="6"/>
  <c r="G302" i="6"/>
  <c r="G235" i="6"/>
  <c r="G149" i="6"/>
  <c r="G79" i="6"/>
  <c r="K996" i="6"/>
  <c r="K910" i="6"/>
  <c r="K847" i="6"/>
  <c r="K749" i="6"/>
  <c r="K671" i="6"/>
  <c r="K574" i="6"/>
  <c r="K453" i="6"/>
  <c r="K314" i="6"/>
  <c r="K153" i="6"/>
  <c r="O835" i="6"/>
  <c r="O311" i="6"/>
  <c r="G974" i="6"/>
  <c r="G879" i="6"/>
  <c r="G719" i="6"/>
  <c r="G518" i="6"/>
  <c r="O663" i="6"/>
  <c r="G667" i="6"/>
  <c r="G344" i="6"/>
  <c r="G190" i="6"/>
  <c r="G108" i="6"/>
  <c r="G37" i="6"/>
  <c r="K961" i="6"/>
  <c r="K879" i="6"/>
  <c r="K804" i="6"/>
  <c r="K704" i="6"/>
  <c r="K628" i="6"/>
  <c r="K526" i="6"/>
  <c r="K380" i="6"/>
  <c r="K232" i="6"/>
  <c r="O1013" i="6"/>
  <c r="O650" i="6"/>
  <c r="S933" i="6"/>
  <c r="O193" i="6"/>
  <c r="O532" i="6"/>
  <c r="O769" i="6"/>
  <c r="O954" i="6"/>
  <c r="K109" i="6"/>
  <c r="K216" i="6"/>
  <c r="K292" i="6"/>
  <c r="K364" i="6"/>
  <c r="K444" i="6"/>
  <c r="K508" i="6"/>
  <c r="K562" i="6"/>
  <c r="K620" i="6"/>
  <c r="K674" i="6"/>
  <c r="K736" i="6"/>
  <c r="K784" i="6"/>
  <c r="K846" i="6"/>
  <c r="K889" i="6"/>
  <c r="K936" i="6"/>
  <c r="K991" i="6"/>
  <c r="G31" i="6"/>
  <c r="G86" i="6"/>
  <c r="G132" i="6"/>
  <c r="G176" i="6"/>
  <c r="G232" i="6"/>
  <c r="G276" i="6"/>
  <c r="G328" i="6"/>
  <c r="G373" i="6"/>
  <c r="G421" i="6"/>
  <c r="G475" i="6"/>
  <c r="G516" i="6"/>
  <c r="S22" i="6"/>
  <c r="O248" i="6"/>
  <c r="O576" i="6"/>
  <c r="O781" i="6"/>
  <c r="O979" i="6"/>
  <c r="K124" i="6"/>
  <c r="K225" i="6"/>
  <c r="K304" i="6"/>
  <c r="K368" i="6"/>
  <c r="K450" i="6"/>
  <c r="K511" i="6"/>
  <c r="K573" i="6"/>
  <c r="O28" i="6"/>
  <c r="O425" i="6"/>
  <c r="O683" i="6"/>
  <c r="O894" i="6"/>
  <c r="K54" i="6"/>
  <c r="K177" i="6"/>
  <c r="K270" i="6"/>
  <c r="K338" i="6"/>
  <c r="K408" i="6"/>
  <c r="K492" i="6"/>
  <c r="K540" i="6"/>
  <c r="K602" i="6"/>
  <c r="K654" i="6"/>
  <c r="K708" i="6"/>
  <c r="K768" i="6"/>
  <c r="K818" i="6"/>
  <c r="K873" i="6"/>
  <c r="K919" i="6"/>
  <c r="K967" i="6"/>
  <c r="K21" i="6"/>
  <c r="G62" i="6"/>
  <c r="G117" i="6"/>
  <c r="G160" i="6"/>
  <c r="G207" i="6"/>
  <c r="G262" i="6"/>
  <c r="G303" i="6"/>
  <c r="G358" i="6"/>
  <c r="G404" i="6"/>
  <c r="G448" i="6"/>
  <c r="G492" i="6"/>
  <c r="G542" i="6"/>
  <c r="G575" i="6"/>
  <c r="G616" i="6"/>
  <c r="G659" i="6"/>
  <c r="G692" i="6"/>
  <c r="G720" i="6"/>
  <c r="G764" i="6"/>
  <c r="G795" i="6"/>
  <c r="G828" i="6"/>
  <c r="G861" i="6"/>
  <c r="G885" i="6"/>
  <c r="G910" i="6"/>
  <c r="G936" i="6"/>
  <c r="G960" i="6"/>
  <c r="G987" i="6"/>
  <c r="G1013" i="6"/>
  <c r="O136" i="6"/>
  <c r="O497" i="6"/>
  <c r="O739" i="6"/>
  <c r="O926" i="6"/>
  <c r="K101" i="6"/>
  <c r="K188" i="6"/>
  <c r="K272" i="6"/>
  <c r="K356" i="6"/>
  <c r="K412" i="6"/>
  <c r="K493" i="6"/>
  <c r="K546" i="6"/>
  <c r="K604" i="6"/>
  <c r="K668" i="6"/>
  <c r="K718" i="6"/>
  <c r="K773" i="6"/>
  <c r="K822" i="6"/>
  <c r="K878" i="6"/>
  <c r="K932" i="6"/>
  <c r="K974" i="6"/>
  <c r="G22" i="6"/>
  <c r="G72" i="6"/>
  <c r="G118" i="6"/>
  <c r="G174" i="6"/>
  <c r="G214" i="6"/>
  <c r="G264" i="6"/>
  <c r="G315" i="6"/>
  <c r="G360" i="6"/>
  <c r="G415" i="6"/>
  <c r="G459" i="6"/>
  <c r="G504" i="6"/>
  <c r="G543" i="6"/>
  <c r="G584" i="6"/>
  <c r="G629" i="6"/>
  <c r="G660" i="6"/>
  <c r="G693" i="6"/>
  <c r="G732" i="6"/>
  <c r="G766" i="6"/>
  <c r="G799" i="6"/>
  <c r="G965" i="6"/>
  <c r="G878" i="6"/>
  <c r="G815" i="6"/>
  <c r="G718" i="6"/>
  <c r="G572" i="6"/>
  <c r="G446" i="6"/>
  <c r="G206" i="6"/>
  <c r="K980" i="6"/>
  <c r="K639" i="6"/>
  <c r="S925" i="6"/>
  <c r="G11" i="6"/>
  <c r="G935" i="6"/>
  <c r="G876" i="6"/>
  <c r="G757" i="6"/>
  <c r="G669" i="6"/>
  <c r="G564" i="6"/>
  <c r="G357" i="6"/>
  <c r="G203" i="6"/>
  <c r="K964" i="6"/>
  <c r="G21" i="6"/>
  <c r="G996" i="6"/>
  <c r="G959" i="6"/>
  <c r="G926" i="6"/>
  <c r="G901" i="6"/>
  <c r="G868" i="6"/>
  <c r="G840" i="6"/>
  <c r="G800" i="6"/>
  <c r="G751" i="6"/>
  <c r="G709" i="6"/>
  <c r="G606" i="6"/>
  <c r="G556" i="6"/>
  <c r="G491" i="6"/>
  <c r="G428" i="6"/>
  <c r="G271" i="6"/>
  <c r="G1020" i="6"/>
  <c r="G984" i="6"/>
  <c r="G958" i="6"/>
  <c r="G925" i="6"/>
  <c r="G900" i="6"/>
  <c r="G864" i="6"/>
  <c r="G839" i="6"/>
  <c r="G790" i="6"/>
  <c r="G744" i="6"/>
  <c r="G708" i="6"/>
  <c r="G655" i="6"/>
  <c r="G604" i="6"/>
  <c r="G549" i="6"/>
  <c r="G486" i="6"/>
  <c r="G416" i="6"/>
  <c r="G334" i="6"/>
  <c r="G251" i="6"/>
  <c r="G187" i="6"/>
  <c r="G101" i="6"/>
  <c r="G30" i="6"/>
  <c r="K949" i="6"/>
  <c r="K868" i="6"/>
  <c r="K791" i="6"/>
  <c r="K702" i="6"/>
  <c r="K609" i="6"/>
  <c r="K498" i="6"/>
  <c r="K358" i="6"/>
  <c r="K209" i="6"/>
  <c r="O951" i="6"/>
  <c r="O528" i="6"/>
  <c r="O49" i="6"/>
  <c r="G460" i="6"/>
  <c r="G430" i="6"/>
  <c r="G400" i="6"/>
  <c r="G372" i="6"/>
  <c r="G335" i="6"/>
  <c r="G308" i="6"/>
  <c r="G277" i="6"/>
  <c r="G246" i="6"/>
  <c r="G219" i="6"/>
  <c r="G188" i="6"/>
  <c r="G158" i="6"/>
  <c r="G128" i="6"/>
  <c r="G94" i="6"/>
  <c r="G63" i="6"/>
  <c r="G36" i="6"/>
  <c r="K1006" i="6"/>
  <c r="K975" i="6"/>
  <c r="K948" i="6"/>
  <c r="K917" i="6"/>
  <c r="K881" i="6"/>
  <c r="K853" i="6"/>
  <c r="K821" i="6"/>
  <c r="K785" i="6"/>
  <c r="K754" i="6"/>
  <c r="K719" i="6"/>
  <c r="K684" i="6"/>
  <c r="K653" i="6"/>
  <c r="K610" i="6"/>
  <c r="K576" i="6"/>
  <c r="K544" i="6"/>
  <c r="K510" i="6"/>
  <c r="K466" i="6"/>
  <c r="K426" i="6"/>
  <c r="K378" i="6"/>
  <c r="K322" i="6"/>
  <c r="K281" i="6"/>
  <c r="K234" i="6"/>
  <c r="K182" i="6"/>
  <c r="K110" i="6"/>
  <c r="K53" i="6"/>
  <c r="O962" i="6"/>
  <c r="O866" i="6"/>
  <c r="O778" i="6"/>
  <c r="O681" i="6"/>
  <c r="O563" i="6"/>
  <c r="O393" i="6"/>
  <c r="O196" i="6"/>
  <c r="S344" i="6"/>
  <c r="S809" i="6"/>
  <c r="O81" i="6"/>
  <c r="O201" i="6"/>
  <c r="O330" i="6"/>
  <c r="O445" i="6"/>
  <c r="O533" i="6"/>
  <c r="O618" i="6"/>
  <c r="O685" i="6"/>
  <c r="O749" i="6"/>
  <c r="O810" i="6"/>
  <c r="O867" i="6"/>
  <c r="O927" i="6"/>
  <c r="O983" i="6"/>
  <c r="K34" i="6"/>
  <c r="K81" i="6"/>
  <c r="K130" i="6"/>
  <c r="K164" i="6"/>
  <c r="K206" i="6"/>
  <c r="K248" i="6"/>
  <c r="K280" i="6"/>
  <c r="K316" i="6"/>
  <c r="K345" i="6"/>
  <c r="K384" i="6"/>
  <c r="K420" i="6"/>
  <c r="K452" i="6"/>
  <c r="K490" i="6"/>
  <c r="K512" i="6"/>
  <c r="K543" i="6"/>
  <c r="K572" i="6"/>
  <c r="K592" i="6"/>
  <c r="K621" i="6"/>
  <c r="K645" i="6"/>
  <c r="K672" i="6"/>
  <c r="K701" i="6"/>
  <c r="K722" i="6"/>
  <c r="K750" i="6"/>
  <c r="K774" i="6"/>
  <c r="K802" i="6"/>
  <c r="K830" i="6"/>
  <c r="K852" i="6"/>
  <c r="K877" i="6"/>
  <c r="K895" i="6"/>
  <c r="K920" i="6"/>
  <c r="K945" i="6"/>
  <c r="K965" i="6"/>
  <c r="K990" i="6"/>
  <c r="K1009" i="6"/>
  <c r="G32" i="6"/>
  <c r="G59" i="6"/>
  <c r="G78" i="6"/>
  <c r="G102" i="6"/>
  <c r="G123" i="6"/>
  <c r="G148" i="6"/>
  <c r="G172" i="6"/>
  <c r="G191" i="6"/>
  <c r="G216" i="6"/>
  <c r="G236" i="6"/>
  <c r="G261" i="6"/>
  <c r="G286" i="6"/>
  <c r="G304" i="6"/>
  <c r="G331" i="6"/>
  <c r="G350" i="6"/>
  <c r="G374" i="6"/>
  <c r="G399" i="6"/>
  <c r="G420" i="6"/>
  <c r="G444" i="6"/>
  <c r="G463" i="6"/>
  <c r="G488" i="6"/>
  <c r="G512" i="6"/>
  <c r="G533" i="6"/>
  <c r="G558" i="6"/>
  <c r="G576" i="6"/>
  <c r="G603" i="6"/>
  <c r="G628" i="6"/>
  <c r="G646" i="6"/>
  <c r="G668" i="6"/>
  <c r="G684" i="6"/>
  <c r="G704" i="6"/>
  <c r="G726" i="6"/>
  <c r="G743" i="6"/>
  <c r="G765" i="6"/>
  <c r="G782" i="6"/>
  <c r="G804" i="6"/>
  <c r="G824" i="6"/>
  <c r="S357" i="6"/>
  <c r="S897" i="6"/>
  <c r="O88" i="6"/>
  <c r="O217" i="6"/>
  <c r="O333" i="6"/>
  <c r="O446" i="6"/>
  <c r="O537" i="6"/>
  <c r="O620" i="6"/>
  <c r="O693" i="6"/>
  <c r="O751" i="6"/>
  <c r="O811" i="6"/>
  <c r="O869" i="6"/>
  <c r="O937" i="6"/>
  <c r="O990" i="6"/>
  <c r="K36" i="6"/>
  <c r="K89" i="6"/>
  <c r="K132" i="6"/>
  <c r="K176" i="6"/>
  <c r="S592" i="6"/>
  <c r="O25" i="6"/>
  <c r="O142" i="6"/>
  <c r="O262" i="6"/>
  <c r="O388" i="6"/>
  <c r="O490" i="6"/>
  <c r="O578" i="6"/>
  <c r="O654" i="6"/>
  <c r="O719" i="6"/>
  <c r="O779" i="6"/>
  <c r="O837" i="6"/>
  <c r="O898" i="6"/>
  <c r="O961" i="6"/>
  <c r="O1007" i="6"/>
  <c r="K60" i="6"/>
  <c r="K108" i="6"/>
  <c r="K150" i="6"/>
  <c r="K186" i="6"/>
  <c r="K230" i="6"/>
  <c r="K258" i="6"/>
  <c r="K296" i="6"/>
  <c r="K334" i="6"/>
  <c r="K365" i="6"/>
  <c r="K402" i="6"/>
  <c r="K432" i="6"/>
  <c r="K469" i="6"/>
  <c r="K506" i="6"/>
  <c r="K528" i="6"/>
  <c r="K556" i="6"/>
  <c r="K580" i="6"/>
  <c r="K608" i="6"/>
  <c r="K636" i="6"/>
  <c r="K657" i="6"/>
  <c r="K686" i="6"/>
  <c r="K709" i="6"/>
  <c r="K737" i="6"/>
  <c r="K766" i="6"/>
  <c r="K786" i="6"/>
  <c r="K817" i="6"/>
  <c r="K839" i="6"/>
  <c r="K863" i="6"/>
  <c r="K888" i="6"/>
  <c r="K909" i="6"/>
  <c r="K933" i="6"/>
  <c r="K952" i="6"/>
  <c r="K977" i="6"/>
  <c r="K1001" i="6"/>
  <c r="F11" i="6"/>
  <c r="G46" i="6"/>
  <c r="G64" i="6"/>
  <c r="G91" i="6"/>
  <c r="G116" i="6"/>
  <c r="G134" i="6"/>
  <c r="G159" i="6"/>
  <c r="G180" i="6"/>
  <c r="G204" i="6"/>
  <c r="G229" i="6"/>
  <c r="G248" i="6"/>
  <c r="G272" i="6"/>
  <c r="G293" i="6"/>
  <c r="G318" i="6"/>
  <c r="G342" i="6"/>
  <c r="G363" i="6"/>
  <c r="G388" i="6"/>
  <c r="G406" i="6"/>
  <c r="G431" i="6"/>
  <c r="G456" i="6"/>
  <c r="G476" i="6"/>
  <c r="G501" i="6"/>
  <c r="G520" i="6"/>
  <c r="G544" i="6"/>
  <c r="G571" i="6"/>
  <c r="G590" i="6"/>
  <c r="G614" i="6"/>
  <c r="G635" i="6"/>
  <c r="G656" i="6"/>
  <c r="G678" i="6"/>
  <c r="G694" i="6"/>
  <c r="G716" i="6"/>
  <c r="G733" i="6"/>
  <c r="G755" i="6"/>
  <c r="G775" i="6"/>
  <c r="G792" i="6"/>
  <c r="G814" i="6"/>
  <c r="G830" i="6"/>
  <c r="G1011" i="6"/>
  <c r="G989" i="6"/>
  <c r="G972" i="6"/>
  <c r="G950" i="6"/>
  <c r="G934" i="6"/>
  <c r="G912" i="6"/>
  <c r="G892" i="6"/>
  <c r="G875" i="6"/>
  <c r="G853" i="6"/>
  <c r="G837" i="6"/>
  <c r="G806" i="6"/>
  <c r="G780" i="6"/>
  <c r="G756" i="6"/>
  <c r="G731" i="6"/>
  <c r="G703" i="6"/>
  <c r="G679" i="6"/>
  <c r="G654" i="6"/>
  <c r="G620" i="6"/>
  <c r="G591" i="6"/>
  <c r="G560" i="6"/>
  <c r="G532" i="6"/>
  <c r="G502" i="6"/>
  <c r="G472" i="6"/>
  <c r="G443" i="6"/>
  <c r="G414" i="6"/>
  <c r="G379" i="6"/>
  <c r="G348" i="6"/>
  <c r="G319" i="6"/>
  <c r="G288" i="6"/>
  <c r="G260" i="6"/>
  <c r="G230" i="6"/>
  <c r="G200" i="6"/>
  <c r="G165" i="6"/>
  <c r="G136" i="6"/>
  <c r="G107" i="6"/>
  <c r="G76" i="6"/>
  <c r="G47" i="6"/>
  <c r="K1017" i="6"/>
  <c r="K989" i="6"/>
  <c r="K959" i="6"/>
  <c r="K925" i="6"/>
  <c r="K894" i="6"/>
  <c r="K865" i="6"/>
  <c r="K836" i="6"/>
  <c r="K800" i="6"/>
  <c r="K767" i="6"/>
  <c r="K732" i="6"/>
  <c r="K693" i="6"/>
  <c r="K658" i="6"/>
  <c r="K626" i="6"/>
  <c r="K591" i="6"/>
  <c r="K558" i="6"/>
  <c r="K525" i="6"/>
  <c r="K486" i="6"/>
  <c r="K442" i="6"/>
  <c r="K389" i="6"/>
  <c r="K344" i="6"/>
  <c r="K298" i="6"/>
  <c r="K256" i="6"/>
  <c r="K205" i="6"/>
  <c r="K138" i="6"/>
  <c r="K78" i="6"/>
  <c r="O1005" i="6"/>
  <c r="O906" i="6"/>
  <c r="O805" i="6"/>
  <c r="O713" i="6"/>
  <c r="O610" i="6"/>
  <c r="O472" i="6"/>
  <c r="O273" i="6"/>
  <c r="O77" i="6"/>
  <c r="S587" i="6"/>
  <c r="K80" i="6"/>
  <c r="O1006" i="6"/>
  <c r="O922" i="6"/>
  <c r="O834" i="6"/>
  <c r="O723" i="6"/>
  <c r="O611" i="6"/>
  <c r="O486" i="6"/>
  <c r="O309" i="6"/>
  <c r="O133" i="6"/>
  <c r="S660" i="6"/>
  <c r="G13" i="6"/>
  <c r="G1008" i="6"/>
  <c r="G988" i="6"/>
  <c r="G971" i="6"/>
  <c r="G949" i="6"/>
  <c r="G927" i="6"/>
  <c r="G911" i="6"/>
  <c r="G891" i="6"/>
  <c r="G872" i="6"/>
  <c r="G852" i="6"/>
  <c r="G829" i="6"/>
  <c r="G805" i="6"/>
  <c r="G779" i="6"/>
  <c r="G752" i="6"/>
  <c r="G728" i="6"/>
  <c r="G702" i="6"/>
  <c r="G671" i="6"/>
  <c r="G647" i="6"/>
  <c r="G619" i="6"/>
  <c r="G588" i="6"/>
  <c r="G559" i="6"/>
  <c r="G528" i="6"/>
  <c r="G500" i="6"/>
  <c r="G470" i="6"/>
  <c r="G436" i="6"/>
  <c r="G405" i="6"/>
  <c r="G376" i="6"/>
  <c r="G347" i="6"/>
  <c r="G316" i="6"/>
  <c r="G287" i="6"/>
  <c r="G256" i="6"/>
  <c r="G222" i="6"/>
  <c r="G192" i="6"/>
  <c r="G164" i="6"/>
  <c r="G133" i="6"/>
  <c r="G104" i="6"/>
  <c r="G75" i="6"/>
  <c r="G44" i="6"/>
  <c r="K1016" i="6"/>
  <c r="K981" i="6"/>
  <c r="K951" i="6"/>
  <c r="K921" i="6"/>
  <c r="K893" i="6"/>
  <c r="K862" i="6"/>
  <c r="K832" i="6"/>
  <c r="K799" i="6"/>
  <c r="K757" i="6"/>
  <c r="K726" i="6"/>
  <c r="K690" i="6"/>
  <c r="K656" i="6"/>
  <c r="K622" i="6"/>
  <c r="K590" i="6"/>
  <c r="K554" i="6"/>
  <c r="K521" i="6"/>
  <c r="K476" i="6"/>
  <c r="K429" i="6"/>
  <c r="K388" i="6"/>
  <c r="K341" i="6"/>
  <c r="K294" i="6"/>
  <c r="K249" i="6"/>
  <c r="K204" i="6"/>
  <c r="K134" i="6"/>
  <c r="K64" i="6"/>
  <c r="O981" i="6"/>
  <c r="O895" i="6"/>
  <c r="O799" i="6"/>
  <c r="O709" i="6"/>
  <c r="O579" i="6"/>
  <c r="O437" i="6"/>
  <c r="O260" i="6"/>
  <c r="O60" i="6"/>
  <c r="S435" i="6"/>
  <c r="S76" i="6"/>
  <c r="S140" i="6"/>
  <c r="S189" i="6"/>
  <c r="S227" i="6"/>
  <c r="S270" i="6"/>
  <c r="S307" i="6"/>
  <c r="S334" i="6"/>
  <c r="S367" i="6"/>
  <c r="S403" i="6"/>
  <c r="S430" i="6"/>
  <c r="S465" i="6"/>
  <c r="S501" i="6"/>
  <c r="S528" i="6"/>
  <c r="S564" i="6"/>
  <c r="S590" i="6"/>
  <c r="S617" i="6"/>
  <c r="S647" i="6"/>
  <c r="S673" i="6"/>
  <c r="S696" i="6"/>
  <c r="S721" i="6"/>
  <c r="S744" i="6"/>
  <c r="S764" i="6"/>
  <c r="S786" i="6"/>
  <c r="S808" i="6"/>
  <c r="S826" i="6"/>
  <c r="S842" i="6"/>
  <c r="S858" i="6"/>
  <c r="S874" i="6"/>
  <c r="S890" i="6"/>
  <c r="S906" i="6"/>
  <c r="S922" i="6"/>
  <c r="S938" i="6"/>
  <c r="S954" i="6"/>
  <c r="S970" i="6"/>
  <c r="S986" i="6"/>
  <c r="S1002" i="6"/>
  <c r="S1018" i="6"/>
  <c r="S46" i="6"/>
  <c r="S120" i="6"/>
  <c r="S173" i="6"/>
  <c r="S225" i="6"/>
  <c r="S273" i="6"/>
  <c r="S309" i="6"/>
  <c r="S348" i="6"/>
  <c r="S382" i="6"/>
  <c r="S421" i="6"/>
  <c r="S455" i="6"/>
  <c r="S494" i="6"/>
  <c r="S531" i="6"/>
  <c r="S567" i="6"/>
  <c r="S600" i="6"/>
  <c r="S629" i="6"/>
  <c r="S663" i="6"/>
  <c r="S691" i="6"/>
  <c r="S720" i="6"/>
  <c r="S745" i="6"/>
  <c r="S769" i="6"/>
  <c r="S795" i="6"/>
  <c r="S818" i="6"/>
  <c r="S835" i="6"/>
  <c r="S853" i="6"/>
  <c r="S873" i="6"/>
  <c r="S891" i="6"/>
  <c r="S909" i="6"/>
  <c r="S929" i="6"/>
  <c r="S946" i="6"/>
  <c r="S963" i="6"/>
  <c r="S981" i="6"/>
  <c r="S1001" i="6"/>
  <c r="S1019" i="6"/>
  <c r="S119" i="6"/>
  <c r="S181" i="6"/>
  <c r="S239" i="6"/>
  <c r="S284" i="6"/>
  <c r="S329" i="6"/>
  <c r="S373" i="6"/>
  <c r="S409" i="6"/>
  <c r="S454" i="6"/>
  <c r="S502" i="6"/>
  <c r="S544" i="6"/>
  <c r="S576" i="6"/>
  <c r="S613" i="6"/>
  <c r="S649" i="6"/>
  <c r="S685" i="6"/>
  <c r="S713" i="6"/>
  <c r="S747" i="6"/>
  <c r="S776" i="6"/>
  <c r="S801" i="6"/>
  <c r="S827" i="6"/>
  <c r="S849" i="6"/>
  <c r="S867" i="6"/>
  <c r="S889" i="6"/>
  <c r="S913" i="6"/>
  <c r="S931" i="6"/>
  <c r="S953" i="6"/>
  <c r="S973" i="6"/>
  <c r="S994" i="6"/>
  <c r="S1013" i="6"/>
  <c r="S58" i="6"/>
  <c r="S144" i="6"/>
  <c r="S208" i="6"/>
  <c r="S261" i="6"/>
  <c r="S319" i="6"/>
  <c r="S361" i="6"/>
  <c r="S417" i="6"/>
  <c r="S471" i="6"/>
  <c r="S513" i="6"/>
  <c r="S556" i="6"/>
  <c r="S601" i="6"/>
  <c r="S640" i="6"/>
  <c r="S684" i="6"/>
  <c r="S723" i="6"/>
  <c r="S754" i="6"/>
  <c r="S785" i="6"/>
  <c r="S817" i="6"/>
  <c r="S841" i="6"/>
  <c r="S865" i="6"/>
  <c r="S885" i="6"/>
  <c r="S914" i="6"/>
  <c r="S937" i="6"/>
  <c r="S961" i="6"/>
  <c r="S985" i="6"/>
  <c r="S1009" i="6"/>
  <c r="S68" i="6"/>
  <c r="S155" i="6"/>
  <c r="S215" i="6"/>
  <c r="S281" i="6"/>
  <c r="S325" i="6"/>
  <c r="S380" i="6"/>
  <c r="S428" i="6"/>
  <c r="S476" i="6"/>
  <c r="S519" i="6"/>
  <c r="S565" i="6"/>
  <c r="S604" i="6"/>
  <c r="S648" i="6"/>
  <c r="S686" i="6"/>
  <c r="S727" i="6"/>
  <c r="S755" i="6"/>
  <c r="S787" i="6"/>
  <c r="S819" i="6"/>
  <c r="S843" i="6"/>
  <c r="S866" i="6"/>
  <c r="S893" i="6"/>
  <c r="S915" i="6"/>
  <c r="S939" i="6"/>
  <c r="S962" i="6"/>
  <c r="S987" i="6"/>
  <c r="S1010" i="6"/>
  <c r="S74" i="6"/>
  <c r="S164" i="6"/>
  <c r="S254" i="6"/>
  <c r="S331" i="6"/>
  <c r="S392" i="6"/>
  <c r="S453" i="6"/>
  <c r="S526" i="6"/>
  <c r="S581" i="6"/>
  <c r="S637" i="6"/>
  <c r="S695" i="6"/>
  <c r="S735" i="6"/>
  <c r="S777" i="6"/>
  <c r="S821" i="6"/>
  <c r="S851" i="6"/>
  <c r="S882" i="6"/>
  <c r="S917" i="6"/>
  <c r="S947" i="6"/>
  <c r="S978" i="6"/>
  <c r="S1011" i="6"/>
  <c r="S121" i="6"/>
  <c r="S224" i="6"/>
  <c r="S294" i="6"/>
  <c r="S356" i="6"/>
  <c r="S429" i="6"/>
  <c r="S483" i="6"/>
  <c r="S550" i="6"/>
  <c r="S612" i="6"/>
  <c r="S665" i="6"/>
  <c r="S710" i="6"/>
  <c r="S759" i="6"/>
  <c r="S799" i="6"/>
  <c r="S834" i="6"/>
  <c r="S869" i="6"/>
  <c r="S899" i="6"/>
  <c r="S930" i="6"/>
  <c r="S965" i="6"/>
  <c r="S995" i="6"/>
  <c r="S82" i="6"/>
  <c r="S198" i="6"/>
  <c r="S308" i="6"/>
  <c r="S398" i="6"/>
  <c r="S480" i="6"/>
  <c r="S574" i="6"/>
  <c r="S638" i="6"/>
  <c r="S709" i="6"/>
  <c r="S767" i="6"/>
  <c r="S825" i="6"/>
  <c r="S861" i="6"/>
  <c r="S905" i="6"/>
  <c r="S949" i="6"/>
  <c r="S993" i="6"/>
  <c r="S97" i="6"/>
  <c r="S230" i="6"/>
  <c r="S311" i="6"/>
  <c r="S404" i="6"/>
  <c r="S491" i="6"/>
  <c r="S575" i="6"/>
  <c r="S654" i="6"/>
  <c r="S711" i="6"/>
  <c r="S775" i="6"/>
  <c r="S829" i="6"/>
  <c r="S875" i="6"/>
  <c r="S907" i="6"/>
  <c r="S955" i="6"/>
  <c r="S997" i="6"/>
  <c r="S106" i="6"/>
  <c r="S255" i="6"/>
  <c r="S381" i="6"/>
  <c r="S503" i="6"/>
  <c r="S599" i="6"/>
  <c r="S700" i="6"/>
  <c r="S779" i="6"/>
  <c r="S845" i="6"/>
  <c r="S898" i="6"/>
  <c r="S957" i="6"/>
  <c r="S1017" i="6"/>
  <c r="H15" i="6"/>
  <c r="S124" i="6"/>
  <c r="S283" i="6"/>
  <c r="S384" i="6"/>
  <c r="S508" i="6"/>
  <c r="S622" i="6"/>
  <c r="S702" i="6"/>
  <c r="S791" i="6"/>
  <c r="S850" i="6"/>
  <c r="S901" i="6"/>
  <c r="S969" i="6"/>
  <c r="S21" i="6"/>
  <c r="H14" i="6"/>
  <c r="S157" i="6"/>
  <c r="S288" i="6"/>
  <c r="S407" i="6"/>
  <c r="S527" i="6"/>
  <c r="S623" i="6"/>
  <c r="S731" i="6"/>
  <c r="S796" i="6"/>
  <c r="S857" i="6"/>
  <c r="S921" i="6"/>
  <c r="S971" i="6"/>
  <c r="S160" i="6"/>
  <c r="S355" i="6"/>
  <c r="S549" i="6"/>
  <c r="S677" i="6"/>
  <c r="S811" i="6"/>
  <c r="S923" i="6"/>
  <c r="S1003" i="6"/>
  <c r="G14" i="6"/>
  <c r="S253" i="6"/>
  <c r="S446" i="6"/>
  <c r="S627" i="6"/>
  <c r="S753" i="6"/>
  <c r="S877" i="6"/>
  <c r="S945" i="6"/>
  <c r="S1005" i="6"/>
  <c r="S883" i="6"/>
  <c r="S743" i="6"/>
  <c r="S553" i="6"/>
  <c r="K76" i="6"/>
  <c r="K49" i="6"/>
  <c r="K24" i="6"/>
  <c r="O997" i="6"/>
  <c r="O975" i="6"/>
  <c r="O950" i="6"/>
  <c r="O919" i="6"/>
  <c r="O890" i="6"/>
  <c r="O855" i="6"/>
  <c r="O825" i="6"/>
  <c r="O798" i="6"/>
  <c r="O767" i="6"/>
  <c r="O737" i="6"/>
  <c r="O707" i="6"/>
  <c r="O677" i="6"/>
  <c r="O639" i="6"/>
  <c r="O600" i="6"/>
  <c r="O562" i="6"/>
  <c r="O516" i="6"/>
  <c r="O471" i="6"/>
  <c r="O417" i="6"/>
  <c r="O362" i="6"/>
  <c r="O308" i="6"/>
  <c r="O244" i="6"/>
  <c r="O178" i="6"/>
  <c r="O118" i="6"/>
  <c r="O58" i="6"/>
  <c r="S989" i="6"/>
  <c r="S881" i="6"/>
  <c r="S737" i="6"/>
  <c r="S539" i="6"/>
  <c r="S300" i="6"/>
  <c r="G1006" i="6"/>
  <c r="G981" i="6"/>
  <c r="G957" i="6"/>
  <c r="G933" i="6"/>
  <c r="G908" i="6"/>
  <c r="G884" i="6"/>
  <c r="G860" i="6"/>
  <c r="G836" i="6"/>
  <c r="G811" i="6"/>
  <c r="G787" i="6"/>
  <c r="G763" i="6"/>
  <c r="G736" i="6"/>
  <c r="G712" i="6"/>
  <c r="G652" i="6"/>
  <c r="G597" i="6"/>
  <c r="G540" i="6"/>
  <c r="G484" i="6"/>
  <c r="G440" i="6"/>
  <c r="G398" i="6"/>
  <c r="G341" i="6"/>
  <c r="G284" i="6"/>
  <c r="G228" i="6"/>
  <c r="G171" i="6"/>
  <c r="G127" i="6"/>
  <c r="G85" i="6"/>
  <c r="G56" i="6"/>
  <c r="G28" i="6"/>
  <c r="K1015" i="6"/>
  <c r="K1000" i="6"/>
  <c r="K985" i="6"/>
  <c r="K973" i="6"/>
  <c r="K958" i="6"/>
  <c r="K943" i="6"/>
  <c r="K929" i="6"/>
  <c r="K916" i="6"/>
  <c r="K887" i="6"/>
  <c r="K872" i="6"/>
  <c r="K857" i="6"/>
  <c r="K845" i="6"/>
  <c r="K829" i="6"/>
  <c r="K812" i="6"/>
  <c r="K796" i="6"/>
  <c r="K781" i="6"/>
  <c r="K764" i="6"/>
  <c r="K748" i="6"/>
  <c r="K730" i="6"/>
  <c r="K713" i="6"/>
  <c r="K700" i="6"/>
  <c r="K682" i="6"/>
  <c r="K665" i="6"/>
  <c r="K649" i="6"/>
  <c r="K634" i="6"/>
  <c r="K617" i="6"/>
  <c r="K601" i="6"/>
  <c r="K584" i="6"/>
  <c r="K567" i="6"/>
  <c r="K553" i="6"/>
  <c r="K536" i="6"/>
  <c r="K519" i="6"/>
  <c r="K503" i="6"/>
  <c r="K485" i="6"/>
  <c r="K462" i="6"/>
  <c r="K441" i="6"/>
  <c r="K418" i="6"/>
  <c r="K396" i="6"/>
  <c r="K377" i="6"/>
  <c r="K354" i="6"/>
  <c r="K332" i="6"/>
  <c r="K310" i="6"/>
  <c r="K290" i="6"/>
  <c r="K268" i="6"/>
  <c r="K246" i="6"/>
  <c r="K224" i="6"/>
  <c r="K196" i="6"/>
  <c r="K174" i="6"/>
  <c r="K149" i="6"/>
  <c r="K121" i="6"/>
  <c r="K97" i="6"/>
  <c r="K74" i="6"/>
  <c r="K46" i="6"/>
  <c r="K22" i="6"/>
  <c r="O995" i="6"/>
  <c r="O970" i="6"/>
  <c r="O949" i="6"/>
  <c r="O911" i="6"/>
  <c r="O883" i="6"/>
  <c r="O854" i="6"/>
  <c r="O823" i="6"/>
  <c r="O793" i="6"/>
  <c r="O766" i="6"/>
  <c r="O735" i="6"/>
  <c r="O698" i="6"/>
  <c r="O671" i="6"/>
  <c r="O636" i="6"/>
  <c r="O595" i="6"/>
  <c r="O555" i="6"/>
  <c r="O515" i="6"/>
  <c r="O466" i="6"/>
  <c r="O416" i="6"/>
  <c r="O357" i="6"/>
  <c r="O288" i="6"/>
  <c r="O228" i="6"/>
  <c r="O172" i="6"/>
  <c r="O111" i="6"/>
  <c r="O53" i="6"/>
  <c r="S979" i="6"/>
  <c r="S859" i="6"/>
  <c r="S732" i="6"/>
  <c r="S477" i="6"/>
  <c r="S245" i="6"/>
  <c r="G1016" i="6"/>
  <c r="G1004" i="6"/>
  <c r="G991" i="6"/>
  <c r="G980" i="6"/>
  <c r="G967" i="6"/>
  <c r="G956" i="6"/>
  <c r="G943" i="6"/>
  <c r="G932" i="6"/>
  <c r="G918" i="6"/>
  <c r="G907" i="6"/>
  <c r="G894" i="6"/>
  <c r="G883" i="6"/>
  <c r="G870" i="6"/>
  <c r="G859" i="6"/>
  <c r="G846" i="6"/>
  <c r="G832" i="6"/>
  <c r="G821" i="6"/>
  <c r="G808" i="6"/>
  <c r="G797" i="6"/>
  <c r="G784" i="6"/>
  <c r="G773" i="6"/>
  <c r="G760" i="6"/>
  <c r="G748" i="6"/>
  <c r="G735" i="6"/>
  <c r="G724" i="6"/>
  <c r="G711" i="6"/>
  <c r="G700" i="6"/>
  <c r="G687" i="6"/>
  <c r="G676" i="6"/>
  <c r="G662" i="6"/>
  <c r="G651" i="6"/>
  <c r="G638" i="6"/>
  <c r="G623" i="6"/>
  <c r="G608" i="6"/>
  <c r="G596" i="6"/>
  <c r="G581" i="6"/>
  <c r="G566" i="6"/>
  <c r="G552" i="6"/>
  <c r="G539" i="6"/>
  <c r="G524" i="6"/>
  <c r="G510" i="6"/>
  <c r="G495" i="6"/>
  <c r="G480" i="6"/>
  <c r="G468" i="6"/>
  <c r="G453" i="6"/>
  <c r="G438" i="6"/>
  <c r="G424" i="6"/>
  <c r="G411" i="6"/>
  <c r="G396" i="6"/>
  <c r="G382" i="6"/>
  <c r="G367" i="6"/>
  <c r="G352" i="6"/>
  <c r="G340" i="6"/>
  <c r="G325" i="6"/>
  <c r="G310" i="6"/>
  <c r="G296" i="6"/>
  <c r="G283" i="6"/>
  <c r="G268" i="6"/>
  <c r="G254" i="6"/>
  <c r="G239" i="6"/>
  <c r="G224" i="6"/>
  <c r="G212" i="6"/>
  <c r="G197" i="6"/>
  <c r="G182" i="6"/>
  <c r="G168" i="6"/>
  <c r="G155" i="6"/>
  <c r="G140" i="6"/>
  <c r="G126" i="6"/>
  <c r="G111" i="6"/>
  <c r="G96" i="6"/>
  <c r="G84" i="6"/>
  <c r="G69" i="6"/>
  <c r="G54" i="6"/>
  <c r="G40" i="6"/>
  <c r="G27" i="6"/>
  <c r="K1013" i="6"/>
  <c r="K999" i="6"/>
  <c r="K984" i="6"/>
  <c r="K969" i="6"/>
  <c r="K957" i="6"/>
  <c r="K942" i="6"/>
  <c r="K927" i="6"/>
  <c r="K913" i="6"/>
  <c r="K900" i="6"/>
  <c r="K885" i="6"/>
  <c r="K871" i="6"/>
  <c r="K856" i="6"/>
  <c r="K841" i="6"/>
  <c r="K828" i="6"/>
  <c r="K810" i="6"/>
  <c r="K793" i="6"/>
  <c r="K777" i="6"/>
  <c r="K762" i="6"/>
  <c r="K745" i="6"/>
  <c r="K729" i="6"/>
  <c r="K712" i="6"/>
  <c r="K695" i="6"/>
  <c r="K681" i="6"/>
  <c r="K664" i="6"/>
  <c r="K647" i="6"/>
  <c r="K631" i="6"/>
  <c r="K616" i="6"/>
  <c r="K599" i="6"/>
  <c r="K583" i="6"/>
  <c r="K566" i="6"/>
  <c r="K549" i="6"/>
  <c r="K535" i="6"/>
  <c r="K518" i="6"/>
  <c r="K501" i="6"/>
  <c r="K481" i="6"/>
  <c r="K461" i="6"/>
  <c r="K438" i="6"/>
  <c r="K417" i="6"/>
  <c r="K394" i="6"/>
  <c r="K370" i="6"/>
  <c r="K353" i="6"/>
  <c r="K330" i="6"/>
  <c r="K306" i="6"/>
  <c r="K285" i="6"/>
  <c r="K266" i="6"/>
  <c r="K242" i="6"/>
  <c r="K220" i="6"/>
  <c r="K194" i="6"/>
  <c r="K166" i="6"/>
  <c r="K145" i="6"/>
  <c r="K120" i="6"/>
  <c r="K92" i="6"/>
  <c r="K68" i="6"/>
  <c r="K45" i="6"/>
  <c r="O1018" i="6"/>
  <c r="O994" i="6"/>
  <c r="O969" i="6"/>
  <c r="O939" i="6"/>
  <c r="O910" i="6"/>
  <c r="O879" i="6"/>
  <c r="O851" i="6"/>
  <c r="O822" i="6"/>
  <c r="O791" i="6"/>
  <c r="O757" i="6"/>
  <c r="O727" i="6"/>
  <c r="O697" i="6"/>
  <c r="O666" i="6"/>
  <c r="O634" i="6"/>
  <c r="O594" i="6"/>
  <c r="O552" i="6"/>
  <c r="O514" i="6"/>
  <c r="O465" i="6"/>
  <c r="O399" i="6"/>
  <c r="O346" i="6"/>
  <c r="O285" i="6"/>
  <c r="O225" i="6"/>
  <c r="O165" i="6"/>
  <c r="O109" i="6"/>
  <c r="S977" i="6"/>
  <c r="S837" i="6"/>
  <c r="S675" i="6"/>
  <c r="S457" i="6"/>
  <c r="S193" i="6"/>
  <c r="S336" i="6"/>
  <c r="G25" i="6"/>
  <c r="G33" i="6"/>
  <c r="G41" i="6"/>
  <c r="G49" i="6"/>
  <c r="G57" i="6"/>
  <c r="G65" i="6"/>
  <c r="G73" i="6"/>
  <c r="G81" i="6"/>
  <c r="G89" i="6"/>
  <c r="G97" i="6"/>
  <c r="G105" i="6"/>
  <c r="G113" i="6"/>
  <c r="G121" i="6"/>
  <c r="G129" i="6"/>
  <c r="G137" i="6"/>
  <c r="G145" i="6"/>
  <c r="G153" i="6"/>
  <c r="G161" i="6"/>
  <c r="G169" i="6"/>
  <c r="G177" i="6"/>
  <c r="G185" i="6"/>
  <c r="G193" i="6"/>
  <c r="G201" i="6"/>
  <c r="G209" i="6"/>
  <c r="G217" i="6"/>
  <c r="G225" i="6"/>
  <c r="G233" i="6"/>
  <c r="G241" i="6"/>
  <c r="G249" i="6"/>
  <c r="G257" i="6"/>
  <c r="G265" i="6"/>
  <c r="G273" i="6"/>
  <c r="G281" i="6"/>
  <c r="G289" i="6"/>
  <c r="G297" i="6"/>
  <c r="G305" i="6"/>
  <c r="G313" i="6"/>
  <c r="G321" i="6"/>
  <c r="G329" i="6"/>
  <c r="G337" i="6"/>
  <c r="G345" i="6"/>
  <c r="G353" i="6"/>
  <c r="G361" i="6"/>
  <c r="G369" i="6"/>
  <c r="G377" i="6"/>
  <c r="G385" i="6"/>
  <c r="G393" i="6"/>
  <c r="G401" i="6"/>
  <c r="G409" i="6"/>
  <c r="G417" i="6"/>
  <c r="G425" i="6"/>
  <c r="G433" i="6"/>
  <c r="G441" i="6"/>
  <c r="G449" i="6"/>
  <c r="G457" i="6"/>
  <c r="G465" i="6"/>
  <c r="G473" i="6"/>
  <c r="G481" i="6"/>
  <c r="G489" i="6"/>
  <c r="G497" i="6"/>
  <c r="G505" i="6"/>
  <c r="G513" i="6"/>
  <c r="G521" i="6"/>
  <c r="G529" i="6"/>
  <c r="G537" i="6"/>
  <c r="G545" i="6"/>
  <c r="G553" i="6"/>
  <c r="G561" i="6"/>
  <c r="G569" i="6"/>
  <c r="G577" i="6"/>
  <c r="G585" i="6"/>
  <c r="G593" i="6"/>
  <c r="G601" i="6"/>
  <c r="G609" i="6"/>
  <c r="G617" i="6"/>
  <c r="G625" i="6"/>
  <c r="G633" i="6"/>
  <c r="G641" i="6"/>
  <c r="G649" i="6"/>
  <c r="G657" i="6"/>
  <c r="G665" i="6"/>
  <c r="G673" i="6"/>
  <c r="G681" i="6"/>
  <c r="G689" i="6"/>
  <c r="G697" i="6"/>
  <c r="G705" i="6"/>
  <c r="G713" i="6"/>
  <c r="G721" i="6"/>
  <c r="G729" i="6"/>
  <c r="G737" i="6"/>
  <c r="G745" i="6"/>
  <c r="G753" i="6"/>
  <c r="G761" i="6"/>
  <c r="G769" i="6"/>
  <c r="G777" i="6"/>
  <c r="G785" i="6"/>
  <c r="G793" i="6"/>
  <c r="G801" i="6"/>
  <c r="G809" i="6"/>
  <c r="G817" i="6"/>
  <c r="G825" i="6"/>
  <c r="G833" i="6"/>
  <c r="G841" i="6"/>
  <c r="G849" i="6"/>
  <c r="G857" i="6"/>
  <c r="G865" i="6"/>
  <c r="G873" i="6"/>
  <c r="G881" i="6"/>
  <c r="G889" i="6"/>
  <c r="G897" i="6"/>
  <c r="G905" i="6"/>
  <c r="G913" i="6"/>
  <c r="G921" i="6"/>
  <c r="G929" i="6"/>
  <c r="G937" i="6"/>
  <c r="G945" i="6"/>
  <c r="G953" i="6"/>
  <c r="G961" i="6"/>
  <c r="G969" i="6"/>
  <c r="G977" i="6"/>
  <c r="G985" i="6"/>
  <c r="G993" i="6"/>
  <c r="G1001" i="6"/>
  <c r="G1009" i="6"/>
  <c r="G1017" i="6"/>
  <c r="G26" i="6"/>
  <c r="G34" i="6"/>
  <c r="G42" i="6"/>
  <c r="G50" i="6"/>
  <c r="G58" i="6"/>
  <c r="G66" i="6"/>
  <c r="G74" i="6"/>
  <c r="G82" i="6"/>
  <c r="G90" i="6"/>
  <c r="G98" i="6"/>
  <c r="G106" i="6"/>
  <c r="G114" i="6"/>
  <c r="G122" i="6"/>
  <c r="G130" i="6"/>
  <c r="G138" i="6"/>
  <c r="G146" i="6"/>
  <c r="G154" i="6"/>
  <c r="G162" i="6"/>
  <c r="G170" i="6"/>
  <c r="G178" i="6"/>
  <c r="G186" i="6"/>
  <c r="G194" i="6"/>
  <c r="G202" i="6"/>
  <c r="G210" i="6"/>
  <c r="G218" i="6"/>
  <c r="G226" i="6"/>
  <c r="G234" i="6"/>
  <c r="G242" i="6"/>
  <c r="G250" i="6"/>
  <c r="G258" i="6"/>
  <c r="G266" i="6"/>
  <c r="G274" i="6"/>
  <c r="G282" i="6"/>
  <c r="G290" i="6"/>
  <c r="G298" i="6"/>
  <c r="G306" i="6"/>
  <c r="G314" i="6"/>
  <c r="G322" i="6"/>
  <c r="G330" i="6"/>
  <c r="G338" i="6"/>
  <c r="G346" i="6"/>
  <c r="G354" i="6"/>
  <c r="G362" i="6"/>
  <c r="G370" i="6"/>
  <c r="G378" i="6"/>
  <c r="G386" i="6"/>
  <c r="G394" i="6"/>
  <c r="G402" i="6"/>
  <c r="G410" i="6"/>
  <c r="G418" i="6"/>
  <c r="G426" i="6"/>
  <c r="G434" i="6"/>
  <c r="G442" i="6"/>
  <c r="G450" i="6"/>
  <c r="G458" i="6"/>
  <c r="G466" i="6"/>
  <c r="G474" i="6"/>
  <c r="G482" i="6"/>
  <c r="G490" i="6"/>
  <c r="G498" i="6"/>
  <c r="G506" i="6"/>
  <c r="G514" i="6"/>
  <c r="G522" i="6"/>
  <c r="G530" i="6"/>
  <c r="G538" i="6"/>
  <c r="G546" i="6"/>
  <c r="G554" i="6"/>
  <c r="G562" i="6"/>
  <c r="G570" i="6"/>
  <c r="G578" i="6"/>
  <c r="G586" i="6"/>
  <c r="G594" i="6"/>
  <c r="G602" i="6"/>
  <c r="G610" i="6"/>
  <c r="G618" i="6"/>
  <c r="G626" i="6"/>
  <c r="G634" i="6"/>
  <c r="G642" i="6"/>
  <c r="G650" i="6"/>
  <c r="G658" i="6"/>
  <c r="G666" i="6"/>
  <c r="G674" i="6"/>
  <c r="G682" i="6"/>
  <c r="G690" i="6"/>
  <c r="G698" i="6"/>
  <c r="G706" i="6"/>
  <c r="G714" i="6"/>
  <c r="G722" i="6"/>
  <c r="G730" i="6"/>
  <c r="G738" i="6"/>
  <c r="G746" i="6"/>
  <c r="G754" i="6"/>
  <c r="G762" i="6"/>
  <c r="G770" i="6"/>
  <c r="G778" i="6"/>
  <c r="G786" i="6"/>
  <c r="G794" i="6"/>
  <c r="G802" i="6"/>
  <c r="G810" i="6"/>
  <c r="G818" i="6"/>
  <c r="G826" i="6"/>
  <c r="G834" i="6"/>
  <c r="G842" i="6"/>
  <c r="G850" i="6"/>
  <c r="G858" i="6"/>
  <c r="G866" i="6"/>
  <c r="G874" i="6"/>
  <c r="G882" i="6"/>
  <c r="G890" i="6"/>
  <c r="G898" i="6"/>
  <c r="G906" i="6"/>
  <c r="G914" i="6"/>
  <c r="G922" i="6"/>
  <c r="G930" i="6"/>
  <c r="G938" i="6"/>
  <c r="G946" i="6"/>
  <c r="G954" i="6"/>
  <c r="G962" i="6"/>
  <c r="G970" i="6"/>
  <c r="G978" i="6"/>
  <c r="G986" i="6"/>
  <c r="G994" i="6"/>
  <c r="G1002" i="6"/>
  <c r="G1010" i="6"/>
  <c r="G1018" i="6"/>
  <c r="O46" i="6"/>
  <c r="O73" i="6"/>
  <c r="O98" i="6"/>
  <c r="O132" i="6"/>
  <c r="O157" i="6"/>
  <c r="O183" i="6"/>
  <c r="O216" i="6"/>
  <c r="O242" i="6"/>
  <c r="O266" i="6"/>
  <c r="O300" i="6"/>
  <c r="O327" i="6"/>
  <c r="O356" i="6"/>
  <c r="O384" i="6"/>
  <c r="O409" i="6"/>
  <c r="O435" i="6"/>
  <c r="O462" i="6"/>
  <c r="O485" i="6"/>
  <c r="O505" i="6"/>
  <c r="O550" i="6"/>
  <c r="O569" i="6"/>
  <c r="O591" i="6"/>
  <c r="O608" i="6"/>
  <c r="O626" i="6"/>
  <c r="O648" i="6"/>
  <c r="O662" i="6"/>
  <c r="O675" i="6"/>
  <c r="O691" i="6"/>
  <c r="O705" i="6"/>
  <c r="O718" i="6"/>
  <c r="O734" i="6"/>
  <c r="O747" i="6"/>
  <c r="O761" i="6"/>
  <c r="O777" i="6"/>
  <c r="O790" i="6"/>
  <c r="O803" i="6"/>
  <c r="O819" i="6"/>
  <c r="O833" i="6"/>
  <c r="O846" i="6"/>
  <c r="O862" i="6"/>
  <c r="O875" i="6"/>
  <c r="O889" i="6"/>
  <c r="O905" i="6"/>
  <c r="O918" i="6"/>
  <c r="O931" i="6"/>
  <c r="O947" i="6"/>
  <c r="O50" i="6"/>
  <c r="O92" i="6"/>
  <c r="O141" i="6"/>
  <c r="O189" i="6"/>
  <c r="O226" i="6"/>
  <c r="O279" i="6"/>
  <c r="O314" i="6"/>
  <c r="O369" i="6"/>
  <c r="O414" i="6"/>
  <c r="O448" i="6"/>
  <c r="O489" i="6"/>
  <c r="O518" i="6"/>
  <c r="O553" i="6"/>
  <c r="O580" i="6"/>
  <c r="O612" i="6"/>
  <c r="O649" i="6"/>
  <c r="O670" i="6"/>
  <c r="O694" i="6"/>
  <c r="O714" i="6"/>
  <c r="O738" i="6"/>
  <c r="O762" i="6"/>
  <c r="O782" i="6"/>
  <c r="O809" i="6"/>
  <c r="O826" i="6"/>
  <c r="O853" i="6"/>
  <c r="O877" i="6"/>
  <c r="O897" i="6"/>
  <c r="O921" i="6"/>
  <c r="O941" i="6"/>
  <c r="O963" i="6"/>
  <c r="O982" i="6"/>
  <c r="O1003" i="6"/>
  <c r="G12" i="6"/>
  <c r="K37" i="6"/>
  <c r="K58" i="6"/>
  <c r="K77" i="6"/>
  <c r="K96" i="6"/>
  <c r="K117" i="6"/>
  <c r="K133" i="6"/>
  <c r="K152" i="6"/>
  <c r="K173" i="6"/>
  <c r="K192" i="6"/>
  <c r="K208" i="6"/>
  <c r="K229" i="6"/>
  <c r="K245" i="6"/>
  <c r="K260" i="6"/>
  <c r="K278" i="6"/>
  <c r="K293" i="6"/>
  <c r="K309" i="6"/>
  <c r="K326" i="6"/>
  <c r="K342" i="6"/>
  <c r="K357" i="6"/>
  <c r="K376" i="6"/>
  <c r="K390" i="6"/>
  <c r="K406" i="6"/>
  <c r="K424" i="6"/>
  <c r="K440" i="6"/>
  <c r="K454" i="6"/>
  <c r="K473" i="6"/>
  <c r="K488" i="6"/>
  <c r="K502" i="6"/>
  <c r="K516" i="6"/>
  <c r="K527" i="6"/>
  <c r="K538" i="6"/>
  <c r="K552" i="6"/>
  <c r="K564" i="6"/>
  <c r="K575" i="6"/>
  <c r="K589" i="6"/>
  <c r="K600" i="6"/>
  <c r="K612" i="6"/>
  <c r="K625" i="6"/>
  <c r="K637" i="6"/>
  <c r="K648" i="6"/>
  <c r="K662" i="6"/>
  <c r="K673" i="6"/>
  <c r="K685" i="6"/>
  <c r="K698" i="6"/>
  <c r="K710" i="6"/>
  <c r="K721" i="6"/>
  <c r="K735" i="6"/>
  <c r="K746" i="6"/>
  <c r="K758" i="6"/>
  <c r="K772" i="6"/>
  <c r="K783" i="6"/>
  <c r="K794" i="6"/>
  <c r="K808" i="6"/>
  <c r="K820" i="6"/>
  <c r="K831" i="6"/>
  <c r="K844" i="6"/>
  <c r="K854" i="6"/>
  <c r="K864" i="6"/>
  <c r="K876" i="6"/>
  <c r="K886" i="6"/>
  <c r="K896" i="6"/>
  <c r="K908" i="6"/>
  <c r="K918" i="6"/>
  <c r="K928" i="6"/>
  <c r="K940" i="6"/>
  <c r="K950" i="6"/>
  <c r="K960" i="6"/>
  <c r="K972" i="6"/>
  <c r="K982" i="6"/>
  <c r="K992" i="6"/>
  <c r="K1004" i="6"/>
  <c r="K1014" i="6"/>
  <c r="G23" i="6"/>
  <c r="G35" i="6"/>
  <c r="G45" i="6"/>
  <c r="G55" i="6"/>
  <c r="G67" i="6"/>
  <c r="G77" i="6"/>
  <c r="G87" i="6"/>
  <c r="G99" i="6"/>
  <c r="G109" i="6"/>
  <c r="G119" i="6"/>
  <c r="G131" i="6"/>
  <c r="G141" i="6"/>
  <c r="G151" i="6"/>
  <c r="G163" i="6"/>
  <c r="G173" i="6"/>
  <c r="G183" i="6"/>
  <c r="G195" i="6"/>
  <c r="G205" i="6"/>
  <c r="G215" i="6"/>
  <c r="G227" i="6"/>
  <c r="G237" i="6"/>
  <c r="G247" i="6"/>
  <c r="G259" i="6"/>
  <c r="G269" i="6"/>
  <c r="G279" i="6"/>
  <c r="G291" i="6"/>
  <c r="G301" i="6"/>
  <c r="G311" i="6"/>
  <c r="G323" i="6"/>
  <c r="G333" i="6"/>
  <c r="G343" i="6"/>
  <c r="G355" i="6"/>
  <c r="G365" i="6"/>
  <c r="G375" i="6"/>
  <c r="G387" i="6"/>
  <c r="G397" i="6"/>
  <c r="G407" i="6"/>
  <c r="G419" i="6"/>
  <c r="G429" i="6"/>
  <c r="G439" i="6"/>
  <c r="G451" i="6"/>
  <c r="G461" i="6"/>
  <c r="G471" i="6"/>
  <c r="G483" i="6"/>
  <c r="G493" i="6"/>
  <c r="G503" i="6"/>
  <c r="G515" i="6"/>
  <c r="G525" i="6"/>
  <c r="G535" i="6"/>
  <c r="G547" i="6"/>
  <c r="G557" i="6"/>
  <c r="G567" i="6"/>
  <c r="G579" i="6"/>
  <c r="G589" i="6"/>
  <c r="G599" i="6"/>
  <c r="G611" i="6"/>
  <c r="G621" i="6"/>
  <c r="G631" i="6"/>
  <c r="G643" i="6"/>
  <c r="G653" i="6"/>
  <c r="G663" i="6"/>
  <c r="G675" i="6"/>
  <c r="G685" i="6"/>
  <c r="G695" i="6"/>
  <c r="G707" i="6"/>
  <c r="G717" i="6"/>
  <c r="G727" i="6"/>
  <c r="G739" i="6"/>
  <c r="G749" i="6"/>
  <c r="G759" i="6"/>
  <c r="G771" i="6"/>
  <c r="G781" i="6"/>
  <c r="G791" i="6"/>
  <c r="G803" i="6"/>
  <c r="G813" i="6"/>
  <c r="G823" i="6"/>
  <c r="G835" i="6"/>
  <c r="G845" i="6"/>
  <c r="G855" i="6"/>
  <c r="G867" i="6"/>
  <c r="G877" i="6"/>
  <c r="G887" i="6"/>
  <c r="G899" i="6"/>
  <c r="G909" i="6"/>
  <c r="G919" i="6"/>
  <c r="G931" i="6"/>
  <c r="G941" i="6"/>
  <c r="G951" i="6"/>
  <c r="G963" i="6"/>
  <c r="G973" i="6"/>
  <c r="G983" i="6"/>
  <c r="G995" i="6"/>
  <c r="G1005" i="6"/>
  <c r="G1015" i="6"/>
  <c r="O26" i="6"/>
  <c r="O74" i="6"/>
  <c r="O117" i="6"/>
  <c r="O164" i="6"/>
  <c r="O202" i="6"/>
  <c r="O252" i="6"/>
  <c r="O303" i="6"/>
  <c r="O345" i="6"/>
  <c r="O392" i="6"/>
  <c r="O427" i="6"/>
  <c r="O469" i="6"/>
  <c r="O507" i="6"/>
  <c r="O534" i="6"/>
  <c r="O570" i="6"/>
  <c r="O596" i="6"/>
  <c r="O633" i="6"/>
  <c r="O655" i="6"/>
  <c r="O682" i="6"/>
  <c r="O706" i="6"/>
  <c r="O726" i="6"/>
  <c r="O750" i="6"/>
  <c r="O770" i="6"/>
  <c r="O794" i="6"/>
  <c r="O821" i="6"/>
  <c r="O841" i="6"/>
  <c r="O865" i="6"/>
  <c r="O885" i="6"/>
  <c r="O909" i="6"/>
  <c r="O933" i="6"/>
  <c r="O953" i="6"/>
  <c r="O974" i="6"/>
  <c r="O993" i="6"/>
  <c r="O1011" i="6"/>
  <c r="K32" i="6"/>
  <c r="K48" i="6"/>
  <c r="K66" i="6"/>
  <c r="K88" i="6"/>
  <c r="K106" i="6"/>
  <c r="K122" i="6"/>
  <c r="K144" i="6"/>
  <c r="K162" i="6"/>
  <c r="K181" i="6"/>
  <c r="K202" i="6"/>
  <c r="K218" i="6"/>
  <c r="K236" i="6"/>
  <c r="K253" i="6"/>
  <c r="K269" i="6"/>
  <c r="K284" i="6"/>
  <c r="K302" i="6"/>
  <c r="K317" i="6"/>
  <c r="K333" i="6"/>
  <c r="K352" i="6"/>
  <c r="K366" i="6"/>
  <c r="K381" i="6"/>
  <c r="K400" i="6"/>
  <c r="K416" i="6"/>
  <c r="K430" i="6"/>
  <c r="K449" i="6"/>
  <c r="K464" i="6"/>
  <c r="K480" i="6"/>
  <c r="K497" i="6"/>
  <c r="K509" i="6"/>
  <c r="K520" i="6"/>
  <c r="K534" i="6"/>
  <c r="K545" i="6"/>
  <c r="K557" i="6"/>
  <c r="K570" i="6"/>
  <c r="K582" i="6"/>
  <c r="K593" i="6"/>
  <c r="K607" i="6"/>
  <c r="K618" i="6"/>
  <c r="K630" i="6"/>
  <c r="K644" i="6"/>
  <c r="K655" i="6"/>
  <c r="K666" i="6"/>
  <c r="K680" i="6"/>
  <c r="K692" i="6"/>
  <c r="K703" i="6"/>
  <c r="K717" i="6"/>
  <c r="K728" i="6"/>
  <c r="K740" i="6"/>
  <c r="K753" i="6"/>
  <c r="K765" i="6"/>
  <c r="K776" i="6"/>
  <c r="K790" i="6"/>
  <c r="K801" i="6"/>
  <c r="K813" i="6"/>
  <c r="K826" i="6"/>
  <c r="K838" i="6"/>
  <c r="K848" i="6"/>
  <c r="K860" i="6"/>
  <c r="K870" i="6"/>
  <c r="K880" i="6"/>
  <c r="K892" i="6"/>
  <c r="K902" i="6"/>
  <c r="K912" i="6"/>
  <c r="K924" i="6"/>
  <c r="K934" i="6"/>
  <c r="K944" i="6"/>
  <c r="K956" i="6"/>
  <c r="K966" i="6"/>
  <c r="K976" i="6"/>
  <c r="K988" i="6"/>
  <c r="K998" i="6"/>
  <c r="K1008" i="6"/>
  <c r="K1020" i="6"/>
  <c r="G29" i="6"/>
  <c r="G39" i="6"/>
  <c r="G51" i="6"/>
  <c r="G61" i="6"/>
  <c r="G71" i="6"/>
  <c r="G83" i="6"/>
  <c r="G93" i="6"/>
  <c r="G103" i="6"/>
  <c r="G115" i="6"/>
  <c r="G125" i="6"/>
  <c r="G135" i="6"/>
  <c r="G147" i="6"/>
  <c r="G157" i="6"/>
  <c r="G167" i="6"/>
  <c r="G179" i="6"/>
  <c r="G189" i="6"/>
  <c r="G199" i="6"/>
  <c r="G211" i="6"/>
  <c r="G221" i="6"/>
  <c r="G231" i="6"/>
  <c r="G243" i="6"/>
  <c r="G253" i="6"/>
  <c r="G263" i="6"/>
  <c r="G275" i="6"/>
  <c r="G285" i="6"/>
  <c r="G295" i="6"/>
  <c r="G307" i="6"/>
  <c r="G317" i="6"/>
  <c r="G327" i="6"/>
  <c r="G339" i="6"/>
  <c r="G349" i="6"/>
  <c r="G359" i="6"/>
  <c r="G371" i="6"/>
  <c r="G381" i="6"/>
  <c r="G391" i="6"/>
  <c r="G403" i="6"/>
  <c r="G413" i="6"/>
  <c r="G423" i="6"/>
  <c r="G435" i="6"/>
  <c r="G445" i="6"/>
  <c r="G455" i="6"/>
  <c r="G467" i="6"/>
  <c r="G477" i="6"/>
  <c r="G487" i="6"/>
  <c r="G499" i="6"/>
  <c r="G509" i="6"/>
  <c r="G519" i="6"/>
  <c r="G531" i="6"/>
  <c r="G541" i="6"/>
  <c r="G551" i="6"/>
  <c r="G563" i="6"/>
  <c r="G573" i="6"/>
  <c r="G583" i="6"/>
  <c r="G595" i="6"/>
  <c r="G605" i="6"/>
  <c r="G615" i="6"/>
  <c r="G627" i="6"/>
  <c r="G637" i="6"/>
  <c r="G1019" i="6"/>
  <c r="G992" i="6"/>
  <c r="G968" i="6"/>
  <c r="G944" i="6"/>
  <c r="G920" i="6"/>
  <c r="G895" i="6"/>
  <c r="G871" i="6"/>
  <c r="G847" i="6"/>
  <c r="G822" i="6"/>
  <c r="G798" i="6"/>
  <c r="G774" i="6"/>
  <c r="G750" i="6"/>
  <c r="G725" i="6"/>
  <c r="G701" i="6"/>
  <c r="G688" i="6"/>
  <c r="G677" i="6"/>
  <c r="G664" i="6"/>
  <c r="G639" i="6"/>
  <c r="G624" i="6"/>
  <c r="G612" i="6"/>
  <c r="G582" i="6"/>
  <c r="G568" i="6"/>
  <c r="G555" i="6"/>
  <c r="G526" i="6"/>
  <c r="G511" i="6"/>
  <c r="G496" i="6"/>
  <c r="G469" i="6"/>
  <c r="G454" i="6"/>
  <c r="G427" i="6"/>
  <c r="G412" i="6"/>
  <c r="G383" i="6"/>
  <c r="G368" i="6"/>
  <c r="G356" i="6"/>
  <c r="G326" i="6"/>
  <c r="G312" i="6"/>
  <c r="G299" i="6"/>
  <c r="G270" i="6"/>
  <c r="G255" i="6"/>
  <c r="G240" i="6"/>
  <c r="G213" i="6"/>
  <c r="G198" i="6"/>
  <c r="G184" i="6"/>
  <c r="G156" i="6"/>
  <c r="G142" i="6"/>
  <c r="G112" i="6"/>
  <c r="G100" i="6"/>
  <c r="G70" i="6"/>
  <c r="G43" i="6"/>
  <c r="K901" i="6"/>
  <c r="G1014" i="6"/>
  <c r="G1003" i="6"/>
  <c r="G990" i="6"/>
  <c r="G979" i="6"/>
  <c r="G966" i="6"/>
  <c r="G955" i="6"/>
  <c r="G942" i="6"/>
  <c r="G928" i="6"/>
  <c r="G917" i="6"/>
  <c r="G904" i="6"/>
  <c r="G893" i="6"/>
  <c r="G880" i="6"/>
  <c r="G869" i="6"/>
  <c r="G856" i="6"/>
  <c r="G844" i="6"/>
  <c r="G831" i="6"/>
  <c r="G820" i="6"/>
  <c r="G807" i="6"/>
  <c r="G796" i="6"/>
  <c r="G783" i="6"/>
  <c r="G772" i="6"/>
  <c r="G758" i="6"/>
  <c r="G747" i="6"/>
  <c r="G734" i="6"/>
  <c r="G723" i="6"/>
  <c r="G710" i="6"/>
  <c r="G699" i="6"/>
  <c r="G686" i="6"/>
  <c r="G672" i="6"/>
  <c r="G661" i="6"/>
  <c r="G648" i="6"/>
  <c r="G636" i="6"/>
  <c r="G622" i="6"/>
  <c r="G607" i="6"/>
  <c r="G592" i="6"/>
  <c r="G580" i="6"/>
  <c r="G565" i="6"/>
  <c r="G550" i="6"/>
  <c r="G536" i="6"/>
  <c r="G523" i="6"/>
  <c r="G508" i="6"/>
  <c r="G494" i="6"/>
  <c r="G479" i="6"/>
  <c r="G464" i="6"/>
  <c r="G452" i="6"/>
  <c r="G437" i="6"/>
  <c r="G422" i="6"/>
  <c r="G408" i="6"/>
  <c r="G395" i="6"/>
  <c r="G380" i="6"/>
  <c r="G366" i="6"/>
  <c r="G351" i="6"/>
  <c r="G336" i="6"/>
  <c r="G324" i="6"/>
  <c r="G309" i="6"/>
  <c r="G294" i="6"/>
  <c r="G280" i="6"/>
  <c r="G267" i="6"/>
  <c r="G252" i="6"/>
  <c r="G238" i="6"/>
  <c r="G223" i="6"/>
  <c r="G208" i="6"/>
  <c r="G196" i="6"/>
  <c r="G181" i="6"/>
  <c r="G166" i="6"/>
  <c r="G152" i="6"/>
  <c r="G139" i="6"/>
  <c r="G124" i="6"/>
  <c r="G110" i="6"/>
  <c r="G95" i="6"/>
  <c r="G80" i="6"/>
  <c r="G68" i="6"/>
  <c r="G53" i="6"/>
  <c r="G38" i="6"/>
  <c r="G24" i="6"/>
  <c r="K1012" i="6"/>
  <c r="K997" i="6"/>
  <c r="K983" i="6"/>
  <c r="K968" i="6"/>
  <c r="K953" i="6"/>
  <c r="K941" i="6"/>
  <c r="K926" i="6"/>
  <c r="K911" i="6"/>
  <c r="K897" i="6"/>
  <c r="K884" i="6"/>
  <c r="K869" i="6"/>
  <c r="K855" i="6"/>
  <c r="K840" i="6"/>
  <c r="K823" i="6"/>
  <c r="K809" i="6"/>
  <c r="K792" i="6"/>
  <c r="K775" i="6"/>
  <c r="K759" i="6"/>
  <c r="K744" i="6"/>
  <c r="K727" i="6"/>
  <c r="K711" i="6"/>
  <c r="K694" i="6"/>
  <c r="K677" i="6"/>
  <c r="K663" i="6"/>
  <c r="K646" i="6"/>
  <c r="K629" i="6"/>
  <c r="K613" i="6"/>
  <c r="K598" i="6"/>
  <c r="K581" i="6"/>
  <c r="K565" i="6"/>
  <c r="K548" i="6"/>
  <c r="K530" i="6"/>
  <c r="K517" i="6"/>
  <c r="K500" i="6"/>
  <c r="K477" i="6"/>
  <c r="K456" i="6"/>
  <c r="K437" i="6"/>
  <c r="K413" i="6"/>
  <c r="K392" i="6"/>
  <c r="K369" i="6"/>
  <c r="K346" i="6"/>
  <c r="K328" i="6"/>
  <c r="K305" i="6"/>
  <c r="K282" i="6"/>
  <c r="K261" i="6"/>
  <c r="K241" i="6"/>
  <c r="K217" i="6"/>
  <c r="K193" i="6"/>
  <c r="K165" i="6"/>
  <c r="K140" i="6"/>
  <c r="K118" i="6"/>
  <c r="K90" i="6"/>
  <c r="K65" i="6"/>
  <c r="K38" i="6"/>
  <c r="O1017" i="6"/>
  <c r="O991" i="6"/>
  <c r="O965" i="6"/>
  <c r="O938" i="6"/>
  <c r="O907" i="6"/>
  <c r="O878" i="6"/>
  <c r="O847" i="6"/>
  <c r="O813" i="6"/>
  <c r="O783" i="6"/>
  <c r="O755" i="6"/>
  <c r="O725" i="6"/>
  <c r="O695" i="6"/>
  <c r="O665" i="6"/>
  <c r="O627" i="6"/>
  <c r="O592" i="6"/>
  <c r="O540" i="6"/>
  <c r="O498" i="6"/>
  <c r="O449" i="6"/>
  <c r="O394" i="6"/>
  <c r="O336" i="6"/>
  <c r="O284" i="6"/>
  <c r="O220" i="6"/>
  <c r="O160" i="6"/>
  <c r="O100" i="6"/>
  <c r="O34" i="6"/>
  <c r="S941" i="6"/>
  <c r="S833" i="6"/>
  <c r="S672" i="6"/>
  <c r="S440" i="6"/>
  <c r="S190" i="6"/>
  <c r="O27" i="6"/>
  <c r="O35" i="6"/>
  <c r="O43" i="6"/>
  <c r="O51" i="6"/>
  <c r="O59" i="6"/>
  <c r="O67" i="6"/>
  <c r="O75" i="6"/>
  <c r="O83" i="6"/>
  <c r="O91" i="6"/>
  <c r="O99" i="6"/>
  <c r="O107" i="6"/>
  <c r="O115" i="6"/>
  <c r="O123" i="6"/>
  <c r="O131" i="6"/>
  <c r="O139" i="6"/>
  <c r="O147" i="6"/>
  <c r="O155" i="6"/>
  <c r="O163" i="6"/>
  <c r="O171" i="6"/>
  <c r="O179" i="6"/>
  <c r="O187" i="6"/>
  <c r="O195" i="6"/>
  <c r="O203" i="6"/>
  <c r="O211" i="6"/>
  <c r="O219" i="6"/>
  <c r="O227" i="6"/>
  <c r="O235" i="6"/>
  <c r="O243" i="6"/>
  <c r="O251" i="6"/>
  <c r="O259" i="6"/>
  <c r="O267" i="6"/>
  <c r="O275" i="6"/>
  <c r="O283" i="6"/>
  <c r="O291" i="6"/>
  <c r="O299" i="6"/>
  <c r="O307" i="6"/>
  <c r="O315" i="6"/>
  <c r="O323" i="6"/>
  <c r="O331" i="6"/>
  <c r="O339" i="6"/>
  <c r="O347" i="6"/>
  <c r="O355" i="6"/>
  <c r="O363" i="6"/>
  <c r="O371" i="6"/>
  <c r="O379" i="6"/>
  <c r="O387" i="6"/>
  <c r="O395" i="6"/>
  <c r="O30" i="6"/>
  <c r="O39" i="6"/>
  <c r="O48" i="6"/>
  <c r="O57" i="6"/>
  <c r="O66" i="6"/>
  <c r="O76" i="6"/>
  <c r="O85" i="6"/>
  <c r="O94" i="6"/>
  <c r="O103" i="6"/>
  <c r="O112" i="6"/>
  <c r="O121" i="6"/>
  <c r="O130" i="6"/>
  <c r="O140" i="6"/>
  <c r="O149" i="6"/>
  <c r="O158" i="6"/>
  <c r="O167" i="6"/>
  <c r="O176" i="6"/>
  <c r="O185" i="6"/>
  <c r="O194" i="6"/>
  <c r="O204" i="6"/>
  <c r="O213" i="6"/>
  <c r="O222" i="6"/>
  <c r="O231" i="6"/>
  <c r="O240" i="6"/>
  <c r="O249" i="6"/>
  <c r="O258" i="6"/>
  <c r="O268" i="6"/>
  <c r="O277" i="6"/>
  <c r="O286" i="6"/>
  <c r="O295" i="6"/>
  <c r="O304" i="6"/>
  <c r="O313" i="6"/>
  <c r="O322" i="6"/>
  <c r="O332" i="6"/>
  <c r="O341" i="6"/>
  <c r="O350" i="6"/>
  <c r="O359" i="6"/>
  <c r="O368" i="6"/>
  <c r="O377" i="6"/>
  <c r="O386" i="6"/>
  <c r="O396" i="6"/>
  <c r="O404" i="6"/>
  <c r="O412" i="6"/>
  <c r="O420" i="6"/>
  <c r="O428" i="6"/>
  <c r="O436" i="6"/>
  <c r="O444" i="6"/>
  <c r="O452" i="6"/>
  <c r="O460" i="6"/>
  <c r="O468" i="6"/>
  <c r="O476" i="6"/>
  <c r="O31" i="6"/>
  <c r="O41" i="6"/>
  <c r="O52" i="6"/>
  <c r="O62" i="6"/>
  <c r="O72" i="6"/>
  <c r="O82" i="6"/>
  <c r="O93" i="6"/>
  <c r="O104" i="6"/>
  <c r="O114" i="6"/>
  <c r="O125" i="6"/>
  <c r="O135" i="6"/>
  <c r="O145" i="6"/>
  <c r="O156" i="6"/>
  <c r="O166" i="6"/>
  <c r="O177" i="6"/>
  <c r="O188" i="6"/>
  <c r="O198" i="6"/>
  <c r="O208" i="6"/>
  <c r="O218" i="6"/>
  <c r="O229" i="6"/>
  <c r="O239" i="6"/>
  <c r="O250" i="6"/>
  <c r="O261" i="6"/>
  <c r="O271" i="6"/>
  <c r="O281" i="6"/>
  <c r="O292" i="6"/>
  <c r="O302" i="6"/>
  <c r="O312" i="6"/>
  <c r="O324" i="6"/>
  <c r="O334" i="6"/>
  <c r="O344" i="6"/>
  <c r="O354" i="6"/>
  <c r="O365" i="6"/>
  <c r="O375" i="6"/>
  <c r="O385" i="6"/>
  <c r="O397" i="6"/>
  <c r="O406" i="6"/>
  <c r="O415" i="6"/>
  <c r="O424" i="6"/>
  <c r="O433" i="6"/>
  <c r="O442" i="6"/>
  <c r="O451" i="6"/>
  <c r="O461" i="6"/>
  <c r="O470" i="6"/>
  <c r="O479" i="6"/>
  <c r="O487" i="6"/>
  <c r="O495" i="6"/>
  <c r="O503" i="6"/>
  <c r="O511" i="6"/>
  <c r="O519" i="6"/>
  <c r="O527" i="6"/>
  <c r="O535" i="6"/>
  <c r="O543" i="6"/>
  <c r="O551" i="6"/>
  <c r="O559" i="6"/>
  <c r="O29" i="6"/>
  <c r="O42" i="6"/>
  <c r="O54" i="6"/>
  <c r="O65" i="6"/>
  <c r="O78" i="6"/>
  <c r="O89" i="6"/>
  <c r="O101" i="6"/>
  <c r="O113" i="6"/>
  <c r="O126" i="6"/>
  <c r="O137" i="6"/>
  <c r="O150" i="6"/>
  <c r="O161" i="6"/>
  <c r="O173" i="6"/>
  <c r="O184" i="6"/>
  <c r="O197" i="6"/>
  <c r="O209" i="6"/>
  <c r="O221" i="6"/>
  <c r="O233" i="6"/>
  <c r="O245" i="6"/>
  <c r="O256" i="6"/>
  <c r="O269" i="6"/>
  <c r="O280" i="6"/>
  <c r="O293" i="6"/>
  <c r="O305" i="6"/>
  <c r="O317" i="6"/>
  <c r="O328" i="6"/>
  <c r="O340" i="6"/>
  <c r="O352" i="6"/>
  <c r="O364" i="6"/>
  <c r="O376" i="6"/>
  <c r="O389" i="6"/>
  <c r="O400" i="6"/>
  <c r="O410" i="6"/>
  <c r="O421" i="6"/>
  <c r="O431" i="6"/>
  <c r="O441" i="6"/>
  <c r="O453" i="6"/>
  <c r="O463" i="6"/>
  <c r="O473" i="6"/>
  <c r="O483" i="6"/>
  <c r="O492" i="6"/>
  <c r="O501" i="6"/>
  <c r="O510" i="6"/>
  <c r="O520" i="6"/>
  <c r="O529" i="6"/>
  <c r="O538" i="6"/>
  <c r="O547" i="6"/>
  <c r="O556" i="6"/>
  <c r="O565" i="6"/>
  <c r="O573" i="6"/>
  <c r="O581" i="6"/>
  <c r="O589" i="6"/>
  <c r="O597" i="6"/>
  <c r="O605" i="6"/>
  <c r="O613" i="6"/>
  <c r="O621" i="6"/>
  <c r="O629" i="6"/>
  <c r="O637" i="6"/>
  <c r="O645" i="6"/>
  <c r="O653" i="6"/>
  <c r="O32" i="6"/>
  <c r="O44" i="6"/>
  <c r="O55" i="6"/>
  <c r="O68" i="6"/>
  <c r="O79" i="6"/>
  <c r="O90" i="6"/>
  <c r="O102" i="6"/>
  <c r="O116" i="6"/>
  <c r="O127" i="6"/>
  <c r="O138" i="6"/>
  <c r="O151" i="6"/>
  <c r="O162" i="6"/>
  <c r="O174" i="6"/>
  <c r="O186" i="6"/>
  <c r="O199" i="6"/>
  <c r="O210" i="6"/>
  <c r="O223" i="6"/>
  <c r="O234" i="6"/>
  <c r="O246" i="6"/>
  <c r="O257" i="6"/>
  <c r="O270" i="6"/>
  <c r="O282" i="6"/>
  <c r="O294" i="6"/>
  <c r="O306" i="6"/>
  <c r="O318" i="6"/>
  <c r="O329" i="6"/>
  <c r="O342" i="6"/>
  <c r="O353" i="6"/>
  <c r="O366" i="6"/>
  <c r="O378" i="6"/>
  <c r="O390" i="6"/>
  <c r="O401" i="6"/>
  <c r="O411" i="6"/>
  <c r="O422" i="6"/>
  <c r="O432" i="6"/>
  <c r="O443" i="6"/>
  <c r="O454" i="6"/>
  <c r="O464" i="6"/>
  <c r="O474" i="6"/>
  <c r="O484" i="6"/>
  <c r="O493" i="6"/>
  <c r="M493" i="6" s="1"/>
  <c r="O502" i="6"/>
  <c r="O512" i="6"/>
  <c r="O521" i="6"/>
  <c r="O530" i="6"/>
  <c r="O539" i="6"/>
  <c r="O548" i="6"/>
  <c r="O557" i="6"/>
  <c r="O566" i="6"/>
  <c r="O574" i="6"/>
  <c r="O582" i="6"/>
  <c r="O590" i="6"/>
  <c r="O598" i="6"/>
  <c r="O606" i="6"/>
  <c r="O614" i="6"/>
  <c r="O622" i="6"/>
  <c r="O630" i="6"/>
  <c r="O638" i="6"/>
  <c r="O646" i="6"/>
  <c r="O24" i="6"/>
  <c r="O38" i="6"/>
  <c r="O56" i="6"/>
  <c r="O71" i="6"/>
  <c r="O87" i="6"/>
  <c r="O105" i="6"/>
  <c r="M105" i="6" s="1"/>
  <c r="O119" i="6"/>
  <c r="O134" i="6"/>
  <c r="O152" i="6"/>
  <c r="O168" i="6"/>
  <c r="O182" i="6"/>
  <c r="O200" i="6"/>
  <c r="O215" i="6"/>
  <c r="O230" i="6"/>
  <c r="O247" i="6"/>
  <c r="O263" i="6"/>
  <c r="O278" i="6"/>
  <c r="O296" i="6"/>
  <c r="O310" i="6"/>
  <c r="O326" i="6"/>
  <c r="O343" i="6"/>
  <c r="O358" i="6"/>
  <c r="O373" i="6"/>
  <c r="O391" i="6"/>
  <c r="O405" i="6"/>
  <c r="O418" i="6"/>
  <c r="O434" i="6"/>
  <c r="O447" i="6"/>
  <c r="O459" i="6"/>
  <c r="O475" i="6"/>
  <c r="O488" i="6"/>
  <c r="O499" i="6"/>
  <c r="O513" i="6"/>
  <c r="O524" i="6"/>
  <c r="O536" i="6"/>
  <c r="O549" i="6"/>
  <c r="O561" i="6"/>
  <c r="O571" i="6"/>
  <c r="O583" i="6"/>
  <c r="O593" i="6"/>
  <c r="O603" i="6"/>
  <c r="O615" i="6"/>
  <c r="O625" i="6"/>
  <c r="O635" i="6"/>
  <c r="O647" i="6"/>
  <c r="O656" i="6"/>
  <c r="O664" i="6"/>
  <c r="O672" i="6"/>
  <c r="O680" i="6"/>
  <c r="O688" i="6"/>
  <c r="O696" i="6"/>
  <c r="O704" i="6"/>
  <c r="O712" i="6"/>
  <c r="O720" i="6"/>
  <c r="O728" i="6"/>
  <c r="O736" i="6"/>
  <c r="O744" i="6"/>
  <c r="O752" i="6"/>
  <c r="O760" i="6"/>
  <c r="O768" i="6"/>
  <c r="O776" i="6"/>
  <c r="O784" i="6"/>
  <c r="O792" i="6"/>
  <c r="O800" i="6"/>
  <c r="O808" i="6"/>
  <c r="O816" i="6"/>
  <c r="O824" i="6"/>
  <c r="O832" i="6"/>
  <c r="O840" i="6"/>
  <c r="O848" i="6"/>
  <c r="O856" i="6"/>
  <c r="O864" i="6"/>
  <c r="O872" i="6"/>
  <c r="O880" i="6"/>
  <c r="O888" i="6"/>
  <c r="O896" i="6"/>
  <c r="O904" i="6"/>
  <c r="O912" i="6"/>
  <c r="M912" i="6" s="1"/>
  <c r="O920" i="6"/>
  <c r="O928" i="6"/>
  <c r="O936" i="6"/>
  <c r="O944" i="6"/>
  <c r="O952" i="6"/>
  <c r="O960" i="6"/>
  <c r="O968" i="6"/>
  <c r="O976" i="6"/>
  <c r="O984" i="6"/>
  <c r="O992" i="6"/>
  <c r="O1000" i="6"/>
  <c r="O1008" i="6"/>
  <c r="O1016" i="6"/>
  <c r="K23" i="6"/>
  <c r="K31" i="6"/>
  <c r="K39" i="6"/>
  <c r="K47" i="6"/>
  <c r="K55" i="6"/>
  <c r="K63" i="6"/>
  <c r="K71" i="6"/>
  <c r="K79" i="6"/>
  <c r="K87" i="6"/>
  <c r="K95" i="6"/>
  <c r="K103" i="6"/>
  <c r="K111" i="6"/>
  <c r="K119" i="6"/>
  <c r="K127" i="6"/>
  <c r="K135" i="6"/>
  <c r="K143" i="6"/>
  <c r="K151" i="6"/>
  <c r="K159" i="6"/>
  <c r="K167" i="6"/>
  <c r="K175" i="6"/>
  <c r="K183" i="6"/>
  <c r="K191" i="6"/>
  <c r="K199" i="6"/>
  <c r="K207" i="6"/>
  <c r="K215" i="6"/>
  <c r="K223" i="6"/>
  <c r="K231" i="6"/>
  <c r="K239" i="6"/>
  <c r="K247" i="6"/>
  <c r="K255" i="6"/>
  <c r="K263" i="6"/>
  <c r="K271" i="6"/>
  <c r="K279" i="6"/>
  <c r="K287" i="6"/>
  <c r="K295" i="6"/>
  <c r="K303" i="6"/>
  <c r="K311" i="6"/>
  <c r="K319" i="6"/>
  <c r="K327" i="6"/>
  <c r="K335" i="6"/>
  <c r="K343" i="6"/>
  <c r="K351" i="6"/>
  <c r="K359" i="6"/>
  <c r="K367" i="6"/>
  <c r="K375" i="6"/>
  <c r="K383" i="6"/>
  <c r="K391" i="6"/>
  <c r="K399" i="6"/>
  <c r="K407" i="6"/>
  <c r="K415" i="6"/>
  <c r="K423" i="6"/>
  <c r="K431" i="6"/>
  <c r="K439" i="6"/>
  <c r="K447" i="6"/>
  <c r="K455" i="6"/>
  <c r="K463" i="6"/>
  <c r="K471" i="6"/>
  <c r="K479" i="6"/>
  <c r="K487" i="6"/>
  <c r="K495" i="6"/>
  <c r="O33" i="6"/>
  <c r="O47" i="6"/>
  <c r="O63" i="6"/>
  <c r="O80" i="6"/>
  <c r="O96" i="6"/>
  <c r="O110" i="6"/>
  <c r="O128" i="6"/>
  <c r="O143" i="6"/>
  <c r="O159" i="6"/>
  <c r="O175" i="6"/>
  <c r="O191" i="6"/>
  <c r="O206" i="6"/>
  <c r="O224" i="6"/>
  <c r="O238" i="6"/>
  <c r="O254" i="6"/>
  <c r="O272" i="6"/>
  <c r="O287" i="6"/>
  <c r="O301" i="6"/>
  <c r="O319" i="6"/>
  <c r="O335" i="6"/>
  <c r="O349" i="6"/>
  <c r="O367" i="6"/>
  <c r="O382" i="6"/>
  <c r="M382" i="6" s="1"/>
  <c r="O398" i="6"/>
  <c r="O413" i="6"/>
  <c r="O426" i="6"/>
  <c r="O439" i="6"/>
  <c r="O455" i="6"/>
  <c r="O467" i="6"/>
  <c r="O481" i="6"/>
  <c r="O494" i="6"/>
  <c r="O506" i="6"/>
  <c r="O517" i="6"/>
  <c r="O531" i="6"/>
  <c r="O542" i="6"/>
  <c r="O554" i="6"/>
  <c r="O567" i="6"/>
  <c r="O577" i="6"/>
  <c r="O587" i="6"/>
  <c r="O599" i="6"/>
  <c r="O609" i="6"/>
  <c r="O619" i="6"/>
  <c r="O631" i="6"/>
  <c r="O641" i="6"/>
  <c r="O651" i="6"/>
  <c r="O660" i="6"/>
  <c r="O668" i="6"/>
  <c r="O676" i="6"/>
  <c r="O684" i="6"/>
  <c r="O692" i="6"/>
  <c r="O700" i="6"/>
  <c r="O708" i="6"/>
  <c r="O716" i="6"/>
  <c r="O724" i="6"/>
  <c r="O732" i="6"/>
  <c r="O740" i="6"/>
  <c r="O748" i="6"/>
  <c r="O756" i="6"/>
  <c r="O764" i="6"/>
  <c r="O772" i="6"/>
  <c r="O780" i="6"/>
  <c r="O788" i="6"/>
  <c r="O796" i="6"/>
  <c r="M796" i="6" s="1"/>
  <c r="O804" i="6"/>
  <c r="O812" i="6"/>
  <c r="O820" i="6"/>
  <c r="O828" i="6"/>
  <c r="O836" i="6"/>
  <c r="O844" i="6"/>
  <c r="O852" i="6"/>
  <c r="O860" i="6"/>
  <c r="M860" i="6" s="1"/>
  <c r="O868" i="6"/>
  <c r="O876" i="6"/>
  <c r="O884" i="6"/>
  <c r="O892" i="6"/>
  <c r="O900" i="6"/>
  <c r="O908" i="6"/>
  <c r="O916" i="6"/>
  <c r="O924" i="6"/>
  <c r="M924" i="6" s="1"/>
  <c r="O932" i="6"/>
  <c r="O940" i="6"/>
  <c r="O948" i="6"/>
  <c r="O956" i="6"/>
  <c r="O964" i="6"/>
  <c r="O972" i="6"/>
  <c r="O980" i="6"/>
  <c r="O988" i="6"/>
  <c r="M988" i="6" s="1"/>
  <c r="O996" i="6"/>
  <c r="O1004" i="6"/>
  <c r="O1012" i="6"/>
  <c r="O1020" i="6"/>
  <c r="K27" i="6"/>
  <c r="K35" i="6"/>
  <c r="K43" i="6"/>
  <c r="K51" i="6"/>
  <c r="K59" i="6"/>
  <c r="K67" i="6"/>
  <c r="K75" i="6"/>
  <c r="K83" i="6"/>
  <c r="K91" i="6"/>
  <c r="K99" i="6"/>
  <c r="K107" i="6"/>
  <c r="K115" i="6"/>
  <c r="K123" i="6"/>
  <c r="K131" i="6"/>
  <c r="K139" i="6"/>
  <c r="K147" i="6"/>
  <c r="K155" i="6"/>
  <c r="K163" i="6"/>
  <c r="K171" i="6"/>
  <c r="K179" i="6"/>
  <c r="K187" i="6"/>
  <c r="K195" i="6"/>
  <c r="K203" i="6"/>
  <c r="K211" i="6"/>
  <c r="K219" i="6"/>
  <c r="K227" i="6"/>
  <c r="K235" i="6"/>
  <c r="K243" i="6"/>
  <c r="K251" i="6"/>
  <c r="K259" i="6"/>
  <c r="K267" i="6"/>
  <c r="K275" i="6"/>
  <c r="K283" i="6"/>
  <c r="K291" i="6"/>
  <c r="K299" i="6"/>
  <c r="K307" i="6"/>
  <c r="K315" i="6"/>
  <c r="K323" i="6"/>
  <c r="K331" i="6"/>
  <c r="K339" i="6"/>
  <c r="K347" i="6"/>
  <c r="K355" i="6"/>
  <c r="K363" i="6"/>
  <c r="K371" i="6"/>
  <c r="K379" i="6"/>
  <c r="K387" i="6"/>
  <c r="K395" i="6"/>
  <c r="K403" i="6"/>
  <c r="K411" i="6"/>
  <c r="K419" i="6"/>
  <c r="K427" i="6"/>
  <c r="K435" i="6"/>
  <c r="K443" i="6"/>
  <c r="K451" i="6"/>
  <c r="K459" i="6"/>
  <c r="K467" i="6"/>
  <c r="K475" i="6"/>
  <c r="K483" i="6"/>
  <c r="K491" i="6"/>
  <c r="O22" i="6"/>
  <c r="M22" i="6" s="1"/>
  <c r="O40" i="6"/>
  <c r="O61" i="6"/>
  <c r="O84" i="6"/>
  <c r="O106" i="6"/>
  <c r="O124" i="6"/>
  <c r="O146" i="6"/>
  <c r="O169" i="6"/>
  <c r="O190" i="6"/>
  <c r="M190" i="6" s="1"/>
  <c r="O212" i="6"/>
  <c r="O232" i="6"/>
  <c r="O253" i="6"/>
  <c r="O274" i="6"/>
  <c r="O297" i="6"/>
  <c r="O316" i="6"/>
  <c r="O337" i="6"/>
  <c r="O360" i="6"/>
  <c r="O381" i="6"/>
  <c r="O402" i="6"/>
  <c r="O419" i="6"/>
  <c r="O438" i="6"/>
  <c r="O457" i="6"/>
  <c r="O477" i="6"/>
  <c r="O491" i="6"/>
  <c r="O508" i="6"/>
  <c r="M508" i="6" s="1"/>
  <c r="O525" i="6"/>
  <c r="O541" i="6"/>
  <c r="O558" i="6"/>
  <c r="O572" i="6"/>
  <c r="O586" i="6"/>
  <c r="O601" i="6"/>
  <c r="O616" i="6"/>
  <c r="O628" i="6"/>
  <c r="M628" i="6" s="1"/>
  <c r="O643" i="6"/>
  <c r="O657" i="6"/>
  <c r="O667" i="6"/>
  <c r="O678" i="6"/>
  <c r="O689" i="6"/>
  <c r="O699" i="6"/>
  <c r="O710" i="6"/>
  <c r="O721" i="6"/>
  <c r="M721" i="6" s="1"/>
  <c r="O731" i="6"/>
  <c r="O742" i="6"/>
  <c r="O753" i="6"/>
  <c r="O763" i="6"/>
  <c r="O774" i="6"/>
  <c r="O785" i="6"/>
  <c r="O795" i="6"/>
  <c r="O806" i="6"/>
  <c r="M806" i="6" s="1"/>
  <c r="O817" i="6"/>
  <c r="O827" i="6"/>
  <c r="O838" i="6"/>
  <c r="O849" i="6"/>
  <c r="O859" i="6"/>
  <c r="O870" i="6"/>
  <c r="O881" i="6"/>
  <c r="O891" i="6"/>
  <c r="M891" i="6" s="1"/>
  <c r="O902" i="6"/>
  <c r="O913" i="6"/>
  <c r="O923" i="6"/>
  <c r="O934" i="6"/>
  <c r="O945" i="6"/>
  <c r="O955" i="6"/>
  <c r="O966" i="6"/>
  <c r="O977" i="6"/>
  <c r="M977" i="6" s="1"/>
  <c r="O987" i="6"/>
  <c r="O998" i="6"/>
  <c r="O1009" i="6"/>
  <c r="O1019" i="6"/>
  <c r="K29" i="6"/>
  <c r="K40" i="6"/>
  <c r="K50" i="6"/>
  <c r="K61" i="6"/>
  <c r="K72" i="6"/>
  <c r="K82" i="6"/>
  <c r="K93" i="6"/>
  <c r="K104" i="6"/>
  <c r="K114" i="6"/>
  <c r="K125" i="6"/>
  <c r="K136" i="6"/>
  <c r="K146" i="6"/>
  <c r="K157" i="6"/>
  <c r="K168" i="6"/>
  <c r="K178" i="6"/>
  <c r="K189" i="6"/>
  <c r="K200" i="6"/>
  <c r="K210" i="6"/>
  <c r="K221" i="6"/>
  <c r="O23" i="6"/>
  <c r="M23" i="6" s="1"/>
  <c r="O45" i="6"/>
  <c r="O64" i="6"/>
  <c r="O86" i="6"/>
  <c r="O108" i="6"/>
  <c r="O129" i="6"/>
  <c r="O148" i="6"/>
  <c r="O170" i="6"/>
  <c r="O192" i="6"/>
  <c r="M192" i="6" s="1"/>
  <c r="O214" i="6"/>
  <c r="O236" i="6"/>
  <c r="O255" i="6"/>
  <c r="O276" i="6"/>
  <c r="O298" i="6"/>
  <c r="O320" i="6"/>
  <c r="O338" i="6"/>
  <c r="O361" i="6"/>
  <c r="M361" i="6" s="1"/>
  <c r="O383" i="6"/>
  <c r="O403" i="6"/>
  <c r="O423" i="6"/>
  <c r="O440" i="6"/>
  <c r="O458" i="6"/>
  <c r="O478" i="6"/>
  <c r="O496" i="6"/>
  <c r="O509" i="6"/>
  <c r="O526" i="6"/>
  <c r="O544" i="6"/>
  <c r="O560" i="6"/>
  <c r="O575" i="6"/>
  <c r="O588" i="6"/>
  <c r="O602" i="6"/>
  <c r="O617" i="6"/>
  <c r="O632" i="6"/>
  <c r="M632" i="6" s="1"/>
  <c r="O644" i="6"/>
  <c r="O658" i="6"/>
  <c r="O669" i="6"/>
  <c r="O679" i="6"/>
  <c r="O690" i="6"/>
  <c r="O701" i="6"/>
  <c r="O711" i="6"/>
  <c r="O722" i="6"/>
  <c r="M722" i="6" s="1"/>
  <c r="O733" i="6"/>
  <c r="O743" i="6"/>
  <c r="O754" i="6"/>
  <c r="O765" i="6"/>
  <c r="O775" i="6"/>
  <c r="O786" i="6"/>
  <c r="O797" i="6"/>
  <c r="O807" i="6"/>
  <c r="M807" i="6" s="1"/>
  <c r="O818" i="6"/>
  <c r="O829" i="6"/>
  <c r="O839" i="6"/>
  <c r="O850" i="6"/>
  <c r="O861" i="6"/>
  <c r="O871" i="6"/>
  <c r="O882" i="6"/>
  <c r="O893" i="6"/>
  <c r="M893" i="6" s="1"/>
  <c r="O903" i="6"/>
  <c r="O914" i="6"/>
  <c r="O925" i="6"/>
  <c r="O935" i="6"/>
  <c r="O946" i="6"/>
  <c r="O957" i="6"/>
  <c r="O967" i="6"/>
  <c r="O978" i="6"/>
  <c r="M978" i="6" s="1"/>
  <c r="O989" i="6"/>
  <c r="O999" i="6"/>
  <c r="O1010" i="6"/>
  <c r="O21" i="6"/>
  <c r="K30" i="6"/>
  <c r="K41" i="6"/>
  <c r="K52" i="6"/>
  <c r="K62" i="6"/>
  <c r="K73" i="6"/>
  <c r="K84" i="6"/>
  <c r="K94" i="6"/>
  <c r="K105" i="6"/>
  <c r="K116" i="6"/>
  <c r="K126" i="6"/>
  <c r="K137" i="6"/>
  <c r="K148" i="6"/>
  <c r="K158" i="6"/>
  <c r="K169" i="6"/>
  <c r="K180" i="6"/>
  <c r="K190" i="6"/>
  <c r="K201" i="6"/>
  <c r="K212" i="6"/>
  <c r="K222" i="6"/>
  <c r="K233" i="6"/>
  <c r="K244" i="6"/>
  <c r="K254" i="6"/>
  <c r="K265" i="6"/>
  <c r="K276" i="6"/>
  <c r="K286" i="6"/>
  <c r="K297" i="6"/>
  <c r="K308" i="6"/>
  <c r="K318" i="6"/>
  <c r="K329" i="6"/>
  <c r="K340" i="6"/>
  <c r="K350" i="6"/>
  <c r="K361" i="6"/>
  <c r="K372" i="6"/>
  <c r="K382" i="6"/>
  <c r="K393" i="6"/>
  <c r="K404" i="6"/>
  <c r="K414" i="6"/>
  <c r="K425" i="6"/>
  <c r="K436" i="6"/>
  <c r="K446" i="6"/>
  <c r="K457" i="6"/>
  <c r="K468" i="6"/>
  <c r="K478" i="6"/>
  <c r="K489" i="6"/>
  <c r="K499" i="6"/>
  <c r="K507" i="6"/>
  <c r="K515" i="6"/>
  <c r="K523" i="6"/>
  <c r="K531" i="6"/>
  <c r="K539" i="6"/>
  <c r="K547" i="6"/>
  <c r="K555" i="6"/>
  <c r="K563" i="6"/>
  <c r="K571" i="6"/>
  <c r="K579" i="6"/>
  <c r="K587" i="6"/>
  <c r="K595" i="6"/>
  <c r="K603" i="6"/>
  <c r="K611" i="6"/>
  <c r="K619" i="6"/>
  <c r="K627" i="6"/>
  <c r="K635" i="6"/>
  <c r="K643" i="6"/>
  <c r="K651" i="6"/>
  <c r="K659" i="6"/>
  <c r="K667" i="6"/>
  <c r="K675" i="6"/>
  <c r="K683" i="6"/>
  <c r="K691" i="6"/>
  <c r="K699" i="6"/>
  <c r="K707" i="6"/>
  <c r="K715" i="6"/>
  <c r="K723" i="6"/>
  <c r="K731" i="6"/>
  <c r="K739" i="6"/>
  <c r="K747" i="6"/>
  <c r="K755" i="6"/>
  <c r="K763" i="6"/>
  <c r="K771" i="6"/>
  <c r="K779" i="6"/>
  <c r="K787" i="6"/>
  <c r="K795" i="6"/>
  <c r="K803" i="6"/>
  <c r="K811" i="6"/>
  <c r="K819" i="6"/>
  <c r="K827" i="6"/>
  <c r="K835" i="6"/>
  <c r="K1019" i="6"/>
  <c r="K1011" i="6"/>
  <c r="K1003" i="6"/>
  <c r="K995" i="6"/>
  <c r="K987" i="6"/>
  <c r="K979" i="6"/>
  <c r="K971" i="6"/>
  <c r="K963" i="6"/>
  <c r="K955" i="6"/>
  <c r="K947" i="6"/>
  <c r="K939" i="6"/>
  <c r="K931" i="6"/>
  <c r="K923" i="6"/>
  <c r="K915" i="6"/>
  <c r="K907" i="6"/>
  <c r="K899" i="6"/>
  <c r="K891" i="6"/>
  <c r="K883" i="6"/>
  <c r="K875" i="6"/>
  <c r="K867" i="6"/>
  <c r="K859" i="6"/>
  <c r="K851" i="6"/>
  <c r="K843" i="6"/>
  <c r="K834" i="6"/>
  <c r="K825" i="6"/>
  <c r="K816" i="6"/>
  <c r="K807" i="6"/>
  <c r="K798" i="6"/>
  <c r="K789" i="6"/>
  <c r="K780" i="6"/>
  <c r="K770" i="6"/>
  <c r="K761" i="6"/>
  <c r="K752" i="6"/>
  <c r="K743" i="6"/>
  <c r="K734" i="6"/>
  <c r="K725" i="6"/>
  <c r="K716" i="6"/>
  <c r="K706" i="6"/>
  <c r="K697" i="6"/>
  <c r="K688" i="6"/>
  <c r="K679" i="6"/>
  <c r="K670" i="6"/>
  <c r="K661" i="6"/>
  <c r="K652" i="6"/>
  <c r="K642" i="6"/>
  <c r="K633" i="6"/>
  <c r="K624" i="6"/>
  <c r="K615" i="6"/>
  <c r="K606" i="6"/>
  <c r="K597" i="6"/>
  <c r="K588" i="6"/>
  <c r="K578" i="6"/>
  <c r="K569" i="6"/>
  <c r="K560" i="6"/>
  <c r="K551" i="6"/>
  <c r="K542" i="6"/>
  <c r="K533" i="6"/>
  <c r="K524" i="6"/>
  <c r="K514" i="6"/>
  <c r="K505" i="6"/>
  <c r="K496" i="6"/>
  <c r="K484" i="6"/>
  <c r="K472" i="6"/>
  <c r="K460" i="6"/>
  <c r="K448" i="6"/>
  <c r="K434" i="6"/>
  <c r="K422" i="6"/>
  <c r="K410" i="6"/>
  <c r="K398" i="6"/>
  <c r="K386" i="6"/>
  <c r="K374" i="6"/>
  <c r="K362" i="6"/>
  <c r="K349" i="6"/>
  <c r="K337" i="6"/>
  <c r="K325" i="6"/>
  <c r="K313" i="6"/>
  <c r="K301" i="6"/>
  <c r="K289" i="6"/>
  <c r="K277" i="6"/>
  <c r="K264" i="6"/>
  <c r="K252" i="6"/>
  <c r="K240" i="6"/>
  <c r="K228" i="6"/>
  <c r="K214" i="6"/>
  <c r="K198" i="6"/>
  <c r="K185" i="6"/>
  <c r="K172" i="6"/>
  <c r="K156" i="6"/>
  <c r="K142" i="6"/>
  <c r="K129" i="6"/>
  <c r="K113" i="6"/>
  <c r="K100" i="6"/>
  <c r="K86" i="6"/>
  <c r="K70" i="6"/>
  <c r="K57" i="6"/>
  <c r="K44" i="6"/>
  <c r="K28" i="6"/>
  <c r="O1015" i="6"/>
  <c r="O1002" i="6"/>
  <c r="O986" i="6"/>
  <c r="O973" i="6"/>
  <c r="M973" i="6" s="1"/>
  <c r="O959" i="6"/>
  <c r="O943" i="6"/>
  <c r="O930" i="6"/>
  <c r="O917" i="6"/>
  <c r="O901" i="6"/>
  <c r="O887" i="6"/>
  <c r="O874" i="6"/>
  <c r="O858" i="6"/>
  <c r="M858" i="6" s="1"/>
  <c r="O845" i="6"/>
  <c r="O831" i="6"/>
  <c r="O815" i="6"/>
  <c r="O802" i="6"/>
  <c r="O789" i="6"/>
  <c r="O773" i="6"/>
  <c r="O759" i="6"/>
  <c r="O746" i="6"/>
  <c r="O730" i="6"/>
  <c r="O717" i="6"/>
  <c r="O703" i="6"/>
  <c r="O687" i="6"/>
  <c r="O674" i="6"/>
  <c r="O661" i="6"/>
  <c r="O642" i="6"/>
  <c r="O624" i="6"/>
  <c r="M624" i="6" s="1"/>
  <c r="O607" i="6"/>
  <c r="O585" i="6"/>
  <c r="O568" i="6"/>
  <c r="O546" i="6"/>
  <c r="O523" i="6"/>
  <c r="O504" i="6"/>
  <c r="O482" i="6"/>
  <c r="O456" i="6"/>
  <c r="M456" i="6" s="1"/>
  <c r="O430" i="6"/>
  <c r="O408" i="6"/>
  <c r="O380" i="6"/>
  <c r="O351" i="6"/>
  <c r="O325" i="6"/>
  <c r="O290" i="6"/>
  <c r="O265" i="6"/>
  <c r="O241" i="6"/>
  <c r="M241" i="6" s="1"/>
  <c r="O207" i="6"/>
  <c r="O181" i="6"/>
  <c r="O154" i="6"/>
  <c r="O122" i="6"/>
  <c r="O97" i="6"/>
  <c r="O70" i="6"/>
  <c r="O37" i="6"/>
  <c r="K1018" i="6"/>
  <c r="K1010" i="6"/>
  <c r="K1002" i="6"/>
  <c r="K994" i="6"/>
  <c r="K986" i="6"/>
  <c r="K978" i="6"/>
  <c r="K970" i="6"/>
  <c r="K962" i="6"/>
  <c r="K954" i="6"/>
  <c r="K946" i="6"/>
  <c r="K938" i="6"/>
  <c r="K930" i="6"/>
  <c r="K922" i="6"/>
  <c r="K914" i="6"/>
  <c r="K906" i="6"/>
  <c r="K898" i="6"/>
  <c r="K890" i="6"/>
  <c r="K882" i="6"/>
  <c r="K874" i="6"/>
  <c r="K866" i="6"/>
  <c r="K858" i="6"/>
  <c r="K850" i="6"/>
  <c r="K842" i="6"/>
  <c r="K833" i="6"/>
  <c r="K824" i="6"/>
  <c r="K815" i="6"/>
  <c r="K806" i="6"/>
  <c r="K797" i="6"/>
  <c r="K788" i="6"/>
  <c r="K778" i="6"/>
  <c r="K769" i="6"/>
  <c r="K760" i="6"/>
  <c r="K751" i="6"/>
  <c r="K742" i="6"/>
  <c r="K733" i="6"/>
  <c r="K724" i="6"/>
  <c r="K714" i="6"/>
  <c r="K705" i="6"/>
  <c r="K696" i="6"/>
  <c r="K687" i="6"/>
  <c r="K678" i="6"/>
  <c r="K669" i="6"/>
  <c r="K660" i="6"/>
  <c r="K650" i="6"/>
  <c r="K641" i="6"/>
  <c r="K632" i="6"/>
  <c r="K623" i="6"/>
  <c r="K614" i="6"/>
  <c r="K605" i="6"/>
  <c r="K596" i="6"/>
  <c r="K586" i="6"/>
  <c r="K577" i="6"/>
  <c r="K568" i="6"/>
  <c r="K559" i="6"/>
  <c r="K550" i="6"/>
  <c r="K541" i="6"/>
  <c r="K532" i="6"/>
  <c r="K522" i="6"/>
  <c r="K513" i="6"/>
  <c r="K504" i="6"/>
  <c r="K494" i="6"/>
  <c r="K482" i="6"/>
  <c r="K470" i="6"/>
  <c r="K458" i="6"/>
  <c r="K445" i="6"/>
  <c r="K433" i="6"/>
  <c r="K421" i="6"/>
  <c r="K409" i="6"/>
  <c r="K397" i="6"/>
  <c r="K385" i="6"/>
  <c r="K373" i="6"/>
  <c r="K360" i="6"/>
  <c r="K348" i="6"/>
  <c r="K336" i="6"/>
  <c r="K324" i="6"/>
  <c r="K312" i="6"/>
  <c r="K300" i="6"/>
  <c r="K288" i="6"/>
  <c r="K274" i="6"/>
  <c r="K262" i="6"/>
  <c r="K250" i="6"/>
  <c r="K238" i="6"/>
  <c r="K226" i="6"/>
  <c r="K213" i="6"/>
  <c r="K197" i="6"/>
  <c r="K184" i="6"/>
  <c r="K170" i="6"/>
  <c r="K154" i="6"/>
  <c r="K141" i="6"/>
  <c r="K128" i="6"/>
  <c r="K112" i="6"/>
  <c r="K98" i="6"/>
  <c r="K85" i="6"/>
  <c r="K69" i="6"/>
  <c r="K56" i="6"/>
  <c r="K42" i="6"/>
  <c r="K26" i="6"/>
  <c r="O1014" i="6"/>
  <c r="O1001" i="6"/>
  <c r="O985" i="6"/>
  <c r="O971" i="6"/>
  <c r="O958" i="6"/>
  <c r="O942" i="6"/>
  <c r="O929" i="6"/>
  <c r="O915" i="6"/>
  <c r="M915" i="6" s="1"/>
  <c r="O899" i="6"/>
  <c r="O886" i="6"/>
  <c r="O873" i="6"/>
  <c r="O857" i="6"/>
  <c r="O843" i="6"/>
  <c r="O830" i="6"/>
  <c r="O814" i="6"/>
  <c r="O801" i="6"/>
  <c r="M801" i="6" s="1"/>
  <c r="O787" i="6"/>
  <c r="O771" i="6"/>
  <c r="O758" i="6"/>
  <c r="O745" i="6"/>
  <c r="O729" i="6"/>
  <c r="O715" i="6"/>
  <c r="O702" i="6"/>
  <c r="O686" i="6"/>
  <c r="M686" i="6" s="1"/>
  <c r="O673" i="6"/>
  <c r="O659" i="6"/>
  <c r="O640" i="6"/>
  <c r="O623" i="6"/>
  <c r="O604" i="6"/>
  <c r="O584" i="6"/>
  <c r="O564" i="6"/>
  <c r="O545" i="6"/>
  <c r="M545" i="6" s="1"/>
  <c r="O522" i="6"/>
  <c r="O500" i="6"/>
  <c r="O480" i="6"/>
  <c r="O450" i="6"/>
  <c r="O429" i="6"/>
  <c r="O407" i="6"/>
  <c r="O374" i="6"/>
  <c r="O348" i="6"/>
  <c r="M348" i="6" s="1"/>
  <c r="O321" i="6"/>
  <c r="O289" i="6"/>
  <c r="O264" i="6"/>
  <c r="O237" i="6"/>
  <c r="O205" i="6"/>
  <c r="O180" i="6"/>
  <c r="O153" i="6"/>
  <c r="O120" i="6"/>
  <c r="M120" i="6" s="1"/>
  <c r="O95" i="6"/>
  <c r="O69" i="6"/>
  <c r="O36" i="6"/>
  <c r="F13" i="6"/>
  <c r="S31" i="6"/>
  <c r="S59" i="6"/>
  <c r="S84" i="6"/>
  <c r="S107" i="6"/>
  <c r="S130" i="6"/>
  <c r="S151" i="6"/>
  <c r="S166" i="6"/>
  <c r="S182" i="6"/>
  <c r="S199" i="6"/>
  <c r="S216" i="6"/>
  <c r="S233" i="6"/>
  <c r="S246" i="6"/>
  <c r="S262" i="6"/>
  <c r="S276" i="6"/>
  <c r="S289" i="6"/>
  <c r="S301" i="6"/>
  <c r="S312" i="6"/>
  <c r="S326" i="6"/>
  <c r="S337" i="6"/>
  <c r="S349" i="6"/>
  <c r="S363" i="6"/>
  <c r="S374" i="6"/>
  <c r="S385" i="6"/>
  <c r="S399" i="6"/>
  <c r="S411" i="6"/>
  <c r="S422" i="6"/>
  <c r="S436" i="6"/>
  <c r="S447" i="6"/>
  <c r="S459" i="6"/>
  <c r="S472" i="6"/>
  <c r="S484" i="6"/>
  <c r="S495" i="6"/>
  <c r="S509" i="6"/>
  <c r="S520" i="6"/>
  <c r="S532" i="6"/>
  <c r="S545" i="6"/>
  <c r="S557" i="6"/>
  <c r="S568" i="6"/>
  <c r="S582" i="6"/>
  <c r="S593" i="6"/>
  <c r="S605" i="6"/>
  <c r="S619" i="6"/>
  <c r="S630" i="6"/>
  <c r="S641" i="6"/>
  <c r="S655" i="6"/>
  <c r="S667" i="6"/>
  <c r="S678" i="6"/>
  <c r="S692" i="6"/>
  <c r="S703" i="6"/>
  <c r="S715" i="6"/>
  <c r="S728" i="6"/>
  <c r="S738" i="6"/>
  <c r="S748" i="6"/>
  <c r="S760" i="6"/>
  <c r="S770" i="6"/>
  <c r="S780" i="6"/>
  <c r="S792" i="6"/>
  <c r="S802" i="6"/>
  <c r="S812" i="6"/>
  <c r="S822" i="6"/>
  <c r="S830" i="6"/>
  <c r="S838" i="6"/>
  <c r="S846" i="6"/>
  <c r="S854" i="6"/>
  <c r="S862" i="6"/>
  <c r="S870" i="6"/>
  <c r="S878" i="6"/>
  <c r="S886" i="6"/>
  <c r="S894" i="6"/>
  <c r="S902" i="6"/>
  <c r="S910" i="6"/>
  <c r="S918" i="6"/>
  <c r="S926" i="6"/>
  <c r="S934" i="6"/>
  <c r="S942" i="6"/>
  <c r="S950" i="6"/>
  <c r="S958" i="6"/>
  <c r="S966" i="6"/>
  <c r="S974" i="6"/>
  <c r="S982" i="6"/>
  <c r="S990" i="6"/>
  <c r="S998" i="6"/>
  <c r="S1006" i="6"/>
  <c r="S1014" i="6"/>
  <c r="S34" i="6"/>
  <c r="S60" i="6"/>
  <c r="S87" i="6"/>
  <c r="S108" i="6"/>
  <c r="S132" i="6"/>
  <c r="S152" i="6"/>
  <c r="S169" i="6"/>
  <c r="S184" i="6"/>
  <c r="S200" i="6"/>
  <c r="S217" i="6"/>
  <c r="S235" i="6"/>
  <c r="S248" i="6"/>
  <c r="S263" i="6"/>
  <c r="S279" i="6"/>
  <c r="S291" i="6"/>
  <c r="S302" i="6"/>
  <c r="S316" i="6"/>
  <c r="S327" i="6"/>
  <c r="S339" i="6"/>
  <c r="S352" i="6"/>
  <c r="S364" i="6"/>
  <c r="S375" i="6"/>
  <c r="S389" i="6"/>
  <c r="S400" i="6"/>
  <c r="S412" i="6"/>
  <c r="S425" i="6"/>
  <c r="S437" i="6"/>
  <c r="S448" i="6"/>
  <c r="S462" i="6"/>
  <c r="S473" i="6"/>
  <c r="S485" i="6"/>
  <c r="S499" i="6"/>
  <c r="S510" i="6"/>
  <c r="S521" i="6"/>
  <c r="S535" i="6"/>
  <c r="S547" i="6"/>
  <c r="S558" i="6"/>
  <c r="S572" i="6"/>
  <c r="S583" i="6"/>
  <c r="S595" i="6"/>
  <c r="S608" i="6"/>
  <c r="S620" i="6"/>
  <c r="S631" i="6"/>
  <c r="S645" i="6"/>
  <c r="S656" i="6"/>
  <c r="S668" i="6"/>
  <c r="S681" i="6"/>
  <c r="S693" i="6"/>
  <c r="S704" i="6"/>
  <c r="S718" i="6"/>
  <c r="S729" i="6"/>
  <c r="S739" i="6"/>
  <c r="S751" i="6"/>
  <c r="S761" i="6"/>
  <c r="S771" i="6"/>
  <c r="S783" i="6"/>
  <c r="S793" i="6"/>
  <c r="S803" i="6"/>
  <c r="S815" i="6"/>
  <c r="S823" i="6"/>
  <c r="S831" i="6"/>
  <c r="S839" i="6"/>
  <c r="S847" i="6"/>
  <c r="S855" i="6"/>
  <c r="S863" i="6"/>
  <c r="S871" i="6"/>
  <c r="S879" i="6"/>
  <c r="S887" i="6"/>
  <c r="S895" i="6"/>
  <c r="S903" i="6"/>
  <c r="S911" i="6"/>
  <c r="S919" i="6"/>
  <c r="S927" i="6"/>
  <c r="S935" i="6"/>
  <c r="S943" i="6"/>
  <c r="S951" i="6"/>
  <c r="S959" i="6"/>
  <c r="S967" i="6"/>
  <c r="S975" i="6"/>
  <c r="S983" i="6"/>
  <c r="S991" i="6"/>
  <c r="S999" i="6"/>
  <c r="S1007" i="6"/>
  <c r="S1015" i="6"/>
  <c r="S38" i="6"/>
  <c r="S65" i="6"/>
  <c r="S89" i="6"/>
  <c r="S113" i="6"/>
  <c r="S133" i="6"/>
  <c r="S153" i="6"/>
  <c r="S171" i="6"/>
  <c r="S188" i="6"/>
  <c r="S203" i="6"/>
  <c r="S219" i="6"/>
  <c r="S236" i="6"/>
  <c r="S252" i="6"/>
  <c r="S264" i="6"/>
  <c r="S280" i="6"/>
  <c r="S292" i="6"/>
  <c r="S303" i="6"/>
  <c r="S317" i="6"/>
  <c r="S328" i="6"/>
  <c r="S340" i="6"/>
  <c r="S353" i="6"/>
  <c r="S365" i="6"/>
  <c r="S376" i="6"/>
  <c r="S390" i="6"/>
  <c r="S401" i="6"/>
  <c r="S413" i="6"/>
  <c r="S427" i="6"/>
  <c r="S438" i="6"/>
  <c r="S449" i="6"/>
  <c r="S463" i="6"/>
  <c r="S475" i="6"/>
  <c r="S486" i="6"/>
  <c r="S500" i="6"/>
  <c r="S511" i="6"/>
  <c r="S523" i="6"/>
  <c r="S536" i="6"/>
  <c r="S548" i="6"/>
  <c r="S559" i="6"/>
  <c r="S573" i="6"/>
  <c r="S584" i="6"/>
  <c r="S596" i="6"/>
  <c r="S609" i="6"/>
  <c r="S621" i="6"/>
  <c r="S632" i="6"/>
  <c r="S646" i="6"/>
  <c r="S657" i="6"/>
  <c r="S669" i="6"/>
  <c r="S683" i="6"/>
  <c r="S694" i="6"/>
  <c r="S705" i="6"/>
  <c r="S719" i="6"/>
  <c r="S730" i="6"/>
  <c r="S740" i="6"/>
  <c r="S752" i="6"/>
  <c r="S762" i="6"/>
  <c r="S772" i="6"/>
  <c r="S784" i="6"/>
  <c r="S794" i="6"/>
  <c r="S804" i="6"/>
  <c r="S816" i="6"/>
  <c r="S824" i="6"/>
  <c r="S832" i="6"/>
  <c r="S840" i="6"/>
  <c r="S848" i="6"/>
  <c r="S856" i="6"/>
  <c r="S864" i="6"/>
  <c r="S872" i="6"/>
  <c r="S880" i="6"/>
  <c r="S888" i="6"/>
  <c r="S896" i="6"/>
  <c r="S904" i="6"/>
  <c r="S912" i="6"/>
  <c r="S920" i="6"/>
  <c r="S928" i="6"/>
  <c r="S936" i="6"/>
  <c r="S944" i="6"/>
  <c r="S952" i="6"/>
  <c r="S960" i="6"/>
  <c r="S968" i="6"/>
  <c r="S976" i="6"/>
  <c r="S984" i="6"/>
  <c r="S992" i="6"/>
  <c r="S1000" i="6"/>
  <c r="S1008" i="6"/>
  <c r="S1016" i="6"/>
  <c r="S57" i="6"/>
  <c r="S81" i="6"/>
  <c r="S100" i="6"/>
  <c r="S122" i="6"/>
  <c r="S143" i="6"/>
  <c r="S161" i="6"/>
  <c r="S180" i="6"/>
  <c r="S197" i="6"/>
  <c r="S212" i="6"/>
  <c r="S228" i="6"/>
  <c r="S244" i="6"/>
  <c r="S257" i="6"/>
  <c r="S272" i="6"/>
  <c r="S285" i="6"/>
  <c r="S299" i="6"/>
  <c r="S310" i="6"/>
  <c r="S321" i="6"/>
  <c r="S335" i="6"/>
  <c r="S347" i="6"/>
  <c r="S358" i="6"/>
  <c r="S372" i="6"/>
  <c r="S383" i="6"/>
  <c r="S395" i="6"/>
  <c r="S408" i="6"/>
  <c r="S420" i="6"/>
  <c r="S431" i="6"/>
  <c r="S445" i="6"/>
  <c r="S456" i="6"/>
  <c r="S468" i="6"/>
  <c r="S481" i="6"/>
  <c r="S493" i="6"/>
  <c r="S504" i="6"/>
  <c r="S518" i="6"/>
  <c r="S529" i="6"/>
  <c r="S541" i="6"/>
  <c r="S555" i="6"/>
  <c r="S566" i="6"/>
  <c r="S577" i="6"/>
  <c r="S591" i="6"/>
  <c r="S603" i="6"/>
  <c r="S614" i="6"/>
  <c r="S628" i="6"/>
  <c r="S639" i="6"/>
  <c r="S651" i="6"/>
  <c r="S664" i="6"/>
  <c r="S676" i="6"/>
  <c r="S687" i="6"/>
  <c r="S701" i="6"/>
  <c r="S712" i="6"/>
  <c r="S724" i="6"/>
  <c r="S736" i="6"/>
  <c r="S746" i="6"/>
  <c r="S756" i="6"/>
  <c r="S768" i="6"/>
  <c r="S778" i="6"/>
  <c r="S788" i="6"/>
  <c r="S800" i="6"/>
  <c r="S810" i="6"/>
  <c r="S820" i="6"/>
  <c r="S828" i="6"/>
  <c r="S836" i="6"/>
  <c r="S844" i="6"/>
  <c r="S852" i="6"/>
  <c r="S860" i="6"/>
  <c r="S868" i="6"/>
  <c r="S876" i="6"/>
  <c r="S884" i="6"/>
  <c r="S892" i="6"/>
  <c r="S900" i="6"/>
  <c r="S908" i="6"/>
  <c r="S916" i="6"/>
  <c r="S924" i="6"/>
  <c r="S932" i="6"/>
  <c r="S940" i="6"/>
  <c r="S948" i="6"/>
  <c r="S956" i="6"/>
  <c r="S964" i="6"/>
  <c r="S972" i="6"/>
  <c r="S980" i="6"/>
  <c r="S988" i="6"/>
  <c r="S996" i="6"/>
  <c r="S1004" i="6"/>
  <c r="S1012" i="6"/>
  <c r="S1020" i="6"/>
  <c r="G15" i="6"/>
  <c r="S540" i="6"/>
  <c r="S517" i="6"/>
  <c r="S492" i="6"/>
  <c r="S467" i="6"/>
  <c r="S444" i="6"/>
  <c r="S419" i="6"/>
  <c r="S393" i="6"/>
  <c r="S371" i="6"/>
  <c r="S345" i="6"/>
  <c r="S320" i="6"/>
  <c r="S297" i="6"/>
  <c r="S271" i="6"/>
  <c r="S243" i="6"/>
  <c r="S209" i="6"/>
  <c r="S175" i="6"/>
  <c r="S141" i="6"/>
  <c r="S98" i="6"/>
  <c r="S47" i="6"/>
  <c r="S659" i="6"/>
  <c r="S636" i="6"/>
  <c r="S611" i="6"/>
  <c r="S585" i="6"/>
  <c r="S563" i="6"/>
  <c r="S537" i="6"/>
  <c r="S512" i="6"/>
  <c r="S489" i="6"/>
  <c r="S464" i="6"/>
  <c r="S439" i="6"/>
  <c r="S416" i="6"/>
  <c r="S391" i="6"/>
  <c r="S366" i="6"/>
  <c r="S343" i="6"/>
  <c r="S318" i="6"/>
  <c r="S293" i="6"/>
  <c r="S267" i="6"/>
  <c r="S237" i="6"/>
  <c r="S206" i="6"/>
  <c r="S172" i="6"/>
  <c r="S137" i="6"/>
  <c r="S96" i="6"/>
  <c r="S43" i="6"/>
  <c r="S28" i="6"/>
  <c r="S39" i="6"/>
  <c r="S51" i="6"/>
  <c r="S63" i="6"/>
  <c r="S73" i="6"/>
  <c r="S83" i="6"/>
  <c r="S95" i="6"/>
  <c r="S105" i="6"/>
  <c r="S115" i="6"/>
  <c r="S127" i="6"/>
  <c r="S136" i="6"/>
  <c r="S145" i="6"/>
  <c r="S154" i="6"/>
  <c r="S162" i="6"/>
  <c r="S170" i="6"/>
  <c r="S178" i="6"/>
  <c r="S186" i="6"/>
  <c r="S194" i="6"/>
  <c r="S202" i="6"/>
  <c r="S210" i="6"/>
  <c r="S218" i="6"/>
  <c r="S226" i="6"/>
  <c r="S234" i="6"/>
  <c r="S242" i="6"/>
  <c r="S250" i="6"/>
  <c r="S258" i="6"/>
  <c r="S266" i="6"/>
  <c r="S274" i="6"/>
  <c r="S282" i="6"/>
  <c r="S290" i="6"/>
  <c r="S298" i="6"/>
  <c r="S306" i="6"/>
  <c r="S314" i="6"/>
  <c r="S322" i="6"/>
  <c r="S330" i="6"/>
  <c r="S338" i="6"/>
  <c r="S346" i="6"/>
  <c r="S354" i="6"/>
  <c r="S362" i="6"/>
  <c r="S370" i="6"/>
  <c r="S378" i="6"/>
  <c r="S386" i="6"/>
  <c r="S394" i="6"/>
  <c r="S402" i="6"/>
  <c r="S410" i="6"/>
  <c r="S418" i="6"/>
  <c r="S426" i="6"/>
  <c r="S434" i="6"/>
  <c r="S442" i="6"/>
  <c r="S450" i="6"/>
  <c r="S458" i="6"/>
  <c r="S466" i="6"/>
  <c r="S474" i="6"/>
  <c r="S482" i="6"/>
  <c r="S490" i="6"/>
  <c r="S498" i="6"/>
  <c r="S506" i="6"/>
  <c r="S514" i="6"/>
  <c r="S522" i="6"/>
  <c r="S530" i="6"/>
  <c r="S538" i="6"/>
  <c r="S546" i="6"/>
  <c r="S554" i="6"/>
  <c r="S562" i="6"/>
  <c r="S570" i="6"/>
  <c r="S578" i="6"/>
  <c r="S586" i="6"/>
  <c r="S594" i="6"/>
  <c r="S602" i="6"/>
  <c r="S610" i="6"/>
  <c r="S618" i="6"/>
  <c r="S626" i="6"/>
  <c r="S634" i="6"/>
  <c r="S642" i="6"/>
  <c r="S650" i="6"/>
  <c r="S658" i="6"/>
  <c r="S666" i="6"/>
  <c r="S674" i="6"/>
  <c r="S682" i="6"/>
  <c r="S690" i="6"/>
  <c r="S698" i="6"/>
  <c r="S706" i="6"/>
  <c r="S714" i="6"/>
  <c r="S722" i="6"/>
  <c r="S32" i="6"/>
  <c r="S23" i="6"/>
  <c r="S40" i="6"/>
  <c r="S55" i="6"/>
  <c r="S66" i="6"/>
  <c r="S79" i="6"/>
  <c r="S90" i="6"/>
  <c r="S103" i="6"/>
  <c r="S114" i="6"/>
  <c r="S128" i="6"/>
  <c r="S138" i="6"/>
  <c r="S148" i="6"/>
  <c r="S158" i="6"/>
  <c r="S167" i="6"/>
  <c r="S176" i="6"/>
  <c r="S185" i="6"/>
  <c r="S195" i="6"/>
  <c r="S204" i="6"/>
  <c r="S213" i="6"/>
  <c r="S222" i="6"/>
  <c r="S231" i="6"/>
  <c r="S240" i="6"/>
  <c r="S249" i="6"/>
  <c r="S259" i="6"/>
  <c r="S268" i="6"/>
  <c r="S277" i="6"/>
  <c r="S286" i="6"/>
  <c r="S295" i="6"/>
  <c r="S304" i="6"/>
  <c r="S313" i="6"/>
  <c r="S323" i="6"/>
  <c r="S332" i="6"/>
  <c r="S341" i="6"/>
  <c r="S350" i="6"/>
  <c r="S359" i="6"/>
  <c r="S368" i="6"/>
  <c r="S377" i="6"/>
  <c r="S387" i="6"/>
  <c r="S396" i="6"/>
  <c r="S405" i="6"/>
  <c r="S414" i="6"/>
  <c r="S423" i="6"/>
  <c r="S432" i="6"/>
  <c r="S441" i="6"/>
  <c r="S451" i="6"/>
  <c r="S460" i="6"/>
  <c r="S469" i="6"/>
  <c r="S478" i="6"/>
  <c r="S487" i="6"/>
  <c r="S496" i="6"/>
  <c r="S505" i="6"/>
  <c r="S515" i="6"/>
  <c r="S524" i="6"/>
  <c r="S533" i="6"/>
  <c r="S542" i="6"/>
  <c r="S551" i="6"/>
  <c r="S560" i="6"/>
  <c r="S569" i="6"/>
  <c r="S579" i="6"/>
  <c r="S588" i="6"/>
  <c r="S597" i="6"/>
  <c r="S606" i="6"/>
  <c r="S615" i="6"/>
  <c r="S624" i="6"/>
  <c r="S633" i="6"/>
  <c r="S643" i="6"/>
  <c r="S652" i="6"/>
  <c r="S661" i="6"/>
  <c r="S670" i="6"/>
  <c r="S679" i="6"/>
  <c r="S688" i="6"/>
  <c r="S697" i="6"/>
  <c r="S707" i="6"/>
  <c r="S716" i="6"/>
  <c r="S725" i="6"/>
  <c r="S733" i="6"/>
  <c r="S741" i="6"/>
  <c r="S749" i="6"/>
  <c r="S757" i="6"/>
  <c r="S765" i="6"/>
  <c r="S773" i="6"/>
  <c r="S781" i="6"/>
  <c r="S789" i="6"/>
  <c r="S797" i="6"/>
  <c r="S805" i="6"/>
  <c r="S813" i="6"/>
  <c r="S24" i="6"/>
  <c r="S42" i="6"/>
  <c r="S56" i="6"/>
  <c r="S67" i="6"/>
  <c r="S80" i="6"/>
  <c r="S91" i="6"/>
  <c r="S104" i="6"/>
  <c r="S116" i="6"/>
  <c r="S129" i="6"/>
  <c r="S139" i="6"/>
  <c r="S149" i="6"/>
  <c r="S159" i="6"/>
  <c r="S168" i="6"/>
  <c r="S177" i="6"/>
  <c r="S187" i="6"/>
  <c r="S196" i="6"/>
  <c r="S205" i="6"/>
  <c r="S214" i="6"/>
  <c r="S223" i="6"/>
  <c r="S232" i="6"/>
  <c r="S241" i="6"/>
  <c r="S251" i="6"/>
  <c r="S260" i="6"/>
  <c r="S269" i="6"/>
  <c r="S278" i="6"/>
  <c r="S287" i="6"/>
  <c r="S296" i="6"/>
  <c r="S305" i="6"/>
  <c r="S315" i="6"/>
  <c r="S324" i="6"/>
  <c r="S333" i="6"/>
  <c r="S342" i="6"/>
  <c r="S351" i="6"/>
  <c r="S360" i="6"/>
  <c r="S369" i="6"/>
  <c r="S379" i="6"/>
  <c r="S388" i="6"/>
  <c r="S397" i="6"/>
  <c r="S406" i="6"/>
  <c r="S415" i="6"/>
  <c r="S424" i="6"/>
  <c r="S433" i="6"/>
  <c r="S443" i="6"/>
  <c r="S452" i="6"/>
  <c r="S461" i="6"/>
  <c r="S470" i="6"/>
  <c r="S479" i="6"/>
  <c r="S488" i="6"/>
  <c r="S497" i="6"/>
  <c r="S507" i="6"/>
  <c r="S516" i="6"/>
  <c r="S525" i="6"/>
  <c r="S534" i="6"/>
  <c r="S543" i="6"/>
  <c r="S552" i="6"/>
  <c r="S561" i="6"/>
  <c r="S571" i="6"/>
  <c r="S580" i="6"/>
  <c r="S589" i="6"/>
  <c r="S598" i="6"/>
  <c r="S607" i="6"/>
  <c r="S616" i="6"/>
  <c r="S625" i="6"/>
  <c r="S635" i="6"/>
  <c r="S644" i="6"/>
  <c r="S653" i="6"/>
  <c r="S662" i="6"/>
  <c r="S671" i="6"/>
  <c r="S680" i="6"/>
  <c r="S689" i="6"/>
  <c r="S699" i="6"/>
  <c r="S708" i="6"/>
  <c r="S717" i="6"/>
  <c r="S726" i="6"/>
  <c r="S734" i="6"/>
  <c r="S742" i="6"/>
  <c r="S750" i="6"/>
  <c r="S758" i="6"/>
  <c r="S766" i="6"/>
  <c r="S774" i="6"/>
  <c r="S782" i="6"/>
  <c r="S790" i="6"/>
  <c r="S798" i="6"/>
  <c r="S806" i="6"/>
  <c r="S814" i="6"/>
  <c r="S37" i="6"/>
  <c r="S50" i="6"/>
  <c r="S64" i="6"/>
  <c r="S75" i="6"/>
  <c r="S88" i="6"/>
  <c r="S99" i="6"/>
  <c r="S112" i="6"/>
  <c r="S123" i="6"/>
  <c r="S135" i="6"/>
  <c r="S146" i="6"/>
  <c r="S156" i="6"/>
  <c r="S165" i="6"/>
  <c r="S174" i="6"/>
  <c r="S183" i="6"/>
  <c r="S192" i="6"/>
  <c r="S201" i="6"/>
  <c r="S211" i="6"/>
  <c r="S220" i="6"/>
  <c r="S229" i="6"/>
  <c r="S238" i="6"/>
  <c r="S247" i="6"/>
  <c r="S256" i="6"/>
  <c r="S265" i="6"/>
  <c r="S275" i="6"/>
  <c r="S221" i="6"/>
  <c r="S207" i="6"/>
  <c r="S191" i="6"/>
  <c r="S179" i="6"/>
  <c r="S163" i="6"/>
  <c r="S147" i="6"/>
  <c r="S131" i="6"/>
  <c r="S111" i="6"/>
  <c r="S92" i="6"/>
  <c r="S72" i="6"/>
  <c r="S52" i="6"/>
  <c r="S30" i="6"/>
  <c r="S71" i="6"/>
  <c r="S48" i="6"/>
  <c r="S29" i="6"/>
  <c r="S26" i="6"/>
  <c r="S150" i="6"/>
  <c r="S142" i="6"/>
  <c r="S134" i="6"/>
  <c r="S126" i="6"/>
  <c r="S118" i="6"/>
  <c r="S110" i="6"/>
  <c r="S102" i="6"/>
  <c r="S94" i="6"/>
  <c r="S86" i="6"/>
  <c r="S78" i="6"/>
  <c r="S70" i="6"/>
  <c r="S62" i="6"/>
  <c r="S54" i="6"/>
  <c r="S45" i="6"/>
  <c r="S36" i="6"/>
  <c r="S27" i="6"/>
  <c r="S125" i="6"/>
  <c r="S117" i="6"/>
  <c r="S109" i="6"/>
  <c r="S101" i="6"/>
  <c r="S93" i="6"/>
  <c r="S85" i="6"/>
  <c r="S77" i="6"/>
  <c r="S69" i="6"/>
  <c r="S61" i="6"/>
  <c r="S53" i="6"/>
  <c r="S44" i="6"/>
  <c r="S35" i="6"/>
  <c r="S25" i="6"/>
  <c r="S49" i="6"/>
  <c r="S41" i="6"/>
  <c r="S33" i="6"/>
  <c r="F15" i="6"/>
  <c r="F14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21" i="6"/>
  <c r="D11" i="6"/>
  <c r="N23" i="12" l="1"/>
  <c r="G33" i="14"/>
  <c r="L74" i="14"/>
  <c r="N73" i="14"/>
  <c r="Q33" i="14"/>
  <c r="P33" i="14"/>
  <c r="M34" i="14" s="1"/>
  <c r="A70" i="14"/>
  <c r="D69" i="14"/>
  <c r="E33" i="14"/>
  <c r="O23" i="12"/>
  <c r="K24" i="12" s="1"/>
  <c r="L24" i="12" s="1"/>
  <c r="A26" i="12"/>
  <c r="D25" i="12"/>
  <c r="J27" i="12"/>
  <c r="M26" i="12"/>
  <c r="O24" i="12"/>
  <c r="K25" i="12" s="1"/>
  <c r="L25" i="12" s="1"/>
  <c r="F23" i="12"/>
  <c r="E23" i="12"/>
  <c r="M587" i="6"/>
  <c r="M254" i="6"/>
  <c r="M656" i="6"/>
  <c r="M358" i="6"/>
  <c r="M630" i="6"/>
  <c r="M411" i="6"/>
  <c r="M127" i="6"/>
  <c r="M494" i="6"/>
  <c r="M976" i="6"/>
  <c r="M784" i="6"/>
  <c r="M566" i="6"/>
  <c r="M318" i="6"/>
  <c r="M32" i="6"/>
  <c r="M173" i="6"/>
  <c r="U963" i="6"/>
  <c r="U953" i="6"/>
  <c r="U890" i="6"/>
  <c r="U786" i="6"/>
  <c r="U715" i="6"/>
  <c r="U690" i="6"/>
  <c r="U608" i="6"/>
  <c r="U595" i="6"/>
  <c r="U579" i="6"/>
  <c r="U538" i="6"/>
  <c r="U498" i="6"/>
  <c r="U483" i="6"/>
  <c r="U376" i="6"/>
  <c r="U361" i="6"/>
  <c r="U279" i="6"/>
  <c r="U266" i="6"/>
  <c r="U170" i="6"/>
  <c r="U143" i="6"/>
  <c r="U34" i="6"/>
  <c r="U962" i="6"/>
  <c r="U952" i="6"/>
  <c r="U858" i="6"/>
  <c r="U795" i="6"/>
  <c r="U785" i="6"/>
  <c r="U673" i="6"/>
  <c r="U578" i="6"/>
  <c r="U360" i="6"/>
  <c r="U346" i="6"/>
  <c r="U251" i="6"/>
  <c r="U156" i="6"/>
  <c r="U129" i="6"/>
  <c r="U33" i="6"/>
  <c r="U875" i="6"/>
  <c r="U811" i="6"/>
  <c r="U802" i="6"/>
  <c r="U722" i="6"/>
  <c r="U545" i="6"/>
  <c r="U450" i="6"/>
  <c r="U354" i="6"/>
  <c r="U258" i="6"/>
  <c r="U162" i="6"/>
  <c r="U67" i="6"/>
  <c r="U735" i="6"/>
  <c r="U656" i="6"/>
  <c r="U635" i="6"/>
  <c r="U572" i="6"/>
  <c r="U562" i="6"/>
  <c r="U552" i="6"/>
  <c r="U489" i="6"/>
  <c r="U395" i="6"/>
  <c r="U385" i="6"/>
  <c r="U322" i="6"/>
  <c r="U227" i="6"/>
  <c r="U217" i="6"/>
  <c r="U154" i="6"/>
  <c r="U144" i="6"/>
  <c r="U71" i="6"/>
  <c r="U50" i="6"/>
  <c r="U744" i="6"/>
  <c r="U736" i="6"/>
  <c r="U667" i="6"/>
  <c r="U603" i="6"/>
  <c r="U594" i="6"/>
  <c r="U539" i="6"/>
  <c r="U530" i="6"/>
  <c r="U466" i="6"/>
  <c r="U448" i="6"/>
  <c r="U384" i="6"/>
  <c r="U375" i="6"/>
  <c r="U320" i="6"/>
  <c r="U311" i="6"/>
  <c r="U247" i="6"/>
  <c r="U155" i="6"/>
  <c r="U100" i="6"/>
  <c r="U91" i="6"/>
  <c r="U82" i="6"/>
  <c r="U27" i="6"/>
  <c r="U245" i="6"/>
  <c r="U125" i="6"/>
  <c r="U95" i="6"/>
  <c r="U173" i="6"/>
  <c r="U268" i="6"/>
  <c r="U337" i="6"/>
  <c r="U393" i="6"/>
  <c r="U449" i="6"/>
  <c r="U504" i="6"/>
  <c r="U547" i="6"/>
  <c r="U592" i="6"/>
  <c r="U645" i="6"/>
  <c r="U719" i="6"/>
  <c r="U776" i="6"/>
  <c r="U864" i="6"/>
  <c r="U944" i="6"/>
  <c r="U36" i="6"/>
  <c r="U191" i="6"/>
  <c r="U292" i="6"/>
  <c r="U415" i="6"/>
  <c r="U664" i="6"/>
  <c r="U1007" i="6"/>
  <c r="U32" i="6"/>
  <c r="U117" i="6"/>
  <c r="U235" i="6"/>
  <c r="U301" i="6"/>
  <c r="U368" i="6"/>
  <c r="U432" i="6"/>
  <c r="U493" i="6"/>
  <c r="U559" i="6"/>
  <c r="U607" i="6"/>
  <c r="U677" i="6"/>
  <c r="U754" i="6"/>
  <c r="U831" i="6"/>
  <c r="U920" i="6"/>
  <c r="U1010" i="6"/>
  <c r="U215" i="6"/>
  <c r="U328" i="6"/>
  <c r="U457" i="6"/>
  <c r="U759" i="6"/>
  <c r="U60" i="6"/>
  <c r="U152" i="6"/>
  <c r="U284" i="6"/>
  <c r="U359" i="6"/>
  <c r="U417" i="6"/>
  <c r="U509" i="6"/>
  <c r="U567" i="6"/>
  <c r="U628" i="6"/>
  <c r="U706" i="6"/>
  <c r="U800" i="6"/>
  <c r="U898" i="6"/>
  <c r="U1009" i="6"/>
  <c r="U228" i="6"/>
  <c r="U353" i="6"/>
  <c r="U577" i="6"/>
  <c r="U1008" i="6"/>
  <c r="U28" i="6"/>
  <c r="U53" i="6"/>
  <c r="U86" i="6"/>
  <c r="U110" i="6"/>
  <c r="U133" i="6"/>
  <c r="U157" i="6"/>
  <c r="U182" i="6"/>
  <c r="U207" i="6"/>
  <c r="U224" i="6"/>
  <c r="U254" i="6"/>
  <c r="U277" i="6"/>
  <c r="U310" i="6"/>
  <c r="U334" i="6"/>
  <c r="U358" i="6"/>
  <c r="U388" i="6"/>
  <c r="U414" i="6"/>
  <c r="U438" i="6"/>
  <c r="U462" i="6"/>
  <c r="U486" i="6"/>
  <c r="U517" i="6"/>
  <c r="U534" i="6"/>
  <c r="U557" i="6"/>
  <c r="U582" i="6"/>
  <c r="U604" i="6"/>
  <c r="U629" i="6"/>
  <c r="U653" i="6"/>
  <c r="U676" i="6"/>
  <c r="U694" i="6"/>
  <c r="U718" i="6"/>
  <c r="U737" i="6"/>
  <c r="U756" i="6"/>
  <c r="U774" i="6"/>
  <c r="U796" i="6"/>
  <c r="U813" i="6"/>
  <c r="U836" i="6"/>
  <c r="U853" i="6"/>
  <c r="U870" i="6"/>
  <c r="U892" i="6"/>
  <c r="U909" i="6"/>
  <c r="U933" i="6"/>
  <c r="U948" i="6"/>
  <c r="U966" i="6"/>
  <c r="U982" i="6"/>
  <c r="U1000" i="6"/>
  <c r="U21" i="6"/>
  <c r="U68" i="6"/>
  <c r="U168" i="6"/>
  <c r="U287" i="6"/>
  <c r="U367" i="6"/>
  <c r="U443" i="6"/>
  <c r="U512" i="6"/>
  <c r="U568" i="6"/>
  <c r="U631" i="6"/>
  <c r="U727" i="6"/>
  <c r="U801" i="6"/>
  <c r="U914" i="6"/>
  <c r="U44" i="6"/>
  <c r="U236" i="6"/>
  <c r="U364" i="6"/>
  <c r="U620" i="6"/>
  <c r="U29" i="6"/>
  <c r="U54" i="6"/>
  <c r="U88" i="6"/>
  <c r="U111" i="6"/>
  <c r="U134" i="6"/>
  <c r="U158" i="6"/>
  <c r="U188" i="6"/>
  <c r="U212" i="6"/>
  <c r="U229" i="6"/>
  <c r="U260" i="6"/>
  <c r="U278" i="6"/>
  <c r="U316" i="6"/>
  <c r="U340" i="6"/>
  <c r="U365" i="6"/>
  <c r="U389" i="6"/>
  <c r="U52" i="6"/>
  <c r="U231" i="6"/>
  <c r="U333" i="6"/>
  <c r="U416" i="6"/>
  <c r="U516" i="6"/>
  <c r="U593" i="6"/>
  <c r="U703" i="6"/>
  <c r="U841" i="6"/>
  <c r="U977" i="6"/>
  <c r="U169" i="6"/>
  <c r="U400" i="6"/>
  <c r="U879" i="6"/>
  <c r="U47" i="6"/>
  <c r="U93" i="6"/>
  <c r="U124" i="6"/>
  <c r="U151" i="6"/>
  <c r="U190" i="6"/>
  <c r="U221" i="6"/>
  <c r="U253" i="6"/>
  <c r="U286" i="6"/>
  <c r="U325" i="6"/>
  <c r="U357" i="6"/>
  <c r="U397" i="6"/>
  <c r="U429" i="6"/>
  <c r="U453" i="6"/>
  <c r="U484" i="6"/>
  <c r="U510" i="6"/>
  <c r="U535" i="6"/>
  <c r="U564" i="6"/>
  <c r="U588" i="6"/>
  <c r="U613" i="6"/>
  <c r="U644" i="6"/>
  <c r="U670" i="6"/>
  <c r="U693" i="6"/>
  <c r="U721" i="6"/>
  <c r="U741" i="6"/>
  <c r="U765" i="6"/>
  <c r="U788" i="6"/>
  <c r="U806" i="6"/>
  <c r="U829" i="6"/>
  <c r="U852" i="6"/>
  <c r="U871" i="6"/>
  <c r="U894" i="6"/>
  <c r="U917" i="6"/>
  <c r="U937" i="6"/>
  <c r="U958" i="6"/>
  <c r="U980" i="6"/>
  <c r="U998" i="6"/>
  <c r="U76" i="6"/>
  <c r="U241" i="6"/>
  <c r="U348" i="6"/>
  <c r="U471" i="6"/>
  <c r="U524" i="6"/>
  <c r="U609" i="6"/>
  <c r="U728" i="6"/>
  <c r="U859" i="6"/>
  <c r="U984" i="6"/>
  <c r="U239" i="6"/>
  <c r="U428" i="6"/>
  <c r="U880" i="6"/>
  <c r="U61" i="6"/>
  <c r="U94" i="6"/>
  <c r="U126" i="6"/>
  <c r="U165" i="6"/>
  <c r="U197" i="6"/>
  <c r="U222" i="6"/>
  <c r="U261" i="6"/>
  <c r="U293" i="6"/>
  <c r="U326" i="6"/>
  <c r="U366" i="6"/>
  <c r="U398" i="6"/>
  <c r="U430" i="6"/>
  <c r="U454" i="6"/>
  <c r="U485" i="6"/>
  <c r="U518" i="6"/>
  <c r="U540" i="6"/>
  <c r="U565" i="6"/>
  <c r="U589" i="6"/>
  <c r="U614" i="6"/>
  <c r="U646" i="6"/>
  <c r="U671" i="6"/>
  <c r="U701" i="6"/>
  <c r="U724" i="6"/>
  <c r="U742" i="6"/>
  <c r="U766" i="6"/>
  <c r="U789" i="6"/>
  <c r="U807" i="6"/>
  <c r="U830" i="6"/>
  <c r="U854" i="6"/>
  <c r="U876" i="6"/>
  <c r="U895" i="6"/>
  <c r="U918" i="6"/>
  <c r="U940" i="6"/>
  <c r="U964" i="6"/>
  <c r="U981" i="6"/>
  <c r="U1001" i="6"/>
  <c r="U85" i="6"/>
  <c r="U252" i="6"/>
  <c r="U356" i="6"/>
  <c r="U476" i="6"/>
  <c r="U536" i="6"/>
  <c r="U618" i="6"/>
  <c r="U753" i="6"/>
  <c r="U865" i="6"/>
  <c r="U999" i="6"/>
  <c r="U250" i="6"/>
  <c r="U455" i="6"/>
  <c r="U896" i="6"/>
  <c r="U22" i="6"/>
  <c r="U62" i="6"/>
  <c r="U101" i="6"/>
  <c r="U128" i="6"/>
  <c r="U166" i="6"/>
  <c r="U198" i="6"/>
  <c r="U223" i="6"/>
  <c r="U262" i="6"/>
  <c r="U294" i="6"/>
  <c r="U332" i="6"/>
  <c r="U372" i="6"/>
  <c r="U405" i="6"/>
  <c r="U436" i="6"/>
  <c r="U461" i="6"/>
  <c r="U494" i="6"/>
  <c r="U520" i="6"/>
  <c r="U541" i="6"/>
  <c r="U566" i="6"/>
  <c r="U590" i="6"/>
  <c r="U621" i="6"/>
  <c r="U652" i="6"/>
  <c r="U678" i="6"/>
  <c r="U702" i="6"/>
  <c r="U725" i="6"/>
  <c r="U743" i="6"/>
  <c r="U767" i="6"/>
  <c r="U790" i="6"/>
  <c r="U812" i="6"/>
  <c r="U837" i="6"/>
  <c r="U855" i="6"/>
  <c r="U877" i="6"/>
  <c r="U901" i="6"/>
  <c r="U924" i="6"/>
  <c r="U941" i="6"/>
  <c r="U965" i="6"/>
  <c r="U983" i="6"/>
  <c r="U1005" i="6"/>
  <c r="U115" i="6"/>
  <c r="U264" i="6"/>
  <c r="U380" i="6"/>
  <c r="U479" i="6"/>
  <c r="U537" i="6"/>
  <c r="U641" i="6"/>
  <c r="U755" i="6"/>
  <c r="U872" i="6"/>
  <c r="U56" i="6"/>
  <c r="U273" i="6"/>
  <c r="U556" i="6"/>
  <c r="U30" i="6"/>
  <c r="U69" i="6"/>
  <c r="U102" i="6"/>
  <c r="U140" i="6"/>
  <c r="U174" i="6"/>
  <c r="U204" i="6"/>
  <c r="U230" i="6"/>
  <c r="U269" i="6"/>
  <c r="U302" i="6"/>
  <c r="U341" i="6"/>
  <c r="U373" i="6"/>
  <c r="U406" i="6"/>
  <c r="U437" i="6"/>
  <c r="U468" i="6"/>
  <c r="U496" i="6"/>
  <c r="U521" i="6"/>
  <c r="U542" i="6"/>
  <c r="U573" i="6"/>
  <c r="U597" i="6"/>
  <c r="U622" i="6"/>
  <c r="U654" i="6"/>
  <c r="U679" i="6"/>
  <c r="U708" i="6"/>
  <c r="U726" i="6"/>
  <c r="U748" i="6"/>
  <c r="U772" i="6"/>
  <c r="U791" i="6"/>
  <c r="U814" i="6"/>
  <c r="U838" i="6"/>
  <c r="U860" i="6"/>
  <c r="U878" i="6"/>
  <c r="U902" i="6"/>
  <c r="U925" i="6"/>
  <c r="U942" i="6"/>
  <c r="U967" i="6"/>
  <c r="U988" i="6"/>
  <c r="U1006" i="6"/>
  <c r="U120" i="6"/>
  <c r="U265" i="6"/>
  <c r="U392" i="6"/>
  <c r="U480" i="6"/>
  <c r="U560" i="6"/>
  <c r="U660" i="6"/>
  <c r="U760" i="6"/>
  <c r="U887" i="6"/>
  <c r="U79" i="6"/>
  <c r="U280" i="6"/>
  <c r="U576" i="6"/>
  <c r="U37" i="6"/>
  <c r="U70" i="6"/>
  <c r="U109" i="6"/>
  <c r="U141" i="6"/>
  <c r="U175" i="6"/>
  <c r="U206" i="6"/>
  <c r="U237" i="6"/>
  <c r="U270" i="6"/>
  <c r="U309" i="6"/>
  <c r="U342" i="6"/>
  <c r="U374" i="6"/>
  <c r="U413" i="6"/>
  <c r="U439" i="6"/>
  <c r="U469" i="6"/>
  <c r="U500" i="6"/>
  <c r="U525" i="6"/>
  <c r="U548" i="6"/>
  <c r="U574" i="6"/>
  <c r="U598" i="6"/>
  <c r="U630" i="6"/>
  <c r="U655" i="6"/>
  <c r="U685" i="6"/>
  <c r="U709" i="6"/>
  <c r="U732" i="6"/>
  <c r="U749" i="6"/>
  <c r="U773" i="6"/>
  <c r="U797" i="6"/>
  <c r="U820" i="6"/>
  <c r="U839" i="6"/>
  <c r="U861" i="6"/>
  <c r="U884" i="6"/>
  <c r="U903" i="6"/>
  <c r="U926" i="6"/>
  <c r="U949" i="6"/>
  <c r="U968" i="6"/>
  <c r="U989" i="6"/>
  <c r="U1012" i="6"/>
  <c r="U394" i="6"/>
  <c r="U591" i="6"/>
  <c r="U951" i="6"/>
  <c r="U684" i="6"/>
  <c r="U116" i="6"/>
  <c r="U213" i="6"/>
  <c r="U285" i="6"/>
  <c r="U382" i="6"/>
  <c r="U470" i="6"/>
  <c r="U533" i="6"/>
  <c r="U606" i="6"/>
  <c r="U686" i="6"/>
  <c r="U740" i="6"/>
  <c r="U804" i="6"/>
  <c r="U862" i="6"/>
  <c r="U916" i="6"/>
  <c r="U973" i="6"/>
  <c r="U48" i="6"/>
  <c r="U396" i="6"/>
  <c r="U663" i="6"/>
  <c r="U959" i="6"/>
  <c r="U751" i="6"/>
  <c r="U38" i="6"/>
  <c r="U118" i="6"/>
  <c r="U214" i="6"/>
  <c r="U317" i="6"/>
  <c r="U390" i="6"/>
  <c r="U477" i="6"/>
  <c r="U549" i="6"/>
  <c r="U612" i="6"/>
  <c r="U687" i="6"/>
  <c r="U750" i="6"/>
  <c r="U805" i="6"/>
  <c r="U868" i="6"/>
  <c r="U934" i="6"/>
  <c r="U974" i="6"/>
  <c r="U132" i="6"/>
  <c r="U412" i="6"/>
  <c r="U681" i="6"/>
  <c r="U89" i="6"/>
  <c r="U752" i="6"/>
  <c r="U45" i="6"/>
  <c r="U142" i="6"/>
  <c r="U220" i="6"/>
  <c r="U318" i="6"/>
  <c r="U421" i="6"/>
  <c r="U478" i="6"/>
  <c r="U550" i="6"/>
  <c r="U636" i="6"/>
  <c r="U692" i="6"/>
  <c r="U757" i="6"/>
  <c r="U821" i="6"/>
  <c r="U869" i="6"/>
  <c r="U935" i="6"/>
  <c r="U990" i="6"/>
  <c r="U137" i="6"/>
  <c r="U482" i="6"/>
  <c r="U688" i="6"/>
  <c r="U108" i="6"/>
  <c r="U46" i="6"/>
  <c r="U149" i="6"/>
  <c r="U238" i="6"/>
  <c r="U324" i="6"/>
  <c r="U422" i="6"/>
  <c r="U501" i="6"/>
  <c r="U558" i="6"/>
  <c r="U637" i="6"/>
  <c r="U710" i="6"/>
  <c r="U758" i="6"/>
  <c r="U822" i="6"/>
  <c r="U885" i="6"/>
  <c r="U936" i="6"/>
  <c r="U996" i="6"/>
  <c r="U201" i="6"/>
  <c r="U492" i="6"/>
  <c r="U775" i="6"/>
  <c r="U164" i="6"/>
  <c r="U77" i="6"/>
  <c r="U150" i="6"/>
  <c r="U244" i="6"/>
  <c r="U349" i="6"/>
  <c r="U423" i="6"/>
  <c r="U502" i="6"/>
  <c r="U581" i="6"/>
  <c r="U638" i="6"/>
  <c r="U716" i="6"/>
  <c r="U780" i="6"/>
  <c r="U828" i="6"/>
  <c r="U886" i="6"/>
  <c r="U950" i="6"/>
  <c r="U997" i="6"/>
  <c r="U300" i="6"/>
  <c r="U514" i="6"/>
  <c r="U799" i="6"/>
  <c r="U319" i="6"/>
  <c r="U78" i="6"/>
  <c r="U180" i="6"/>
  <c r="U246" i="6"/>
  <c r="U350" i="6"/>
  <c r="U445" i="6"/>
  <c r="U508" i="6"/>
  <c r="U584" i="6"/>
  <c r="U661" i="6"/>
  <c r="U717" i="6"/>
  <c r="U781" i="6"/>
  <c r="U845" i="6"/>
  <c r="U893" i="6"/>
  <c r="U956" i="6"/>
  <c r="U1013" i="6"/>
  <c r="U312" i="6"/>
  <c r="U569" i="6"/>
  <c r="U809" i="6"/>
  <c r="U335" i="6"/>
  <c r="U92" i="6"/>
  <c r="U181" i="6"/>
  <c r="U271" i="6"/>
  <c r="U351" i="6"/>
  <c r="U446" i="6"/>
  <c r="U526" i="6"/>
  <c r="U585" i="6"/>
  <c r="U662" i="6"/>
  <c r="U733" i="6"/>
  <c r="U782" i="6"/>
  <c r="U846" i="6"/>
  <c r="U908" i="6"/>
  <c r="U957" i="6"/>
  <c r="U1014" i="6"/>
  <c r="U315" i="6"/>
  <c r="U580" i="6"/>
  <c r="U921" i="6"/>
  <c r="U399" i="6"/>
  <c r="U113" i="6"/>
  <c r="U189" i="6"/>
  <c r="U276" i="6"/>
  <c r="U381" i="6"/>
  <c r="U452" i="6"/>
  <c r="U532" i="6"/>
  <c r="U605" i="6"/>
  <c r="U669" i="6"/>
  <c r="U734" i="6"/>
  <c r="U798" i="6"/>
  <c r="U848" i="6"/>
  <c r="U910" i="6"/>
  <c r="U972" i="6"/>
  <c r="U1020" i="6"/>
  <c r="U943" i="6"/>
  <c r="U674" i="6"/>
  <c r="U456" i="6"/>
  <c r="U240" i="6"/>
  <c r="U130" i="6"/>
  <c r="U1015" i="6"/>
  <c r="U931" i="6"/>
  <c r="U847" i="6"/>
  <c r="U761" i="6"/>
  <c r="U551" i="6"/>
  <c r="U442" i="6"/>
  <c r="U114" i="6"/>
  <c r="U939" i="6"/>
  <c r="U866" i="6"/>
  <c r="U793" i="6"/>
  <c r="U711" i="6"/>
  <c r="U617" i="6"/>
  <c r="U522" i="6"/>
  <c r="U425" i="6"/>
  <c r="U330" i="6"/>
  <c r="U234" i="6"/>
  <c r="U139" i="6"/>
  <c r="U43" i="6"/>
  <c r="U625" i="6"/>
  <c r="U458" i="6"/>
  <c r="U290" i="6"/>
  <c r="U123" i="6"/>
  <c r="U40" i="6"/>
  <c r="U658" i="6"/>
  <c r="U219" i="6"/>
  <c r="U146" i="6"/>
  <c r="U73" i="6"/>
  <c r="U979" i="6"/>
  <c r="U668" i="6"/>
  <c r="U272" i="6"/>
  <c r="U825" i="6"/>
  <c r="U465" i="6"/>
  <c r="U651" i="6"/>
  <c r="U267" i="6"/>
  <c r="U451" i="6"/>
  <c r="U810" i="6"/>
  <c r="U434" i="6"/>
  <c r="Y24" i="6"/>
  <c r="Y32" i="6"/>
  <c r="Y40" i="6"/>
  <c r="Y48" i="6"/>
  <c r="Y56" i="6"/>
  <c r="Y64" i="6"/>
  <c r="Y72" i="6"/>
  <c r="Y80" i="6"/>
  <c r="Y88" i="6"/>
  <c r="Y96" i="6"/>
  <c r="Y104" i="6"/>
  <c r="Y112" i="6"/>
  <c r="Y120" i="6"/>
  <c r="Y128" i="6"/>
  <c r="Y136" i="6"/>
  <c r="Y144" i="6"/>
  <c r="Y152" i="6"/>
  <c r="Y160" i="6"/>
  <c r="Y168" i="6"/>
  <c r="Y176" i="6"/>
  <c r="Y184" i="6"/>
  <c r="Y192" i="6"/>
  <c r="Y200" i="6"/>
  <c r="Y208" i="6"/>
  <c r="Y216" i="6"/>
  <c r="Y224" i="6"/>
  <c r="Y232" i="6"/>
  <c r="Y240" i="6"/>
  <c r="Y248" i="6"/>
  <c r="Y256" i="6"/>
  <c r="Y264" i="6"/>
  <c r="Y272" i="6"/>
  <c r="Y280" i="6"/>
  <c r="Y288" i="6"/>
  <c r="Y296" i="6"/>
  <c r="Y304" i="6"/>
  <c r="Y312" i="6"/>
  <c r="Y320" i="6"/>
  <c r="Y328" i="6"/>
  <c r="Y336" i="6"/>
  <c r="Y344" i="6"/>
  <c r="Y352" i="6"/>
  <c r="Y360" i="6"/>
  <c r="Y368" i="6"/>
  <c r="Y376" i="6"/>
  <c r="Y30" i="6"/>
  <c r="Y39" i="6"/>
  <c r="Y49" i="6"/>
  <c r="Y58" i="6"/>
  <c r="Y67" i="6"/>
  <c r="Y76" i="6"/>
  <c r="Y85" i="6"/>
  <c r="Y94" i="6"/>
  <c r="Y103" i="6"/>
  <c r="Y113" i="6"/>
  <c r="Y122" i="6"/>
  <c r="Y131" i="6"/>
  <c r="Y140" i="6"/>
  <c r="Y149" i="6"/>
  <c r="Y158" i="6"/>
  <c r="Y167" i="6"/>
  <c r="Y177" i="6"/>
  <c r="Y186" i="6"/>
  <c r="Y195" i="6"/>
  <c r="Y204" i="6"/>
  <c r="Y213" i="6"/>
  <c r="Y222" i="6"/>
  <c r="Y231" i="6"/>
  <c r="Y241" i="6"/>
  <c r="Y250" i="6"/>
  <c r="Y259" i="6"/>
  <c r="Y268" i="6"/>
  <c r="Y277" i="6"/>
  <c r="Y286" i="6"/>
  <c r="Y295" i="6"/>
  <c r="Y305" i="6"/>
  <c r="Y314" i="6"/>
  <c r="Y323" i="6"/>
  <c r="Y332" i="6"/>
  <c r="Y341" i="6"/>
  <c r="Y350" i="6"/>
  <c r="Y359" i="6"/>
  <c r="Y369" i="6"/>
  <c r="Y378" i="6"/>
  <c r="Y386" i="6"/>
  <c r="Y394" i="6"/>
  <c r="Y402" i="6"/>
  <c r="Y410" i="6"/>
  <c r="Y418" i="6"/>
  <c r="Y426" i="6"/>
  <c r="Y434" i="6"/>
  <c r="Y442" i="6"/>
  <c r="Y450" i="6"/>
  <c r="Y458" i="6"/>
  <c r="Y466" i="6"/>
  <c r="Y474" i="6"/>
  <c r="Y482" i="6"/>
  <c r="Y490" i="6"/>
  <c r="Y498" i="6"/>
  <c r="Y506" i="6"/>
  <c r="Y514" i="6"/>
  <c r="Y522" i="6"/>
  <c r="Y530" i="6"/>
  <c r="Y538" i="6"/>
  <c r="Y546" i="6"/>
  <c r="Y554" i="6"/>
  <c r="Y562" i="6"/>
  <c r="Y570" i="6"/>
  <c r="Y578" i="6"/>
  <c r="Y586" i="6"/>
  <c r="Y594" i="6"/>
  <c r="Y602" i="6"/>
  <c r="Y610" i="6"/>
  <c r="Y618" i="6"/>
  <c r="Y626" i="6"/>
  <c r="Y634" i="6"/>
  <c r="Y642" i="6"/>
  <c r="Y650" i="6"/>
  <c r="Y658" i="6"/>
  <c r="Y666" i="6"/>
  <c r="Y674" i="6"/>
  <c r="Y682" i="6"/>
  <c r="Y690" i="6"/>
  <c r="Y698" i="6"/>
  <c r="Y706" i="6"/>
  <c r="Y714" i="6"/>
  <c r="Y722" i="6"/>
  <c r="Y730" i="6"/>
  <c r="Y738" i="6"/>
  <c r="Y746" i="6"/>
  <c r="Y754" i="6"/>
  <c r="Y762" i="6"/>
  <c r="Y770" i="6"/>
  <c r="Y778" i="6"/>
  <c r="Y786" i="6"/>
  <c r="Y794" i="6"/>
  <c r="Y802" i="6"/>
  <c r="Y810" i="6"/>
  <c r="Y818" i="6"/>
  <c r="Y826" i="6"/>
  <c r="Y834" i="6"/>
  <c r="Y842" i="6"/>
  <c r="Y850" i="6"/>
  <c r="Y858" i="6"/>
  <c r="Y866" i="6"/>
  <c r="Y874" i="6"/>
  <c r="Y882" i="6"/>
  <c r="Y890" i="6"/>
  <c r="Y898" i="6"/>
  <c r="Y906" i="6"/>
  <c r="Y914" i="6"/>
  <c r="Y922" i="6"/>
  <c r="Y930" i="6"/>
  <c r="Y938" i="6"/>
  <c r="Y946" i="6"/>
  <c r="Y954" i="6"/>
  <c r="Y962" i="6"/>
  <c r="Y970" i="6"/>
  <c r="Y978" i="6"/>
  <c r="Y986" i="6"/>
  <c r="Y994" i="6"/>
  <c r="Y1002" i="6"/>
  <c r="Y1010" i="6"/>
  <c r="Y1018" i="6"/>
  <c r="Y27" i="6"/>
  <c r="Y37" i="6"/>
  <c r="Y47" i="6"/>
  <c r="Y59" i="6"/>
  <c r="Y69" i="6"/>
  <c r="Y79" i="6"/>
  <c r="Y90" i="6"/>
  <c r="Y100" i="6"/>
  <c r="Y110" i="6"/>
  <c r="Y121" i="6"/>
  <c r="Y132" i="6"/>
  <c r="Y142" i="6"/>
  <c r="Y153" i="6"/>
  <c r="Y163" i="6"/>
  <c r="Y173" i="6"/>
  <c r="Y183" i="6"/>
  <c r="Y194" i="6"/>
  <c r="Y205" i="6"/>
  <c r="Y215" i="6"/>
  <c r="Y226" i="6"/>
  <c r="Y236" i="6"/>
  <c r="Y246" i="6"/>
  <c r="Y257" i="6"/>
  <c r="Y267" i="6"/>
  <c r="Y278" i="6"/>
  <c r="Y289" i="6"/>
  <c r="Y299" i="6"/>
  <c r="Y309" i="6"/>
  <c r="Y319" i="6"/>
  <c r="Y330" i="6"/>
  <c r="Y340" i="6"/>
  <c r="Y351" i="6"/>
  <c r="Y362" i="6"/>
  <c r="Y372" i="6"/>
  <c r="Y382" i="6"/>
  <c r="Y391" i="6"/>
  <c r="Y400" i="6"/>
  <c r="Y409" i="6"/>
  <c r="Y419" i="6"/>
  <c r="Y428" i="6"/>
  <c r="Y437" i="6"/>
  <c r="Y446" i="6"/>
  <c r="Y455" i="6"/>
  <c r="Y464" i="6"/>
  <c r="Y473" i="6"/>
  <c r="Y483" i="6"/>
  <c r="Y492" i="6"/>
  <c r="Y501" i="6"/>
  <c r="Y510" i="6"/>
  <c r="Y519" i="6"/>
  <c r="Y528" i="6"/>
  <c r="Y537" i="6"/>
  <c r="Y547" i="6"/>
  <c r="Y556" i="6"/>
  <c r="Y565" i="6"/>
  <c r="Y574" i="6"/>
  <c r="Y583" i="6"/>
  <c r="Y592" i="6"/>
  <c r="Y601" i="6"/>
  <c r="Y611" i="6"/>
  <c r="Y620" i="6"/>
  <c r="Y629" i="6"/>
  <c r="Y638" i="6"/>
  <c r="Y647" i="6"/>
  <c r="Y656" i="6"/>
  <c r="Y665" i="6"/>
  <c r="Y675" i="6"/>
  <c r="Y684" i="6"/>
  <c r="Y693" i="6"/>
  <c r="Y702" i="6"/>
  <c r="Y711" i="6"/>
  <c r="Y720" i="6"/>
  <c r="Y729" i="6"/>
  <c r="Y739" i="6"/>
  <c r="Y748" i="6"/>
  <c r="Y757" i="6"/>
  <c r="Y766" i="6"/>
  <c r="Y775" i="6"/>
  <c r="Y784" i="6"/>
  <c r="Y793" i="6"/>
  <c r="Y803" i="6"/>
  <c r="Y812" i="6"/>
  <c r="Y821" i="6"/>
  <c r="Y830" i="6"/>
  <c r="Y839" i="6"/>
  <c r="Y848" i="6"/>
  <c r="Y857" i="6"/>
  <c r="Y867" i="6"/>
  <c r="Y876" i="6"/>
  <c r="Y885" i="6"/>
  <c r="Y894" i="6"/>
  <c r="Y903" i="6"/>
  <c r="Y912" i="6"/>
  <c r="Y921" i="6"/>
  <c r="Y931" i="6"/>
  <c r="Y940" i="6"/>
  <c r="Y949" i="6"/>
  <c r="Y958" i="6"/>
  <c r="Y967" i="6"/>
  <c r="Y976" i="6"/>
  <c r="Y985" i="6"/>
  <c r="Y995" i="6"/>
  <c r="Y1004" i="6"/>
  <c r="Y1013" i="6"/>
  <c r="Y28" i="6"/>
  <c r="Y38" i="6"/>
  <c r="Y50" i="6"/>
  <c r="Y60" i="6"/>
  <c r="Y70" i="6"/>
  <c r="Y81" i="6"/>
  <c r="Y91" i="6"/>
  <c r="Y101" i="6"/>
  <c r="Y111" i="6"/>
  <c r="Y123" i="6"/>
  <c r="Y133" i="6"/>
  <c r="Y143" i="6"/>
  <c r="Y154" i="6"/>
  <c r="Y164" i="6"/>
  <c r="Y174" i="6"/>
  <c r="Y185" i="6"/>
  <c r="Y196" i="6"/>
  <c r="Y206" i="6"/>
  <c r="Y217" i="6"/>
  <c r="Y227" i="6"/>
  <c r="Y237" i="6"/>
  <c r="Y247" i="6"/>
  <c r="Y258" i="6"/>
  <c r="Y269" i="6"/>
  <c r="Y279" i="6"/>
  <c r="Y290" i="6"/>
  <c r="Y300" i="6"/>
  <c r="Y310" i="6"/>
  <c r="Y321" i="6"/>
  <c r="Y331" i="6"/>
  <c r="Y342" i="6"/>
  <c r="Y353" i="6"/>
  <c r="Y363" i="6"/>
  <c r="Y373" i="6"/>
  <c r="Y383" i="6"/>
  <c r="Y392" i="6"/>
  <c r="Y401" i="6"/>
  <c r="Y411" i="6"/>
  <c r="Y420" i="6"/>
  <c r="Y429" i="6"/>
  <c r="Y438" i="6"/>
  <c r="Y447" i="6"/>
  <c r="Y456" i="6"/>
  <c r="Y465" i="6"/>
  <c r="Y475" i="6"/>
  <c r="Y484" i="6"/>
  <c r="Y493" i="6"/>
  <c r="Y502" i="6"/>
  <c r="Y511" i="6"/>
  <c r="Y520" i="6"/>
  <c r="Y529" i="6"/>
  <c r="Y539" i="6"/>
  <c r="Y548" i="6"/>
  <c r="Y557" i="6"/>
  <c r="Y566" i="6"/>
  <c r="Y575" i="6"/>
  <c r="Y584" i="6"/>
  <c r="Y593" i="6"/>
  <c r="Y603" i="6"/>
  <c r="Y612" i="6"/>
  <c r="Y621" i="6"/>
  <c r="Y630" i="6"/>
  <c r="Y639" i="6"/>
  <c r="Y648" i="6"/>
  <c r="Y657" i="6"/>
  <c r="Y667" i="6"/>
  <c r="Y676" i="6"/>
  <c r="Y685" i="6"/>
  <c r="Y694" i="6"/>
  <c r="Y703" i="6"/>
  <c r="Y712" i="6"/>
  <c r="Y721" i="6"/>
  <c r="Y731" i="6"/>
  <c r="Y740" i="6"/>
  <c r="Y749" i="6"/>
  <c r="Y758" i="6"/>
  <c r="Y767" i="6"/>
  <c r="Y776" i="6"/>
  <c r="Y785" i="6"/>
  <c r="Y795" i="6"/>
  <c r="Y804" i="6"/>
  <c r="Y813" i="6"/>
  <c r="Y822" i="6"/>
  <c r="Y831" i="6"/>
  <c r="Y840" i="6"/>
  <c r="Y849" i="6"/>
  <c r="Y859" i="6"/>
  <c r="Y868" i="6"/>
  <c r="Y877" i="6"/>
  <c r="Y886" i="6"/>
  <c r="Y895" i="6"/>
  <c r="Y904" i="6"/>
  <c r="Y913" i="6"/>
  <c r="Y923" i="6"/>
  <c r="Y932" i="6"/>
  <c r="Y941" i="6"/>
  <c r="Y950" i="6"/>
  <c r="Y959" i="6"/>
  <c r="Y968" i="6"/>
  <c r="Y977" i="6"/>
  <c r="Y987" i="6"/>
  <c r="Y996" i="6"/>
  <c r="Y1005" i="6"/>
  <c r="Y1014" i="6"/>
  <c r="Y26" i="6"/>
  <c r="Y42" i="6"/>
  <c r="Y54" i="6"/>
  <c r="Y68" i="6"/>
  <c r="Y83" i="6"/>
  <c r="Y97" i="6"/>
  <c r="Y109" i="6"/>
  <c r="Y125" i="6"/>
  <c r="Y138" i="6"/>
  <c r="Y151" i="6"/>
  <c r="Y166" i="6"/>
  <c r="Y180" i="6"/>
  <c r="Y193" i="6"/>
  <c r="Y209" i="6"/>
  <c r="Y221" i="6"/>
  <c r="Y235" i="6"/>
  <c r="Y251" i="6"/>
  <c r="Y263" i="6"/>
  <c r="Y276" i="6"/>
  <c r="Y292" i="6"/>
  <c r="Y306" i="6"/>
  <c r="Y318" i="6"/>
  <c r="Y334" i="6"/>
  <c r="Y347" i="6"/>
  <c r="Y361" i="6"/>
  <c r="Y375" i="6"/>
  <c r="Y388" i="6"/>
  <c r="Y399" i="6"/>
  <c r="Y413" i="6"/>
  <c r="Y424" i="6"/>
  <c r="Y436" i="6"/>
  <c r="Y449" i="6"/>
  <c r="Y461" i="6"/>
  <c r="Y472" i="6"/>
  <c r="Y486" i="6"/>
  <c r="Y497" i="6"/>
  <c r="Y509" i="6"/>
  <c r="Y523" i="6"/>
  <c r="Y534" i="6"/>
  <c r="Y545" i="6"/>
  <c r="Y559" i="6"/>
  <c r="Y571" i="6"/>
  <c r="Y582" i="6"/>
  <c r="Y596" i="6"/>
  <c r="Y607" i="6"/>
  <c r="Y619" i="6"/>
  <c r="Y632" i="6"/>
  <c r="Y644" i="6"/>
  <c r="Y655" i="6"/>
  <c r="Y669" i="6"/>
  <c r="Y680" i="6"/>
  <c r="Y692" i="6"/>
  <c r="Y705" i="6"/>
  <c r="Y717" i="6"/>
  <c r="Y728" i="6"/>
  <c r="Y742" i="6"/>
  <c r="Y753" i="6"/>
  <c r="Y765" i="6"/>
  <c r="Y779" i="6"/>
  <c r="Y790" i="6"/>
  <c r="Y801" i="6"/>
  <c r="Y815" i="6"/>
  <c r="Y827" i="6"/>
  <c r="Y838" i="6"/>
  <c r="Y852" i="6"/>
  <c r="Y863" i="6"/>
  <c r="Y875" i="6"/>
  <c r="Y888" i="6"/>
  <c r="Y900" i="6"/>
  <c r="Y911" i="6"/>
  <c r="Y925" i="6"/>
  <c r="Y936" i="6"/>
  <c r="Y948" i="6"/>
  <c r="Y961" i="6"/>
  <c r="Y973" i="6"/>
  <c r="Y984" i="6"/>
  <c r="Y998" i="6"/>
  <c r="Y1009" i="6"/>
  <c r="Y21" i="6"/>
  <c r="Y29" i="6"/>
  <c r="Y43" i="6"/>
  <c r="Y55" i="6"/>
  <c r="Y71" i="6"/>
  <c r="Y84" i="6"/>
  <c r="Y98" i="6"/>
  <c r="Y114" i="6"/>
  <c r="Y126" i="6"/>
  <c r="Y139" i="6"/>
  <c r="Y155" i="6"/>
  <c r="Y169" i="6"/>
  <c r="Y181" i="6"/>
  <c r="Y197" i="6"/>
  <c r="Y210" i="6"/>
  <c r="Y223" i="6"/>
  <c r="Y238" i="6"/>
  <c r="Y252" i="6"/>
  <c r="Y265" i="6"/>
  <c r="Y281" i="6"/>
  <c r="Y293" i="6"/>
  <c r="Y307" i="6"/>
  <c r="Y322" i="6"/>
  <c r="Y335" i="6"/>
  <c r="Y348" i="6"/>
  <c r="Y364" i="6"/>
  <c r="Y377" i="6"/>
  <c r="Y389" i="6"/>
  <c r="Y403" i="6"/>
  <c r="Y414" i="6"/>
  <c r="Y425" i="6"/>
  <c r="Y439" i="6"/>
  <c r="Y451" i="6"/>
  <c r="Y462" i="6"/>
  <c r="Y476" i="6"/>
  <c r="Y487" i="6"/>
  <c r="Y499" i="6"/>
  <c r="Y512" i="6"/>
  <c r="Y524" i="6"/>
  <c r="Y535" i="6"/>
  <c r="Y549" i="6"/>
  <c r="Y560" i="6"/>
  <c r="Y572" i="6"/>
  <c r="Y585" i="6"/>
  <c r="Y597" i="6"/>
  <c r="Y608" i="6"/>
  <c r="Y622" i="6"/>
  <c r="Y633" i="6"/>
  <c r="Y645" i="6"/>
  <c r="Y659" i="6"/>
  <c r="Y670" i="6"/>
  <c r="Y681" i="6"/>
  <c r="Y695" i="6"/>
  <c r="Y707" i="6"/>
  <c r="Y718" i="6"/>
  <c r="Y732" i="6"/>
  <c r="Y743" i="6"/>
  <c r="Y755" i="6"/>
  <c r="Y768" i="6"/>
  <c r="Y780" i="6"/>
  <c r="Y791" i="6"/>
  <c r="Y805" i="6"/>
  <c r="Y816" i="6"/>
  <c r="Y828" i="6"/>
  <c r="Y841" i="6"/>
  <c r="Y853" i="6"/>
  <c r="Y864" i="6"/>
  <c r="Y878" i="6"/>
  <c r="Y889" i="6"/>
  <c r="Y901" i="6"/>
  <c r="Y915" i="6"/>
  <c r="Y926" i="6"/>
  <c r="Y937" i="6"/>
  <c r="Y951" i="6"/>
  <c r="Y963" i="6"/>
  <c r="Y974" i="6"/>
  <c r="Y988" i="6"/>
  <c r="Y999" i="6"/>
  <c r="Y1011" i="6"/>
  <c r="Y31" i="6"/>
  <c r="Y44" i="6"/>
  <c r="Y57" i="6"/>
  <c r="Y73" i="6"/>
  <c r="Y86" i="6"/>
  <c r="Y99" i="6"/>
  <c r="Y115" i="6"/>
  <c r="Y127" i="6"/>
  <c r="Y141" i="6"/>
  <c r="Y156" i="6"/>
  <c r="Y170" i="6"/>
  <c r="Y182" i="6"/>
  <c r="Y198" i="6"/>
  <c r="Y211" i="6"/>
  <c r="Y225" i="6"/>
  <c r="Y239" i="6"/>
  <c r="Y253" i="6"/>
  <c r="Y266" i="6"/>
  <c r="Y282" i="6"/>
  <c r="Y294" i="6"/>
  <c r="Y308" i="6"/>
  <c r="Y324" i="6"/>
  <c r="Y337" i="6"/>
  <c r="Y349" i="6"/>
  <c r="Y365" i="6"/>
  <c r="Y379" i="6"/>
  <c r="Y390" i="6"/>
  <c r="Y404" i="6"/>
  <c r="Y415" i="6"/>
  <c r="Y427" i="6"/>
  <c r="Y440" i="6"/>
  <c r="Y452" i="6"/>
  <c r="Y463" i="6"/>
  <c r="Y477" i="6"/>
  <c r="Y488" i="6"/>
  <c r="Y500" i="6"/>
  <c r="Y513" i="6"/>
  <c r="Y525" i="6"/>
  <c r="Y536" i="6"/>
  <c r="Y550" i="6"/>
  <c r="Y561" i="6"/>
  <c r="Y573" i="6"/>
  <c r="Y587" i="6"/>
  <c r="Y598" i="6"/>
  <c r="Y609" i="6"/>
  <c r="Y623" i="6"/>
  <c r="Y635" i="6"/>
  <c r="Y646" i="6"/>
  <c r="Y660" i="6"/>
  <c r="Y671" i="6"/>
  <c r="Y683" i="6"/>
  <c r="Y696" i="6"/>
  <c r="Y708" i="6"/>
  <c r="Y719" i="6"/>
  <c r="Y733" i="6"/>
  <c r="Y744" i="6"/>
  <c r="Y756" i="6"/>
  <c r="Y769" i="6"/>
  <c r="Y781" i="6"/>
  <c r="Y792" i="6"/>
  <c r="Y806" i="6"/>
  <c r="Y817" i="6"/>
  <c r="Y829" i="6"/>
  <c r="Y843" i="6"/>
  <c r="Y854" i="6"/>
  <c r="Y865" i="6"/>
  <c r="Y879" i="6"/>
  <c r="Y891" i="6"/>
  <c r="Y902" i="6"/>
  <c r="Y916" i="6"/>
  <c r="Y927" i="6"/>
  <c r="Y939" i="6"/>
  <c r="Y952" i="6"/>
  <c r="Y964" i="6"/>
  <c r="Y975" i="6"/>
  <c r="Y989" i="6"/>
  <c r="Y1000" i="6"/>
  <c r="Y1012" i="6"/>
  <c r="Y33" i="6"/>
  <c r="Y45" i="6"/>
  <c r="Y61" i="6"/>
  <c r="Y74" i="6"/>
  <c r="Y87" i="6"/>
  <c r="Y102" i="6"/>
  <c r="Y116" i="6"/>
  <c r="Y129" i="6"/>
  <c r="Y145" i="6"/>
  <c r="Y157" i="6"/>
  <c r="Y171" i="6"/>
  <c r="Y187" i="6"/>
  <c r="Y199" i="6"/>
  <c r="Y212" i="6"/>
  <c r="Y228" i="6"/>
  <c r="Y242" i="6"/>
  <c r="Y254" i="6"/>
  <c r="Y270" i="6"/>
  <c r="Y283" i="6"/>
  <c r="Y297" i="6"/>
  <c r="Y311" i="6"/>
  <c r="Y325" i="6"/>
  <c r="Y338" i="6"/>
  <c r="Y354" i="6"/>
  <c r="Y366" i="6"/>
  <c r="Y380" i="6"/>
  <c r="Y393" i="6"/>
  <c r="Y405" i="6"/>
  <c r="Y416" i="6"/>
  <c r="Y430" i="6"/>
  <c r="Y441" i="6"/>
  <c r="Y453" i="6"/>
  <c r="Y467" i="6"/>
  <c r="Y478" i="6"/>
  <c r="Y489" i="6"/>
  <c r="Y503" i="6"/>
  <c r="Y515" i="6"/>
  <c r="Y526" i="6"/>
  <c r="Y540" i="6"/>
  <c r="Y551" i="6"/>
  <c r="Y563" i="6"/>
  <c r="Y576" i="6"/>
  <c r="Y588" i="6"/>
  <c r="Y599" i="6"/>
  <c r="Y613" i="6"/>
  <c r="Y624" i="6"/>
  <c r="Y636" i="6"/>
  <c r="Y649" i="6"/>
  <c r="Y661" i="6"/>
  <c r="Y672" i="6"/>
  <c r="Y686" i="6"/>
  <c r="Y697" i="6"/>
  <c r="Y709" i="6"/>
  <c r="Y723" i="6"/>
  <c r="Y734" i="6"/>
  <c r="Y745" i="6"/>
  <c r="Y759" i="6"/>
  <c r="Y771" i="6"/>
  <c r="Y782" i="6"/>
  <c r="Y796" i="6"/>
  <c r="Y807" i="6"/>
  <c r="Y819" i="6"/>
  <c r="Y832" i="6"/>
  <c r="Y844" i="6"/>
  <c r="Y855" i="6"/>
  <c r="Y869" i="6"/>
  <c r="Y880" i="6"/>
  <c r="Y892" i="6"/>
  <c r="Y905" i="6"/>
  <c r="Y917" i="6"/>
  <c r="Y928" i="6"/>
  <c r="Y942" i="6"/>
  <c r="Y953" i="6"/>
  <c r="Y965" i="6"/>
  <c r="Y979" i="6"/>
  <c r="Y990" i="6"/>
  <c r="Y1001" i="6"/>
  <c r="Y1015" i="6"/>
  <c r="Y34" i="6"/>
  <c r="Y46" i="6"/>
  <c r="Y62" i="6"/>
  <c r="Y75" i="6"/>
  <c r="Y89" i="6"/>
  <c r="Y105" i="6"/>
  <c r="Y117" i="6"/>
  <c r="Y130" i="6"/>
  <c r="Y146" i="6"/>
  <c r="Y159" i="6"/>
  <c r="Y172" i="6"/>
  <c r="Y188" i="6"/>
  <c r="Y201" i="6"/>
  <c r="Y214" i="6"/>
  <c r="Y229" i="6"/>
  <c r="Y243" i="6"/>
  <c r="Y255" i="6"/>
  <c r="Y271" i="6"/>
  <c r="Y284" i="6"/>
  <c r="Y298" i="6"/>
  <c r="Y313" i="6"/>
  <c r="Y326" i="6"/>
  <c r="Y339" i="6"/>
  <c r="Y355" i="6"/>
  <c r="Y367" i="6"/>
  <c r="Y381" i="6"/>
  <c r="Y395" i="6"/>
  <c r="Y406" i="6"/>
  <c r="Y417" i="6"/>
  <c r="Y431" i="6"/>
  <c r="Y443" i="6"/>
  <c r="Y454" i="6"/>
  <c r="Y468" i="6"/>
  <c r="Y479" i="6"/>
  <c r="Y491" i="6"/>
  <c r="Y504" i="6"/>
  <c r="Y516" i="6"/>
  <c r="Y527" i="6"/>
  <c r="Y541" i="6"/>
  <c r="Y552" i="6"/>
  <c r="Y564" i="6"/>
  <c r="Y577" i="6"/>
  <c r="Y589" i="6"/>
  <c r="Y600" i="6"/>
  <c r="Y614" i="6"/>
  <c r="Y625" i="6"/>
  <c r="Y637" i="6"/>
  <c r="Y651" i="6"/>
  <c r="Y662" i="6"/>
  <c r="Y673" i="6"/>
  <c r="Y687" i="6"/>
  <c r="Y699" i="6"/>
  <c r="Y710" i="6"/>
  <c r="Y724" i="6"/>
  <c r="Y735" i="6"/>
  <c r="Y747" i="6"/>
  <c r="Y760" i="6"/>
  <c r="Y772" i="6"/>
  <c r="Y783" i="6"/>
  <c r="Y797" i="6"/>
  <c r="Y808" i="6"/>
  <c r="Y820" i="6"/>
  <c r="Y833" i="6"/>
  <c r="Y845" i="6"/>
  <c r="Y856" i="6"/>
  <c r="Y870" i="6"/>
  <c r="Y881" i="6"/>
  <c r="Y893" i="6"/>
  <c r="Y907" i="6"/>
  <c r="Y918" i="6"/>
  <c r="Y929" i="6"/>
  <c r="Y943" i="6"/>
  <c r="Y955" i="6"/>
  <c r="Y966" i="6"/>
  <c r="Y980" i="6"/>
  <c r="Y991" i="6"/>
  <c r="Y1003" i="6"/>
  <c r="Y1016" i="6"/>
  <c r="Y41" i="6"/>
  <c r="Y78" i="6"/>
  <c r="Y118" i="6"/>
  <c r="Y150" i="6"/>
  <c r="Y190" i="6"/>
  <c r="Y230" i="6"/>
  <c r="Y262" i="6"/>
  <c r="Y302" i="6"/>
  <c r="Y343" i="6"/>
  <c r="Y374" i="6"/>
  <c r="Y408" i="6"/>
  <c r="Y444" i="6"/>
  <c r="Y471" i="6"/>
  <c r="Y507" i="6"/>
  <c r="Y542" i="6"/>
  <c r="Y569" i="6"/>
  <c r="Y605" i="6"/>
  <c r="Y640" i="6"/>
  <c r="Y668" i="6"/>
  <c r="Y701" i="6"/>
  <c r="Y736" i="6"/>
  <c r="Y764" i="6"/>
  <c r="Y799" i="6"/>
  <c r="Y835" i="6"/>
  <c r="Y862" i="6"/>
  <c r="Y897" i="6"/>
  <c r="Y933" i="6"/>
  <c r="Y960" i="6"/>
  <c r="Y993" i="6"/>
  <c r="Y51" i="6"/>
  <c r="Y82" i="6"/>
  <c r="Y119" i="6"/>
  <c r="Y161" i="6"/>
  <c r="Y191" i="6"/>
  <c r="Y233" i="6"/>
  <c r="Y273" i="6"/>
  <c r="Y303" i="6"/>
  <c r="Y345" i="6"/>
  <c r="Y384" i="6"/>
  <c r="Y412" i="6"/>
  <c r="Y445" i="6"/>
  <c r="Y480" i="6"/>
  <c r="Y508" i="6"/>
  <c r="Y543" i="6"/>
  <c r="Y579" i="6"/>
  <c r="Y606" i="6"/>
  <c r="Y641" i="6"/>
  <c r="Y677" i="6"/>
  <c r="Y704" i="6"/>
  <c r="Y737" i="6"/>
  <c r="Y773" i="6"/>
  <c r="Y800" i="6"/>
  <c r="Y836" i="6"/>
  <c r="Y871" i="6"/>
  <c r="Y899" i="6"/>
  <c r="Y934" i="6"/>
  <c r="Y969" i="6"/>
  <c r="Y997" i="6"/>
  <c r="Y52" i="6"/>
  <c r="Y92" i="6"/>
  <c r="Y124" i="6"/>
  <c r="Y162" i="6"/>
  <c r="Y202" i="6"/>
  <c r="Y234" i="6"/>
  <c r="Y274" i="6"/>
  <c r="Y315" i="6"/>
  <c r="Y346" i="6"/>
  <c r="Y385" i="6"/>
  <c r="Y421" i="6"/>
  <c r="Y448" i="6"/>
  <c r="Y481" i="6"/>
  <c r="Y517" i="6"/>
  <c r="Y544" i="6"/>
  <c r="Y580" i="6"/>
  <c r="Y615" i="6"/>
  <c r="Y643" i="6"/>
  <c r="Y678" i="6"/>
  <c r="Y713" i="6"/>
  <c r="Y741" i="6"/>
  <c r="Y774" i="6"/>
  <c r="Y809" i="6"/>
  <c r="Y837" i="6"/>
  <c r="Y872" i="6"/>
  <c r="Y908" i="6"/>
  <c r="Y935" i="6"/>
  <c r="Y971" i="6"/>
  <c r="Y1006" i="6"/>
  <c r="Y22" i="6"/>
  <c r="Y53" i="6"/>
  <c r="Y93" i="6"/>
  <c r="Y134" i="6"/>
  <c r="Y165" i="6"/>
  <c r="Y203" i="6"/>
  <c r="Y244" i="6"/>
  <c r="Y275" i="6"/>
  <c r="Y316" i="6"/>
  <c r="Y356" i="6"/>
  <c r="Y387" i="6"/>
  <c r="Y422" i="6"/>
  <c r="Y457" i="6"/>
  <c r="Y485" i="6"/>
  <c r="Y518" i="6"/>
  <c r="Y553" i="6"/>
  <c r="Y581" i="6"/>
  <c r="Y616" i="6"/>
  <c r="Y652" i="6"/>
  <c r="Y679" i="6"/>
  <c r="Y715" i="6"/>
  <c r="Y750" i="6"/>
  <c r="Y777" i="6"/>
  <c r="Y811" i="6"/>
  <c r="Y846" i="6"/>
  <c r="Y873" i="6"/>
  <c r="Y909" i="6"/>
  <c r="Y944" i="6"/>
  <c r="Y972" i="6"/>
  <c r="Y1007" i="6"/>
  <c r="Y23" i="6"/>
  <c r="Y63" i="6"/>
  <c r="Y95" i="6"/>
  <c r="Y135" i="6"/>
  <c r="Y175" i="6"/>
  <c r="Y207" i="6"/>
  <c r="Y245" i="6"/>
  <c r="Y285" i="6"/>
  <c r="Y317" i="6"/>
  <c r="Y357" i="6"/>
  <c r="Y396" i="6"/>
  <c r="Y423" i="6"/>
  <c r="Y459" i="6"/>
  <c r="Y494" i="6"/>
  <c r="Y521" i="6"/>
  <c r="Y555" i="6"/>
  <c r="Y590" i="6"/>
  <c r="Y617" i="6"/>
  <c r="Y653" i="6"/>
  <c r="Y688" i="6"/>
  <c r="Y716" i="6"/>
  <c r="Y751" i="6"/>
  <c r="Y787" i="6"/>
  <c r="Y814" i="6"/>
  <c r="Y847" i="6"/>
  <c r="Y883" i="6"/>
  <c r="Y910" i="6"/>
  <c r="Y945" i="6"/>
  <c r="Y981" i="6"/>
  <c r="Y1008" i="6"/>
  <c r="Y25" i="6"/>
  <c r="Y65" i="6"/>
  <c r="Y106" i="6"/>
  <c r="Y137" i="6"/>
  <c r="Y178" i="6"/>
  <c r="Y218" i="6"/>
  <c r="Y249" i="6"/>
  <c r="Y287" i="6"/>
  <c r="Y327" i="6"/>
  <c r="Y358" i="6"/>
  <c r="Y397" i="6"/>
  <c r="Y432" i="6"/>
  <c r="Y460" i="6"/>
  <c r="Y495" i="6"/>
  <c r="Y531" i="6"/>
  <c r="Y558" i="6"/>
  <c r="Y591" i="6"/>
  <c r="Y627" i="6"/>
  <c r="Y654" i="6"/>
  <c r="Y689" i="6"/>
  <c r="Y725" i="6"/>
  <c r="Y752" i="6"/>
  <c r="Y788" i="6"/>
  <c r="Y823" i="6"/>
  <c r="Y851" i="6"/>
  <c r="Y884" i="6"/>
  <c r="Y919" i="6"/>
  <c r="Y947" i="6"/>
  <c r="Y982" i="6"/>
  <c r="Y1017" i="6"/>
  <c r="Y35" i="6"/>
  <c r="Y66" i="6"/>
  <c r="Y107" i="6"/>
  <c r="Y147" i="6"/>
  <c r="Y179" i="6"/>
  <c r="Y219" i="6"/>
  <c r="Y260" i="6"/>
  <c r="Y291" i="6"/>
  <c r="Y329" i="6"/>
  <c r="Y370" i="6"/>
  <c r="Y398" i="6"/>
  <c r="Y433" i="6"/>
  <c r="Y469" i="6"/>
  <c r="Y496" i="6"/>
  <c r="Y532" i="6"/>
  <c r="Y567" i="6"/>
  <c r="Y595" i="6"/>
  <c r="Y628" i="6"/>
  <c r="Y663" i="6"/>
  <c r="Y691" i="6"/>
  <c r="Y726" i="6"/>
  <c r="Y761" i="6"/>
  <c r="Y789" i="6"/>
  <c r="Y824" i="6"/>
  <c r="Y860" i="6"/>
  <c r="Y887" i="6"/>
  <c r="Y920" i="6"/>
  <c r="Y956" i="6"/>
  <c r="Y983" i="6"/>
  <c r="Y1019" i="6"/>
  <c r="Y36" i="6"/>
  <c r="Y77" i="6"/>
  <c r="Y108" i="6"/>
  <c r="Y148" i="6"/>
  <c r="Y189" i="6"/>
  <c r="Y220" i="6"/>
  <c r="Y261" i="6"/>
  <c r="Y301" i="6"/>
  <c r="Y333" i="6"/>
  <c r="Y371" i="6"/>
  <c r="Y407" i="6"/>
  <c r="Y435" i="6"/>
  <c r="Y470" i="6"/>
  <c r="Y505" i="6"/>
  <c r="Y533" i="6"/>
  <c r="Y568" i="6"/>
  <c r="Y604" i="6"/>
  <c r="Y631" i="6"/>
  <c r="Y664" i="6"/>
  <c r="Y700" i="6"/>
  <c r="Y727" i="6"/>
  <c r="Y763" i="6"/>
  <c r="Y798" i="6"/>
  <c r="Y825" i="6"/>
  <c r="Y861" i="6"/>
  <c r="Y896" i="6"/>
  <c r="Y924" i="6"/>
  <c r="Y957" i="6"/>
  <c r="Y992" i="6"/>
  <c r="Y1020" i="6"/>
  <c r="U991" i="6"/>
  <c r="U575" i="6"/>
  <c r="U161" i="6"/>
  <c r="U105" i="6"/>
  <c r="U1018" i="6"/>
  <c r="U906" i="6"/>
  <c r="U794" i="6"/>
  <c r="U665" i="6"/>
  <c r="U371" i="6"/>
  <c r="U83" i="6"/>
  <c r="U891" i="6"/>
  <c r="U779" i="6"/>
  <c r="U643" i="6"/>
  <c r="U352" i="6"/>
  <c r="U63" i="6"/>
  <c r="U987" i="6"/>
  <c r="U874" i="6"/>
  <c r="U624" i="6"/>
  <c r="U331" i="6"/>
  <c r="U41" i="6"/>
  <c r="U986" i="6"/>
  <c r="U873" i="6"/>
  <c r="U623" i="6"/>
  <c r="U185" i="6"/>
  <c r="U39" i="6"/>
  <c r="U969" i="6"/>
  <c r="U856" i="6"/>
  <c r="U600" i="6"/>
  <c r="U163" i="6"/>
  <c r="U1016" i="6"/>
  <c r="U932" i="6"/>
  <c r="U849" i="6"/>
  <c r="U762" i="6"/>
  <c r="U553" i="6"/>
  <c r="U225" i="6"/>
  <c r="U1004" i="6"/>
  <c r="U647" i="6"/>
  <c r="U209" i="6"/>
  <c r="U99" i="6"/>
  <c r="U1003" i="6"/>
  <c r="U930" i="6"/>
  <c r="U857" i="6"/>
  <c r="U784" i="6"/>
  <c r="U700" i="6"/>
  <c r="U127" i="6"/>
  <c r="U698" i="6"/>
  <c r="U615" i="6"/>
  <c r="U531" i="6"/>
  <c r="U447" i="6"/>
  <c r="U363" i="6"/>
  <c r="U196" i="6"/>
  <c r="U720" i="6"/>
  <c r="U649" i="6"/>
  <c r="U503" i="6"/>
  <c r="U283" i="6"/>
  <c r="U210" i="6"/>
  <c r="U64" i="6"/>
  <c r="U938" i="6"/>
  <c r="U787" i="6"/>
  <c r="U599" i="6"/>
  <c r="U596" i="6"/>
  <c r="U194" i="6"/>
  <c r="U769" i="6"/>
  <c r="U233" i="6"/>
  <c r="U523" i="6"/>
  <c r="U84" i="6"/>
  <c r="U1002" i="6"/>
  <c r="U355" i="6"/>
  <c r="U208" i="6"/>
  <c r="U65" i="6"/>
  <c r="U626" i="6"/>
  <c r="U336" i="6"/>
  <c r="U42" i="6"/>
  <c r="U971" i="6"/>
  <c r="U746" i="6"/>
  <c r="U602" i="6"/>
  <c r="U460" i="6"/>
  <c r="U314" i="6"/>
  <c r="U24" i="6"/>
  <c r="U970" i="6"/>
  <c r="U601" i="6"/>
  <c r="U459" i="6"/>
  <c r="U313" i="6"/>
  <c r="U167" i="6"/>
  <c r="U23" i="6"/>
  <c r="U955" i="6"/>
  <c r="U843" i="6"/>
  <c r="U435" i="6"/>
  <c r="U289" i="6"/>
  <c r="U147" i="6"/>
  <c r="U922" i="6"/>
  <c r="U648" i="6"/>
  <c r="U431" i="6"/>
  <c r="U321" i="6"/>
  <c r="U993" i="6"/>
  <c r="U826" i="6"/>
  <c r="U738" i="6"/>
  <c r="U633" i="6"/>
  <c r="U305" i="6"/>
  <c r="U195" i="6"/>
  <c r="U87" i="6"/>
  <c r="U994" i="6"/>
  <c r="U689" i="6"/>
  <c r="U497" i="6"/>
  <c r="U401" i="6"/>
  <c r="U306" i="6"/>
  <c r="U211" i="6"/>
  <c r="U763" i="6"/>
  <c r="U186" i="6"/>
  <c r="U103" i="6"/>
  <c r="U712" i="6"/>
  <c r="U640" i="6"/>
  <c r="U420" i="6"/>
  <c r="U347" i="6"/>
  <c r="U274" i="6"/>
  <c r="U55" i="6"/>
  <c r="U907" i="6"/>
  <c r="U561" i="6"/>
  <c r="U160" i="6"/>
  <c r="U362" i="6"/>
  <c r="U883" i="6"/>
  <c r="U543" i="6"/>
  <c r="U122" i="6"/>
  <c r="U723" i="6"/>
  <c r="U913" i="6"/>
  <c r="U178" i="6"/>
  <c r="U840" i="6"/>
  <c r="U472" i="6"/>
  <c r="U66" i="6"/>
  <c r="U627" i="6"/>
  <c r="U481" i="6"/>
  <c r="U975" i="6"/>
  <c r="U863" i="6"/>
  <c r="U747" i="6"/>
  <c r="U463" i="6"/>
  <c r="U171" i="6"/>
  <c r="U25" i="6"/>
  <c r="U730" i="6"/>
  <c r="U587" i="6"/>
  <c r="U441" i="6"/>
  <c r="U297" i="6"/>
  <c r="U844" i="6"/>
  <c r="U729" i="6"/>
  <c r="U586" i="6"/>
  <c r="U440" i="6"/>
  <c r="U296" i="6"/>
  <c r="U148" i="6"/>
  <c r="U563" i="6"/>
  <c r="U419" i="6"/>
  <c r="U995" i="6"/>
  <c r="U911" i="6"/>
  <c r="U827" i="6"/>
  <c r="U739" i="6"/>
  <c r="U634" i="6"/>
  <c r="U307" i="6"/>
  <c r="U899" i="6"/>
  <c r="U816" i="6"/>
  <c r="U619" i="6"/>
  <c r="U511" i="6"/>
  <c r="U291" i="6"/>
  <c r="U74" i="6"/>
  <c r="U985" i="6"/>
  <c r="U912" i="6"/>
  <c r="U764" i="6"/>
  <c r="U675" i="6"/>
  <c r="U295" i="6"/>
  <c r="U199" i="6"/>
  <c r="U104" i="6"/>
  <c r="U426" i="6"/>
  <c r="U343" i="6"/>
  <c r="U259" i="6"/>
  <c r="U176" i="6"/>
  <c r="U768" i="6"/>
  <c r="U704" i="6"/>
  <c r="U411" i="6"/>
  <c r="U338" i="6"/>
  <c r="U192" i="6"/>
  <c r="U119" i="6"/>
  <c r="U867" i="6"/>
  <c r="U519" i="6"/>
  <c r="U323" i="6"/>
  <c r="U505" i="6"/>
  <c r="U691" i="6"/>
  <c r="U304" i="6"/>
  <c r="U490" i="6"/>
  <c r="U51" i="6"/>
  <c r="U992" i="6"/>
  <c r="U683" i="6"/>
  <c r="U288" i="6"/>
  <c r="U881" i="6"/>
  <c r="U527" i="6"/>
  <c r="U106" i="6"/>
  <c r="U193" i="6"/>
  <c r="U49" i="6"/>
  <c r="U610" i="6"/>
  <c r="U464" i="6"/>
  <c r="U172" i="6"/>
  <c r="U26" i="6"/>
  <c r="U960" i="6"/>
  <c r="U850" i="6"/>
  <c r="U731" i="6"/>
  <c r="U444" i="6"/>
  <c r="U298" i="6"/>
  <c r="U945" i="6"/>
  <c r="U833" i="6"/>
  <c r="U713" i="6"/>
  <c r="U570" i="6"/>
  <c r="U832" i="6"/>
  <c r="U275" i="6"/>
  <c r="U131" i="6"/>
  <c r="U927" i="6"/>
  <c r="U815" i="6"/>
  <c r="U546" i="6"/>
  <c r="U255" i="6"/>
  <c r="U900" i="6"/>
  <c r="U817" i="6"/>
  <c r="U513" i="6"/>
  <c r="U403" i="6"/>
  <c r="U184" i="6"/>
  <c r="U75" i="6"/>
  <c r="U889" i="6"/>
  <c r="U714" i="6"/>
  <c r="U387" i="6"/>
  <c r="U59" i="6"/>
  <c r="U976" i="6"/>
  <c r="U473" i="6"/>
  <c r="U378" i="6"/>
  <c r="U282" i="6"/>
  <c r="U187" i="6"/>
  <c r="U90" i="6"/>
  <c r="U745" i="6"/>
  <c r="U666" i="6"/>
  <c r="U583" i="6"/>
  <c r="U499" i="6"/>
  <c r="U249" i="6"/>
  <c r="U81" i="6"/>
  <c r="U695" i="6"/>
  <c r="U475" i="6"/>
  <c r="U402" i="6"/>
  <c r="U329" i="6"/>
  <c r="U256" i="6"/>
  <c r="U183" i="6"/>
  <c r="U205" i="6"/>
  <c r="L26" i="8"/>
  <c r="AI25" i="8" s="1"/>
  <c r="A26" i="8"/>
  <c r="M529" i="6"/>
  <c r="M364" i="6"/>
  <c r="M78" i="6"/>
  <c r="M470" i="6"/>
  <c r="M397" i="6"/>
  <c r="M312" i="6"/>
  <c r="M229" i="6"/>
  <c r="M145" i="6"/>
  <c r="M62" i="6"/>
  <c r="M444" i="6"/>
  <c r="M377" i="6"/>
  <c r="M304" i="6"/>
  <c r="M231" i="6"/>
  <c r="M158" i="6"/>
  <c r="M85" i="6"/>
  <c r="M336" i="6"/>
  <c r="M95" i="6"/>
  <c r="M321" i="6"/>
  <c r="M673" i="6"/>
  <c r="M607" i="6"/>
  <c r="M818" i="6"/>
  <c r="M644" i="6"/>
  <c r="M383" i="6"/>
  <c r="M932" i="6"/>
  <c r="M676" i="6"/>
  <c r="M856" i="6"/>
  <c r="M119" i="6"/>
  <c r="M184" i="6"/>
  <c r="M89" i="6"/>
  <c r="M543" i="6"/>
  <c r="M406" i="6"/>
  <c r="M156" i="6"/>
  <c r="M240" i="6"/>
  <c r="M167" i="6"/>
  <c r="M108" i="6"/>
  <c r="M631" i="6"/>
  <c r="M524" i="6"/>
  <c r="M226" i="6"/>
  <c r="M553" i="6"/>
  <c r="M799" i="6"/>
  <c r="M834" i="6"/>
  <c r="M610" i="6"/>
  <c r="M654" i="6"/>
  <c r="M751" i="6"/>
  <c r="M393" i="6"/>
  <c r="M683" i="6"/>
  <c r="M370" i="6"/>
  <c r="M122" i="6"/>
  <c r="M36" i="6"/>
  <c r="M264" i="6"/>
  <c r="M480" i="6"/>
  <c r="M648" i="6"/>
  <c r="M640" i="6"/>
  <c r="M758" i="6"/>
  <c r="M873" i="6"/>
  <c r="M985" i="6"/>
  <c r="M154" i="6"/>
  <c r="M568" i="6"/>
  <c r="M703" i="6"/>
  <c r="M815" i="6"/>
  <c r="M930" i="6"/>
  <c r="M1010" i="6"/>
  <c r="M925" i="6"/>
  <c r="M839" i="6"/>
  <c r="M754" i="6"/>
  <c r="M669" i="6"/>
  <c r="M560" i="6"/>
  <c r="M423" i="6"/>
  <c r="M255" i="6"/>
  <c r="M86" i="6"/>
  <c r="M1009" i="6"/>
  <c r="M923" i="6"/>
  <c r="M838" i="6"/>
  <c r="M753" i="6"/>
  <c r="M667" i="6"/>
  <c r="M558" i="6"/>
  <c r="M419" i="6"/>
  <c r="M253" i="6"/>
  <c r="M84" i="6"/>
  <c r="M1012" i="6"/>
  <c r="M948" i="6"/>
  <c r="M884" i="6"/>
  <c r="M820" i="6"/>
  <c r="M756" i="6"/>
  <c r="M692" i="6"/>
  <c r="M619" i="6"/>
  <c r="M531" i="6"/>
  <c r="M301" i="6"/>
  <c r="M175" i="6"/>
  <c r="M47" i="6"/>
  <c r="M1000" i="6"/>
  <c r="M936" i="6"/>
  <c r="M872" i="6"/>
  <c r="M808" i="6"/>
  <c r="M744" i="6"/>
  <c r="M680" i="6"/>
  <c r="M603" i="6"/>
  <c r="M513" i="6"/>
  <c r="M405" i="6"/>
  <c r="M278" i="6"/>
  <c r="M152" i="6"/>
  <c r="M24" i="6"/>
  <c r="M590" i="6"/>
  <c r="M521" i="6"/>
  <c r="M443" i="6"/>
  <c r="M353" i="6"/>
  <c r="M257" i="6"/>
  <c r="M68" i="6"/>
  <c r="M621" i="6"/>
  <c r="M556" i="6"/>
  <c r="M483" i="6"/>
  <c r="M400" i="6"/>
  <c r="M305" i="6"/>
  <c r="M113" i="6"/>
  <c r="M559" i="6"/>
  <c r="M495" i="6"/>
  <c r="M424" i="6"/>
  <c r="M344" i="6"/>
  <c r="M261" i="6"/>
  <c r="M177" i="6"/>
  <c r="M93" i="6"/>
  <c r="M468" i="6"/>
  <c r="M404" i="6"/>
  <c r="M332" i="6"/>
  <c r="M258" i="6"/>
  <c r="M185" i="6"/>
  <c r="M112" i="6"/>
  <c r="M39" i="6"/>
  <c r="M347" i="6"/>
  <c r="M283" i="6"/>
  <c r="M219" i="6"/>
  <c r="M155" i="6"/>
  <c r="M91" i="6"/>
  <c r="M27" i="6"/>
  <c r="M160" i="6"/>
  <c r="M592" i="6"/>
  <c r="M847" i="6"/>
  <c r="M608" i="6"/>
  <c r="M34" i="6"/>
  <c r="M28" i="6"/>
  <c r="M497" i="6"/>
  <c r="M429" i="6"/>
  <c r="M830" i="6"/>
  <c r="M90" i="6"/>
  <c r="M437" i="6"/>
  <c r="M144" i="6"/>
  <c r="M866" i="6"/>
  <c r="M938" i="6"/>
  <c r="M276" i="6"/>
  <c r="M438" i="6"/>
  <c r="M427" i="6"/>
  <c r="M863" i="6"/>
  <c r="M150" i="6"/>
  <c r="M900" i="6"/>
  <c r="M720" i="6"/>
  <c r="M216" i="6"/>
  <c r="M118" i="6"/>
  <c r="M571" i="6"/>
  <c r="M580" i="6"/>
  <c r="M774" i="6"/>
  <c r="M51" i="6"/>
  <c r="M623" i="6"/>
  <c r="M867" i="6"/>
  <c r="M843" i="6"/>
  <c r="M570" i="6"/>
  <c r="M409" i="6"/>
  <c r="M279" i="6"/>
  <c r="M963" i="6"/>
  <c r="M853" i="6"/>
  <c r="M417" i="6"/>
  <c r="M242" i="6"/>
  <c r="M462" i="6"/>
  <c r="M66" i="6"/>
  <c r="M837" i="6"/>
  <c r="I656" i="6"/>
  <c r="I98" i="6"/>
  <c r="I213" i="6"/>
  <c r="I312" i="6"/>
  <c r="I504" i="6"/>
  <c r="I577" i="6"/>
  <c r="I650" i="6"/>
  <c r="I724" i="6"/>
  <c r="I797" i="6"/>
  <c r="I930" i="6"/>
  <c r="I44" i="6"/>
  <c r="I264" i="6"/>
  <c r="I362" i="6"/>
  <c r="I542" i="6"/>
  <c r="I688" i="6"/>
  <c r="I761" i="6"/>
  <c r="I899" i="6"/>
  <c r="I963" i="6"/>
  <c r="I707" i="6"/>
  <c r="I643" i="6"/>
  <c r="I515" i="6"/>
  <c r="I436" i="6"/>
  <c r="I350" i="6"/>
  <c r="I265" i="6"/>
  <c r="I180" i="6"/>
  <c r="I94" i="6"/>
  <c r="I178" i="6"/>
  <c r="I459" i="6"/>
  <c r="I395" i="6"/>
  <c r="I267" i="6"/>
  <c r="I203" i="6"/>
  <c r="I75" i="6"/>
  <c r="I447" i="6"/>
  <c r="I383" i="6"/>
  <c r="I191" i="6"/>
  <c r="I63" i="6"/>
  <c r="I261" i="6"/>
  <c r="I840" i="6"/>
  <c r="I953" i="6"/>
  <c r="I966" i="6"/>
  <c r="I692" i="6"/>
  <c r="I593" i="6"/>
  <c r="I497" i="6"/>
  <c r="I366" i="6"/>
  <c r="I236" i="6"/>
  <c r="I88" i="6"/>
  <c r="M534" i="6"/>
  <c r="I876" i="6"/>
  <c r="I685" i="6"/>
  <c r="I589" i="6"/>
  <c r="I488" i="6"/>
  <c r="I229" i="6"/>
  <c r="I77" i="6"/>
  <c r="M889" i="6"/>
  <c r="M662" i="6"/>
  <c r="M266" i="6"/>
  <c r="M46" i="6"/>
  <c r="M514" i="6"/>
  <c r="M1018" i="6"/>
  <c r="M643" i="6"/>
  <c r="M737" i="6"/>
  <c r="M675" i="6"/>
  <c r="M378" i="6"/>
  <c r="M499" i="6"/>
  <c r="M114" i="6"/>
  <c r="M136" i="6"/>
  <c r="M103" i="6"/>
  <c r="I658" i="6"/>
  <c r="M782" i="6"/>
  <c r="M362" i="6"/>
  <c r="M939" i="6"/>
  <c r="M323" i="6"/>
  <c r="M98" i="6"/>
  <c r="M913" i="6"/>
  <c r="M829" i="6"/>
  <c r="M221" i="6"/>
  <c r="M804" i="6"/>
  <c r="M762" i="6"/>
  <c r="M138" i="6"/>
  <c r="M230" i="6"/>
  <c r="M526" i="6"/>
  <c r="M223" i="6"/>
  <c r="M511" i="6"/>
  <c r="M56" i="6"/>
  <c r="M288" i="6"/>
  <c r="M488" i="6"/>
  <c r="M178" i="6"/>
  <c r="M537" i="6"/>
  <c r="M204" i="6"/>
  <c r="M652" i="6"/>
  <c r="M896" i="6"/>
  <c r="M225" i="6"/>
  <c r="M634" i="6"/>
  <c r="M905" i="6"/>
  <c r="M554" i="6"/>
  <c r="M42" i="6"/>
  <c r="M854" i="6"/>
  <c r="M522" i="6"/>
  <c r="M961" i="6"/>
  <c r="M734" i="6"/>
  <c r="M931" i="6"/>
  <c r="M99" i="6"/>
  <c r="M586" i="6"/>
  <c r="M878" i="6"/>
  <c r="M781" i="6"/>
  <c r="M53" i="6"/>
  <c r="M372" i="6"/>
  <c r="M714" i="6"/>
  <c r="M956" i="6"/>
  <c r="M43" i="6"/>
  <c r="M54" i="6"/>
  <c r="M246" i="6"/>
  <c r="M550" i="6"/>
  <c r="M271" i="6"/>
  <c r="M519" i="6"/>
  <c r="M80" i="6"/>
  <c r="M296" i="6"/>
  <c r="M528" i="6"/>
  <c r="M203" i="6"/>
  <c r="M562" i="6"/>
  <c r="M243" i="6"/>
  <c r="M695" i="6"/>
  <c r="M920" i="6"/>
  <c r="M300" i="6"/>
  <c r="M659" i="6"/>
  <c r="M859" i="6"/>
  <c r="M532" i="6"/>
  <c r="M994" i="6"/>
  <c r="M822" i="6"/>
  <c r="M316" i="6"/>
  <c r="M945" i="6"/>
  <c r="M709" i="6"/>
  <c r="M252" i="6"/>
  <c r="M1007" i="6"/>
  <c r="M835" i="6"/>
  <c r="M618" i="6"/>
  <c r="M466" i="6"/>
  <c r="M741" i="6"/>
  <c r="M825" i="6"/>
  <c r="M794" i="6"/>
  <c r="M182" i="6"/>
  <c r="M670" i="6"/>
  <c r="M327" i="6"/>
  <c r="M663" i="6"/>
  <c r="M328" i="6"/>
  <c r="M696" i="6"/>
  <c r="M509" i="6"/>
  <c r="M268" i="6"/>
  <c r="M760" i="6"/>
  <c r="M133" i="6"/>
  <c r="M682" i="6"/>
  <c r="M764" i="6"/>
  <c r="M163" i="6"/>
  <c r="M812" i="6"/>
  <c r="M195" i="6"/>
  <c r="M811" i="6"/>
  <c r="M297" i="6"/>
  <c r="M989" i="6"/>
  <c r="M819" i="6"/>
  <c r="M964" i="6"/>
  <c r="M778" i="6"/>
  <c r="M525" i="6"/>
  <c r="M330" i="6"/>
  <c r="M733" i="6"/>
  <c r="M201" i="6"/>
  <c r="M198" i="6"/>
  <c r="M31" i="6"/>
  <c r="M359" i="6"/>
  <c r="M671" i="6"/>
  <c r="M360" i="6"/>
  <c r="M50" i="6"/>
  <c r="M523" i="6"/>
  <c r="M346" i="6"/>
  <c r="M832" i="6"/>
  <c r="M186" i="6"/>
  <c r="M691" i="6"/>
  <c r="M742" i="6"/>
  <c r="M60" i="6"/>
  <c r="M802" i="6"/>
  <c r="M73" i="6"/>
  <c r="M789" i="6"/>
  <c r="M212" i="6"/>
  <c r="M957" i="6"/>
  <c r="M763" i="6"/>
  <c r="M650" i="6"/>
  <c r="M373" i="6"/>
  <c r="M121" i="6"/>
  <c r="M597" i="6"/>
  <c r="M137" i="6"/>
  <c r="M310" i="6"/>
  <c r="M415" i="6"/>
  <c r="M128" i="6"/>
  <c r="M376" i="6"/>
  <c r="M100" i="6"/>
  <c r="M396" i="6"/>
  <c r="M848" i="6"/>
  <c r="M339" i="6"/>
  <c r="M690" i="6"/>
  <c r="M962" i="6"/>
  <c r="M790" i="6"/>
  <c r="M681" i="6"/>
  <c r="M194" i="6"/>
  <c r="M674" i="6"/>
  <c r="M79" i="6"/>
  <c r="M573" i="6"/>
  <c r="M732" i="6"/>
  <c r="M29" i="6"/>
  <c r="M979" i="6"/>
  <c r="M67" i="6"/>
  <c r="M689" i="6"/>
  <c r="M845" i="6"/>
  <c r="M1015" i="6"/>
  <c r="M1013" i="6"/>
  <c r="M117" i="6"/>
  <c r="M259" i="6"/>
  <c r="M142" i="6"/>
  <c r="M414" i="6"/>
  <c r="M183" i="6"/>
  <c r="M599" i="6"/>
  <c r="M208" i="6"/>
  <c r="M464" i="6"/>
  <c r="M395" i="6"/>
  <c r="M735" i="6"/>
  <c r="M641" i="6"/>
  <c r="M97" i="6"/>
  <c r="M453" i="6"/>
  <c r="M950" i="6"/>
  <c r="M388" i="6"/>
  <c r="M918" i="6"/>
  <c r="M604" i="6"/>
  <c r="M908" i="6"/>
  <c r="M458" i="6"/>
  <c r="M49" i="6"/>
  <c r="M309" i="6"/>
  <c r="M1005" i="6"/>
  <c r="M898" i="6"/>
  <c r="M262" i="6"/>
  <c r="M990" i="6"/>
  <c r="M446" i="6"/>
  <c r="M810" i="6"/>
  <c r="M81" i="6"/>
  <c r="M576" i="6"/>
  <c r="M193" i="6"/>
  <c r="M131" i="6"/>
  <c r="M917" i="6"/>
  <c r="M937" i="6"/>
  <c r="M974" i="6"/>
  <c r="M83" i="6"/>
  <c r="M727" i="6"/>
  <c r="M440" i="6"/>
  <c r="M535" i="6"/>
  <c r="M398" i="6"/>
  <c r="M906" i="6"/>
  <c r="M333" i="6"/>
  <c r="M857" i="6"/>
  <c r="M678" i="6"/>
  <c r="M171" i="6"/>
  <c r="M1017" i="6"/>
  <c r="M954" i="6"/>
  <c r="M1014" i="6"/>
  <c r="M888" i="6"/>
  <c r="M719" i="6"/>
  <c r="M408" i="6"/>
  <c r="M503" i="6"/>
  <c r="M366" i="6"/>
  <c r="M425" i="6"/>
  <c r="M196" i="6"/>
  <c r="M365" i="6"/>
  <c r="M865" i="6"/>
  <c r="M842" i="6"/>
  <c r="M418" i="6"/>
  <c r="M235" i="6"/>
  <c r="M205" i="6"/>
  <c r="M595" i="6"/>
  <c r="M752" i="6"/>
  <c r="M498" i="6"/>
  <c r="M248" i="6"/>
  <c r="M311" i="6"/>
  <c r="M174" i="6"/>
  <c r="M539" i="6"/>
  <c r="M260" i="6"/>
  <c r="M749" i="6"/>
  <c r="M813" i="6"/>
  <c r="I220" i="6"/>
  <c r="I394" i="6"/>
  <c r="I549" i="6"/>
  <c r="I810" i="6"/>
  <c r="I927" i="6"/>
  <c r="M555" i="6"/>
  <c r="I567" i="6"/>
  <c r="I700" i="6"/>
  <c r="I829" i="6"/>
  <c r="I958" i="6"/>
  <c r="M289" i="6"/>
  <c r="M771" i="6"/>
  <c r="M181" i="6"/>
  <c r="M585" i="6"/>
  <c r="M831" i="6"/>
  <c r="M743" i="6"/>
  <c r="M658" i="6"/>
  <c r="M403" i="6"/>
  <c r="M236" i="6"/>
  <c r="M998" i="6"/>
  <c r="M827" i="6"/>
  <c r="M402" i="6"/>
  <c r="M61" i="6"/>
  <c r="M684" i="6"/>
  <c r="M609" i="6"/>
  <c r="M287" i="6"/>
  <c r="M159" i="6"/>
  <c r="M33" i="6"/>
  <c r="M928" i="6"/>
  <c r="M864" i="6"/>
  <c r="M800" i="6"/>
  <c r="M736" i="6"/>
  <c r="M593" i="6"/>
  <c r="M391" i="6"/>
  <c r="M263" i="6"/>
  <c r="M432" i="6"/>
  <c r="M342" i="6"/>
  <c r="M613" i="6"/>
  <c r="M473" i="6"/>
  <c r="M389" i="6"/>
  <c r="M293" i="6"/>
  <c r="M197" i="6"/>
  <c r="M101" i="6"/>
  <c r="M551" i="6"/>
  <c r="M487" i="6"/>
  <c r="M334" i="6"/>
  <c r="M250" i="6"/>
  <c r="M460" i="6"/>
  <c r="M322" i="6"/>
  <c r="M176" i="6"/>
  <c r="M147" i="6"/>
  <c r="M726" i="6"/>
  <c r="M507" i="6"/>
  <c r="M164" i="6"/>
  <c r="M897" i="6"/>
  <c r="M981" i="6"/>
  <c r="M1006" i="6"/>
  <c r="M620" i="6"/>
  <c r="M769" i="6"/>
  <c r="M153" i="6"/>
  <c r="M374" i="6"/>
  <c r="M564" i="6"/>
  <c r="M702" i="6"/>
  <c r="M814" i="6"/>
  <c r="M929" i="6"/>
  <c r="M37" i="6"/>
  <c r="M265" i="6"/>
  <c r="M482" i="6"/>
  <c r="M642" i="6"/>
  <c r="M759" i="6"/>
  <c r="M874" i="6"/>
  <c r="M986" i="6"/>
  <c r="M967" i="6"/>
  <c r="M882" i="6"/>
  <c r="M797" i="6"/>
  <c r="M711" i="6"/>
  <c r="M617" i="6"/>
  <c r="M496" i="6"/>
  <c r="M338" i="6"/>
  <c r="M170" i="6"/>
  <c r="M966" i="6"/>
  <c r="M881" i="6"/>
  <c r="M795" i="6"/>
  <c r="M710" i="6"/>
  <c r="M616" i="6"/>
  <c r="M491" i="6"/>
  <c r="M337" i="6"/>
  <c r="M169" i="6"/>
  <c r="M980" i="6"/>
  <c r="M916" i="6"/>
  <c r="M852" i="6"/>
  <c r="M788" i="6"/>
  <c r="M724" i="6"/>
  <c r="M660" i="6"/>
  <c r="M577" i="6"/>
  <c r="M481" i="6"/>
  <c r="M367" i="6"/>
  <c r="M238" i="6"/>
  <c r="M110" i="6"/>
  <c r="M968" i="6"/>
  <c r="M904" i="6"/>
  <c r="M840" i="6"/>
  <c r="M776" i="6"/>
  <c r="M712" i="6"/>
  <c r="M647" i="6"/>
  <c r="M561" i="6"/>
  <c r="M459" i="6"/>
  <c r="M343" i="6"/>
  <c r="M215" i="6"/>
  <c r="M87" i="6"/>
  <c r="M622" i="6"/>
  <c r="M557" i="6"/>
  <c r="M484" i="6"/>
  <c r="M401" i="6"/>
  <c r="M306" i="6"/>
  <c r="M210" i="6"/>
  <c r="M116" i="6"/>
  <c r="M653" i="6"/>
  <c r="M589" i="6"/>
  <c r="M520" i="6"/>
  <c r="M135" i="6"/>
  <c r="M725" i="6"/>
  <c r="M486" i="6"/>
  <c r="M77" i="6"/>
  <c r="M356" i="6"/>
  <c r="M697" i="6"/>
  <c r="M290" i="6"/>
  <c r="M504" i="6"/>
  <c r="M773" i="6"/>
  <c r="M871" i="6"/>
  <c r="M786" i="6"/>
  <c r="M477" i="6"/>
  <c r="M844" i="6"/>
  <c r="M768" i="6"/>
  <c r="M704" i="6"/>
  <c r="M549" i="6"/>
  <c r="M71" i="6"/>
  <c r="M199" i="6"/>
  <c r="M140" i="6"/>
  <c r="M307" i="6"/>
  <c r="M449" i="6"/>
  <c r="M172" i="6"/>
  <c r="M895" i="6"/>
  <c r="M922" i="6"/>
  <c r="M713" i="6"/>
  <c r="M578" i="6"/>
  <c r="M693" i="6"/>
  <c r="M983" i="6"/>
  <c r="M445" i="6"/>
  <c r="M563" i="6"/>
  <c r="M926" i="6"/>
  <c r="M775" i="6"/>
  <c r="M129" i="6"/>
  <c r="M455" i="6"/>
  <c r="M206" i="6"/>
  <c r="M824" i="6"/>
  <c r="M536" i="6"/>
  <c r="M282" i="6"/>
  <c r="M501" i="6"/>
  <c r="M442" i="6"/>
  <c r="M420" i="6"/>
  <c r="M363" i="6"/>
  <c r="M237" i="6"/>
  <c r="M450" i="6"/>
  <c r="M745" i="6"/>
  <c r="M971" i="6"/>
  <c r="M351" i="6"/>
  <c r="M687" i="6"/>
  <c r="M21" i="6"/>
  <c r="M935" i="6"/>
  <c r="M850" i="6"/>
  <c r="M679" i="6"/>
  <c r="M575" i="6"/>
  <c r="M1019" i="6"/>
  <c r="M934" i="6"/>
  <c r="M849" i="6"/>
  <c r="M572" i="6"/>
  <c r="M274" i="6"/>
  <c r="M1020" i="6"/>
  <c r="M892" i="6"/>
  <c r="M828" i="6"/>
  <c r="M700" i="6"/>
  <c r="M542" i="6"/>
  <c r="M439" i="6"/>
  <c r="M319" i="6"/>
  <c r="M191" i="6"/>
  <c r="M63" i="6"/>
  <c r="M1008" i="6"/>
  <c r="M944" i="6"/>
  <c r="M880" i="6"/>
  <c r="M816" i="6"/>
  <c r="M688" i="6"/>
  <c r="M615" i="6"/>
  <c r="M168" i="6"/>
  <c r="M38" i="6"/>
  <c r="M598" i="6"/>
  <c r="M454" i="6"/>
  <c r="M270" i="6"/>
  <c r="M629" i="6"/>
  <c r="M565" i="6"/>
  <c r="M492" i="6"/>
  <c r="M410" i="6"/>
  <c r="M317" i="6"/>
  <c r="M126" i="6"/>
  <c r="M354" i="6"/>
  <c r="M188" i="6"/>
  <c r="M104" i="6"/>
  <c r="M476" i="6"/>
  <c r="M412" i="6"/>
  <c r="M341" i="6"/>
  <c r="M48" i="6"/>
  <c r="M355" i="6"/>
  <c r="M291" i="6"/>
  <c r="M227" i="6"/>
  <c r="M35" i="6"/>
  <c r="M540" i="6"/>
  <c r="I237" i="6"/>
  <c r="I21" i="6"/>
  <c r="I214" i="6"/>
  <c r="I585" i="6"/>
  <c r="I392" i="6"/>
  <c r="I268" i="6"/>
  <c r="I990" i="6"/>
  <c r="I188" i="6"/>
  <c r="I176" i="6"/>
  <c r="I556" i="6"/>
  <c r="I449" i="6"/>
  <c r="I677" i="6"/>
  <c r="I258" i="6"/>
  <c r="I334" i="6"/>
  <c r="I729" i="6"/>
  <c r="I428" i="6"/>
  <c r="I314" i="6"/>
  <c r="I202" i="6"/>
  <c r="I233" i="6"/>
  <c r="I425" i="6"/>
  <c r="I207" i="6"/>
  <c r="I169" i="6"/>
  <c r="I621" i="6"/>
  <c r="I684" i="6"/>
  <c r="I472" i="6"/>
  <c r="I804" i="6"/>
  <c r="I470" i="6"/>
  <c r="I809" i="6"/>
  <c r="I492" i="6"/>
  <c r="I524" i="6"/>
  <c r="I377" i="6"/>
  <c r="I452" i="6"/>
  <c r="I440" i="6"/>
  <c r="I183" i="6"/>
  <c r="I557" i="6"/>
  <c r="I632" i="6"/>
  <c r="I101" i="6"/>
  <c r="I30" i="6"/>
  <c r="I526" i="6"/>
  <c r="I921" i="6"/>
  <c r="I794" i="6"/>
  <c r="I782" i="6"/>
  <c r="I640" i="6"/>
  <c r="I680" i="6"/>
  <c r="I733" i="6"/>
  <c r="I153" i="6"/>
  <c r="I856" i="6"/>
  <c r="I843" i="6"/>
  <c r="I102" i="6"/>
  <c r="I235" i="6"/>
  <c r="I48" i="6"/>
  <c r="I978" i="6"/>
  <c r="I790" i="6"/>
  <c r="I756" i="6"/>
  <c r="I732" i="6"/>
  <c r="I951" i="6"/>
  <c r="I128" i="6"/>
  <c r="I959" i="6"/>
  <c r="I651" i="6"/>
  <c r="I74" i="6"/>
  <c r="I263" i="6"/>
  <c r="I60" i="6"/>
  <c r="I115" i="6"/>
  <c r="I846" i="6"/>
  <c r="I871" i="6"/>
  <c r="I885" i="6"/>
  <c r="I863" i="6"/>
  <c r="I789" i="6"/>
  <c r="I936" i="6"/>
  <c r="I209" i="6"/>
  <c r="I637" i="6"/>
  <c r="I655" i="6"/>
  <c r="I873" i="6"/>
  <c r="I831" i="6"/>
  <c r="I923" i="6"/>
  <c r="I400" i="6"/>
  <c r="I536" i="6"/>
  <c r="I502" i="6"/>
  <c r="I521" i="6"/>
  <c r="I982" i="6"/>
  <c r="I24" i="6"/>
  <c r="I531" i="6"/>
  <c r="I678" i="6"/>
  <c r="I393" i="6"/>
  <c r="I819" i="6"/>
  <c r="I177" i="6"/>
  <c r="I751" i="6"/>
  <c r="I824" i="6"/>
  <c r="I954" i="6"/>
  <c r="I198" i="6"/>
  <c r="I301" i="6"/>
  <c r="I496" i="6"/>
  <c r="I569" i="6"/>
  <c r="I642" i="6"/>
  <c r="I716" i="6"/>
  <c r="I859" i="6"/>
  <c r="I811" i="6"/>
  <c r="I489" i="6"/>
  <c r="I62" i="6"/>
  <c r="I51" i="6"/>
  <c r="I487" i="6"/>
  <c r="I359" i="6"/>
  <c r="I167" i="6"/>
  <c r="I620" i="6"/>
  <c r="I426" i="6"/>
  <c r="I548" i="6"/>
  <c r="I385" i="6"/>
  <c r="I40" i="6"/>
  <c r="I623" i="6"/>
  <c r="I256" i="6"/>
  <c r="I904" i="6"/>
  <c r="I879" i="6"/>
  <c r="I375" i="6"/>
  <c r="I828" i="6"/>
  <c r="I868" i="6"/>
  <c r="I877" i="6"/>
  <c r="I1019" i="6"/>
  <c r="I763" i="6"/>
  <c r="I402" i="6"/>
  <c r="I864" i="6"/>
  <c r="I457" i="6"/>
  <c r="I996" i="6"/>
  <c r="I386" i="6"/>
  <c r="I917" i="6"/>
  <c r="I356" i="6"/>
  <c r="I980" i="6"/>
  <c r="I780" i="6"/>
  <c r="I839" i="6"/>
  <c r="I269" i="6"/>
  <c r="I639" i="6"/>
  <c r="I748" i="6"/>
  <c r="I431" i="6"/>
  <c r="I883" i="6"/>
  <c r="I243" i="6"/>
  <c r="I78" i="6"/>
  <c r="I106" i="6"/>
  <c r="I139" i="6"/>
  <c r="I238" i="6"/>
  <c r="I358" i="6"/>
  <c r="I486" i="6"/>
  <c r="I83" i="6"/>
  <c r="I272" i="6"/>
  <c r="I409" i="6"/>
  <c r="I561" i="6"/>
  <c r="I713" i="6"/>
  <c r="I825" i="6"/>
  <c r="I913" i="6"/>
  <c r="I1017" i="6"/>
  <c r="I142" i="6"/>
  <c r="I291" i="6"/>
  <c r="I465" i="6"/>
  <c r="I570" i="6"/>
  <c r="I722" i="6"/>
  <c r="I850" i="6"/>
  <c r="I986" i="6"/>
  <c r="I126" i="6"/>
  <c r="I241" i="6"/>
  <c r="I378" i="6"/>
  <c r="I506" i="6"/>
  <c r="I654" i="6"/>
  <c r="I758" i="6"/>
  <c r="I878" i="6"/>
  <c r="I974" i="6"/>
  <c r="I173" i="6"/>
  <c r="I320" i="6"/>
  <c r="I523" i="6"/>
  <c r="I717" i="6"/>
  <c r="I884" i="6"/>
  <c r="I987" i="6"/>
  <c r="I292" i="6"/>
  <c r="I512" i="6"/>
  <c r="I668" i="6"/>
  <c r="I808" i="6"/>
  <c r="I949" i="6"/>
  <c r="I192" i="6"/>
  <c r="I411" i="6"/>
  <c r="I605" i="6"/>
  <c r="I747" i="6"/>
  <c r="I925" i="6"/>
  <c r="I903" i="6"/>
  <c r="I636" i="6"/>
  <c r="I799" i="6"/>
  <c r="I476" i="6"/>
  <c r="I164" i="6"/>
  <c r="I776" i="6"/>
  <c r="I672" i="6"/>
  <c r="I477" i="6"/>
  <c r="I712" i="6"/>
  <c r="I901" i="6"/>
  <c r="I956" i="6"/>
  <c r="I752" i="6"/>
  <c r="I971" i="6"/>
  <c r="I371" i="6"/>
  <c r="I38" i="6"/>
  <c r="I34" i="6"/>
  <c r="I67" i="6"/>
  <c r="I206" i="6"/>
  <c r="I318" i="6"/>
  <c r="I446" i="6"/>
  <c r="I534" i="6"/>
  <c r="I226" i="6"/>
  <c r="I372" i="6"/>
  <c r="I509" i="6"/>
  <c r="I625" i="6"/>
  <c r="I777" i="6"/>
  <c r="I881" i="6"/>
  <c r="I969" i="6"/>
  <c r="I96" i="6"/>
  <c r="I255" i="6"/>
  <c r="I401" i="6"/>
  <c r="I546" i="6"/>
  <c r="I674" i="6"/>
  <c r="I802" i="6"/>
  <c r="I922" i="6"/>
  <c r="I79" i="6"/>
  <c r="I195" i="6"/>
  <c r="I305" i="6"/>
  <c r="I451" i="6"/>
  <c r="I598" i="6"/>
  <c r="I718" i="6"/>
  <c r="I822" i="6"/>
  <c r="I934" i="6"/>
  <c r="I124" i="6"/>
  <c r="I260" i="6"/>
  <c r="I435" i="6"/>
  <c r="I653" i="6"/>
  <c r="I832" i="6"/>
  <c r="I948" i="6"/>
  <c r="I219" i="6"/>
  <c r="I423" i="6"/>
  <c r="I604" i="6"/>
  <c r="I757" i="6"/>
  <c r="I872" i="6"/>
  <c r="I127" i="6"/>
  <c r="I352" i="6"/>
  <c r="I498" i="6"/>
  <c r="I708" i="6"/>
  <c r="I848" i="6"/>
  <c r="I1005" i="6"/>
  <c r="I739" i="6"/>
  <c r="I461" i="6"/>
  <c r="I39" i="6"/>
  <c r="I251" i="6"/>
  <c r="I955" i="6"/>
  <c r="I624" i="6"/>
  <c r="I285" i="6"/>
  <c r="I599" i="6"/>
  <c r="I224" i="6"/>
  <c r="I933" i="6"/>
  <c r="I940" i="6"/>
  <c r="I773" i="6"/>
  <c r="I701" i="6"/>
  <c r="I412" i="6"/>
  <c r="I979" i="6"/>
  <c r="I283" i="6"/>
  <c r="I110" i="6"/>
  <c r="I109" i="6"/>
  <c r="I246" i="6"/>
  <c r="I398" i="6"/>
  <c r="I33" i="6"/>
  <c r="I317" i="6"/>
  <c r="I455" i="6"/>
  <c r="I681" i="6"/>
  <c r="I841" i="6"/>
  <c r="I937" i="6"/>
  <c r="I108" i="6"/>
  <c r="I309" i="6"/>
  <c r="I511" i="6"/>
  <c r="I682" i="6"/>
  <c r="I866" i="6"/>
  <c r="I29" i="6"/>
  <c r="I204" i="6"/>
  <c r="I387" i="6"/>
  <c r="I566" i="6"/>
  <c r="I726" i="6"/>
  <c r="I886" i="6"/>
  <c r="I1014" i="6"/>
  <c r="I275" i="6"/>
  <c r="I551" i="6"/>
  <c r="I768" i="6"/>
  <c r="I960" i="6"/>
  <c r="I321" i="6"/>
  <c r="I579" i="6"/>
  <c r="I771" i="6"/>
  <c r="I975" i="6"/>
  <c r="I322" i="6"/>
  <c r="I555" i="6"/>
  <c r="I759" i="6"/>
  <c r="I989" i="6"/>
  <c r="I676" i="6"/>
  <c r="I344" i="6"/>
  <c r="I485" i="6"/>
  <c r="I37" i="6"/>
  <c r="I709" i="6"/>
  <c r="I331" i="6"/>
  <c r="I928" i="6"/>
  <c r="I736" i="6"/>
  <c r="I490" i="6"/>
  <c r="I196" i="6"/>
  <c r="I165" i="6"/>
  <c r="I280" i="6"/>
  <c r="I575" i="6"/>
  <c r="I568" i="6"/>
  <c r="I212" i="6"/>
  <c r="I947" i="6"/>
  <c r="I211" i="6"/>
  <c r="I26" i="6"/>
  <c r="I129" i="6"/>
  <c r="I270" i="6"/>
  <c r="I406" i="6"/>
  <c r="I71" i="6"/>
  <c r="I327" i="6"/>
  <c r="I482" i="6"/>
  <c r="I689" i="6"/>
  <c r="I849" i="6"/>
  <c r="I961" i="6"/>
  <c r="I121" i="6"/>
  <c r="I319" i="6"/>
  <c r="I529" i="6"/>
  <c r="I714" i="6"/>
  <c r="I890" i="6"/>
  <c r="I65" i="6"/>
  <c r="I232" i="6"/>
  <c r="I405" i="6"/>
  <c r="I574" i="6"/>
  <c r="I750" i="6"/>
  <c r="I894" i="6"/>
  <c r="I64" i="6"/>
  <c r="I304" i="6"/>
  <c r="I615" i="6"/>
  <c r="I820" i="6"/>
  <c r="I973" i="6"/>
  <c r="I335" i="6"/>
  <c r="I591" i="6"/>
  <c r="I783" i="6"/>
  <c r="I988" i="6"/>
  <c r="I338" i="6"/>
  <c r="I592" i="6"/>
  <c r="I772" i="6"/>
  <c r="I1003" i="6"/>
  <c r="I659" i="6"/>
  <c r="I274" i="6"/>
  <c r="I434" i="6"/>
  <c r="I1016" i="6"/>
  <c r="I647" i="6"/>
  <c r="I266" i="6"/>
  <c r="I916" i="6"/>
  <c r="I61" i="6"/>
  <c r="I288" i="6"/>
  <c r="I135" i="6"/>
  <c r="I597" i="6"/>
  <c r="I837" i="6"/>
  <c r="I242" i="6"/>
  <c r="I197" i="6"/>
  <c r="I444" i="6"/>
  <c r="I448" i="6"/>
  <c r="I514" i="6"/>
  <c r="I1007" i="6"/>
  <c r="I891" i="6"/>
  <c r="I22" i="6"/>
  <c r="I66" i="6"/>
  <c r="I148" i="6"/>
  <c r="I278" i="6"/>
  <c r="I454" i="6"/>
  <c r="I119" i="6"/>
  <c r="I336" i="6"/>
  <c r="I528" i="6"/>
  <c r="I721" i="6"/>
  <c r="I865" i="6"/>
  <c r="I993" i="6"/>
  <c r="I172" i="6"/>
  <c r="I364" i="6"/>
  <c r="I554" i="6"/>
  <c r="I738" i="6"/>
  <c r="I898" i="6"/>
  <c r="I103" i="6"/>
  <c r="I250" i="6"/>
  <c r="I424" i="6"/>
  <c r="I630" i="6"/>
  <c r="I766" i="6"/>
  <c r="I902" i="6"/>
  <c r="I140" i="6"/>
  <c r="I333" i="6"/>
  <c r="I628" i="6"/>
  <c r="I845" i="6"/>
  <c r="I28" i="6"/>
  <c r="I379" i="6"/>
  <c r="I629" i="6"/>
  <c r="I821" i="6"/>
  <c r="I1000" i="6"/>
  <c r="I367" i="6"/>
  <c r="I619" i="6"/>
  <c r="I784" i="6"/>
  <c r="I943" i="6"/>
  <c r="I596" i="6"/>
  <c r="I252" i="6"/>
  <c r="I368" i="6"/>
  <c r="I972" i="6"/>
  <c r="I607" i="6"/>
  <c r="I240" i="6"/>
  <c r="I357" i="6"/>
  <c r="I812" i="6"/>
  <c r="I595" i="6"/>
  <c r="I573" i="6"/>
  <c r="I900" i="6"/>
  <c r="I468" i="6"/>
  <c r="I160" i="6"/>
  <c r="I719" i="6"/>
  <c r="I408" i="6"/>
  <c r="I909" i="6"/>
  <c r="I508" i="6"/>
  <c r="I187" i="6"/>
  <c r="I830" i="6"/>
  <c r="I638" i="6"/>
  <c r="I296" i="6"/>
  <c r="I1018" i="6"/>
  <c r="I770" i="6"/>
  <c r="I474" i="6"/>
  <c r="I181" i="6"/>
  <c r="I905" i="6"/>
  <c r="I617" i="6"/>
  <c r="I391" i="6"/>
  <c r="I518" i="6"/>
  <c r="I310" i="6"/>
  <c r="I146" i="6"/>
  <c r="I691" i="6"/>
  <c r="I588" i="6"/>
  <c r="I25" i="6"/>
  <c r="I741" i="6"/>
  <c r="I404" i="6"/>
  <c r="I967" i="6"/>
  <c r="I791" i="6"/>
  <c r="I112" i="6"/>
  <c r="I324" i="6"/>
  <c r="I421" i="6"/>
  <c r="I513" i="6"/>
  <c r="I586" i="6"/>
  <c r="I384" i="6"/>
  <c r="I932" i="6"/>
  <c r="I612" i="6"/>
  <c r="I779" i="6"/>
  <c r="I861" i="6"/>
  <c r="I453" i="6"/>
  <c r="I1013" i="6"/>
  <c r="I693" i="6"/>
  <c r="I248" i="6"/>
  <c r="I896" i="6"/>
  <c r="I450" i="6"/>
  <c r="I156" i="6"/>
  <c r="I814" i="6"/>
  <c r="I558" i="6"/>
  <c r="I277" i="6"/>
  <c r="I994" i="6"/>
  <c r="I746" i="6"/>
  <c r="I437" i="6"/>
  <c r="I84" i="6"/>
  <c r="I889" i="6"/>
  <c r="I609" i="6"/>
  <c r="I345" i="6"/>
  <c r="I510" i="6"/>
  <c r="I230" i="6"/>
  <c r="I122" i="6"/>
  <c r="I827" i="6"/>
  <c r="I788" i="6"/>
  <c r="I134" i="6"/>
  <c r="I711" i="6"/>
  <c r="I399" i="6"/>
  <c r="I210" i="6"/>
  <c r="I42" i="6"/>
  <c r="I360" i="6"/>
  <c r="I687" i="6"/>
  <c r="I962" i="6"/>
  <c r="I100" i="6"/>
  <c r="I505" i="6"/>
  <c r="I725" i="6"/>
  <c r="I931" i="6"/>
  <c r="I675" i="6"/>
  <c r="I547" i="6"/>
  <c r="I308" i="6"/>
  <c r="I50" i="6"/>
  <c r="I491" i="6"/>
  <c r="I43" i="6"/>
  <c r="I415" i="6"/>
  <c r="I287" i="6"/>
  <c r="I95" i="6"/>
  <c r="I646" i="6"/>
  <c r="I80" i="6"/>
  <c r="I295" i="6"/>
  <c r="I154" i="6"/>
  <c r="I458" i="6"/>
  <c r="I614" i="6"/>
  <c r="I760" i="6"/>
  <c r="I313" i="6"/>
  <c r="I410" i="6"/>
  <c r="I652" i="6"/>
  <c r="I798" i="6"/>
  <c r="I995" i="6"/>
  <c r="I611" i="6"/>
  <c r="I222" i="6"/>
  <c r="I52" i="6"/>
  <c r="I221" i="6"/>
  <c r="I427" i="6"/>
  <c r="I299" i="6"/>
  <c r="I171" i="6"/>
  <c r="I479" i="6"/>
  <c r="I351" i="6"/>
  <c r="I159" i="6"/>
  <c r="I31" i="6"/>
  <c r="I346" i="6"/>
  <c r="I517" i="6"/>
  <c r="I775" i="6"/>
  <c r="I897" i="6"/>
  <c r="I1012" i="6"/>
  <c r="I1008" i="6"/>
  <c r="I924" i="6"/>
  <c r="I838" i="6"/>
  <c r="I55" i="6"/>
  <c r="I544" i="6"/>
  <c r="I179" i="6"/>
  <c r="I370" i="6"/>
  <c r="I880" i="6"/>
  <c r="I720" i="6"/>
  <c r="I380" i="6"/>
  <c r="I860" i="6"/>
  <c r="I552" i="6"/>
  <c r="I105" i="6"/>
  <c r="I743" i="6"/>
  <c r="I348" i="6"/>
  <c r="I710" i="6"/>
  <c r="I460" i="6"/>
  <c r="I168" i="6"/>
  <c r="I914" i="6"/>
  <c r="I602" i="6"/>
  <c r="I282" i="6"/>
  <c r="I36" i="6"/>
  <c r="I793" i="6"/>
  <c r="I537" i="6"/>
  <c r="I217" i="6"/>
  <c r="I390" i="6"/>
  <c r="I182" i="6"/>
  <c r="I86" i="6"/>
  <c r="I257" i="6"/>
  <c r="I432" i="6"/>
  <c r="I919" i="6"/>
  <c r="I895" i="6"/>
  <c r="I991" i="6"/>
  <c r="I81" i="6"/>
  <c r="I749" i="6"/>
  <c r="I225" i="6"/>
  <c r="I389" i="6"/>
  <c r="I920" i="6"/>
  <c r="I695" i="6"/>
  <c r="I307" i="6"/>
  <c r="I847" i="6"/>
  <c r="I540" i="6"/>
  <c r="I87" i="6"/>
  <c r="I704" i="6"/>
  <c r="I231" i="6"/>
  <c r="I942" i="6"/>
  <c r="I702" i="6"/>
  <c r="I442" i="6"/>
  <c r="I158" i="6"/>
  <c r="I834" i="6"/>
  <c r="I594" i="6"/>
  <c r="I273" i="6"/>
  <c r="I1001" i="6"/>
  <c r="I753" i="6"/>
  <c r="I445" i="6"/>
  <c r="I161" i="6"/>
  <c r="I374" i="6"/>
  <c r="I166" i="6"/>
  <c r="I54" i="6"/>
  <c r="I330" i="6"/>
  <c r="I952" i="6"/>
  <c r="I805" i="6"/>
  <c r="I671" i="6"/>
  <c r="I353" i="6"/>
  <c r="I93" i="6"/>
  <c r="I262" i="6"/>
  <c r="I541" i="6"/>
  <c r="I833" i="6"/>
  <c r="I578" i="6"/>
  <c r="I867" i="6"/>
  <c r="I803" i="6"/>
  <c r="I478" i="6"/>
  <c r="I137" i="6"/>
  <c r="I136" i="6"/>
  <c r="I363" i="6"/>
  <c r="I107" i="6"/>
  <c r="I223" i="6"/>
  <c r="I950" i="6"/>
  <c r="I145" i="6"/>
  <c r="I767" i="6"/>
  <c r="I271" i="6"/>
  <c r="I532" i="6"/>
  <c r="I964" i="6"/>
  <c r="I683" i="6"/>
  <c r="I205" i="6"/>
  <c r="I835" i="6"/>
  <c r="I467" i="6"/>
  <c r="I935" i="6"/>
  <c r="I667" i="6"/>
  <c r="I216" i="6"/>
  <c r="I910" i="6"/>
  <c r="I686" i="6"/>
  <c r="I341" i="6"/>
  <c r="I147" i="6"/>
  <c r="I818" i="6"/>
  <c r="I562" i="6"/>
  <c r="I218" i="6"/>
  <c r="I929" i="6"/>
  <c r="I737" i="6"/>
  <c r="I418" i="6"/>
  <c r="I141" i="6"/>
  <c r="I342" i="6"/>
  <c r="I56" i="6"/>
  <c r="I46" i="6"/>
  <c r="I339" i="6"/>
  <c r="I493" i="6"/>
  <c r="I941" i="6"/>
  <c r="I648" i="6"/>
  <c r="I581" i="6"/>
  <c r="I660" i="6"/>
  <c r="I806" i="6"/>
  <c r="I874" i="6"/>
  <c r="I938" i="6"/>
  <c r="I1002" i="6"/>
  <c r="I57" i="6"/>
  <c r="I697" i="6"/>
  <c r="I907" i="6"/>
  <c r="I699" i="6"/>
  <c r="I635" i="6"/>
  <c r="I571" i="6"/>
  <c r="I507" i="6"/>
  <c r="I340" i="6"/>
  <c r="I254" i="6"/>
  <c r="I82" i="6"/>
  <c r="I323" i="6"/>
  <c r="I259" i="6"/>
  <c r="I131" i="6"/>
  <c r="I439" i="6"/>
  <c r="I311" i="6"/>
  <c r="I247" i="6"/>
  <c r="I90" i="6"/>
  <c r="I456" i="6"/>
  <c r="I727" i="6"/>
  <c r="I855" i="6"/>
  <c r="I968" i="6"/>
  <c r="I870" i="6"/>
  <c r="I582" i="6"/>
  <c r="I480" i="6"/>
  <c r="I740" i="6"/>
  <c r="I545" i="6"/>
  <c r="I302" i="6"/>
  <c r="I1004" i="6"/>
  <c r="I538" i="6"/>
  <c r="I293" i="6"/>
  <c r="I120" i="6"/>
  <c r="I481" i="6"/>
  <c r="I745" i="6"/>
  <c r="I984" i="6"/>
  <c r="I149" i="6"/>
  <c r="I332" i="6"/>
  <c r="I503" i="6"/>
  <c r="I634" i="6"/>
  <c r="I764" i="6"/>
  <c r="I887" i="6"/>
  <c r="I1015" i="6"/>
  <c r="I644" i="6"/>
  <c r="I430" i="6"/>
  <c r="I162" i="6"/>
  <c r="I918" i="6"/>
  <c r="I735" i="6"/>
  <c r="I152" i="6"/>
  <c r="I306" i="6"/>
  <c r="I616" i="6"/>
  <c r="I69" i="6"/>
  <c r="I184" i="6"/>
  <c r="I559" i="6"/>
  <c r="I705" i="6"/>
  <c r="I778" i="6"/>
  <c r="I337" i="6"/>
  <c r="I670" i="6"/>
  <c r="I816" i="6"/>
  <c r="I1011" i="6"/>
  <c r="I787" i="6"/>
  <c r="I723" i="6"/>
  <c r="I673" i="6"/>
  <c r="I473" i="6"/>
  <c r="I208" i="6"/>
  <c r="I58" i="6"/>
  <c r="I45" i="6"/>
  <c r="I417" i="6"/>
  <c r="I441" i="6"/>
  <c r="I584" i="6"/>
  <c r="I388" i="6"/>
  <c r="I690" i="6"/>
  <c r="I298" i="6"/>
  <c r="I626" i="6"/>
  <c r="I817" i="6"/>
  <c r="I608" i="6"/>
  <c r="I365" i="6"/>
  <c r="I132" i="6"/>
  <c r="I965" i="6"/>
  <c r="I774" i="6"/>
  <c r="I572" i="6"/>
  <c r="I316" i="6"/>
  <c r="I234" i="6"/>
  <c r="I576" i="6"/>
  <c r="I853" i="6"/>
  <c r="I170" i="6"/>
  <c r="I373" i="6"/>
  <c r="I550" i="6"/>
  <c r="I696" i="6"/>
  <c r="I769" i="6"/>
  <c r="I842" i="6"/>
  <c r="I906" i="6"/>
  <c r="I970" i="6"/>
  <c r="I113" i="6"/>
  <c r="I228" i="6"/>
  <c r="I325" i="6"/>
  <c r="I422" i="6"/>
  <c r="I661" i="6"/>
  <c r="I734" i="6"/>
  <c r="I807" i="6"/>
  <c r="I875" i="6"/>
  <c r="I939" i="6"/>
  <c r="I795" i="6"/>
  <c r="I731" i="6"/>
  <c r="I603" i="6"/>
  <c r="I539" i="6"/>
  <c r="I382" i="6"/>
  <c r="I297" i="6"/>
  <c r="I41" i="6"/>
  <c r="I125" i="6"/>
  <c r="I483" i="6"/>
  <c r="I419" i="6"/>
  <c r="I355" i="6"/>
  <c r="I227" i="6"/>
  <c r="I163" i="6"/>
  <c r="I99" i="6"/>
  <c r="I35" i="6"/>
  <c r="I471" i="6"/>
  <c r="I407" i="6"/>
  <c r="I343" i="6"/>
  <c r="I279" i="6"/>
  <c r="I215" i="6"/>
  <c r="I151" i="6"/>
  <c r="I23" i="6"/>
  <c r="I193" i="6"/>
  <c r="I369" i="6"/>
  <c r="I530" i="6"/>
  <c r="I663" i="6"/>
  <c r="I792" i="6"/>
  <c r="I911" i="6"/>
  <c r="I998" i="6"/>
  <c r="I912" i="6"/>
  <c r="I826" i="6"/>
  <c r="I728" i="6"/>
  <c r="I416" i="6"/>
  <c r="I284" i="6"/>
  <c r="I144" i="6"/>
  <c r="I992" i="6"/>
  <c r="I908" i="6"/>
  <c r="I527" i="6"/>
  <c r="I133" i="6"/>
  <c r="I501" i="6"/>
  <c r="I631" i="6"/>
  <c r="I762" i="6"/>
  <c r="I999" i="6"/>
  <c r="I174" i="6"/>
  <c r="I354" i="6"/>
  <c r="I519" i="6"/>
  <c r="I649" i="6"/>
  <c r="I781" i="6"/>
  <c r="I286" i="6"/>
  <c r="I201" i="6"/>
  <c r="I116" i="6"/>
  <c r="I200" i="6"/>
  <c r="I114" i="6"/>
  <c r="I475" i="6"/>
  <c r="I347" i="6"/>
  <c r="I155" i="6"/>
  <c r="I91" i="6"/>
  <c r="I27" i="6"/>
  <c r="I463" i="6"/>
  <c r="I143" i="6"/>
  <c r="I926" i="6"/>
  <c r="I813" i="6"/>
  <c r="I618" i="6"/>
  <c r="I520" i="6"/>
  <c r="I516" i="6"/>
  <c r="I117" i="6"/>
  <c r="I85" i="6"/>
  <c r="I300" i="6"/>
  <c r="I397" i="6"/>
  <c r="I494" i="6"/>
  <c r="I641" i="6"/>
  <c r="I858" i="6"/>
  <c r="I349" i="6"/>
  <c r="I533" i="6"/>
  <c r="I606" i="6"/>
  <c r="I679" i="6"/>
  <c r="I715" i="6"/>
  <c r="I587" i="6"/>
  <c r="I361" i="6"/>
  <c r="I276" i="6"/>
  <c r="I190" i="6"/>
  <c r="I189" i="6"/>
  <c r="I104" i="6"/>
  <c r="I403" i="6"/>
  <c r="I199" i="6"/>
  <c r="M787" i="6"/>
  <c r="M899" i="6"/>
  <c r="I433" i="6"/>
  <c r="I522" i="6"/>
  <c r="I669" i="6"/>
  <c r="I742" i="6"/>
  <c r="I815" i="6"/>
  <c r="I882" i="6"/>
  <c r="I946" i="6"/>
  <c r="I1010" i="6"/>
  <c r="M207" i="6"/>
  <c r="M430" i="6"/>
  <c r="M730" i="6"/>
  <c r="M959" i="6"/>
  <c r="I70" i="6"/>
  <c r="I185" i="6"/>
  <c r="I289" i="6"/>
  <c r="I484" i="6"/>
  <c r="I560" i="6"/>
  <c r="I633" i="6"/>
  <c r="I706" i="6"/>
  <c r="I851" i="6"/>
  <c r="I915" i="6"/>
  <c r="I755" i="6"/>
  <c r="I627" i="6"/>
  <c r="I563" i="6"/>
  <c r="I499" i="6"/>
  <c r="I414" i="6"/>
  <c r="I329" i="6"/>
  <c r="I244" i="6"/>
  <c r="I73" i="6"/>
  <c r="M903" i="6"/>
  <c r="M214" i="6"/>
  <c r="M45" i="6"/>
  <c r="I157" i="6"/>
  <c r="I72" i="6"/>
  <c r="M987" i="6"/>
  <c r="M902" i="6"/>
  <c r="M817" i="6"/>
  <c r="M731" i="6"/>
  <c r="M381" i="6"/>
  <c r="M40" i="6"/>
  <c r="I443" i="6"/>
  <c r="I315" i="6"/>
  <c r="I123" i="6"/>
  <c r="I59" i="6"/>
  <c r="M868" i="6"/>
  <c r="M740" i="6"/>
  <c r="M506" i="6"/>
  <c r="M272" i="6"/>
  <c r="M143" i="6"/>
  <c r="I495" i="6"/>
  <c r="I303" i="6"/>
  <c r="I239" i="6"/>
  <c r="I175" i="6"/>
  <c r="I111" i="6"/>
  <c r="I47" i="6"/>
  <c r="M792" i="6"/>
  <c r="M728" i="6"/>
  <c r="M664" i="6"/>
  <c r="M583" i="6"/>
  <c r="M247" i="6"/>
  <c r="M638" i="6"/>
  <c r="M574" i="6"/>
  <c r="M502" i="6"/>
  <c r="M422" i="6"/>
  <c r="M329" i="6"/>
  <c r="M234" i="6"/>
  <c r="M44" i="6"/>
  <c r="M605" i="6"/>
  <c r="M538" i="6"/>
  <c r="M463" i="6"/>
  <c r="M280" i="6"/>
  <c r="M479" i="6"/>
  <c r="M324" i="6"/>
  <c r="M239" i="6"/>
  <c r="M72" i="6"/>
  <c r="M452" i="6"/>
  <c r="M386" i="6"/>
  <c r="M313" i="6"/>
  <c r="M94" i="6"/>
  <c r="M331" i="6"/>
  <c r="M267" i="6"/>
  <c r="M139" i="6"/>
  <c r="M75" i="6"/>
  <c r="M284" i="6"/>
  <c r="M665" i="6"/>
  <c r="M907" i="6"/>
  <c r="I118" i="6"/>
  <c r="I613" i="6"/>
  <c r="I744" i="6"/>
  <c r="I869" i="6"/>
  <c r="I983" i="6"/>
  <c r="I944" i="6"/>
  <c r="I765" i="6"/>
  <c r="I666" i="6"/>
  <c r="I464" i="6"/>
  <c r="M885" i="6"/>
  <c r="M706" i="6"/>
  <c r="M469" i="6"/>
  <c r="I854" i="6"/>
  <c r="I662" i="6"/>
  <c r="I564" i="6"/>
  <c r="I326" i="6"/>
  <c r="M877" i="6"/>
  <c r="M694" i="6"/>
  <c r="M448" i="6"/>
  <c r="M92" i="6"/>
  <c r="M862" i="6"/>
  <c r="M747" i="6"/>
  <c r="M626" i="6"/>
  <c r="M435" i="6"/>
  <c r="M165" i="6"/>
  <c r="M594" i="6"/>
  <c r="M851" i="6"/>
  <c r="I68" i="6"/>
  <c r="I438" i="6"/>
  <c r="I583" i="6"/>
  <c r="I957" i="6"/>
  <c r="M228" i="6"/>
  <c r="M636" i="6"/>
  <c r="M883" i="6"/>
  <c r="I97" i="6"/>
  <c r="I290" i="6"/>
  <c r="I462" i="6"/>
  <c r="I601" i="6"/>
  <c r="I730" i="6"/>
  <c r="I857" i="6"/>
  <c r="I985" i="6"/>
  <c r="M707" i="6"/>
  <c r="I429" i="6"/>
  <c r="I981" i="6"/>
  <c r="M805" i="6"/>
  <c r="I977" i="6"/>
  <c r="I786" i="6"/>
  <c r="I580" i="6"/>
  <c r="I89" i="6"/>
  <c r="I945" i="6"/>
  <c r="I543" i="6"/>
  <c r="M927" i="6"/>
  <c r="I281" i="6"/>
  <c r="I610" i="6"/>
  <c r="I328" i="6"/>
  <c r="I500" i="6"/>
  <c r="I997" i="6"/>
  <c r="I1020" i="6"/>
  <c r="I32" i="6"/>
  <c r="I844" i="6"/>
  <c r="I92" i="6"/>
  <c r="I665" i="6"/>
  <c r="I796" i="6"/>
  <c r="I49" i="6"/>
  <c r="M579" i="6"/>
  <c r="I249" i="6"/>
  <c r="I590" i="6"/>
  <c r="I862" i="6"/>
  <c r="M611" i="6"/>
  <c r="M273" i="6"/>
  <c r="I138" i="6"/>
  <c r="I525" i="6"/>
  <c r="I800" i="6"/>
  <c r="I888" i="6"/>
  <c r="I469" i="6"/>
  <c r="I186" i="6"/>
  <c r="M779" i="6"/>
  <c r="M25" i="6"/>
  <c r="M869" i="6"/>
  <c r="M217" i="6"/>
  <c r="I852" i="6"/>
  <c r="I645" i="6"/>
  <c r="I420" i="6"/>
  <c r="I130" i="6"/>
  <c r="M685" i="6"/>
  <c r="I53" i="6"/>
  <c r="I466" i="6"/>
  <c r="I754" i="6"/>
  <c r="I1006" i="6"/>
  <c r="I413" i="6"/>
  <c r="I565" i="6"/>
  <c r="I694" i="6"/>
  <c r="I823" i="6"/>
  <c r="I976" i="6"/>
  <c r="I892" i="6"/>
  <c r="I801" i="6"/>
  <c r="I703" i="6"/>
  <c r="I381" i="6"/>
  <c r="I253" i="6"/>
  <c r="M953" i="6"/>
  <c r="M770" i="6"/>
  <c r="I698" i="6"/>
  <c r="I600" i="6"/>
  <c r="I376" i="6"/>
  <c r="I245" i="6"/>
  <c r="M941" i="6"/>
  <c r="M505" i="6"/>
  <c r="M465" i="6"/>
  <c r="M757" i="6"/>
  <c r="I194" i="6"/>
  <c r="I535" i="6"/>
  <c r="I664" i="6"/>
  <c r="I396" i="6"/>
  <c r="I553" i="6"/>
  <c r="M600" i="6"/>
  <c r="I76" i="6"/>
  <c r="I294" i="6"/>
  <c r="I622" i="6"/>
  <c r="I893" i="6"/>
  <c r="M723" i="6"/>
  <c r="M472" i="6"/>
  <c r="I836" i="6"/>
  <c r="I657" i="6"/>
  <c r="I150" i="6"/>
  <c r="M88" i="6"/>
  <c r="I1009" i="6"/>
  <c r="I785" i="6"/>
  <c r="M933" i="6"/>
  <c r="M750" i="6"/>
  <c r="M202" i="6"/>
  <c r="M921" i="6"/>
  <c r="M518" i="6"/>
  <c r="M189" i="6"/>
  <c r="M777" i="6"/>
  <c r="M485" i="6"/>
  <c r="M791" i="6"/>
  <c r="M111" i="6"/>
  <c r="M823" i="6"/>
  <c r="M244" i="6"/>
  <c r="M639" i="6"/>
  <c r="M890" i="6"/>
  <c r="M951" i="6"/>
  <c r="M984" i="6"/>
  <c r="M995" i="6"/>
  <c r="M875" i="6"/>
  <c r="M739" i="6"/>
  <c r="M515" i="6"/>
  <c r="M107" i="6"/>
  <c r="M209" i="6"/>
  <c r="M996" i="6"/>
  <c r="M490" i="6"/>
  <c r="M793" i="6"/>
  <c r="M489" i="6"/>
  <c r="M546" i="6"/>
  <c r="M765" i="6"/>
  <c r="M533" i="6"/>
  <c r="M269" i="6"/>
  <c r="M530" i="6"/>
  <c r="M668" i="6"/>
  <c r="M380" i="6"/>
  <c r="M124" i="6"/>
  <c r="M433" i="6"/>
  <c r="M861" i="6"/>
  <c r="M387" i="6"/>
  <c r="M846" i="6"/>
  <c r="M475" i="6"/>
  <c r="M441" i="6"/>
  <c r="M352" i="6"/>
  <c r="M256" i="6"/>
  <c r="M161" i="6"/>
  <c r="M65" i="6"/>
  <c r="M527" i="6"/>
  <c r="M461" i="6"/>
  <c r="M385" i="6"/>
  <c r="M302" i="6"/>
  <c r="M218" i="6"/>
  <c r="M52" i="6"/>
  <c r="M436" i="6"/>
  <c r="M368" i="6"/>
  <c r="M295" i="6"/>
  <c r="M222" i="6"/>
  <c r="M149" i="6"/>
  <c r="M76" i="6"/>
  <c r="M379" i="6"/>
  <c r="M315" i="6"/>
  <c r="M251" i="6"/>
  <c r="M187" i="6"/>
  <c r="M123" i="6"/>
  <c r="M59" i="6"/>
  <c r="M965" i="6"/>
  <c r="M69" i="6"/>
  <c r="M500" i="6"/>
  <c r="M886" i="6"/>
  <c r="M1001" i="6"/>
  <c r="M717" i="6"/>
  <c r="M943" i="6"/>
  <c r="M999" i="6"/>
  <c r="M914" i="6"/>
  <c r="M544" i="6"/>
  <c r="M64" i="6"/>
  <c r="M657" i="6"/>
  <c r="M541" i="6"/>
  <c r="M232" i="6"/>
  <c r="M1004" i="6"/>
  <c r="M940" i="6"/>
  <c r="M876" i="6"/>
  <c r="M748" i="6"/>
  <c r="M517" i="6"/>
  <c r="M413" i="6"/>
  <c r="M992" i="6"/>
  <c r="M672" i="6"/>
  <c r="M134" i="6"/>
  <c r="M646" i="6"/>
  <c r="M582" i="6"/>
  <c r="M512" i="6"/>
  <c r="M151" i="6"/>
  <c r="M55" i="6"/>
  <c r="M547" i="6"/>
  <c r="M166" i="6"/>
  <c r="M82" i="6"/>
  <c r="M249" i="6"/>
  <c r="M30" i="6"/>
  <c r="M275" i="6"/>
  <c r="M211" i="6"/>
  <c r="M220" i="6"/>
  <c r="M627" i="6"/>
  <c r="M909" i="6"/>
  <c r="M141" i="6"/>
  <c r="M761" i="6"/>
  <c r="M109" i="6"/>
  <c r="M552" i="6"/>
  <c r="M308" i="6"/>
  <c r="M677" i="6"/>
  <c r="M919" i="6"/>
  <c r="M1011" i="6"/>
  <c r="M841" i="6"/>
  <c r="M655" i="6"/>
  <c r="M392" i="6"/>
  <c r="M26" i="6"/>
  <c r="M1003" i="6"/>
  <c r="M826" i="6"/>
  <c r="M649" i="6"/>
  <c r="M369" i="6"/>
  <c r="M947" i="6"/>
  <c r="M833" i="6"/>
  <c r="M718" i="6"/>
  <c r="M591" i="6"/>
  <c r="M384" i="6"/>
  <c r="M157" i="6"/>
  <c r="M285" i="6"/>
  <c r="M666" i="6"/>
  <c r="M910" i="6"/>
  <c r="M357" i="6"/>
  <c r="M698" i="6"/>
  <c r="M949" i="6"/>
  <c r="M471" i="6"/>
  <c r="M767" i="6"/>
  <c r="M997" i="6"/>
  <c r="M180" i="6"/>
  <c r="M407" i="6"/>
  <c r="M584" i="6"/>
  <c r="M715" i="6"/>
  <c r="M942" i="6"/>
  <c r="M70" i="6"/>
  <c r="M661" i="6"/>
  <c r="M887" i="6"/>
  <c r="M1002" i="6"/>
  <c r="M701" i="6"/>
  <c r="M602" i="6"/>
  <c r="M478" i="6"/>
  <c r="M320" i="6"/>
  <c r="M148" i="6"/>
  <c r="M955" i="6"/>
  <c r="M870" i="6"/>
  <c r="M785" i="6"/>
  <c r="M699" i="6"/>
  <c r="M601" i="6"/>
  <c r="M146" i="6"/>
  <c r="M972" i="6"/>
  <c r="M780" i="6"/>
  <c r="M716" i="6"/>
  <c r="M651" i="6"/>
  <c r="M567" i="6"/>
  <c r="M467" i="6"/>
  <c r="M349" i="6"/>
  <c r="M224" i="6"/>
  <c r="M96" i="6"/>
  <c r="M960" i="6"/>
  <c r="M635" i="6"/>
  <c r="M447" i="6"/>
  <c r="M326" i="6"/>
  <c r="M200" i="6"/>
  <c r="M614" i="6"/>
  <c r="M548" i="6"/>
  <c r="M474" i="6"/>
  <c r="M390" i="6"/>
  <c r="M294" i="6"/>
  <c r="M102" i="6"/>
  <c r="M645" i="6"/>
  <c r="M581" i="6"/>
  <c r="M510" i="6"/>
  <c r="M431" i="6"/>
  <c r="M340" i="6"/>
  <c r="M245" i="6"/>
  <c r="M451" i="6"/>
  <c r="M375" i="6"/>
  <c r="M292" i="6"/>
  <c r="M125" i="6"/>
  <c r="M41" i="6"/>
  <c r="M428" i="6"/>
  <c r="M286" i="6"/>
  <c r="M213" i="6"/>
  <c r="M371" i="6"/>
  <c r="M179" i="6"/>
  <c r="M115" i="6"/>
  <c r="M755" i="6"/>
  <c r="M991" i="6"/>
  <c r="M993" i="6"/>
  <c r="M821" i="6"/>
  <c r="M633" i="6"/>
  <c r="M345" i="6"/>
  <c r="M982" i="6"/>
  <c r="M809" i="6"/>
  <c r="M612" i="6"/>
  <c r="M314" i="6"/>
  <c r="M705" i="6"/>
  <c r="M569" i="6"/>
  <c r="M132" i="6"/>
  <c r="M416" i="6"/>
  <c r="M970" i="6"/>
  <c r="M58" i="6"/>
  <c r="M516" i="6"/>
  <c r="M798" i="6"/>
  <c r="M729" i="6"/>
  <c r="M958" i="6"/>
  <c r="M325" i="6"/>
  <c r="M946" i="6"/>
  <c r="M588" i="6"/>
  <c r="M298" i="6"/>
  <c r="M457" i="6"/>
  <c r="M836" i="6"/>
  <c r="M772" i="6"/>
  <c r="M708" i="6"/>
  <c r="M335" i="6"/>
  <c r="M1016" i="6"/>
  <c r="M952" i="6"/>
  <c r="M625" i="6"/>
  <c r="M434" i="6"/>
  <c r="M606" i="6"/>
  <c r="M637" i="6"/>
  <c r="M421" i="6"/>
  <c r="M233" i="6"/>
  <c r="M281" i="6"/>
  <c r="M350" i="6"/>
  <c r="M277" i="6"/>
  <c r="M130" i="6"/>
  <c r="M57" i="6"/>
  <c r="M299" i="6"/>
  <c r="M783" i="6"/>
  <c r="M596" i="6"/>
  <c r="M303" i="6"/>
  <c r="M803" i="6"/>
  <c r="M399" i="6"/>
  <c r="M969" i="6"/>
  <c r="M766" i="6"/>
  <c r="M855" i="6"/>
  <c r="M162" i="6"/>
  <c r="M746" i="6"/>
  <c r="M901" i="6"/>
  <c r="M894" i="6"/>
  <c r="M426" i="6"/>
  <c r="M738" i="6"/>
  <c r="M106" i="6"/>
  <c r="M74" i="6"/>
  <c r="M394" i="6"/>
  <c r="M879" i="6"/>
  <c r="M911" i="6"/>
  <c r="M975" i="6"/>
  <c r="A799" i="6"/>
  <c r="A893" i="6"/>
  <c r="A41" i="6"/>
  <c r="A1017" i="6"/>
  <c r="A1009" i="6"/>
  <c r="A1001" i="6"/>
  <c r="A993" i="6"/>
  <c r="A985" i="6"/>
  <c r="A977" i="6"/>
  <c r="A969" i="6"/>
  <c r="A961" i="6"/>
  <c r="A953" i="6"/>
  <c r="A945" i="6"/>
  <c r="A937" i="6"/>
  <c r="A921" i="6"/>
  <c r="A881" i="6"/>
  <c r="A857" i="6"/>
  <c r="A817" i="6"/>
  <c r="A793" i="6"/>
  <c r="A903" i="6"/>
  <c r="A808" i="6"/>
  <c r="A872" i="6"/>
  <c r="A789" i="6"/>
  <c r="A863" i="6"/>
  <c r="A784" i="6"/>
  <c r="A936" i="6"/>
  <c r="A853" i="6"/>
  <c r="A773" i="6"/>
  <c r="A1012" i="6"/>
  <c r="A996" i="6"/>
  <c r="A988" i="6"/>
  <c r="A980" i="6"/>
  <c r="A972" i="6"/>
  <c r="A964" i="6"/>
  <c r="A956" i="6"/>
  <c r="A948" i="6"/>
  <c r="A908" i="6"/>
  <c r="A884" i="6"/>
  <c r="A844" i="6"/>
  <c r="A820" i="6"/>
  <c r="A780" i="6"/>
  <c r="A927" i="6"/>
  <c r="A848" i="6"/>
  <c r="A1020" i="6"/>
  <c r="A1004" i="6"/>
  <c r="A1019" i="6"/>
  <c r="A939" i="6"/>
  <c r="A899" i="6"/>
  <c r="A875" i="6"/>
  <c r="A835" i="6"/>
  <c r="A811" i="6"/>
  <c r="A917" i="6"/>
  <c r="A839" i="6"/>
  <c r="A1018" i="6"/>
  <c r="A1010" i="6"/>
  <c r="A1002" i="6"/>
  <c r="A994" i="6"/>
  <c r="A986" i="6"/>
  <c r="A978" i="6"/>
  <c r="A970" i="6"/>
  <c r="A962" i="6"/>
  <c r="A954" i="6"/>
  <c r="A946" i="6"/>
  <c r="A930" i="6"/>
  <c r="A890" i="6"/>
  <c r="A866" i="6"/>
  <c r="A826" i="6"/>
  <c r="A802" i="6"/>
  <c r="A912" i="6"/>
  <c r="A829" i="6"/>
  <c r="A21" i="6"/>
  <c r="A1013" i="6"/>
  <c r="A1005" i="6"/>
  <c r="A997" i="6"/>
  <c r="A989" i="6"/>
  <c r="A981" i="6"/>
  <c r="A973" i="6"/>
  <c r="A965" i="6"/>
  <c r="A957" i="6"/>
  <c r="A949" i="6"/>
  <c r="A940" i="6"/>
  <c r="A931" i="6"/>
  <c r="A922" i="6"/>
  <c r="A913" i="6"/>
  <c r="A904" i="6"/>
  <c r="A895" i="6"/>
  <c r="A885" i="6"/>
  <c r="A876" i="6"/>
  <c r="A867" i="6"/>
  <c r="A858" i="6"/>
  <c r="A849" i="6"/>
  <c r="A840" i="6"/>
  <c r="A831" i="6"/>
  <c r="A821" i="6"/>
  <c r="A812" i="6"/>
  <c r="A803" i="6"/>
  <c r="A794" i="6"/>
  <c r="A785" i="6"/>
  <c r="A775" i="6"/>
  <c r="A764" i="6"/>
  <c r="A754" i="6"/>
  <c r="A741" i="6"/>
  <c r="A730" i="6"/>
  <c r="A716" i="6"/>
  <c r="A705" i="6"/>
  <c r="A689" i="6"/>
  <c r="A673" i="6"/>
  <c r="A661" i="6"/>
  <c r="A645" i="6"/>
  <c r="A632" i="6"/>
  <c r="A615" i="6"/>
  <c r="A597" i="6"/>
  <c r="A582" i="6"/>
  <c r="A563" i="6"/>
  <c r="A549" i="6"/>
  <c r="A529" i="6"/>
  <c r="A511" i="6"/>
  <c r="A496" i="6"/>
  <c r="A478" i="6"/>
  <c r="A463" i="6"/>
  <c r="A443" i="6"/>
  <c r="A422" i="6"/>
  <c r="A403" i="6"/>
  <c r="A382" i="6"/>
  <c r="A363" i="6"/>
  <c r="A342" i="6"/>
  <c r="A319" i="6"/>
  <c r="A302" i="6"/>
  <c r="A279" i="6"/>
  <c r="A262" i="6"/>
  <c r="A230" i="6"/>
  <c r="A198" i="6"/>
  <c r="A166" i="6"/>
  <c r="A134" i="6"/>
  <c r="A102" i="6"/>
  <c r="A70" i="6"/>
  <c r="A38" i="6"/>
  <c r="A763" i="6"/>
  <c r="A753" i="6"/>
  <c r="A740" i="6"/>
  <c r="A729" i="6"/>
  <c r="A715" i="6"/>
  <c r="A701" i="6"/>
  <c r="A688" i="6"/>
  <c r="A672" i="6"/>
  <c r="A659" i="6"/>
  <c r="A643" i="6"/>
  <c r="A627" i="6"/>
  <c r="A614" i="6"/>
  <c r="A595" i="6"/>
  <c r="A581" i="6"/>
  <c r="A561" i="6"/>
  <c r="A543" i="6"/>
  <c r="A528" i="6"/>
  <c r="A510" i="6"/>
  <c r="A495" i="6"/>
  <c r="A477" i="6"/>
  <c r="A457" i="6"/>
  <c r="A441" i="6"/>
  <c r="A419" i="6"/>
  <c r="A401" i="6"/>
  <c r="A379" i="6"/>
  <c r="A358" i="6"/>
  <c r="A339" i="6"/>
  <c r="A318" i="6"/>
  <c r="A299" i="6"/>
  <c r="A278" i="6"/>
  <c r="A254" i="6"/>
  <c r="A222" i="6"/>
  <c r="A190" i="6"/>
  <c r="A158" i="6"/>
  <c r="A126" i="6"/>
  <c r="A94" i="6"/>
  <c r="A62" i="6"/>
  <c r="A30" i="6"/>
  <c r="A1011" i="6"/>
  <c r="A1003" i="6"/>
  <c r="A995" i="6"/>
  <c r="A987" i="6"/>
  <c r="A979" i="6"/>
  <c r="A971" i="6"/>
  <c r="A963" i="6"/>
  <c r="A955" i="6"/>
  <c r="A947" i="6"/>
  <c r="A938" i="6"/>
  <c r="A929" i="6"/>
  <c r="A920" i="6"/>
  <c r="A911" i="6"/>
  <c r="A901" i="6"/>
  <c r="A892" i="6"/>
  <c r="A883" i="6"/>
  <c r="A874" i="6"/>
  <c r="A865" i="6"/>
  <c r="A856" i="6"/>
  <c r="A847" i="6"/>
  <c r="A837" i="6"/>
  <c r="A828" i="6"/>
  <c r="A819" i="6"/>
  <c r="A810" i="6"/>
  <c r="A801" i="6"/>
  <c r="A792" i="6"/>
  <c r="A783" i="6"/>
  <c r="A772" i="6"/>
  <c r="A762" i="6"/>
  <c r="A751" i="6"/>
  <c r="A739" i="6"/>
  <c r="A725" i="6"/>
  <c r="A714" i="6"/>
  <c r="A699" i="6"/>
  <c r="A687" i="6"/>
  <c r="A671" i="6"/>
  <c r="A655" i="6"/>
  <c r="A642" i="6"/>
  <c r="A626" i="6"/>
  <c r="A613" i="6"/>
  <c r="A593" i="6"/>
  <c r="A575" i="6"/>
  <c r="A560" i="6"/>
  <c r="A542" i="6"/>
  <c r="A527" i="6"/>
  <c r="A509" i="6"/>
  <c r="A489" i="6"/>
  <c r="A475" i="6"/>
  <c r="A456" i="6"/>
  <c r="A440" i="6"/>
  <c r="A417" i="6"/>
  <c r="A395" i="6"/>
  <c r="A377" i="6"/>
  <c r="A355" i="6"/>
  <c r="A337" i="6"/>
  <c r="A315" i="6"/>
  <c r="A294" i="6"/>
  <c r="A275" i="6"/>
  <c r="A249" i="6"/>
  <c r="A217" i="6"/>
  <c r="A185" i="6"/>
  <c r="A153" i="6"/>
  <c r="A121" i="6"/>
  <c r="A89" i="6"/>
  <c r="A57" i="6"/>
  <c r="A25" i="6"/>
  <c r="A928" i="6"/>
  <c r="A919" i="6"/>
  <c r="A909" i="6"/>
  <c r="A900" i="6"/>
  <c r="A891" i="6"/>
  <c r="A882" i="6"/>
  <c r="A873" i="6"/>
  <c r="A864" i="6"/>
  <c r="A855" i="6"/>
  <c r="A845" i="6"/>
  <c r="A836" i="6"/>
  <c r="A827" i="6"/>
  <c r="A818" i="6"/>
  <c r="A809" i="6"/>
  <c r="A800" i="6"/>
  <c r="A791" i="6"/>
  <c r="A781" i="6"/>
  <c r="A771" i="6"/>
  <c r="A761" i="6"/>
  <c r="A749" i="6"/>
  <c r="A738" i="6"/>
  <c r="A724" i="6"/>
  <c r="A713" i="6"/>
  <c r="A698" i="6"/>
  <c r="A682" i="6"/>
  <c r="A670" i="6"/>
  <c r="A654" i="6"/>
  <c r="A641" i="6"/>
  <c r="A625" i="6"/>
  <c r="A607" i="6"/>
  <c r="A592" i="6"/>
  <c r="A574" i="6"/>
  <c r="A559" i="6"/>
  <c r="A541" i="6"/>
  <c r="A521" i="6"/>
  <c r="A507" i="6"/>
  <c r="A488" i="6"/>
  <c r="A473" i="6"/>
  <c r="A455" i="6"/>
  <c r="A433" i="6"/>
  <c r="A416" i="6"/>
  <c r="A393" i="6"/>
  <c r="A376" i="6"/>
  <c r="A353" i="6"/>
  <c r="A331" i="6"/>
  <c r="A313" i="6"/>
  <c r="A291" i="6"/>
  <c r="A273" i="6"/>
  <c r="A247" i="6"/>
  <c r="A215" i="6"/>
  <c r="A183" i="6"/>
  <c r="A151" i="6"/>
  <c r="A119" i="6"/>
  <c r="A87" i="6"/>
  <c r="A55" i="6"/>
  <c r="A23" i="6"/>
  <c r="A770" i="6"/>
  <c r="A759" i="6"/>
  <c r="A748" i="6"/>
  <c r="A737" i="6"/>
  <c r="A723" i="6"/>
  <c r="A709" i="6"/>
  <c r="A697" i="6"/>
  <c r="A681" i="6"/>
  <c r="A669" i="6"/>
  <c r="A653" i="6"/>
  <c r="A637" i="6"/>
  <c r="A624" i="6"/>
  <c r="A606" i="6"/>
  <c r="A591" i="6"/>
  <c r="A573" i="6"/>
  <c r="A553" i="6"/>
  <c r="A539" i="6"/>
  <c r="A520" i="6"/>
  <c r="A505" i="6"/>
  <c r="A487" i="6"/>
  <c r="A469" i="6"/>
  <c r="A454" i="6"/>
  <c r="A432" i="6"/>
  <c r="A415" i="6"/>
  <c r="A392" i="6"/>
  <c r="A369" i="6"/>
  <c r="A352" i="6"/>
  <c r="A329" i="6"/>
  <c r="A312" i="6"/>
  <c r="A289" i="6"/>
  <c r="A267" i="6"/>
  <c r="A246" i="6"/>
  <c r="A214" i="6"/>
  <c r="A182" i="6"/>
  <c r="A150" i="6"/>
  <c r="A118" i="6"/>
  <c r="A86" i="6"/>
  <c r="A54" i="6"/>
  <c r="A22" i="6"/>
  <c r="A1016" i="6"/>
  <c r="A1008" i="6"/>
  <c r="A1000" i="6"/>
  <c r="A992" i="6"/>
  <c r="A984" i="6"/>
  <c r="A976" i="6"/>
  <c r="A968" i="6"/>
  <c r="A960" i="6"/>
  <c r="A952" i="6"/>
  <c r="A944" i="6"/>
  <c r="A935" i="6"/>
  <c r="A925" i="6"/>
  <c r="A916" i="6"/>
  <c r="A907" i="6"/>
  <c r="A898" i="6"/>
  <c r="A889" i="6"/>
  <c r="A880" i="6"/>
  <c r="A871" i="6"/>
  <c r="A861" i="6"/>
  <c r="A852" i="6"/>
  <c r="A843" i="6"/>
  <c r="A834" i="6"/>
  <c r="A825" i="6"/>
  <c r="A816" i="6"/>
  <c r="A807" i="6"/>
  <c r="A797" i="6"/>
  <c r="A788" i="6"/>
  <c r="A779" i="6"/>
  <c r="A769" i="6"/>
  <c r="A757" i="6"/>
  <c r="A747" i="6"/>
  <c r="A733" i="6"/>
  <c r="A722" i="6"/>
  <c r="A708" i="6"/>
  <c r="A696" i="6"/>
  <c r="A680" i="6"/>
  <c r="A664" i="6"/>
  <c r="A651" i="6"/>
  <c r="A635" i="6"/>
  <c r="A623" i="6"/>
  <c r="A605" i="6"/>
  <c r="A585" i="6"/>
  <c r="A571" i="6"/>
  <c r="A552" i="6"/>
  <c r="A537" i="6"/>
  <c r="A519" i="6"/>
  <c r="A501" i="6"/>
  <c r="A486" i="6"/>
  <c r="A467" i="6"/>
  <c r="A453" i="6"/>
  <c r="A431" i="6"/>
  <c r="A408" i="6"/>
  <c r="A391" i="6"/>
  <c r="A368" i="6"/>
  <c r="A351" i="6"/>
  <c r="A328" i="6"/>
  <c r="A305" i="6"/>
  <c r="A288" i="6"/>
  <c r="A265" i="6"/>
  <c r="A238" i="6"/>
  <c r="A206" i="6"/>
  <c r="A174" i="6"/>
  <c r="A142" i="6"/>
  <c r="A110" i="6"/>
  <c r="A78" i="6"/>
  <c r="A46" i="6"/>
  <c r="A1015" i="6"/>
  <c r="A1007" i="6"/>
  <c r="A999" i="6"/>
  <c r="A991" i="6"/>
  <c r="A983" i="6"/>
  <c r="A975" i="6"/>
  <c r="A967" i="6"/>
  <c r="A959" i="6"/>
  <c r="A951" i="6"/>
  <c r="A943" i="6"/>
  <c r="A933" i="6"/>
  <c r="A924" i="6"/>
  <c r="A915" i="6"/>
  <c r="A906" i="6"/>
  <c r="A897" i="6"/>
  <c r="A888" i="6"/>
  <c r="A879" i="6"/>
  <c r="A869" i="6"/>
  <c r="A860" i="6"/>
  <c r="A851" i="6"/>
  <c r="A842" i="6"/>
  <c r="A833" i="6"/>
  <c r="A824" i="6"/>
  <c r="A815" i="6"/>
  <c r="A805" i="6"/>
  <c r="A796" i="6"/>
  <c r="A787" i="6"/>
  <c r="A778" i="6"/>
  <c r="A767" i="6"/>
  <c r="A756" i="6"/>
  <c r="A746" i="6"/>
  <c r="A732" i="6"/>
  <c r="A721" i="6"/>
  <c r="A707" i="6"/>
  <c r="A691" i="6"/>
  <c r="A679" i="6"/>
  <c r="A663" i="6"/>
  <c r="A650" i="6"/>
  <c r="A634" i="6"/>
  <c r="A617" i="6"/>
  <c r="A603" i="6"/>
  <c r="A584" i="6"/>
  <c r="A569" i="6"/>
  <c r="A551" i="6"/>
  <c r="A533" i="6"/>
  <c r="A518" i="6"/>
  <c r="A499" i="6"/>
  <c r="A485" i="6"/>
  <c r="A465" i="6"/>
  <c r="A447" i="6"/>
  <c r="A430" i="6"/>
  <c r="A407" i="6"/>
  <c r="A390" i="6"/>
  <c r="A367" i="6"/>
  <c r="A344" i="6"/>
  <c r="A327" i="6"/>
  <c r="A304" i="6"/>
  <c r="A287" i="6"/>
  <c r="A264" i="6"/>
  <c r="A233" i="6"/>
  <c r="A201" i="6"/>
  <c r="A169" i="6"/>
  <c r="A137" i="6"/>
  <c r="A105" i="6"/>
  <c r="A73" i="6"/>
  <c r="A27" i="6"/>
  <c r="A35" i="6"/>
  <c r="A43" i="6"/>
  <c r="A51" i="6"/>
  <c r="A59" i="6"/>
  <c r="A67" i="6"/>
  <c r="A75" i="6"/>
  <c r="A83" i="6"/>
  <c r="A91" i="6"/>
  <c r="A99" i="6"/>
  <c r="A107" i="6"/>
  <c r="A115" i="6"/>
  <c r="A123" i="6"/>
  <c r="A131" i="6"/>
  <c r="A139" i="6"/>
  <c r="A147" i="6"/>
  <c r="A155" i="6"/>
  <c r="A163" i="6"/>
  <c r="A171" i="6"/>
  <c r="A179" i="6"/>
  <c r="A187" i="6"/>
  <c r="A195" i="6"/>
  <c r="A203" i="6"/>
  <c r="A211" i="6"/>
  <c r="A219" i="6"/>
  <c r="A227" i="6"/>
  <c r="A235" i="6"/>
  <c r="A243" i="6"/>
  <c r="A251" i="6"/>
  <c r="A259" i="6"/>
  <c r="A28" i="6"/>
  <c r="A36" i="6"/>
  <c r="A44" i="6"/>
  <c r="A52" i="6"/>
  <c r="A60" i="6"/>
  <c r="A68" i="6"/>
  <c r="A76" i="6"/>
  <c r="A84" i="6"/>
  <c r="A92" i="6"/>
  <c r="A100" i="6"/>
  <c r="A108" i="6"/>
  <c r="A116" i="6"/>
  <c r="A124" i="6"/>
  <c r="A132" i="6"/>
  <c r="A140" i="6"/>
  <c r="A148" i="6"/>
  <c r="A156" i="6"/>
  <c r="A164" i="6"/>
  <c r="A172" i="6"/>
  <c r="A180" i="6"/>
  <c r="A188" i="6"/>
  <c r="A196" i="6"/>
  <c r="A204" i="6"/>
  <c r="A212" i="6"/>
  <c r="A220" i="6"/>
  <c r="A228" i="6"/>
  <c r="A236" i="6"/>
  <c r="A244" i="6"/>
  <c r="A252" i="6"/>
  <c r="A260" i="6"/>
  <c r="A268" i="6"/>
  <c r="A276" i="6"/>
  <c r="A284" i="6"/>
  <c r="A292" i="6"/>
  <c r="A300" i="6"/>
  <c r="A308" i="6"/>
  <c r="A316" i="6"/>
  <c r="A324" i="6"/>
  <c r="A332" i="6"/>
  <c r="A340" i="6"/>
  <c r="A348" i="6"/>
  <c r="A356" i="6"/>
  <c r="A364" i="6"/>
  <c r="A372" i="6"/>
  <c r="A380" i="6"/>
  <c r="A388" i="6"/>
  <c r="A396" i="6"/>
  <c r="A404" i="6"/>
  <c r="A412" i="6"/>
  <c r="A420" i="6"/>
  <c r="A428" i="6"/>
  <c r="A436" i="6"/>
  <c r="A444" i="6"/>
  <c r="A452" i="6"/>
  <c r="A460" i="6"/>
  <c r="A468" i="6"/>
  <c r="A476" i="6"/>
  <c r="A484" i="6"/>
  <c r="A492" i="6"/>
  <c r="A500" i="6"/>
  <c r="A508" i="6"/>
  <c r="A516" i="6"/>
  <c r="A524" i="6"/>
  <c r="A532" i="6"/>
  <c r="A540" i="6"/>
  <c r="A548" i="6"/>
  <c r="A556" i="6"/>
  <c r="A564" i="6"/>
  <c r="A572" i="6"/>
  <c r="A580" i="6"/>
  <c r="A588" i="6"/>
  <c r="A596" i="6"/>
  <c r="A604" i="6"/>
  <c r="A612" i="6"/>
  <c r="A620" i="6"/>
  <c r="A628" i="6"/>
  <c r="A636" i="6"/>
  <c r="A644" i="6"/>
  <c r="A652" i="6"/>
  <c r="A660" i="6"/>
  <c r="A668" i="6"/>
  <c r="A676" i="6"/>
  <c r="A684" i="6"/>
  <c r="A692" i="6"/>
  <c r="A700" i="6"/>
  <c r="A29" i="6"/>
  <c r="A37" i="6"/>
  <c r="A45" i="6"/>
  <c r="A53" i="6"/>
  <c r="A61" i="6"/>
  <c r="A69" i="6"/>
  <c r="A77" i="6"/>
  <c r="A85" i="6"/>
  <c r="A93" i="6"/>
  <c r="A101" i="6"/>
  <c r="A109" i="6"/>
  <c r="A117" i="6"/>
  <c r="A125" i="6"/>
  <c r="A133" i="6"/>
  <c r="A141" i="6"/>
  <c r="A149" i="6"/>
  <c r="A157" i="6"/>
  <c r="A165" i="6"/>
  <c r="A173" i="6"/>
  <c r="A181" i="6"/>
  <c r="A189" i="6"/>
  <c r="A197" i="6"/>
  <c r="A205" i="6"/>
  <c r="A213" i="6"/>
  <c r="A221" i="6"/>
  <c r="A229" i="6"/>
  <c r="A237" i="6"/>
  <c r="A245" i="6"/>
  <c r="A253" i="6"/>
  <c r="A261" i="6"/>
  <c r="A269" i="6"/>
  <c r="A277" i="6"/>
  <c r="A285" i="6"/>
  <c r="A293" i="6"/>
  <c r="A301" i="6"/>
  <c r="A309" i="6"/>
  <c r="A317" i="6"/>
  <c r="A325" i="6"/>
  <c r="A333" i="6"/>
  <c r="A341" i="6"/>
  <c r="A349" i="6"/>
  <c r="A357" i="6"/>
  <c r="A365" i="6"/>
  <c r="A373" i="6"/>
  <c r="A381" i="6"/>
  <c r="A389" i="6"/>
  <c r="A397" i="6"/>
  <c r="A405" i="6"/>
  <c r="A413" i="6"/>
  <c r="A421" i="6"/>
  <c r="A429" i="6"/>
  <c r="A437" i="6"/>
  <c r="A445" i="6"/>
  <c r="A26" i="6"/>
  <c r="A34" i="6"/>
  <c r="A42" i="6"/>
  <c r="A50" i="6"/>
  <c r="A58" i="6"/>
  <c r="A66" i="6"/>
  <c r="A74" i="6"/>
  <c r="A82" i="6"/>
  <c r="A90" i="6"/>
  <c r="A98" i="6"/>
  <c r="A106" i="6"/>
  <c r="A114" i="6"/>
  <c r="A122" i="6"/>
  <c r="A130" i="6"/>
  <c r="A138" i="6"/>
  <c r="A146" i="6"/>
  <c r="A154" i="6"/>
  <c r="A162" i="6"/>
  <c r="A170" i="6"/>
  <c r="A178" i="6"/>
  <c r="A186" i="6"/>
  <c r="A194" i="6"/>
  <c r="A202" i="6"/>
  <c r="A210" i="6"/>
  <c r="A218" i="6"/>
  <c r="A226" i="6"/>
  <c r="A234" i="6"/>
  <c r="A242" i="6"/>
  <c r="A250" i="6"/>
  <c r="A258" i="6"/>
  <c r="A266" i="6"/>
  <c r="A274" i="6"/>
  <c r="A282" i="6"/>
  <c r="A290" i="6"/>
  <c r="A298" i="6"/>
  <c r="A306" i="6"/>
  <c r="A314" i="6"/>
  <c r="A322" i="6"/>
  <c r="A330" i="6"/>
  <c r="A338" i="6"/>
  <c r="A346" i="6"/>
  <c r="A354" i="6"/>
  <c r="A362" i="6"/>
  <c r="A370" i="6"/>
  <c r="A378" i="6"/>
  <c r="A386" i="6"/>
  <c r="A394" i="6"/>
  <c r="A402" i="6"/>
  <c r="A410" i="6"/>
  <c r="A418" i="6"/>
  <c r="A426" i="6"/>
  <c r="A434" i="6"/>
  <c r="A442" i="6"/>
  <c r="A450" i="6"/>
  <c r="A458" i="6"/>
  <c r="A466" i="6"/>
  <c r="A474" i="6"/>
  <c r="A482" i="6"/>
  <c r="A490" i="6"/>
  <c r="A498" i="6"/>
  <c r="A506" i="6"/>
  <c r="A514" i="6"/>
  <c r="A522" i="6"/>
  <c r="A530" i="6"/>
  <c r="A538" i="6"/>
  <c r="A546" i="6"/>
  <c r="A554" i="6"/>
  <c r="A562" i="6"/>
  <c r="A570" i="6"/>
  <c r="A578" i="6"/>
  <c r="A586" i="6"/>
  <c r="A594" i="6"/>
  <c r="A602" i="6"/>
  <c r="A610" i="6"/>
  <c r="A618" i="6"/>
  <c r="A31" i="6"/>
  <c r="A47" i="6"/>
  <c r="A63" i="6"/>
  <c r="A79" i="6"/>
  <c r="A95" i="6"/>
  <c r="A111" i="6"/>
  <c r="A127" i="6"/>
  <c r="A143" i="6"/>
  <c r="A159" i="6"/>
  <c r="A175" i="6"/>
  <c r="A191" i="6"/>
  <c r="A207" i="6"/>
  <c r="A223" i="6"/>
  <c r="A239" i="6"/>
  <c r="A255" i="6"/>
  <c r="A270" i="6"/>
  <c r="A281" i="6"/>
  <c r="A295" i="6"/>
  <c r="A307" i="6"/>
  <c r="A320" i="6"/>
  <c r="A334" i="6"/>
  <c r="A345" i="6"/>
  <c r="A359" i="6"/>
  <c r="A371" i="6"/>
  <c r="A384" i="6"/>
  <c r="A398" i="6"/>
  <c r="A409" i="6"/>
  <c r="A423" i="6"/>
  <c r="A435" i="6"/>
  <c r="A448" i="6"/>
  <c r="A459" i="6"/>
  <c r="A470" i="6"/>
  <c r="A480" i="6"/>
  <c r="A491" i="6"/>
  <c r="A502" i="6"/>
  <c r="A512" i="6"/>
  <c r="A523" i="6"/>
  <c r="A534" i="6"/>
  <c r="A544" i="6"/>
  <c r="A555" i="6"/>
  <c r="A566" i="6"/>
  <c r="A576" i="6"/>
  <c r="A587" i="6"/>
  <c r="A598" i="6"/>
  <c r="A608" i="6"/>
  <c r="A619" i="6"/>
  <c r="A629" i="6"/>
  <c r="A638" i="6"/>
  <c r="A647" i="6"/>
  <c r="A656" i="6"/>
  <c r="A665" i="6"/>
  <c r="A674" i="6"/>
  <c r="A683" i="6"/>
  <c r="A693" i="6"/>
  <c r="A702" i="6"/>
  <c r="A710" i="6"/>
  <c r="A718" i="6"/>
  <c r="A726" i="6"/>
  <c r="A734" i="6"/>
  <c r="A742" i="6"/>
  <c r="A750" i="6"/>
  <c r="A758" i="6"/>
  <c r="A766" i="6"/>
  <c r="A774" i="6"/>
  <c r="A782" i="6"/>
  <c r="A790" i="6"/>
  <c r="A798" i="6"/>
  <c r="A806" i="6"/>
  <c r="A814" i="6"/>
  <c r="A822" i="6"/>
  <c r="A830" i="6"/>
  <c r="A838" i="6"/>
  <c r="A846" i="6"/>
  <c r="A854" i="6"/>
  <c r="A862" i="6"/>
  <c r="A870" i="6"/>
  <c r="A878" i="6"/>
  <c r="A886" i="6"/>
  <c r="A894" i="6"/>
  <c r="A902" i="6"/>
  <c r="A910" i="6"/>
  <c r="A918" i="6"/>
  <c r="A926" i="6"/>
  <c r="A934" i="6"/>
  <c r="A942" i="6"/>
  <c r="A32" i="6"/>
  <c r="A48" i="6"/>
  <c r="A64" i="6"/>
  <c r="A80" i="6"/>
  <c r="A96" i="6"/>
  <c r="A112" i="6"/>
  <c r="A128" i="6"/>
  <c r="A144" i="6"/>
  <c r="A160" i="6"/>
  <c r="A176" i="6"/>
  <c r="A192" i="6"/>
  <c r="A208" i="6"/>
  <c r="A224" i="6"/>
  <c r="A240" i="6"/>
  <c r="A256" i="6"/>
  <c r="A271" i="6"/>
  <c r="A283" i="6"/>
  <c r="A296" i="6"/>
  <c r="A310" i="6"/>
  <c r="A321" i="6"/>
  <c r="A335" i="6"/>
  <c r="A347" i="6"/>
  <c r="A360" i="6"/>
  <c r="A374" i="6"/>
  <c r="A385" i="6"/>
  <c r="A399" i="6"/>
  <c r="A411" i="6"/>
  <c r="A424" i="6"/>
  <c r="A438" i="6"/>
  <c r="A449" i="6"/>
  <c r="A461" i="6"/>
  <c r="A471" i="6"/>
  <c r="A481" i="6"/>
  <c r="A493" i="6"/>
  <c r="A503" i="6"/>
  <c r="A513" i="6"/>
  <c r="A525" i="6"/>
  <c r="A535" i="6"/>
  <c r="A545" i="6"/>
  <c r="A557" i="6"/>
  <c r="A567" i="6"/>
  <c r="A577" i="6"/>
  <c r="A589" i="6"/>
  <c r="A599" i="6"/>
  <c r="A609" i="6"/>
  <c r="A621" i="6"/>
  <c r="A630" i="6"/>
  <c r="A639" i="6"/>
  <c r="A648" i="6"/>
  <c r="A657" i="6"/>
  <c r="A666" i="6"/>
  <c r="A675" i="6"/>
  <c r="A685" i="6"/>
  <c r="A694" i="6"/>
  <c r="A703" i="6"/>
  <c r="A711" i="6"/>
  <c r="A719" i="6"/>
  <c r="A727" i="6"/>
  <c r="A735" i="6"/>
  <c r="A743" i="6"/>
  <c r="A33" i="6"/>
  <c r="A49" i="6"/>
  <c r="A65" i="6"/>
  <c r="A81" i="6"/>
  <c r="A97" i="6"/>
  <c r="A113" i="6"/>
  <c r="A129" i="6"/>
  <c r="A145" i="6"/>
  <c r="A161" i="6"/>
  <c r="A177" i="6"/>
  <c r="A193" i="6"/>
  <c r="A209" i="6"/>
  <c r="A225" i="6"/>
  <c r="A241" i="6"/>
  <c r="A257" i="6"/>
  <c r="A272" i="6"/>
  <c r="A286" i="6"/>
  <c r="A297" i="6"/>
  <c r="A311" i="6"/>
  <c r="A323" i="6"/>
  <c r="A336" i="6"/>
  <c r="A350" i="6"/>
  <c r="A361" i="6"/>
  <c r="A375" i="6"/>
  <c r="A387" i="6"/>
  <c r="A400" i="6"/>
  <c r="A414" i="6"/>
  <c r="A425" i="6"/>
  <c r="A439" i="6"/>
  <c r="A451" i="6"/>
  <c r="A462" i="6"/>
  <c r="A472" i="6"/>
  <c r="A483" i="6"/>
  <c r="A494" i="6"/>
  <c r="A504" i="6"/>
  <c r="A515" i="6"/>
  <c r="A526" i="6"/>
  <c r="A536" i="6"/>
  <c r="A547" i="6"/>
  <c r="A558" i="6"/>
  <c r="A568" i="6"/>
  <c r="A579" i="6"/>
  <c r="A590" i="6"/>
  <c r="A600" i="6"/>
  <c r="A611" i="6"/>
  <c r="A622" i="6"/>
  <c r="A631" i="6"/>
  <c r="A640" i="6"/>
  <c r="A649" i="6"/>
  <c r="A658" i="6"/>
  <c r="A667" i="6"/>
  <c r="A677" i="6"/>
  <c r="A686" i="6"/>
  <c r="A695" i="6"/>
  <c r="A704" i="6"/>
  <c r="A712" i="6"/>
  <c r="A720" i="6"/>
  <c r="A728" i="6"/>
  <c r="A736" i="6"/>
  <c r="A744" i="6"/>
  <c r="A752" i="6"/>
  <c r="A760" i="6"/>
  <c r="A768" i="6"/>
  <c r="A776" i="6"/>
  <c r="A24" i="6"/>
  <c r="A40" i="6"/>
  <c r="A56" i="6"/>
  <c r="A72" i="6"/>
  <c r="A88" i="6"/>
  <c r="A104" i="6"/>
  <c r="A120" i="6"/>
  <c r="A136" i="6"/>
  <c r="A152" i="6"/>
  <c r="A168" i="6"/>
  <c r="A184" i="6"/>
  <c r="A200" i="6"/>
  <c r="A216" i="6"/>
  <c r="A232" i="6"/>
  <c r="A248" i="6"/>
  <c r="A1014" i="6"/>
  <c r="A1006" i="6"/>
  <c r="A998" i="6"/>
  <c r="A990" i="6"/>
  <c r="A982" i="6"/>
  <c r="A974" i="6"/>
  <c r="A966" i="6"/>
  <c r="A958" i="6"/>
  <c r="A950" i="6"/>
  <c r="A941" i="6"/>
  <c r="A932" i="6"/>
  <c r="A923" i="6"/>
  <c r="A914" i="6"/>
  <c r="A905" i="6"/>
  <c r="A896" i="6"/>
  <c r="A887" i="6"/>
  <c r="A877" i="6"/>
  <c r="A868" i="6"/>
  <c r="A859" i="6"/>
  <c r="A850" i="6"/>
  <c r="A841" i="6"/>
  <c r="A832" i="6"/>
  <c r="A823" i="6"/>
  <c r="A813" i="6"/>
  <c r="A804" i="6"/>
  <c r="A795" i="6"/>
  <c r="A786" i="6"/>
  <c r="A777" i="6"/>
  <c r="A765" i="6"/>
  <c r="A755" i="6"/>
  <c r="A745" i="6"/>
  <c r="A731" i="6"/>
  <c r="A717" i="6"/>
  <c r="A706" i="6"/>
  <c r="A690" i="6"/>
  <c r="A678" i="6"/>
  <c r="A662" i="6"/>
  <c r="A646" i="6"/>
  <c r="A633" i="6"/>
  <c r="A616" i="6"/>
  <c r="A601" i="6"/>
  <c r="A583" i="6"/>
  <c r="A565" i="6"/>
  <c r="A550" i="6"/>
  <c r="A531" i="6"/>
  <c r="A517" i="6"/>
  <c r="A497" i="6"/>
  <c r="A479" i="6"/>
  <c r="A464" i="6"/>
  <c r="A446" i="6"/>
  <c r="A427" i="6"/>
  <c r="A406" i="6"/>
  <c r="A383" i="6"/>
  <c r="A366" i="6"/>
  <c r="A343" i="6"/>
  <c r="A326" i="6"/>
  <c r="A303" i="6"/>
  <c r="A280" i="6"/>
  <c r="A263" i="6"/>
  <c r="A231" i="6"/>
  <c r="A199" i="6"/>
  <c r="A167" i="6"/>
  <c r="A135" i="6"/>
  <c r="A103" i="6"/>
  <c r="A71" i="6"/>
  <c r="A39" i="6"/>
  <c r="D15" i="6"/>
  <c r="E15" i="6"/>
  <c r="E14" i="6"/>
  <c r="E13" i="6"/>
  <c r="E12" i="6"/>
  <c r="D12" i="6"/>
  <c r="E11" i="6"/>
  <c r="D14" i="6"/>
  <c r="D13" i="6"/>
  <c r="B4" i="3"/>
  <c r="L75" i="14" l="1"/>
  <c r="N74" i="14"/>
  <c r="O74" i="14"/>
  <c r="P34" i="14"/>
  <c r="M35" i="14" s="1"/>
  <c r="N35" i="14" s="1"/>
  <c r="P35" i="14" s="1"/>
  <c r="M36" i="14" s="1"/>
  <c r="N36" i="14" s="1"/>
  <c r="N34" i="14"/>
  <c r="Q34" i="14"/>
  <c r="H33" i="14"/>
  <c r="F33" i="14"/>
  <c r="B34" i="14" s="1"/>
  <c r="A71" i="14"/>
  <c r="D70" i="14"/>
  <c r="C34" i="14"/>
  <c r="E34" i="14" s="1"/>
  <c r="A27" i="12"/>
  <c r="D26" i="12"/>
  <c r="N25" i="12"/>
  <c r="P24" i="12"/>
  <c r="N24" i="12"/>
  <c r="J28" i="12"/>
  <c r="M27" i="12"/>
  <c r="B24" i="12"/>
  <c r="C24" i="12" s="1"/>
  <c r="E24" i="12" s="1"/>
  <c r="X23" i="6"/>
  <c r="X21" i="6" s="1"/>
  <c r="I16" i="6" s="1"/>
  <c r="AB23" i="6"/>
  <c r="AB21" i="6" s="1"/>
  <c r="J16" i="6" s="1"/>
  <c r="J4" i="5" s="1"/>
  <c r="J6" i="5" s="1"/>
  <c r="L27" i="8"/>
  <c r="AI26" i="8" s="1"/>
  <c r="A27" i="8"/>
  <c r="L23" i="6"/>
  <c r="L21" i="6" s="1"/>
  <c r="F16" i="6" s="1"/>
  <c r="P23" i="6"/>
  <c r="P21" i="6" s="1"/>
  <c r="G16" i="6" s="1"/>
  <c r="E37" i="6"/>
  <c r="E45" i="6"/>
  <c r="E53" i="6"/>
  <c r="E61" i="6"/>
  <c r="E69" i="6"/>
  <c r="E77" i="6"/>
  <c r="E85" i="6"/>
  <c r="E93" i="6"/>
  <c r="E101" i="6"/>
  <c r="E109" i="6"/>
  <c r="E117" i="6"/>
  <c r="E125" i="6"/>
  <c r="E133" i="6"/>
  <c r="E141" i="6"/>
  <c r="E149" i="6"/>
  <c r="E157" i="6"/>
  <c r="E165" i="6"/>
  <c r="E173" i="6"/>
  <c r="E181" i="6"/>
  <c r="E189" i="6"/>
  <c r="E197" i="6"/>
  <c r="E205" i="6"/>
  <c r="E213" i="6"/>
  <c r="E221" i="6"/>
  <c r="E229" i="6"/>
  <c r="E237" i="6"/>
  <c r="E245" i="6"/>
  <c r="E253" i="6"/>
  <c r="E261" i="6"/>
  <c r="E269" i="6"/>
  <c r="E277" i="6"/>
  <c r="E285" i="6"/>
  <c r="E293" i="6"/>
  <c r="E301" i="6"/>
  <c r="E309" i="6"/>
  <c r="E317" i="6"/>
  <c r="E325" i="6"/>
  <c r="E333" i="6"/>
  <c r="E341" i="6"/>
  <c r="E349" i="6"/>
  <c r="E43" i="6"/>
  <c r="E52" i="6"/>
  <c r="E62" i="6"/>
  <c r="E71" i="6"/>
  <c r="E80" i="6"/>
  <c r="E89" i="6"/>
  <c r="E98" i="6"/>
  <c r="E107" i="6"/>
  <c r="E116" i="6"/>
  <c r="E126" i="6"/>
  <c r="E135" i="6"/>
  <c r="E144" i="6"/>
  <c r="E153" i="6"/>
  <c r="E162" i="6"/>
  <c r="E171" i="6"/>
  <c r="E180" i="6"/>
  <c r="E190" i="6"/>
  <c r="E199" i="6"/>
  <c r="E208" i="6"/>
  <c r="E217" i="6"/>
  <c r="E226" i="6"/>
  <c r="E235" i="6"/>
  <c r="E244" i="6"/>
  <c r="E254" i="6"/>
  <c r="E263" i="6"/>
  <c r="E272" i="6"/>
  <c r="E281" i="6"/>
  <c r="E290" i="6"/>
  <c r="E299" i="6"/>
  <c r="E308" i="6"/>
  <c r="E318" i="6"/>
  <c r="E327" i="6"/>
  <c r="E336" i="6"/>
  <c r="E345" i="6"/>
  <c r="E354" i="6"/>
  <c r="E362" i="6"/>
  <c r="E370" i="6"/>
  <c r="E378" i="6"/>
  <c r="E386" i="6"/>
  <c r="E394" i="6"/>
  <c r="E402" i="6"/>
  <c r="E410" i="6"/>
  <c r="E418" i="6"/>
  <c r="E426" i="6"/>
  <c r="E434" i="6"/>
  <c r="E442" i="6"/>
  <c r="E450" i="6"/>
  <c r="E458" i="6"/>
  <c r="E466" i="6"/>
  <c r="E474" i="6"/>
  <c r="E482" i="6"/>
  <c r="E490" i="6"/>
  <c r="E498" i="6"/>
  <c r="E506" i="6"/>
  <c r="E514" i="6"/>
  <c r="E522" i="6"/>
  <c r="E530" i="6"/>
  <c r="E538" i="6"/>
  <c r="E546" i="6"/>
  <c r="E554" i="6"/>
  <c r="E562" i="6"/>
  <c r="E570" i="6"/>
  <c r="E578" i="6"/>
  <c r="E586" i="6"/>
  <c r="E594" i="6"/>
  <c r="E602" i="6"/>
  <c r="E610" i="6"/>
  <c r="E618" i="6"/>
  <c r="E626" i="6"/>
  <c r="E634" i="6"/>
  <c r="E642" i="6"/>
  <c r="E650" i="6"/>
  <c r="E658" i="6"/>
  <c r="E666" i="6"/>
  <c r="E674" i="6"/>
  <c r="E682" i="6"/>
  <c r="E690" i="6"/>
  <c r="E698" i="6"/>
  <c r="E706" i="6"/>
  <c r="E714" i="6"/>
  <c r="E722" i="6"/>
  <c r="E730" i="6"/>
  <c r="E738" i="6"/>
  <c r="E746" i="6"/>
  <c r="E754" i="6"/>
  <c r="E762" i="6"/>
  <c r="E770" i="6"/>
  <c r="E778" i="6"/>
  <c r="E786" i="6"/>
  <c r="E794" i="6"/>
  <c r="E802" i="6"/>
  <c r="E810" i="6"/>
  <c r="E818" i="6"/>
  <c r="E44" i="6"/>
  <c r="E54" i="6"/>
  <c r="E63" i="6"/>
  <c r="E72" i="6"/>
  <c r="E81" i="6"/>
  <c r="E90" i="6"/>
  <c r="E99" i="6"/>
  <c r="E108" i="6"/>
  <c r="E118" i="6"/>
  <c r="E127" i="6"/>
  <c r="E136" i="6"/>
  <c r="E145" i="6"/>
  <c r="E154" i="6"/>
  <c r="E163" i="6"/>
  <c r="E172" i="6"/>
  <c r="E182" i="6"/>
  <c r="E191" i="6"/>
  <c r="E200" i="6"/>
  <c r="E209" i="6"/>
  <c r="E218" i="6"/>
  <c r="E227" i="6"/>
  <c r="E236" i="6"/>
  <c r="E246" i="6"/>
  <c r="E255" i="6"/>
  <c r="E264" i="6"/>
  <c r="E273" i="6"/>
  <c r="E282" i="6"/>
  <c r="E291" i="6"/>
  <c r="E300" i="6"/>
  <c r="E310" i="6"/>
  <c r="E319" i="6"/>
  <c r="E328" i="6"/>
  <c r="E337" i="6"/>
  <c r="E346" i="6"/>
  <c r="E355" i="6"/>
  <c r="E363" i="6"/>
  <c r="E371" i="6"/>
  <c r="E379" i="6"/>
  <c r="E387" i="6"/>
  <c r="E395" i="6"/>
  <c r="E403" i="6"/>
  <c r="E411" i="6"/>
  <c r="E419" i="6"/>
  <c r="E427" i="6"/>
  <c r="E435" i="6"/>
  <c r="E443" i="6"/>
  <c r="E451" i="6"/>
  <c r="E459" i="6"/>
  <c r="E467" i="6"/>
  <c r="E475" i="6"/>
  <c r="E483" i="6"/>
  <c r="E491" i="6"/>
  <c r="E499" i="6"/>
  <c r="E507" i="6"/>
  <c r="E515" i="6"/>
  <c r="E523" i="6"/>
  <c r="E531" i="6"/>
  <c r="E539" i="6"/>
  <c r="E547" i="6"/>
  <c r="E555" i="6"/>
  <c r="E563" i="6"/>
  <c r="E571" i="6"/>
  <c r="E579" i="6"/>
  <c r="E587" i="6"/>
  <c r="E595" i="6"/>
  <c r="E603" i="6"/>
  <c r="E611" i="6"/>
  <c r="E619" i="6"/>
  <c r="E627" i="6"/>
  <c r="E635" i="6"/>
  <c r="E643" i="6"/>
  <c r="E651" i="6"/>
  <c r="E659" i="6"/>
  <c r="E667" i="6"/>
  <c r="E675" i="6"/>
  <c r="E683" i="6"/>
  <c r="E691" i="6"/>
  <c r="E699" i="6"/>
  <c r="E707" i="6"/>
  <c r="E715" i="6"/>
  <c r="E723" i="6"/>
  <c r="E731" i="6"/>
  <c r="E739" i="6"/>
  <c r="E747" i="6"/>
  <c r="E755" i="6"/>
  <c r="E763" i="6"/>
  <c r="E771" i="6"/>
  <c r="E779" i="6"/>
  <c r="E787" i="6"/>
  <c r="E795" i="6"/>
  <c r="E803" i="6"/>
  <c r="E811" i="6"/>
  <c r="E819" i="6"/>
  <c r="E827" i="6"/>
  <c r="E835" i="6"/>
  <c r="E843" i="6"/>
  <c r="E851" i="6"/>
  <c r="E859" i="6"/>
  <c r="E867" i="6"/>
  <c r="E875" i="6"/>
  <c r="E883" i="6"/>
  <c r="E891" i="6"/>
  <c r="E899" i="6"/>
  <c r="E907" i="6"/>
  <c r="E915" i="6"/>
  <c r="E923" i="6"/>
  <c r="E931" i="6"/>
  <c r="E939" i="6"/>
  <c r="E947" i="6"/>
  <c r="E955" i="6"/>
  <c r="E963" i="6"/>
  <c r="E971" i="6"/>
  <c r="E979" i="6"/>
  <c r="E987" i="6"/>
  <c r="E995" i="6"/>
  <c r="E1003" i="6"/>
  <c r="E1011" i="6"/>
  <c r="E1019" i="6"/>
  <c r="E28" i="6"/>
  <c r="E36" i="6"/>
  <c r="E40" i="6"/>
  <c r="E51" i="6"/>
  <c r="E65" i="6"/>
  <c r="E76" i="6"/>
  <c r="E88" i="6"/>
  <c r="E102" i="6"/>
  <c r="E113" i="6"/>
  <c r="E124" i="6"/>
  <c r="E138" i="6"/>
  <c r="E150" i="6"/>
  <c r="E161" i="6"/>
  <c r="E175" i="6"/>
  <c r="E186" i="6"/>
  <c r="E198" i="6"/>
  <c r="E211" i="6"/>
  <c r="E223" i="6"/>
  <c r="E234" i="6"/>
  <c r="E248" i="6"/>
  <c r="E259" i="6"/>
  <c r="E271" i="6"/>
  <c r="E284" i="6"/>
  <c r="E296" i="6"/>
  <c r="E307" i="6"/>
  <c r="E321" i="6"/>
  <c r="E332" i="6"/>
  <c r="E344" i="6"/>
  <c r="E357" i="6"/>
  <c r="E367" i="6"/>
  <c r="E377" i="6"/>
  <c r="E389" i="6"/>
  <c r="E399" i="6"/>
  <c r="E409" i="6"/>
  <c r="E421" i="6"/>
  <c r="E431" i="6"/>
  <c r="E441" i="6"/>
  <c r="E453" i="6"/>
  <c r="E463" i="6"/>
  <c r="E473" i="6"/>
  <c r="E485" i="6"/>
  <c r="E495" i="6"/>
  <c r="E505" i="6"/>
  <c r="E517" i="6"/>
  <c r="E527" i="6"/>
  <c r="E537" i="6"/>
  <c r="E549" i="6"/>
  <c r="E559" i="6"/>
  <c r="E569" i="6"/>
  <c r="E581" i="6"/>
  <c r="E591" i="6"/>
  <c r="E601" i="6"/>
  <c r="E613" i="6"/>
  <c r="E623" i="6"/>
  <c r="E633" i="6"/>
  <c r="E645" i="6"/>
  <c r="E655" i="6"/>
  <c r="E665" i="6"/>
  <c r="E677" i="6"/>
  <c r="E687" i="6"/>
  <c r="E697" i="6"/>
  <c r="E709" i="6"/>
  <c r="E719" i="6"/>
  <c r="E729" i="6"/>
  <c r="E741" i="6"/>
  <c r="E751" i="6"/>
  <c r="E761" i="6"/>
  <c r="E773" i="6"/>
  <c r="E783" i="6"/>
  <c r="E793" i="6"/>
  <c r="E805" i="6"/>
  <c r="E815" i="6"/>
  <c r="E825" i="6"/>
  <c r="E834" i="6"/>
  <c r="E844" i="6"/>
  <c r="E853" i="6"/>
  <c r="E862" i="6"/>
  <c r="E871" i="6"/>
  <c r="E880" i="6"/>
  <c r="E889" i="6"/>
  <c r="E898" i="6"/>
  <c r="E908" i="6"/>
  <c r="E917" i="6"/>
  <c r="E926" i="6"/>
  <c r="E935" i="6"/>
  <c r="E944" i="6"/>
  <c r="E953" i="6"/>
  <c r="E962" i="6"/>
  <c r="E972" i="6"/>
  <c r="E981" i="6"/>
  <c r="E990" i="6"/>
  <c r="E999" i="6"/>
  <c r="E1008" i="6"/>
  <c r="E1017" i="6"/>
  <c r="E27" i="6"/>
  <c r="E21" i="6"/>
  <c r="E46" i="6"/>
  <c r="E57" i="6"/>
  <c r="E68" i="6"/>
  <c r="E82" i="6"/>
  <c r="E94" i="6"/>
  <c r="E105" i="6"/>
  <c r="E119" i="6"/>
  <c r="E130" i="6"/>
  <c r="E142" i="6"/>
  <c r="E155" i="6"/>
  <c r="E167" i="6"/>
  <c r="E178" i="6"/>
  <c r="E192" i="6"/>
  <c r="E203" i="6"/>
  <c r="E215" i="6"/>
  <c r="E228" i="6"/>
  <c r="E240" i="6"/>
  <c r="E251" i="6"/>
  <c r="E265" i="6"/>
  <c r="E276" i="6"/>
  <c r="E288" i="6"/>
  <c r="E302" i="6"/>
  <c r="E313" i="6"/>
  <c r="E324" i="6"/>
  <c r="E338" i="6"/>
  <c r="E350" i="6"/>
  <c r="E360" i="6"/>
  <c r="E372" i="6"/>
  <c r="E382" i="6"/>
  <c r="E392" i="6"/>
  <c r="E404" i="6"/>
  <c r="E414" i="6"/>
  <c r="E424" i="6"/>
  <c r="E436" i="6"/>
  <c r="E446" i="6"/>
  <c r="E456" i="6"/>
  <c r="E468" i="6"/>
  <c r="E478" i="6"/>
  <c r="E488" i="6"/>
  <c r="E500" i="6"/>
  <c r="E510" i="6"/>
  <c r="E520" i="6"/>
  <c r="E532" i="6"/>
  <c r="E542" i="6"/>
  <c r="E552" i="6"/>
  <c r="E564" i="6"/>
  <c r="E574" i="6"/>
  <c r="E47" i="6"/>
  <c r="E58" i="6"/>
  <c r="E70" i="6"/>
  <c r="E83" i="6"/>
  <c r="E95" i="6"/>
  <c r="E106" i="6"/>
  <c r="E120" i="6"/>
  <c r="E131" i="6"/>
  <c r="E143" i="6"/>
  <c r="E156" i="6"/>
  <c r="E168" i="6"/>
  <c r="E179" i="6"/>
  <c r="E193" i="6"/>
  <c r="E204" i="6"/>
  <c r="E216" i="6"/>
  <c r="E230" i="6"/>
  <c r="E241" i="6"/>
  <c r="E252" i="6"/>
  <c r="E266" i="6"/>
  <c r="E278" i="6"/>
  <c r="E289" i="6"/>
  <c r="E303" i="6"/>
  <c r="E314" i="6"/>
  <c r="E326" i="6"/>
  <c r="E339" i="6"/>
  <c r="E351" i="6"/>
  <c r="E361" i="6"/>
  <c r="E373" i="6"/>
  <c r="E383" i="6"/>
  <c r="E393" i="6"/>
  <c r="E405" i="6"/>
  <c r="E415" i="6"/>
  <c r="E425" i="6"/>
  <c r="E437" i="6"/>
  <c r="E447" i="6"/>
  <c r="E457" i="6"/>
  <c r="E469" i="6"/>
  <c r="E479" i="6"/>
  <c r="E489" i="6"/>
  <c r="E501" i="6"/>
  <c r="E511" i="6"/>
  <c r="E521" i="6"/>
  <c r="E533" i="6"/>
  <c r="E543" i="6"/>
  <c r="E553" i="6"/>
  <c r="E565" i="6"/>
  <c r="E575" i="6"/>
  <c r="E585" i="6"/>
  <c r="E597" i="6"/>
  <c r="E607" i="6"/>
  <c r="E617" i="6"/>
  <c r="E629" i="6"/>
  <c r="E639" i="6"/>
  <c r="E649" i="6"/>
  <c r="E661" i="6"/>
  <c r="E671" i="6"/>
  <c r="E681" i="6"/>
  <c r="E693" i="6"/>
  <c r="E703" i="6"/>
  <c r="E713" i="6"/>
  <c r="E725" i="6"/>
  <c r="E735" i="6"/>
  <c r="E745" i="6"/>
  <c r="E757" i="6"/>
  <c r="E767" i="6"/>
  <c r="E777" i="6"/>
  <c r="E789" i="6"/>
  <c r="E799" i="6"/>
  <c r="E809" i="6"/>
  <c r="E821" i="6"/>
  <c r="E830" i="6"/>
  <c r="E839" i="6"/>
  <c r="E848" i="6"/>
  <c r="E857" i="6"/>
  <c r="E866" i="6"/>
  <c r="E876" i="6"/>
  <c r="E885" i="6"/>
  <c r="E894" i="6"/>
  <c r="E903" i="6"/>
  <c r="E912" i="6"/>
  <c r="E921" i="6"/>
  <c r="E930" i="6"/>
  <c r="E940" i="6"/>
  <c r="E949" i="6"/>
  <c r="E958" i="6"/>
  <c r="E967" i="6"/>
  <c r="E976" i="6"/>
  <c r="E985" i="6"/>
  <c r="E994" i="6"/>
  <c r="E1004" i="6"/>
  <c r="E1013" i="6"/>
  <c r="E23" i="6"/>
  <c r="E32" i="6"/>
  <c r="E48" i="6"/>
  <c r="E66" i="6"/>
  <c r="E86" i="6"/>
  <c r="E104" i="6"/>
  <c r="E123" i="6"/>
  <c r="E146" i="6"/>
  <c r="E164" i="6"/>
  <c r="E184" i="6"/>
  <c r="E202" i="6"/>
  <c r="E222" i="6"/>
  <c r="E242" i="6"/>
  <c r="E260" i="6"/>
  <c r="E280" i="6"/>
  <c r="E298" i="6"/>
  <c r="E320" i="6"/>
  <c r="E340" i="6"/>
  <c r="E358" i="6"/>
  <c r="E375" i="6"/>
  <c r="E391" i="6"/>
  <c r="E408" i="6"/>
  <c r="E428" i="6"/>
  <c r="E444" i="6"/>
  <c r="E461" i="6"/>
  <c r="E477" i="6"/>
  <c r="E494" i="6"/>
  <c r="E512" i="6"/>
  <c r="E528" i="6"/>
  <c r="E545" i="6"/>
  <c r="E561" i="6"/>
  <c r="E580" i="6"/>
  <c r="E593" i="6"/>
  <c r="E608" i="6"/>
  <c r="E622" i="6"/>
  <c r="E637" i="6"/>
  <c r="E652" i="6"/>
  <c r="E664" i="6"/>
  <c r="E679" i="6"/>
  <c r="E694" i="6"/>
  <c r="E708" i="6"/>
  <c r="E721" i="6"/>
  <c r="E736" i="6"/>
  <c r="E750" i="6"/>
  <c r="E765" i="6"/>
  <c r="E780" i="6"/>
  <c r="E792" i="6"/>
  <c r="E807" i="6"/>
  <c r="E822" i="6"/>
  <c r="E833" i="6"/>
  <c r="E846" i="6"/>
  <c r="E858" i="6"/>
  <c r="E870" i="6"/>
  <c r="E882" i="6"/>
  <c r="E895" i="6"/>
  <c r="E906" i="6"/>
  <c r="E919" i="6"/>
  <c r="E932" i="6"/>
  <c r="E943" i="6"/>
  <c r="E956" i="6"/>
  <c r="E968" i="6"/>
  <c r="E980" i="6"/>
  <c r="E992" i="6"/>
  <c r="E1005" i="6"/>
  <c r="E1016" i="6"/>
  <c r="E30" i="6"/>
  <c r="E612" i="6"/>
  <c r="E861" i="6"/>
  <c r="E886" i="6"/>
  <c r="E910" i="6"/>
  <c r="E922" i="6"/>
  <c r="E934" i="6"/>
  <c r="E959" i="6"/>
  <c r="E970" i="6"/>
  <c r="E983" i="6"/>
  <c r="E996" i="6"/>
  <c r="E1007" i="6"/>
  <c r="E55" i="6"/>
  <c r="E92" i="6"/>
  <c r="E151" i="6"/>
  <c r="E210" i="6"/>
  <c r="E268" i="6"/>
  <c r="E347" i="6"/>
  <c r="E381" i="6"/>
  <c r="E432" i="6"/>
  <c r="E465" i="6"/>
  <c r="E518" i="6"/>
  <c r="E551" i="6"/>
  <c r="E584" i="6"/>
  <c r="E628" i="6"/>
  <c r="E656" i="6"/>
  <c r="E700" i="6"/>
  <c r="E727" i="6"/>
  <c r="E769" i="6"/>
  <c r="E798" i="6"/>
  <c r="E838" i="6"/>
  <c r="E874" i="6"/>
  <c r="E911" i="6"/>
  <c r="E948" i="6"/>
  <c r="E984" i="6"/>
  <c r="E22" i="6"/>
  <c r="E38" i="6"/>
  <c r="E114" i="6"/>
  <c r="E194" i="6"/>
  <c r="E250" i="6"/>
  <c r="E292" i="6"/>
  <c r="E330" i="6"/>
  <c r="E366" i="6"/>
  <c r="E400" i="6"/>
  <c r="E452" i="6"/>
  <c r="E503" i="6"/>
  <c r="E572" i="6"/>
  <c r="E600" i="6"/>
  <c r="E644" i="6"/>
  <c r="E686" i="6"/>
  <c r="E716" i="6"/>
  <c r="E743" i="6"/>
  <c r="E772" i="6"/>
  <c r="E800" i="6"/>
  <c r="E828" i="6"/>
  <c r="E864" i="6"/>
  <c r="E913" i="6"/>
  <c r="E950" i="6"/>
  <c r="E986" i="6"/>
  <c r="E24" i="6"/>
  <c r="E97" i="6"/>
  <c r="E158" i="6"/>
  <c r="E214" i="6"/>
  <c r="E256" i="6"/>
  <c r="E312" i="6"/>
  <c r="E368" i="6"/>
  <c r="E420" i="6"/>
  <c r="E471" i="6"/>
  <c r="E540" i="6"/>
  <c r="E604" i="6"/>
  <c r="E631" i="6"/>
  <c r="E673" i="6"/>
  <c r="E717" i="6"/>
  <c r="E759" i="6"/>
  <c r="E801" i="6"/>
  <c r="E841" i="6"/>
  <c r="E902" i="6"/>
  <c r="E938" i="6"/>
  <c r="E988" i="6"/>
  <c r="E25" i="6"/>
  <c r="E140" i="6"/>
  <c r="E220" i="6"/>
  <c r="E279" i="6"/>
  <c r="E356" i="6"/>
  <c r="E407" i="6"/>
  <c r="E460" i="6"/>
  <c r="E526" i="6"/>
  <c r="E577" i="6"/>
  <c r="E621" i="6"/>
  <c r="E663" i="6"/>
  <c r="E705" i="6"/>
  <c r="E749" i="6"/>
  <c r="E791" i="6"/>
  <c r="E820" i="6"/>
  <c r="E856" i="6"/>
  <c r="E905" i="6"/>
  <c r="E942" i="6"/>
  <c r="E978" i="6"/>
  <c r="E29" i="6"/>
  <c r="E49" i="6"/>
  <c r="E67" i="6"/>
  <c r="E87" i="6"/>
  <c r="E110" i="6"/>
  <c r="E128" i="6"/>
  <c r="E147" i="6"/>
  <c r="E166" i="6"/>
  <c r="E185" i="6"/>
  <c r="E206" i="6"/>
  <c r="E224" i="6"/>
  <c r="E243" i="6"/>
  <c r="E262" i="6"/>
  <c r="E283" i="6"/>
  <c r="E304" i="6"/>
  <c r="E322" i="6"/>
  <c r="E342" i="6"/>
  <c r="E359" i="6"/>
  <c r="E376" i="6"/>
  <c r="E396" i="6"/>
  <c r="E412" i="6"/>
  <c r="E429" i="6"/>
  <c r="E445" i="6"/>
  <c r="E462" i="6"/>
  <c r="E480" i="6"/>
  <c r="E496" i="6"/>
  <c r="E513" i="6"/>
  <c r="E529" i="6"/>
  <c r="E548" i="6"/>
  <c r="E566" i="6"/>
  <c r="E582" i="6"/>
  <c r="E596" i="6"/>
  <c r="E609" i="6"/>
  <c r="E624" i="6"/>
  <c r="E638" i="6"/>
  <c r="E653" i="6"/>
  <c r="E668" i="6"/>
  <c r="E680" i="6"/>
  <c r="E695" i="6"/>
  <c r="E710" i="6"/>
  <c r="E724" i="6"/>
  <c r="E737" i="6"/>
  <c r="E752" i="6"/>
  <c r="E766" i="6"/>
  <c r="E781" i="6"/>
  <c r="E796" i="6"/>
  <c r="E808" i="6"/>
  <c r="E823" i="6"/>
  <c r="E836" i="6"/>
  <c r="E847" i="6"/>
  <c r="E860" i="6"/>
  <c r="E872" i="6"/>
  <c r="E884" i="6"/>
  <c r="E896" i="6"/>
  <c r="E909" i="6"/>
  <c r="E920" i="6"/>
  <c r="E933" i="6"/>
  <c r="E945" i="6"/>
  <c r="E957" i="6"/>
  <c r="E969" i="6"/>
  <c r="E982" i="6"/>
  <c r="E993" i="6"/>
  <c r="E1006" i="6"/>
  <c r="E1018" i="6"/>
  <c r="E31" i="6"/>
  <c r="E684" i="6"/>
  <c r="E1020" i="6"/>
  <c r="E132" i="6"/>
  <c r="E188" i="6"/>
  <c r="E249" i="6"/>
  <c r="E287" i="6"/>
  <c r="E329" i="6"/>
  <c r="E398" i="6"/>
  <c r="E449" i="6"/>
  <c r="E502" i="6"/>
  <c r="E568" i="6"/>
  <c r="E614" i="6"/>
  <c r="E670" i="6"/>
  <c r="E712" i="6"/>
  <c r="E756" i="6"/>
  <c r="E813" i="6"/>
  <c r="E850" i="6"/>
  <c r="E887" i="6"/>
  <c r="E924" i="6"/>
  <c r="E960" i="6"/>
  <c r="E997" i="6"/>
  <c r="E34" i="6"/>
  <c r="E75" i="6"/>
  <c r="E134" i="6"/>
  <c r="E174" i="6"/>
  <c r="E212" i="6"/>
  <c r="E270" i="6"/>
  <c r="E348" i="6"/>
  <c r="E417" i="6"/>
  <c r="E470" i="6"/>
  <c r="E536" i="6"/>
  <c r="E588" i="6"/>
  <c r="E630" i="6"/>
  <c r="E672" i="6"/>
  <c r="E728" i="6"/>
  <c r="E785" i="6"/>
  <c r="E840" i="6"/>
  <c r="E877" i="6"/>
  <c r="E925" i="6"/>
  <c r="E974" i="6"/>
  <c r="E998" i="6"/>
  <c r="E35" i="6"/>
  <c r="E59" i="6"/>
  <c r="E115" i="6"/>
  <c r="E176" i="6"/>
  <c r="E233" i="6"/>
  <c r="E294" i="6"/>
  <c r="E352" i="6"/>
  <c r="E401" i="6"/>
  <c r="E454" i="6"/>
  <c r="E524" i="6"/>
  <c r="E573" i="6"/>
  <c r="E646" i="6"/>
  <c r="E688" i="6"/>
  <c r="E744" i="6"/>
  <c r="E788" i="6"/>
  <c r="E829" i="6"/>
  <c r="E865" i="6"/>
  <c r="E890" i="6"/>
  <c r="E927" i="6"/>
  <c r="E964" i="6"/>
  <c r="E1000" i="6"/>
  <c r="E103" i="6"/>
  <c r="E160" i="6"/>
  <c r="E239" i="6"/>
  <c r="E297" i="6"/>
  <c r="E335" i="6"/>
  <c r="E374" i="6"/>
  <c r="E423" i="6"/>
  <c r="E476" i="6"/>
  <c r="E544" i="6"/>
  <c r="E606" i="6"/>
  <c r="E648" i="6"/>
  <c r="E692" i="6"/>
  <c r="E734" i="6"/>
  <c r="E764" i="6"/>
  <c r="E806" i="6"/>
  <c r="E845" i="6"/>
  <c r="E881" i="6"/>
  <c r="E918" i="6"/>
  <c r="E954" i="6"/>
  <c r="E1015" i="6"/>
  <c r="E50" i="6"/>
  <c r="E73" i="6"/>
  <c r="E91" i="6"/>
  <c r="E111" i="6"/>
  <c r="E129" i="6"/>
  <c r="E148" i="6"/>
  <c r="E169" i="6"/>
  <c r="E187" i="6"/>
  <c r="E207" i="6"/>
  <c r="E225" i="6"/>
  <c r="E247" i="6"/>
  <c r="E267" i="6"/>
  <c r="E286" i="6"/>
  <c r="E305" i="6"/>
  <c r="E323" i="6"/>
  <c r="E343" i="6"/>
  <c r="E364" i="6"/>
  <c r="E380" i="6"/>
  <c r="E397" i="6"/>
  <c r="E413" i="6"/>
  <c r="E430" i="6"/>
  <c r="E448" i="6"/>
  <c r="E464" i="6"/>
  <c r="E481" i="6"/>
  <c r="E497" i="6"/>
  <c r="E516" i="6"/>
  <c r="E534" i="6"/>
  <c r="E550" i="6"/>
  <c r="E567" i="6"/>
  <c r="E583" i="6"/>
  <c r="E598" i="6"/>
  <c r="E625" i="6"/>
  <c r="E640" i="6"/>
  <c r="E654" i="6"/>
  <c r="E669" i="6"/>
  <c r="E696" i="6"/>
  <c r="E711" i="6"/>
  <c r="E726" i="6"/>
  <c r="E740" i="6"/>
  <c r="E753" i="6"/>
  <c r="E768" i="6"/>
  <c r="E782" i="6"/>
  <c r="E797" i="6"/>
  <c r="E812" i="6"/>
  <c r="E824" i="6"/>
  <c r="E837" i="6"/>
  <c r="E849" i="6"/>
  <c r="E873" i="6"/>
  <c r="E897" i="6"/>
  <c r="E946" i="6"/>
  <c r="E33" i="6"/>
  <c r="E74" i="6"/>
  <c r="E112" i="6"/>
  <c r="E170" i="6"/>
  <c r="E231" i="6"/>
  <c r="E306" i="6"/>
  <c r="E365" i="6"/>
  <c r="E416" i="6"/>
  <c r="E484" i="6"/>
  <c r="E535" i="6"/>
  <c r="E599" i="6"/>
  <c r="E641" i="6"/>
  <c r="E685" i="6"/>
  <c r="E742" i="6"/>
  <c r="E784" i="6"/>
  <c r="E826" i="6"/>
  <c r="E863" i="6"/>
  <c r="E900" i="6"/>
  <c r="E936" i="6"/>
  <c r="E973" i="6"/>
  <c r="E1009" i="6"/>
  <c r="E56" i="6"/>
  <c r="E96" i="6"/>
  <c r="E152" i="6"/>
  <c r="E232" i="6"/>
  <c r="E311" i="6"/>
  <c r="E384" i="6"/>
  <c r="E433" i="6"/>
  <c r="E486" i="6"/>
  <c r="E519" i="6"/>
  <c r="E556" i="6"/>
  <c r="E615" i="6"/>
  <c r="E657" i="6"/>
  <c r="E701" i="6"/>
  <c r="E758" i="6"/>
  <c r="E814" i="6"/>
  <c r="E852" i="6"/>
  <c r="E888" i="6"/>
  <c r="E901" i="6"/>
  <c r="E937" i="6"/>
  <c r="E961" i="6"/>
  <c r="E1010" i="6"/>
  <c r="E39" i="6"/>
  <c r="E78" i="6"/>
  <c r="E137" i="6"/>
  <c r="E195" i="6"/>
  <c r="E274" i="6"/>
  <c r="E331" i="6"/>
  <c r="E385" i="6"/>
  <c r="E438" i="6"/>
  <c r="E487" i="6"/>
  <c r="E504" i="6"/>
  <c r="E557" i="6"/>
  <c r="E589" i="6"/>
  <c r="E616" i="6"/>
  <c r="E660" i="6"/>
  <c r="E702" i="6"/>
  <c r="E732" i="6"/>
  <c r="E774" i="6"/>
  <c r="E816" i="6"/>
  <c r="E854" i="6"/>
  <c r="E878" i="6"/>
  <c r="E914" i="6"/>
  <c r="E951" i="6"/>
  <c r="E975" i="6"/>
  <c r="E1012" i="6"/>
  <c r="E42" i="6"/>
  <c r="E84" i="6"/>
  <c r="E122" i="6"/>
  <c r="E183" i="6"/>
  <c r="E258" i="6"/>
  <c r="E316" i="6"/>
  <c r="E390" i="6"/>
  <c r="E440" i="6"/>
  <c r="E493" i="6"/>
  <c r="E560" i="6"/>
  <c r="E592" i="6"/>
  <c r="E636" i="6"/>
  <c r="E678" i="6"/>
  <c r="E720" i="6"/>
  <c r="E776" i="6"/>
  <c r="E832" i="6"/>
  <c r="E869" i="6"/>
  <c r="E893" i="6"/>
  <c r="E929" i="6"/>
  <c r="E966" i="6"/>
  <c r="E1002" i="6"/>
  <c r="E41" i="6"/>
  <c r="E60" i="6"/>
  <c r="E79" i="6"/>
  <c r="E100" i="6"/>
  <c r="E121" i="6"/>
  <c r="E139" i="6"/>
  <c r="E159" i="6"/>
  <c r="E177" i="6"/>
  <c r="E196" i="6"/>
  <c r="E219" i="6"/>
  <c r="E238" i="6"/>
  <c r="E257" i="6"/>
  <c r="E275" i="6"/>
  <c r="E295" i="6"/>
  <c r="E315" i="6"/>
  <c r="E334" i="6"/>
  <c r="E353" i="6"/>
  <c r="E369" i="6"/>
  <c r="E388" i="6"/>
  <c r="E406" i="6"/>
  <c r="E422" i="6"/>
  <c r="E439" i="6"/>
  <c r="E455" i="6"/>
  <c r="E472" i="6"/>
  <c r="E492" i="6"/>
  <c r="E508" i="6"/>
  <c r="E525" i="6"/>
  <c r="E541" i="6"/>
  <c r="E558" i="6"/>
  <c r="E576" i="6"/>
  <c r="E590" i="6"/>
  <c r="E605" i="6"/>
  <c r="E620" i="6"/>
  <c r="E632" i="6"/>
  <c r="E647" i="6"/>
  <c r="E662" i="6"/>
  <c r="E676" i="6"/>
  <c r="E689" i="6"/>
  <c r="E704" i="6"/>
  <c r="E718" i="6"/>
  <c r="E733" i="6"/>
  <c r="E748" i="6"/>
  <c r="E760" i="6"/>
  <c r="E775" i="6"/>
  <c r="E790" i="6"/>
  <c r="E804" i="6"/>
  <c r="E817" i="6"/>
  <c r="E831" i="6"/>
  <c r="E842" i="6"/>
  <c r="E855" i="6"/>
  <c r="E868" i="6"/>
  <c r="E879" i="6"/>
  <c r="E892" i="6"/>
  <c r="E904" i="6"/>
  <c r="E916" i="6"/>
  <c r="E928" i="6"/>
  <c r="E941" i="6"/>
  <c r="E952" i="6"/>
  <c r="E965" i="6"/>
  <c r="E977" i="6"/>
  <c r="E989" i="6"/>
  <c r="E1001" i="6"/>
  <c r="E1014" i="6"/>
  <c r="E26" i="6"/>
  <c r="E64" i="6"/>
  <c r="E201" i="6"/>
  <c r="E509" i="6"/>
  <c r="E991" i="6"/>
  <c r="D23" i="6"/>
  <c r="D21" i="6" s="1"/>
  <c r="D16" i="6" s="1"/>
  <c r="Q43" i="6"/>
  <c r="Q51" i="6"/>
  <c r="Q59" i="6"/>
  <c r="Q67" i="6"/>
  <c r="Q75" i="6"/>
  <c r="Q83" i="6"/>
  <c r="Q91" i="6"/>
  <c r="Q99" i="6"/>
  <c r="Q107" i="6"/>
  <c r="Q115" i="6"/>
  <c r="Q123" i="6"/>
  <c r="Q131" i="6"/>
  <c r="Q139" i="6"/>
  <c r="Q147" i="6"/>
  <c r="Q155" i="6"/>
  <c r="Q163" i="6"/>
  <c r="Q171" i="6"/>
  <c r="Q179" i="6"/>
  <c r="Q187" i="6"/>
  <c r="Q195" i="6"/>
  <c r="Q203" i="6"/>
  <c r="Q211" i="6"/>
  <c r="Q219" i="6"/>
  <c r="Q227" i="6"/>
  <c r="Q235" i="6"/>
  <c r="Q243" i="6"/>
  <c r="Q251" i="6"/>
  <c r="Q259" i="6"/>
  <c r="Q267" i="6"/>
  <c r="Q275" i="6"/>
  <c r="Q283" i="6"/>
  <c r="Q291" i="6"/>
  <c r="Q299" i="6"/>
  <c r="Q307" i="6"/>
  <c r="Q315" i="6"/>
  <c r="Q323" i="6"/>
  <c r="Q331" i="6"/>
  <c r="Q339" i="6"/>
  <c r="Q347" i="6"/>
  <c r="Q355" i="6"/>
  <c r="Q363" i="6"/>
  <c r="Q371" i="6"/>
  <c r="Q379" i="6"/>
  <c r="Q44" i="6"/>
  <c r="Q52" i="6"/>
  <c r="Q60" i="6"/>
  <c r="Q68" i="6"/>
  <c r="Q76" i="6"/>
  <c r="Q84" i="6"/>
  <c r="Q92" i="6"/>
  <c r="Q100" i="6"/>
  <c r="Q108" i="6"/>
  <c r="Q116" i="6"/>
  <c r="Q124" i="6"/>
  <c r="Q132" i="6"/>
  <c r="Q140" i="6"/>
  <c r="Q148" i="6"/>
  <c r="Q156" i="6"/>
  <c r="Q164" i="6"/>
  <c r="Q172" i="6"/>
  <c r="Q180" i="6"/>
  <c r="Q188" i="6"/>
  <c r="Q196" i="6"/>
  <c r="Q204" i="6"/>
  <c r="Q212" i="6"/>
  <c r="Q220" i="6"/>
  <c r="Q228" i="6"/>
  <c r="Q236" i="6"/>
  <c r="Q244" i="6"/>
  <c r="Q252" i="6"/>
  <c r="Q260" i="6"/>
  <c r="Q268" i="6"/>
  <c r="Q276" i="6"/>
  <c r="Q284" i="6"/>
  <c r="Q292" i="6"/>
  <c r="Q300" i="6"/>
  <c r="Q308" i="6"/>
  <c r="Q316" i="6"/>
  <c r="Q324" i="6"/>
  <c r="Q332" i="6"/>
  <c r="Q340" i="6"/>
  <c r="Q348" i="6"/>
  <c r="Q356" i="6"/>
  <c r="Q364" i="6"/>
  <c r="Q372" i="6"/>
  <c r="Q380" i="6"/>
  <c r="Q388" i="6"/>
  <c r="Q396" i="6"/>
  <c r="Q404" i="6"/>
  <c r="Q412" i="6"/>
  <c r="Q420" i="6"/>
  <c r="Q428" i="6"/>
  <c r="Q436" i="6"/>
  <c r="Q444" i="6"/>
  <c r="Q452" i="6"/>
  <c r="Q460" i="6"/>
  <c r="Q468" i="6"/>
  <c r="Q476" i="6"/>
  <c r="Q484" i="6"/>
  <c r="Q492" i="6"/>
  <c r="Q500" i="6"/>
  <c r="Q508" i="6"/>
  <c r="Q516" i="6"/>
  <c r="Q524" i="6"/>
  <c r="Q532" i="6"/>
  <c r="Q540" i="6"/>
  <c r="Q548" i="6"/>
  <c r="Q556" i="6"/>
  <c r="Q564" i="6"/>
  <c r="Q572" i="6"/>
  <c r="Q580" i="6"/>
  <c r="Q588" i="6"/>
  <c r="Q596" i="6"/>
  <c r="Q604" i="6"/>
  <c r="Q612" i="6"/>
  <c r="Q620" i="6"/>
  <c r="Q628" i="6"/>
  <c r="Q636" i="6"/>
  <c r="Q644" i="6"/>
  <c r="Q652" i="6"/>
  <c r="Q660" i="6"/>
  <c r="Q668" i="6"/>
  <c r="Q676" i="6"/>
  <c r="Q684" i="6"/>
  <c r="Q692" i="6"/>
  <c r="Q700" i="6"/>
  <c r="Q45" i="6"/>
  <c r="Q53" i="6"/>
  <c r="Q61" i="6"/>
  <c r="Q69" i="6"/>
  <c r="Q77" i="6"/>
  <c r="Q85" i="6"/>
  <c r="Q93" i="6"/>
  <c r="Q101" i="6"/>
  <c r="Q109" i="6"/>
  <c r="Q117" i="6"/>
  <c r="Q125" i="6"/>
  <c r="Q133" i="6"/>
  <c r="Q141" i="6"/>
  <c r="Q149" i="6"/>
  <c r="Q157" i="6"/>
  <c r="Q165" i="6"/>
  <c r="Q173" i="6"/>
  <c r="Q181" i="6"/>
  <c r="Q189" i="6"/>
  <c r="Q197" i="6"/>
  <c r="Q205" i="6"/>
  <c r="Q213" i="6"/>
  <c r="Q221" i="6"/>
  <c r="Q229" i="6"/>
  <c r="Q237" i="6"/>
  <c r="Q245" i="6"/>
  <c r="Q253" i="6"/>
  <c r="Q261" i="6"/>
  <c r="Q269" i="6"/>
  <c r="Q277" i="6"/>
  <c r="Q285" i="6"/>
  <c r="Q293" i="6"/>
  <c r="Q301" i="6"/>
  <c r="Q309" i="6"/>
  <c r="Q317" i="6"/>
  <c r="Q325" i="6"/>
  <c r="Q333" i="6"/>
  <c r="Q341" i="6"/>
  <c r="Q349" i="6"/>
  <c r="Q357" i="6"/>
  <c r="Q365" i="6"/>
  <c r="Q373" i="6"/>
  <c r="Q381" i="6"/>
  <c r="Q389" i="6"/>
  <c r="Q397" i="6"/>
  <c r="Q405" i="6"/>
  <c r="Q413" i="6"/>
  <c r="Q421" i="6"/>
  <c r="Q429" i="6"/>
  <c r="Q437" i="6"/>
  <c r="Q445" i="6"/>
  <c r="Q453" i="6"/>
  <c r="Q461" i="6"/>
  <c r="Q469" i="6"/>
  <c r="Q477" i="6"/>
  <c r="Q485" i="6"/>
  <c r="Q493" i="6"/>
  <c r="Q501" i="6"/>
  <c r="Q509" i="6"/>
  <c r="Q40" i="6"/>
  <c r="Q48" i="6"/>
  <c r="Q56" i="6"/>
  <c r="Q64" i="6"/>
  <c r="Q72" i="6"/>
  <c r="Q80" i="6"/>
  <c r="Q88" i="6"/>
  <c r="Q96" i="6"/>
  <c r="Q104" i="6"/>
  <c r="Q112" i="6"/>
  <c r="Q120" i="6"/>
  <c r="Q128" i="6"/>
  <c r="Q136" i="6"/>
  <c r="Q144" i="6"/>
  <c r="Q152" i="6"/>
  <c r="Q160" i="6"/>
  <c r="Q168" i="6"/>
  <c r="Q176" i="6"/>
  <c r="Q184" i="6"/>
  <c r="Q192" i="6"/>
  <c r="Q200" i="6"/>
  <c r="Q208" i="6"/>
  <c r="Q216" i="6"/>
  <c r="Q224" i="6"/>
  <c r="Q232" i="6"/>
  <c r="Q240" i="6"/>
  <c r="Q248" i="6"/>
  <c r="Q256" i="6"/>
  <c r="Q264" i="6"/>
  <c r="Q272" i="6"/>
  <c r="Q280" i="6"/>
  <c r="Q288" i="6"/>
  <c r="Q296" i="6"/>
  <c r="Q304" i="6"/>
  <c r="Q312" i="6"/>
  <c r="Q320" i="6"/>
  <c r="Q328" i="6"/>
  <c r="Q336" i="6"/>
  <c r="Q344" i="6"/>
  <c r="Q352" i="6"/>
  <c r="Q360" i="6"/>
  <c r="Q368" i="6"/>
  <c r="Q376" i="6"/>
  <c r="Q384" i="6"/>
  <c r="Q392" i="6"/>
  <c r="Q400" i="6"/>
  <c r="Q408" i="6"/>
  <c r="Q416" i="6"/>
  <c r="Q424" i="6"/>
  <c r="Q432" i="6"/>
  <c r="Q440" i="6"/>
  <c r="Q448" i="6"/>
  <c r="Q456" i="6"/>
  <c r="Q464" i="6"/>
  <c r="Q472" i="6"/>
  <c r="Q480" i="6"/>
  <c r="Q488" i="6"/>
  <c r="Q496" i="6"/>
  <c r="Q504" i="6"/>
  <c r="Q512" i="6"/>
  <c r="Q520" i="6"/>
  <c r="Q528" i="6"/>
  <c r="Q536" i="6"/>
  <c r="Q544" i="6"/>
  <c r="Q552" i="6"/>
  <c r="Q560" i="6"/>
  <c r="Q568" i="6"/>
  <c r="Q576" i="6"/>
  <c r="Q584" i="6"/>
  <c r="Q592" i="6"/>
  <c r="Q600" i="6"/>
  <c r="Q608" i="6"/>
  <c r="Q616" i="6"/>
  <c r="Q624" i="6"/>
  <c r="Q632" i="6"/>
  <c r="Q640" i="6"/>
  <c r="Q648" i="6"/>
  <c r="Q656" i="6"/>
  <c r="Q664" i="6"/>
  <c r="Q672" i="6"/>
  <c r="Q680" i="6"/>
  <c r="Q688" i="6"/>
  <c r="Q696" i="6"/>
  <c r="Q704" i="6"/>
  <c r="Q712" i="6"/>
  <c r="Q47" i="6"/>
  <c r="Q63" i="6"/>
  <c r="Q79" i="6"/>
  <c r="Q95" i="6"/>
  <c r="Q111" i="6"/>
  <c r="Q127" i="6"/>
  <c r="Q143" i="6"/>
  <c r="Q159" i="6"/>
  <c r="Q175" i="6"/>
  <c r="Q191" i="6"/>
  <c r="Q207" i="6"/>
  <c r="Q223" i="6"/>
  <c r="Q239" i="6"/>
  <c r="Q255" i="6"/>
  <c r="Q271" i="6"/>
  <c r="Q287" i="6"/>
  <c r="Q303" i="6"/>
  <c r="Q319" i="6"/>
  <c r="Q335" i="6"/>
  <c r="Q351" i="6"/>
  <c r="Q367" i="6"/>
  <c r="Q383" i="6"/>
  <c r="Q395" i="6"/>
  <c r="Q409" i="6"/>
  <c r="Q422" i="6"/>
  <c r="Q434" i="6"/>
  <c r="Q447" i="6"/>
  <c r="Q459" i="6"/>
  <c r="Q473" i="6"/>
  <c r="Q486" i="6"/>
  <c r="Q498" i="6"/>
  <c r="Q511" i="6"/>
  <c r="Q522" i="6"/>
  <c r="Q533" i="6"/>
  <c r="Q543" i="6"/>
  <c r="Q49" i="6"/>
  <c r="Q65" i="6"/>
  <c r="Q81" i="6"/>
  <c r="Q97" i="6"/>
  <c r="Q113" i="6"/>
  <c r="Q129" i="6"/>
  <c r="Q145" i="6"/>
  <c r="Q161" i="6"/>
  <c r="Q177" i="6"/>
  <c r="Q193" i="6"/>
  <c r="Q209" i="6"/>
  <c r="Q225" i="6"/>
  <c r="Q241" i="6"/>
  <c r="Q257" i="6"/>
  <c r="Q273" i="6"/>
  <c r="Q289" i="6"/>
  <c r="Q305" i="6"/>
  <c r="Q321" i="6"/>
  <c r="Q337" i="6"/>
  <c r="Q353" i="6"/>
  <c r="Q369" i="6"/>
  <c r="Q385" i="6"/>
  <c r="Q398" i="6"/>
  <c r="Q410" i="6"/>
  <c r="Q423" i="6"/>
  <c r="Q435" i="6"/>
  <c r="Q449" i="6"/>
  <c r="Q462" i="6"/>
  <c r="Q474" i="6"/>
  <c r="Q487" i="6"/>
  <c r="Q499" i="6"/>
  <c r="Q513" i="6"/>
  <c r="Q523" i="6"/>
  <c r="Q534" i="6"/>
  <c r="Q545" i="6"/>
  <c r="Q555" i="6"/>
  <c r="Q566" i="6"/>
  <c r="Q577" i="6"/>
  <c r="Q587" i="6"/>
  <c r="Q598" i="6"/>
  <c r="Q609" i="6"/>
  <c r="Q619" i="6"/>
  <c r="Q630" i="6"/>
  <c r="Q641" i="6"/>
  <c r="Q651" i="6"/>
  <c r="Q662" i="6"/>
  <c r="Q673" i="6"/>
  <c r="Q683" i="6"/>
  <c r="Q694" i="6"/>
  <c r="Q705" i="6"/>
  <c r="Q714" i="6"/>
  <c r="Q722" i="6"/>
  <c r="Q730" i="6"/>
  <c r="Q738" i="6"/>
  <c r="Q746" i="6"/>
  <c r="Q754" i="6"/>
  <c r="Q762" i="6"/>
  <c r="Q770" i="6"/>
  <c r="Q778" i="6"/>
  <c r="Q786" i="6"/>
  <c r="Q794" i="6"/>
  <c r="Q802" i="6"/>
  <c r="Q810" i="6"/>
  <c r="Q818" i="6"/>
  <c r="Q826" i="6"/>
  <c r="Q834" i="6"/>
  <c r="Q842" i="6"/>
  <c r="Q850" i="6"/>
  <c r="Q858" i="6"/>
  <c r="Q866" i="6"/>
  <c r="Q874" i="6"/>
  <c r="Q882" i="6"/>
  <c r="Q890" i="6"/>
  <c r="Q898" i="6"/>
  <c r="Q906" i="6"/>
  <c r="Q914" i="6"/>
  <c r="Q922" i="6"/>
  <c r="Q930" i="6"/>
  <c r="Q938" i="6"/>
  <c r="Q946" i="6"/>
  <c r="Q954" i="6"/>
  <c r="Q962" i="6"/>
  <c r="Q970" i="6"/>
  <c r="Q978" i="6"/>
  <c r="Q986" i="6"/>
  <c r="Q50" i="6"/>
  <c r="Q66" i="6"/>
  <c r="Q82" i="6"/>
  <c r="Q98" i="6"/>
  <c r="Q114" i="6"/>
  <c r="Q130" i="6"/>
  <c r="Q146" i="6"/>
  <c r="Q162" i="6"/>
  <c r="Q178" i="6"/>
  <c r="Q194" i="6"/>
  <c r="Q210" i="6"/>
  <c r="Q226" i="6"/>
  <c r="Q242" i="6"/>
  <c r="Q258" i="6"/>
  <c r="Q274" i="6"/>
  <c r="Q290" i="6"/>
  <c r="Q306" i="6"/>
  <c r="Q322" i="6"/>
  <c r="Q338" i="6"/>
  <c r="Q354" i="6"/>
  <c r="Q370" i="6"/>
  <c r="Q386" i="6"/>
  <c r="Q399" i="6"/>
  <c r="Q411" i="6"/>
  <c r="Q425" i="6"/>
  <c r="Q438" i="6"/>
  <c r="Q450" i="6"/>
  <c r="Q463" i="6"/>
  <c r="Q475" i="6"/>
  <c r="Q489" i="6"/>
  <c r="Q502" i="6"/>
  <c r="Q514" i="6"/>
  <c r="Q525" i="6"/>
  <c r="Q535" i="6"/>
  <c r="Q546" i="6"/>
  <c r="Q557" i="6"/>
  <c r="Q567" i="6"/>
  <c r="Q578" i="6"/>
  <c r="Q589" i="6"/>
  <c r="Q599" i="6"/>
  <c r="Q610" i="6"/>
  <c r="Q621" i="6"/>
  <c r="Q631" i="6"/>
  <c r="Q642" i="6"/>
  <c r="Q653" i="6"/>
  <c r="Q663" i="6"/>
  <c r="Q674" i="6"/>
  <c r="Q685" i="6"/>
  <c r="Q695" i="6"/>
  <c r="Q706" i="6"/>
  <c r="Q715" i="6"/>
  <c r="Q723" i="6"/>
  <c r="Q731" i="6"/>
  <c r="Q739" i="6"/>
  <c r="Q747" i="6"/>
  <c r="Q755" i="6"/>
  <c r="Q763" i="6"/>
  <c r="Q771" i="6"/>
  <c r="Q779" i="6"/>
  <c r="Q787" i="6"/>
  <c r="Q795" i="6"/>
  <c r="Q803" i="6"/>
  <c r="Q811" i="6"/>
  <c r="Q819" i="6"/>
  <c r="Q827" i="6"/>
  <c r="Q835" i="6"/>
  <c r="Q843" i="6"/>
  <c r="Q851" i="6"/>
  <c r="Q859" i="6"/>
  <c r="Q867" i="6"/>
  <c r="Q875" i="6"/>
  <c r="Q883" i="6"/>
  <c r="Q891" i="6"/>
  <c r="Q899" i="6"/>
  <c r="Q41" i="6"/>
  <c r="Q57" i="6"/>
  <c r="Q73" i="6"/>
  <c r="Q89" i="6"/>
  <c r="Q105" i="6"/>
  <c r="Q121" i="6"/>
  <c r="Q137" i="6"/>
  <c r="Q153" i="6"/>
  <c r="Q169" i="6"/>
  <c r="Q185" i="6"/>
  <c r="Q201" i="6"/>
  <c r="Q217" i="6"/>
  <c r="Q233" i="6"/>
  <c r="Q249" i="6"/>
  <c r="Q265" i="6"/>
  <c r="Q281" i="6"/>
  <c r="Q297" i="6"/>
  <c r="Q313" i="6"/>
  <c r="Q329" i="6"/>
  <c r="Q345" i="6"/>
  <c r="Q361" i="6"/>
  <c r="Q377" i="6"/>
  <c r="Q391" i="6"/>
  <c r="Q403" i="6"/>
  <c r="Q417" i="6"/>
  <c r="Q430" i="6"/>
  <c r="Q442" i="6"/>
  <c r="Q455" i="6"/>
  <c r="Q467" i="6"/>
  <c r="Q481" i="6"/>
  <c r="Q494" i="6"/>
  <c r="Q506" i="6"/>
  <c r="Q518" i="6"/>
  <c r="Q529" i="6"/>
  <c r="Q539" i="6"/>
  <c r="Q550" i="6"/>
  <c r="Q561" i="6"/>
  <c r="Q571" i="6"/>
  <c r="Q582" i="6"/>
  <c r="Q593" i="6"/>
  <c r="Q603" i="6"/>
  <c r="Q614" i="6"/>
  <c r="Q625" i="6"/>
  <c r="Q635" i="6"/>
  <c r="Q646" i="6"/>
  <c r="Q657" i="6"/>
  <c r="Q667" i="6"/>
  <c r="Q678" i="6"/>
  <c r="Q689" i="6"/>
  <c r="Q699" i="6"/>
  <c r="Q709" i="6"/>
  <c r="Q718" i="6"/>
  <c r="Q726" i="6"/>
  <c r="Q734" i="6"/>
  <c r="Q742" i="6"/>
  <c r="Q750" i="6"/>
  <c r="Q758" i="6"/>
  <c r="Q766" i="6"/>
  <c r="Q774" i="6"/>
  <c r="Q782" i="6"/>
  <c r="Q790" i="6"/>
  <c r="Q798" i="6"/>
  <c r="Q806" i="6"/>
  <c r="Q814" i="6"/>
  <c r="Q822" i="6"/>
  <c r="Q830" i="6"/>
  <c r="Q838" i="6"/>
  <c r="Q846" i="6"/>
  <c r="Q854" i="6"/>
  <c r="Q862" i="6"/>
  <c r="Q870" i="6"/>
  <c r="Q878" i="6"/>
  <c r="Q886" i="6"/>
  <c r="Q894" i="6"/>
  <c r="Q902" i="6"/>
  <c r="Q910" i="6"/>
  <c r="Q918" i="6"/>
  <c r="Q926" i="6"/>
  <c r="Q934" i="6"/>
  <c r="Q942" i="6"/>
  <c r="Q950" i="6"/>
  <c r="Q958" i="6"/>
  <c r="Q966" i="6"/>
  <c r="Q974" i="6"/>
  <c r="Q982" i="6"/>
  <c r="Q990" i="6"/>
  <c r="Q998" i="6"/>
  <c r="Q1006" i="6"/>
  <c r="Q1014" i="6"/>
  <c r="Q23" i="6"/>
  <c r="Q31" i="6"/>
  <c r="Q39" i="6"/>
  <c r="Q55" i="6"/>
  <c r="Q87" i="6"/>
  <c r="Q119" i="6"/>
  <c r="Q151" i="6"/>
  <c r="Q183" i="6"/>
  <c r="Q215" i="6"/>
  <c r="Q247" i="6"/>
  <c r="Q279" i="6"/>
  <c r="Q311" i="6"/>
  <c r="Q343" i="6"/>
  <c r="Q375" i="6"/>
  <c r="Q402" i="6"/>
  <c r="Q427" i="6"/>
  <c r="Q454" i="6"/>
  <c r="Q479" i="6"/>
  <c r="Q505" i="6"/>
  <c r="Q527" i="6"/>
  <c r="Q549" i="6"/>
  <c r="Q565" i="6"/>
  <c r="Q583" i="6"/>
  <c r="Q601" i="6"/>
  <c r="Q617" i="6"/>
  <c r="Q634" i="6"/>
  <c r="Q650" i="6"/>
  <c r="Q669" i="6"/>
  <c r="Q686" i="6"/>
  <c r="Q702" i="6"/>
  <c r="Q717" i="6"/>
  <c r="Q729" i="6"/>
  <c r="Q743" i="6"/>
  <c r="Q756" i="6"/>
  <c r="Q768" i="6"/>
  <c r="Q781" i="6"/>
  <c r="Q793" i="6"/>
  <c r="Q807" i="6"/>
  <c r="Q820" i="6"/>
  <c r="Q832" i="6"/>
  <c r="Q845" i="6"/>
  <c r="Q857" i="6"/>
  <c r="Q871" i="6"/>
  <c r="Q884" i="6"/>
  <c r="Q896" i="6"/>
  <c r="Q908" i="6"/>
  <c r="Q919" i="6"/>
  <c r="Q929" i="6"/>
  <c r="Q940" i="6"/>
  <c r="Q951" i="6"/>
  <c r="Q961" i="6"/>
  <c r="Q972" i="6"/>
  <c r="Q983" i="6"/>
  <c r="Q993" i="6"/>
  <c r="Q1002" i="6"/>
  <c r="Q1011" i="6"/>
  <c r="Q1020" i="6"/>
  <c r="Q30" i="6"/>
  <c r="Q103" i="6"/>
  <c r="Q58" i="6"/>
  <c r="Q90" i="6"/>
  <c r="Q122" i="6"/>
  <c r="Q154" i="6"/>
  <c r="Q186" i="6"/>
  <c r="Q218" i="6"/>
  <c r="Q250" i="6"/>
  <c r="Q282" i="6"/>
  <c r="Q314" i="6"/>
  <c r="Q346" i="6"/>
  <c r="Q378" i="6"/>
  <c r="Q406" i="6"/>
  <c r="Q431" i="6"/>
  <c r="Q457" i="6"/>
  <c r="Q482" i="6"/>
  <c r="Q507" i="6"/>
  <c r="Q530" i="6"/>
  <c r="Q551" i="6"/>
  <c r="Q569" i="6"/>
  <c r="Q585" i="6"/>
  <c r="Q602" i="6"/>
  <c r="Q618" i="6"/>
  <c r="Q637" i="6"/>
  <c r="Q654" i="6"/>
  <c r="Q670" i="6"/>
  <c r="Q687" i="6"/>
  <c r="Q703" i="6"/>
  <c r="Q719" i="6"/>
  <c r="Q732" i="6"/>
  <c r="Q744" i="6"/>
  <c r="Q757" i="6"/>
  <c r="Q769" i="6"/>
  <c r="Q783" i="6"/>
  <c r="Q796" i="6"/>
  <c r="Q808" i="6"/>
  <c r="Q821" i="6"/>
  <c r="Q833" i="6"/>
  <c r="Q847" i="6"/>
  <c r="Q860" i="6"/>
  <c r="Q872" i="6"/>
  <c r="Q885" i="6"/>
  <c r="Q897" i="6"/>
  <c r="Q909" i="6"/>
  <c r="Q920" i="6"/>
  <c r="Q931" i="6"/>
  <c r="Q941" i="6"/>
  <c r="Q952" i="6"/>
  <c r="Q963" i="6"/>
  <c r="Q973" i="6"/>
  <c r="Q984" i="6"/>
  <c r="Q994" i="6"/>
  <c r="Q1003" i="6"/>
  <c r="Q1012" i="6"/>
  <c r="Q22" i="6"/>
  <c r="Q32" i="6"/>
  <c r="Q70" i="6"/>
  <c r="Q102" i="6"/>
  <c r="Q134" i="6"/>
  <c r="Q166" i="6"/>
  <c r="Q198" i="6"/>
  <c r="Q230" i="6"/>
  <c r="Q262" i="6"/>
  <c r="Q294" i="6"/>
  <c r="Q358" i="6"/>
  <c r="Q387" i="6"/>
  <c r="Q414" i="6"/>
  <c r="Q439" i="6"/>
  <c r="Q465" i="6"/>
  <c r="Q490" i="6"/>
  <c r="Q515" i="6"/>
  <c r="Q537" i="6"/>
  <c r="Q554" i="6"/>
  <c r="Q573" i="6"/>
  <c r="Q590" i="6"/>
  <c r="Q606" i="6"/>
  <c r="Q623" i="6"/>
  <c r="Q639" i="6"/>
  <c r="Q658" i="6"/>
  <c r="Q675" i="6"/>
  <c r="Q691" i="6"/>
  <c r="Q708" i="6"/>
  <c r="Q721" i="6"/>
  <c r="Q735" i="6"/>
  <c r="Q748" i="6"/>
  <c r="Q760" i="6"/>
  <c r="Q773" i="6"/>
  <c r="Q785" i="6"/>
  <c r="Q799" i="6"/>
  <c r="Q812" i="6"/>
  <c r="Q824" i="6"/>
  <c r="Q837" i="6"/>
  <c r="Q849" i="6"/>
  <c r="Q863" i="6"/>
  <c r="Q876" i="6"/>
  <c r="Q888" i="6"/>
  <c r="Q901" i="6"/>
  <c r="Q912" i="6"/>
  <c r="Q923" i="6"/>
  <c r="Q933" i="6"/>
  <c r="Q944" i="6"/>
  <c r="Q955" i="6"/>
  <c r="Q965" i="6"/>
  <c r="Q976" i="6"/>
  <c r="Q987" i="6"/>
  <c r="Q996" i="6"/>
  <c r="Q1005" i="6"/>
  <c r="Q1015" i="6"/>
  <c r="Q25" i="6"/>
  <c r="Q34" i="6"/>
  <c r="Q135" i="6"/>
  <c r="Q167" i="6"/>
  <c r="Q199" i="6"/>
  <c r="Q231" i="6"/>
  <c r="Q263" i="6"/>
  <c r="Q295" i="6"/>
  <c r="Q327" i="6"/>
  <c r="Q359" i="6"/>
  <c r="Q390" i="6"/>
  <c r="Q415" i="6"/>
  <c r="Q441" i="6"/>
  <c r="Q466" i="6"/>
  <c r="Q491" i="6"/>
  <c r="Q517" i="6"/>
  <c r="Q538" i="6"/>
  <c r="Q558" i="6"/>
  <c r="Q574" i="6"/>
  <c r="Q591" i="6"/>
  <c r="Q607" i="6"/>
  <c r="Q626" i="6"/>
  <c r="Q659" i="6"/>
  <c r="Q677" i="6"/>
  <c r="Q693" i="6"/>
  <c r="Q724" i="6"/>
  <c r="Q749" i="6"/>
  <c r="Q788" i="6"/>
  <c r="Q825" i="6"/>
  <c r="Q852" i="6"/>
  <c r="Q877" i="6"/>
  <c r="Q903" i="6"/>
  <c r="Q924" i="6"/>
  <c r="Q945" i="6"/>
  <c r="Q967" i="6"/>
  <c r="Q988" i="6"/>
  <c r="Q1007" i="6"/>
  <c r="Q26" i="6"/>
  <c r="Q62" i="6"/>
  <c r="Q94" i="6"/>
  <c r="Q126" i="6"/>
  <c r="Q158" i="6"/>
  <c r="Q190" i="6"/>
  <c r="Q222" i="6"/>
  <c r="Q254" i="6"/>
  <c r="Q286" i="6"/>
  <c r="Q318" i="6"/>
  <c r="Q350" i="6"/>
  <c r="Q382" i="6"/>
  <c r="Q407" i="6"/>
  <c r="Q433" i="6"/>
  <c r="Q458" i="6"/>
  <c r="Q483" i="6"/>
  <c r="Q510" i="6"/>
  <c r="Q531" i="6"/>
  <c r="Q553" i="6"/>
  <c r="Q570" i="6"/>
  <c r="Q586" i="6"/>
  <c r="Q605" i="6"/>
  <c r="Q622" i="6"/>
  <c r="Q638" i="6"/>
  <c r="Q655" i="6"/>
  <c r="Q671" i="6"/>
  <c r="Q690" i="6"/>
  <c r="Q707" i="6"/>
  <c r="Q720" i="6"/>
  <c r="Q733" i="6"/>
  <c r="Q745" i="6"/>
  <c r="Q759" i="6"/>
  <c r="Q772" i="6"/>
  <c r="Q784" i="6"/>
  <c r="Q797" i="6"/>
  <c r="Q809" i="6"/>
  <c r="Q823" i="6"/>
  <c r="Q836" i="6"/>
  <c r="Q848" i="6"/>
  <c r="Q861" i="6"/>
  <c r="Q873" i="6"/>
  <c r="Q887" i="6"/>
  <c r="Q900" i="6"/>
  <c r="Q911" i="6"/>
  <c r="Q921" i="6"/>
  <c r="Q932" i="6"/>
  <c r="Q943" i="6"/>
  <c r="Q953" i="6"/>
  <c r="Q964" i="6"/>
  <c r="Q975" i="6"/>
  <c r="Q985" i="6"/>
  <c r="Q995" i="6"/>
  <c r="Q1004" i="6"/>
  <c r="Q1013" i="6"/>
  <c r="Q24" i="6"/>
  <c r="Q33" i="6"/>
  <c r="Q326" i="6"/>
  <c r="Q71" i="6"/>
  <c r="Q643" i="6"/>
  <c r="Q710" i="6"/>
  <c r="Q736" i="6"/>
  <c r="Q761" i="6"/>
  <c r="Q775" i="6"/>
  <c r="Q800" i="6"/>
  <c r="Q813" i="6"/>
  <c r="Q839" i="6"/>
  <c r="Q864" i="6"/>
  <c r="Q889" i="6"/>
  <c r="Q913" i="6"/>
  <c r="Q935" i="6"/>
  <c r="Q956" i="6"/>
  <c r="Q977" i="6"/>
  <c r="Q997" i="6"/>
  <c r="Q1016" i="6"/>
  <c r="Q35" i="6"/>
  <c r="Q42" i="6"/>
  <c r="Q74" i="6"/>
  <c r="Q106" i="6"/>
  <c r="Q138" i="6"/>
  <c r="Q170" i="6"/>
  <c r="Q202" i="6"/>
  <c r="Q234" i="6"/>
  <c r="Q266" i="6"/>
  <c r="Q298" i="6"/>
  <c r="Q330" i="6"/>
  <c r="Q362" i="6"/>
  <c r="Q393" i="6"/>
  <c r="Q418" i="6"/>
  <c r="Q443" i="6"/>
  <c r="Q470" i="6"/>
  <c r="Q495" i="6"/>
  <c r="Q519" i="6"/>
  <c r="Q541" i="6"/>
  <c r="Q559" i="6"/>
  <c r="Q575" i="6"/>
  <c r="Q594" i="6"/>
  <c r="Q611" i="6"/>
  <c r="Q627" i="6"/>
  <c r="Q645" i="6"/>
  <c r="Q661" i="6"/>
  <c r="Q679" i="6"/>
  <c r="Q697" i="6"/>
  <c r="Q711" i="6"/>
  <c r="Q725" i="6"/>
  <c r="Q737" i="6"/>
  <c r="Q751" i="6"/>
  <c r="Q764" i="6"/>
  <c r="Q776" i="6"/>
  <c r="Q789" i="6"/>
  <c r="Q801" i="6"/>
  <c r="Q815" i="6"/>
  <c r="Q828" i="6"/>
  <c r="Q840" i="6"/>
  <c r="Q853" i="6"/>
  <c r="Q865" i="6"/>
  <c r="Q879" i="6"/>
  <c r="Q892" i="6"/>
  <c r="Q904" i="6"/>
  <c r="Q915" i="6"/>
  <c r="Q925" i="6"/>
  <c r="Q936" i="6"/>
  <c r="Q947" i="6"/>
  <c r="Q957" i="6"/>
  <c r="Q968" i="6"/>
  <c r="Q979" i="6"/>
  <c r="Q989" i="6"/>
  <c r="Q999" i="6"/>
  <c r="Q1008" i="6"/>
  <c r="Q1017" i="6"/>
  <c r="Q27" i="6"/>
  <c r="Q36" i="6"/>
  <c r="Q46" i="6"/>
  <c r="Q78" i="6"/>
  <c r="Q110" i="6"/>
  <c r="Q142" i="6"/>
  <c r="Q174" i="6"/>
  <c r="Q206" i="6"/>
  <c r="Q238" i="6"/>
  <c r="Q270" i="6"/>
  <c r="Q302" i="6"/>
  <c r="Q334" i="6"/>
  <c r="Q366" i="6"/>
  <c r="Q394" i="6"/>
  <c r="Q419" i="6"/>
  <c r="Q446" i="6"/>
  <c r="Q471" i="6"/>
  <c r="Q497" i="6"/>
  <c r="Q521" i="6"/>
  <c r="Q542" i="6"/>
  <c r="Q562" i="6"/>
  <c r="Q579" i="6"/>
  <c r="Q595" i="6"/>
  <c r="Q613" i="6"/>
  <c r="Q629" i="6"/>
  <c r="Q647" i="6"/>
  <c r="Q665" i="6"/>
  <c r="Q681" i="6"/>
  <c r="Q698" i="6"/>
  <c r="Q713" i="6"/>
  <c r="Q727" i="6"/>
  <c r="Q740" i="6"/>
  <c r="Q752" i="6"/>
  <c r="Q765" i="6"/>
  <c r="Q777" i="6"/>
  <c r="Q791" i="6"/>
  <c r="Q804" i="6"/>
  <c r="Q816" i="6"/>
  <c r="Q829" i="6"/>
  <c r="Q841" i="6"/>
  <c r="Q855" i="6"/>
  <c r="Q868" i="6"/>
  <c r="Q880" i="6"/>
  <c r="Q893" i="6"/>
  <c r="Q905" i="6"/>
  <c r="Q916" i="6"/>
  <c r="Q927" i="6"/>
  <c r="Q937" i="6"/>
  <c r="Q948" i="6"/>
  <c r="Q959" i="6"/>
  <c r="Q969" i="6"/>
  <c r="Q980" i="6"/>
  <c r="Q991" i="6"/>
  <c r="Q1000" i="6"/>
  <c r="Q1009" i="6"/>
  <c r="Q1018" i="6"/>
  <c r="Q28" i="6"/>
  <c r="Q37" i="6"/>
  <c r="Q54" i="6"/>
  <c r="Q86" i="6"/>
  <c r="Q118" i="6"/>
  <c r="Q150" i="6"/>
  <c r="Q182" i="6"/>
  <c r="Q214" i="6"/>
  <c r="Q246" i="6"/>
  <c r="Q278" i="6"/>
  <c r="Q310" i="6"/>
  <c r="Q342" i="6"/>
  <c r="Q374" i="6"/>
  <c r="Q401" i="6"/>
  <c r="Q426" i="6"/>
  <c r="Q451" i="6"/>
  <c r="Q478" i="6"/>
  <c r="Q503" i="6"/>
  <c r="Q526" i="6"/>
  <c r="Q547" i="6"/>
  <c r="Q563" i="6"/>
  <c r="Q581" i="6"/>
  <c r="Q597" i="6"/>
  <c r="Q615" i="6"/>
  <c r="Q633" i="6"/>
  <c r="Q649" i="6"/>
  <c r="Q666" i="6"/>
  <c r="Q682" i="6"/>
  <c r="Q701" i="6"/>
  <c r="Q716" i="6"/>
  <c r="Q728" i="6"/>
  <c r="Q741" i="6"/>
  <c r="Q753" i="6"/>
  <c r="Q767" i="6"/>
  <c r="Q780" i="6"/>
  <c r="Q792" i="6"/>
  <c r="Q805" i="6"/>
  <c r="Q817" i="6"/>
  <c r="Q831" i="6"/>
  <c r="Q844" i="6"/>
  <c r="Q856" i="6"/>
  <c r="Q869" i="6"/>
  <c r="Q881" i="6"/>
  <c r="Q895" i="6"/>
  <c r="Q907" i="6"/>
  <c r="Q917" i="6"/>
  <c r="Q928" i="6"/>
  <c r="Q939" i="6"/>
  <c r="Q949" i="6"/>
  <c r="Q960" i="6"/>
  <c r="Q971" i="6"/>
  <c r="Q981" i="6"/>
  <c r="Q992" i="6"/>
  <c r="Q1001" i="6"/>
  <c r="Q1010" i="6"/>
  <c r="Q1019" i="6"/>
  <c r="Q29" i="6"/>
  <c r="Q38" i="6"/>
  <c r="Q21" i="6"/>
  <c r="E26" i="4"/>
  <c r="E25" i="4"/>
  <c r="E24" i="4"/>
  <c r="E23" i="4"/>
  <c r="E22" i="4"/>
  <c r="E20" i="4"/>
  <c r="E19" i="4"/>
  <c r="B19" i="4"/>
  <c r="B3" i="3"/>
  <c r="E3" i="1"/>
  <c r="B2" i="1"/>
  <c r="B1" i="1"/>
  <c r="I10" i="1" l="1"/>
  <c r="I11" i="1"/>
  <c r="I8" i="1"/>
  <c r="H34" i="14"/>
  <c r="G12" i="3"/>
  <c r="D14" i="3"/>
  <c r="C14" i="3"/>
  <c r="E14" i="3"/>
  <c r="G14" i="3"/>
  <c r="F14" i="3"/>
  <c r="E12" i="1"/>
  <c r="G12" i="1"/>
  <c r="F12" i="1"/>
  <c r="I9" i="1"/>
  <c r="Q35" i="14"/>
  <c r="O75" i="14"/>
  <c r="L76" i="14"/>
  <c r="N75" i="14"/>
  <c r="A72" i="14"/>
  <c r="D71" i="14"/>
  <c r="Q36" i="14"/>
  <c r="P36" i="14"/>
  <c r="M37" i="14" s="1"/>
  <c r="N37" i="14" s="1"/>
  <c r="G34" i="14"/>
  <c r="F34" i="14"/>
  <c r="B35" i="14" s="1"/>
  <c r="A28" i="12"/>
  <c r="D27" i="12"/>
  <c r="M28" i="12"/>
  <c r="J29" i="12"/>
  <c r="P25" i="12"/>
  <c r="O25" i="12"/>
  <c r="K26" i="12" s="1"/>
  <c r="L26" i="12" s="1"/>
  <c r="F24" i="12"/>
  <c r="B25" i="12" s="1"/>
  <c r="G24" i="12"/>
  <c r="G13" i="3"/>
  <c r="I12" i="1"/>
  <c r="H12" i="1"/>
  <c r="L28" i="8"/>
  <c r="AI27" i="8" s="1"/>
  <c r="A28" i="8"/>
  <c r="H23" i="6"/>
  <c r="H21" i="6" s="1"/>
  <c r="E16" i="6" s="1"/>
  <c r="T23" i="6"/>
  <c r="T21" i="6" s="1"/>
  <c r="H16" i="6" s="1"/>
  <c r="C11" i="3"/>
  <c r="C10" i="3"/>
  <c r="F10" i="3"/>
  <c r="C12" i="3"/>
  <c r="C13" i="3"/>
  <c r="F13" i="3"/>
  <c r="F11" i="3"/>
  <c r="E12" i="3"/>
  <c r="G10" i="3"/>
  <c r="E11" i="3"/>
  <c r="F12" i="3"/>
  <c r="D13" i="3"/>
  <c r="E13" i="3"/>
  <c r="D10" i="3"/>
  <c r="D11" i="3"/>
  <c r="E10" i="3"/>
  <c r="D12" i="3"/>
  <c r="G10" i="1"/>
  <c r="F10" i="1"/>
  <c r="E8" i="1"/>
  <c r="F8" i="1"/>
  <c r="H10" i="1"/>
  <c r="G8" i="1"/>
  <c r="F9" i="1"/>
  <c r="H11" i="1"/>
  <c r="E9" i="1"/>
  <c r="E11" i="1"/>
  <c r="E10" i="1"/>
  <c r="G11" i="1"/>
  <c r="H9" i="1"/>
  <c r="F11" i="1"/>
  <c r="G9" i="1"/>
  <c r="H8" i="1"/>
  <c r="L77" i="14" l="1"/>
  <c r="N76" i="14"/>
  <c r="O76" i="14"/>
  <c r="O77" i="14" s="1"/>
  <c r="C35" i="14"/>
  <c r="E35" i="14" s="1"/>
  <c r="A73" i="14"/>
  <c r="D72" i="14"/>
  <c r="Q37" i="14"/>
  <c r="A29" i="12"/>
  <c r="D28" i="12"/>
  <c r="M29" i="12"/>
  <c r="J30" i="12"/>
  <c r="N26" i="12"/>
  <c r="O26" i="12"/>
  <c r="K27" i="12" s="1"/>
  <c r="L27" i="12" s="1"/>
  <c r="C25" i="12"/>
  <c r="E25" i="12" s="1"/>
  <c r="E5" i="4"/>
  <c r="E7" i="4" s="1"/>
  <c r="H14" i="3"/>
  <c r="G4" i="2"/>
  <c r="L29" i="8"/>
  <c r="AI28" i="8" s="1"/>
  <c r="A29" i="8"/>
  <c r="H11" i="3"/>
  <c r="H10" i="3"/>
  <c r="H12" i="3"/>
  <c r="H13" i="3"/>
  <c r="L78" i="14" l="1"/>
  <c r="N77" i="14"/>
  <c r="A74" i="14"/>
  <c r="D73" i="14"/>
  <c r="P37" i="14"/>
  <c r="M38" i="14" s="1"/>
  <c r="N38" i="14" s="1"/>
  <c r="G35" i="14"/>
  <c r="A30" i="12"/>
  <c r="D29" i="12"/>
  <c r="P26" i="12"/>
  <c r="M30" i="12"/>
  <c r="J31" i="12"/>
  <c r="N27" i="12"/>
  <c r="F25" i="12"/>
  <c r="B26" i="12" s="1"/>
  <c r="C26" i="12" s="1"/>
  <c r="G25" i="12"/>
  <c r="L30" i="8"/>
  <c r="AI29" i="8" s="1"/>
  <c r="A30" i="8"/>
  <c r="L79" i="14" l="1"/>
  <c r="N78" i="14"/>
  <c r="O78" i="14"/>
  <c r="O79" i="14" s="1"/>
  <c r="A75" i="14"/>
  <c r="D74" i="14"/>
  <c r="Q38" i="14"/>
  <c r="H35" i="14"/>
  <c r="F35" i="14"/>
  <c r="B36" i="14" s="1"/>
  <c r="C36" i="14" s="1"/>
  <c r="F26" i="12"/>
  <c r="A31" i="12"/>
  <c r="D30" i="12"/>
  <c r="O27" i="12"/>
  <c r="K28" i="12" s="1"/>
  <c r="M31" i="12"/>
  <c r="J32" i="12"/>
  <c r="P27" i="12"/>
  <c r="G26" i="12"/>
  <c r="E26" i="12"/>
  <c r="L31" i="8"/>
  <c r="AI30" i="8" s="1"/>
  <c r="A31" i="8"/>
  <c r="L80" i="14" l="1"/>
  <c r="N79" i="14"/>
  <c r="A76" i="14"/>
  <c r="D75" i="14"/>
  <c r="P38" i="14"/>
  <c r="M39" i="14" s="1"/>
  <c r="N39" i="14" s="1"/>
  <c r="E36" i="14"/>
  <c r="B27" i="12"/>
  <c r="C27" i="12" s="1"/>
  <c r="F27" i="12" s="1"/>
  <c r="A32" i="12"/>
  <c r="D31" i="12"/>
  <c r="L28" i="12"/>
  <c r="O28" i="12" s="1"/>
  <c r="K29" i="12" s="1"/>
  <c r="L29" i="12" s="1"/>
  <c r="J33" i="12"/>
  <c r="M32" i="12"/>
  <c r="L32" i="8"/>
  <c r="AI31" i="8" s="1"/>
  <c r="A32" i="8"/>
  <c r="L81" i="14" l="1"/>
  <c r="N80" i="14"/>
  <c r="O80" i="14"/>
  <c r="O81" i="14" s="1"/>
  <c r="A77" i="14"/>
  <c r="D76" i="14"/>
  <c r="P39" i="14"/>
  <c r="M40" i="14" s="1"/>
  <c r="Q39" i="14"/>
  <c r="G36" i="14"/>
  <c r="P28" i="12"/>
  <c r="A33" i="12"/>
  <c r="D32" i="12"/>
  <c r="N28" i="12"/>
  <c r="O29" i="12"/>
  <c r="K30" i="12" s="1"/>
  <c r="L30" i="12" s="1"/>
  <c r="J34" i="12"/>
  <c r="M33" i="12"/>
  <c r="G27" i="12"/>
  <c r="E27" i="12"/>
  <c r="B28" i="12" s="1"/>
  <c r="L33" i="8"/>
  <c r="AI32" i="8" s="1"/>
  <c r="A33" i="8"/>
  <c r="L82" i="14" l="1"/>
  <c r="N81" i="14"/>
  <c r="N40" i="14"/>
  <c r="P40" i="14" s="1"/>
  <c r="M41" i="14" s="1"/>
  <c r="N41" i="14" s="1"/>
  <c r="A78" i="14"/>
  <c r="D77" i="14"/>
  <c r="H36" i="14"/>
  <c r="F36" i="14"/>
  <c r="B37" i="14" s="1"/>
  <c r="C37" i="14" s="1"/>
  <c r="A34" i="12"/>
  <c r="D33" i="12"/>
  <c r="N30" i="12"/>
  <c r="O30" i="12"/>
  <c r="K31" i="12" s="1"/>
  <c r="L31" i="12" s="1"/>
  <c r="J35" i="12"/>
  <c r="M34" i="12"/>
  <c r="N29" i="12"/>
  <c r="P29" i="12"/>
  <c r="C28" i="12"/>
  <c r="F28" i="12" s="1"/>
  <c r="L34" i="8"/>
  <c r="AI33" i="8" s="1"/>
  <c r="A34" i="8"/>
  <c r="Q40" i="14" l="1"/>
  <c r="L83" i="14"/>
  <c r="N82" i="14"/>
  <c r="O82" i="14"/>
  <c r="O83" i="14" s="1"/>
  <c r="Q41" i="14"/>
  <c r="A79" i="14"/>
  <c r="D78" i="14"/>
  <c r="P41" i="14"/>
  <c r="M42" i="14" s="1"/>
  <c r="N42" i="14" s="1"/>
  <c r="E37" i="14"/>
  <c r="A35" i="12"/>
  <c r="D34" i="12"/>
  <c r="P30" i="12"/>
  <c r="M35" i="12"/>
  <c r="J36" i="12"/>
  <c r="N31" i="12"/>
  <c r="E28" i="12"/>
  <c r="B29" i="12" s="1"/>
  <c r="G28" i="12"/>
  <c r="L35" i="8"/>
  <c r="AI34" i="8" s="1"/>
  <c r="A35" i="8"/>
  <c r="L84" i="14" l="1"/>
  <c r="N83" i="14"/>
  <c r="A80" i="14"/>
  <c r="D79" i="14"/>
  <c r="Q42" i="14"/>
  <c r="G37" i="14"/>
  <c r="A36" i="12"/>
  <c r="D35" i="12"/>
  <c r="O31" i="12"/>
  <c r="K32" i="12" s="1"/>
  <c r="L32" i="12" s="1"/>
  <c r="P31" i="12"/>
  <c r="M36" i="12"/>
  <c r="J37" i="12"/>
  <c r="C29" i="12"/>
  <c r="F29" i="12" s="1"/>
  <c r="L36" i="8"/>
  <c r="AI35" i="8" s="1"/>
  <c r="A36" i="8"/>
  <c r="L85" i="14" l="1"/>
  <c r="N84" i="14"/>
  <c r="O84" i="14"/>
  <c r="O85" i="14" s="1"/>
  <c r="A81" i="14"/>
  <c r="D80" i="14"/>
  <c r="P42" i="14"/>
  <c r="M43" i="14" s="1"/>
  <c r="N43" i="14" s="1"/>
  <c r="H37" i="14"/>
  <c r="F37" i="14"/>
  <c r="B38" i="14" s="1"/>
  <c r="C38" i="14" s="1"/>
  <c r="A37" i="12"/>
  <c r="D36" i="12"/>
  <c r="M37" i="12"/>
  <c r="J38" i="12"/>
  <c r="N32" i="12"/>
  <c r="G29" i="12"/>
  <c r="E29" i="12"/>
  <c r="B30" i="12" s="1"/>
  <c r="L37" i="8"/>
  <c r="AI36" i="8" s="1"/>
  <c r="A37" i="8"/>
  <c r="L86" i="14" l="1"/>
  <c r="N85" i="14"/>
  <c r="A82" i="14"/>
  <c r="D81" i="14"/>
  <c r="Q43" i="14"/>
  <c r="E38" i="14"/>
  <c r="A38" i="12"/>
  <c r="D37" i="12"/>
  <c r="O32" i="12"/>
  <c r="K33" i="12" s="1"/>
  <c r="J39" i="12"/>
  <c r="M38" i="12"/>
  <c r="P32" i="12"/>
  <c r="C30" i="12"/>
  <c r="E30" i="12" s="1"/>
  <c r="L38" i="8"/>
  <c r="AI37" i="8" s="1"/>
  <c r="A38" i="8"/>
  <c r="L87" i="14" l="1"/>
  <c r="N86" i="14"/>
  <c r="O86" i="14"/>
  <c r="O87" i="14" s="1"/>
  <c r="A83" i="14"/>
  <c r="D82" i="14"/>
  <c r="P43" i="14"/>
  <c r="M44" i="14" s="1"/>
  <c r="G38" i="14"/>
  <c r="A39" i="12"/>
  <c r="D38" i="12"/>
  <c r="L33" i="12"/>
  <c r="N33" i="12" s="1"/>
  <c r="J40" i="12"/>
  <c r="M39" i="12"/>
  <c r="G30" i="12"/>
  <c r="F30" i="12"/>
  <c r="B31" i="12" s="1"/>
  <c r="L39" i="8"/>
  <c r="AI38" i="8" s="1"/>
  <c r="A39" i="8"/>
  <c r="L88" i="14" l="1"/>
  <c r="N87" i="14"/>
  <c r="N44" i="14"/>
  <c r="P44" i="14" s="1"/>
  <c r="M45" i="14" s="1"/>
  <c r="N45" i="14" s="1"/>
  <c r="A84" i="14"/>
  <c r="D83" i="14"/>
  <c r="H38" i="14"/>
  <c r="F38" i="14"/>
  <c r="B39" i="14" s="1"/>
  <c r="C39" i="14" s="1"/>
  <c r="O33" i="12"/>
  <c r="K34" i="12" s="1"/>
  <c r="L34" i="12" s="1"/>
  <c r="N34" i="12" s="1"/>
  <c r="P33" i="12"/>
  <c r="A40" i="12"/>
  <c r="D39" i="12"/>
  <c r="M40" i="12"/>
  <c r="J41" i="12"/>
  <c r="C31" i="12"/>
  <c r="F31" i="12" s="1"/>
  <c r="L40" i="8"/>
  <c r="AI39" i="8" s="1"/>
  <c r="A40" i="8"/>
  <c r="L89" i="14" l="1"/>
  <c r="N88" i="14"/>
  <c r="Q44" i="14"/>
  <c r="O88" i="14"/>
  <c r="Q45" i="14"/>
  <c r="A85" i="14"/>
  <c r="D84" i="14"/>
  <c r="P45" i="14"/>
  <c r="M46" i="14" s="1"/>
  <c r="N46" i="14" s="1"/>
  <c r="E39" i="14"/>
  <c r="P34" i="12"/>
  <c r="A41" i="12"/>
  <c r="D40" i="12"/>
  <c r="O34" i="12"/>
  <c r="K35" i="12" s="1"/>
  <c r="L35" i="12" s="1"/>
  <c r="M41" i="12"/>
  <c r="J42" i="12"/>
  <c r="E31" i="12"/>
  <c r="B32" i="12" s="1"/>
  <c r="G31" i="12"/>
  <c r="L41" i="8"/>
  <c r="AI40" i="8" s="1"/>
  <c r="N40" i="8"/>
  <c r="A41" i="8"/>
  <c r="D40" i="8"/>
  <c r="O89" i="14" l="1"/>
  <c r="L90" i="14"/>
  <c r="N89" i="14"/>
  <c r="A86" i="14"/>
  <c r="D85" i="14"/>
  <c r="Q46" i="14"/>
  <c r="G39" i="14"/>
  <c r="P35" i="12"/>
  <c r="O35" i="12"/>
  <c r="K36" i="12" s="1"/>
  <c r="L36" i="12" s="1"/>
  <c r="N36" i="12" s="1"/>
  <c r="N35" i="12"/>
  <c r="A42" i="12"/>
  <c r="D41" i="12"/>
  <c r="M42" i="12"/>
  <c r="J43" i="12"/>
  <c r="C32" i="12"/>
  <c r="E32" i="12" s="1"/>
  <c r="L42" i="8"/>
  <c r="AI41" i="8" s="1"/>
  <c r="N41" i="8"/>
  <c r="A42" i="8"/>
  <c r="D41" i="8"/>
  <c r="L91" i="14" l="1"/>
  <c r="N90" i="14"/>
  <c r="O90" i="14"/>
  <c r="O91" i="14" s="1"/>
  <c r="A87" i="14"/>
  <c r="D86" i="14"/>
  <c r="P46" i="14"/>
  <c r="M47" i="14" s="1"/>
  <c r="N47" i="14" s="1"/>
  <c r="H39" i="14"/>
  <c r="F39" i="14"/>
  <c r="B40" i="14" s="1"/>
  <c r="C40" i="14" s="1"/>
  <c r="O36" i="12"/>
  <c r="K37" i="12" s="1"/>
  <c r="L37" i="12" s="1"/>
  <c r="N37" i="12" s="1"/>
  <c r="P36" i="12"/>
  <c r="A43" i="12"/>
  <c r="D42" i="12"/>
  <c r="M43" i="12"/>
  <c r="J44" i="12"/>
  <c r="F32" i="12"/>
  <c r="B33" i="12" s="1"/>
  <c r="G32" i="12"/>
  <c r="L43" i="8"/>
  <c r="AI42" i="8" s="1"/>
  <c r="N42" i="8"/>
  <c r="A43" i="8"/>
  <c r="D42" i="8"/>
  <c r="L92" i="14" l="1"/>
  <c r="N91" i="14"/>
  <c r="A88" i="14"/>
  <c r="D87" i="14"/>
  <c r="Q47" i="14"/>
  <c r="E40" i="14"/>
  <c r="A44" i="12"/>
  <c r="D43" i="12"/>
  <c r="J45" i="12"/>
  <c r="M44" i="12"/>
  <c r="O37" i="12"/>
  <c r="K38" i="12" s="1"/>
  <c r="L38" i="12" s="1"/>
  <c r="P37" i="12"/>
  <c r="C33" i="12"/>
  <c r="E33" i="12" s="1"/>
  <c r="L44" i="8"/>
  <c r="AI43" i="8" s="1"/>
  <c r="N43" i="8"/>
  <c r="A44" i="8"/>
  <c r="D43" i="8"/>
  <c r="L93" i="14" l="1"/>
  <c r="N92" i="14"/>
  <c r="O92" i="14"/>
  <c r="O93" i="14" s="1"/>
  <c r="A89" i="14"/>
  <c r="D88" i="14"/>
  <c r="P47" i="14"/>
  <c r="M48" i="14" s="1"/>
  <c r="N48" i="14" s="1"/>
  <c r="G40" i="14"/>
  <c r="A45" i="12"/>
  <c r="D44" i="12"/>
  <c r="J46" i="12"/>
  <c r="M45" i="12"/>
  <c r="N38" i="12"/>
  <c r="O38" i="12"/>
  <c r="K39" i="12" s="1"/>
  <c r="L39" i="12" s="1"/>
  <c r="F33" i="12"/>
  <c r="B34" i="12" s="1"/>
  <c r="G33" i="12"/>
  <c r="L45" i="8"/>
  <c r="AI44" i="8" s="1"/>
  <c r="N44" i="8"/>
  <c r="A45" i="8"/>
  <c r="D44" i="8"/>
  <c r="L94" i="14" l="1"/>
  <c r="N93" i="14"/>
  <c r="A90" i="14"/>
  <c r="D89" i="14"/>
  <c r="Q48" i="14"/>
  <c r="H40" i="14"/>
  <c r="F40" i="14"/>
  <c r="B41" i="14" s="1"/>
  <c r="C41" i="14" s="1"/>
  <c r="A46" i="12"/>
  <c r="D45" i="12"/>
  <c r="N39" i="12"/>
  <c r="J47" i="12"/>
  <c r="M46" i="12"/>
  <c r="P38" i="12"/>
  <c r="P39" i="12" s="1"/>
  <c r="C34" i="12"/>
  <c r="E34" i="12" s="1"/>
  <c r="L46" i="8"/>
  <c r="AI45" i="8" s="1"/>
  <c r="N45" i="8"/>
  <c r="A46" i="8"/>
  <c r="D45" i="8"/>
  <c r="L95" i="14" l="1"/>
  <c r="N94" i="14"/>
  <c r="O94" i="14"/>
  <c r="O95" i="14" s="1"/>
  <c r="P48" i="14"/>
  <c r="M49" i="14" s="1"/>
  <c r="N49" i="14" s="1"/>
  <c r="Q49" i="14" s="1"/>
  <c r="A91" i="14"/>
  <c r="D90" i="14"/>
  <c r="E41" i="14"/>
  <c r="A47" i="12"/>
  <c r="D46" i="12"/>
  <c r="M47" i="12"/>
  <c r="J48" i="12"/>
  <c r="O39" i="12"/>
  <c r="K40" i="12" s="1"/>
  <c r="L40" i="12" s="1"/>
  <c r="G34" i="12"/>
  <c r="F34" i="12"/>
  <c r="B35" i="12" s="1"/>
  <c r="L47" i="8"/>
  <c r="AI46" i="8" s="1"/>
  <c r="N46" i="8"/>
  <c r="A47" i="8"/>
  <c r="D46" i="8"/>
  <c r="L96" i="14" l="1"/>
  <c r="N95" i="14"/>
  <c r="A92" i="14"/>
  <c r="D91" i="14"/>
  <c r="P49" i="14"/>
  <c r="M50" i="14" s="1"/>
  <c r="G41" i="14"/>
  <c r="A48" i="12"/>
  <c r="D47" i="12"/>
  <c r="O40" i="12"/>
  <c r="K41" i="12" s="1"/>
  <c r="L41" i="12" s="1"/>
  <c r="M48" i="12"/>
  <c r="J49" i="12"/>
  <c r="C35" i="12"/>
  <c r="F35" i="12" s="1"/>
  <c r="L48" i="8"/>
  <c r="AI47" i="8" s="1"/>
  <c r="N47" i="8"/>
  <c r="A48" i="8"/>
  <c r="D47" i="8"/>
  <c r="L97" i="14" l="1"/>
  <c r="N96" i="14"/>
  <c r="O96" i="14"/>
  <c r="O97" i="14" s="1"/>
  <c r="N50" i="14"/>
  <c r="Q50" i="14" s="1"/>
  <c r="A93" i="14"/>
  <c r="D92" i="14"/>
  <c r="H41" i="14"/>
  <c r="F41" i="14"/>
  <c r="B42" i="14" s="1"/>
  <c r="C42" i="14" s="1"/>
  <c r="A49" i="12"/>
  <c r="D48" i="12"/>
  <c r="M49" i="12"/>
  <c r="J50" i="12"/>
  <c r="N41" i="12"/>
  <c r="N40" i="12"/>
  <c r="P40" i="12"/>
  <c r="P41" i="12" s="1"/>
  <c r="E35" i="12"/>
  <c r="B36" i="12" s="1"/>
  <c r="G35" i="12"/>
  <c r="L49" i="8"/>
  <c r="AI48" i="8" s="1"/>
  <c r="N48" i="8"/>
  <c r="A49" i="8"/>
  <c r="D48" i="8"/>
  <c r="P50" i="14" l="1"/>
  <c r="M51" i="14" s="1"/>
  <c r="N51" i="14" s="1"/>
  <c r="Q51" i="14" s="1"/>
  <c r="L98" i="14"/>
  <c r="N97" i="14"/>
  <c r="A94" i="14"/>
  <c r="D93" i="14"/>
  <c r="E42" i="14"/>
  <c r="A50" i="12"/>
  <c r="D49" i="12"/>
  <c r="J51" i="12"/>
  <c r="M50" i="12"/>
  <c r="O41" i="12"/>
  <c r="K42" i="12" s="1"/>
  <c r="L42" i="12" s="1"/>
  <c r="C36" i="12"/>
  <c r="E36" i="12" s="1"/>
  <c r="L50" i="8"/>
  <c r="AI49" i="8" s="1"/>
  <c r="N49" i="8"/>
  <c r="A50" i="8"/>
  <c r="D49" i="8"/>
  <c r="L99" i="14" l="1"/>
  <c r="N98" i="14"/>
  <c r="O98" i="14"/>
  <c r="O99" i="14" s="1"/>
  <c r="A95" i="14"/>
  <c r="D94" i="14"/>
  <c r="P51" i="14"/>
  <c r="M52" i="14" s="1"/>
  <c r="N52" i="14" s="1"/>
  <c r="G42" i="14"/>
  <c r="A51" i="12"/>
  <c r="D50" i="12"/>
  <c r="O42" i="12"/>
  <c r="K43" i="12" s="1"/>
  <c r="L43" i="12" s="1"/>
  <c r="J52" i="12"/>
  <c r="M51" i="12"/>
  <c r="F36" i="12"/>
  <c r="B37" i="12" s="1"/>
  <c r="G36" i="12"/>
  <c r="L51" i="8"/>
  <c r="AI50" i="8" s="1"/>
  <c r="N50" i="8"/>
  <c r="A51" i="8"/>
  <c r="D50" i="8"/>
  <c r="L100" i="14" l="1"/>
  <c r="N99" i="14"/>
  <c r="A96" i="14"/>
  <c r="D95" i="14"/>
  <c r="Q52" i="14"/>
  <c r="P52" i="14"/>
  <c r="M53" i="14" s="1"/>
  <c r="N53" i="14" s="1"/>
  <c r="F42" i="14"/>
  <c r="B43" i="14" s="1"/>
  <c r="C43" i="14" s="1"/>
  <c r="E43" i="14" s="1"/>
  <c r="H42" i="14"/>
  <c r="A52" i="12"/>
  <c r="D51" i="12"/>
  <c r="N43" i="12"/>
  <c r="O43" i="12"/>
  <c r="K44" i="12" s="1"/>
  <c r="L44" i="12" s="1"/>
  <c r="M52" i="12"/>
  <c r="J53" i="12"/>
  <c r="N42" i="12"/>
  <c r="P42" i="12"/>
  <c r="P43" i="12" s="1"/>
  <c r="C37" i="12"/>
  <c r="E37" i="12" s="1"/>
  <c r="G37" i="12"/>
  <c r="L52" i="8"/>
  <c r="N51" i="8"/>
  <c r="A52" i="8"/>
  <c r="D51" i="8"/>
  <c r="L101" i="14" l="1"/>
  <c r="N100" i="14"/>
  <c r="O100" i="14"/>
  <c r="O101" i="14" s="1"/>
  <c r="A97" i="14"/>
  <c r="D96" i="14"/>
  <c r="P53" i="14"/>
  <c r="M54" i="14" s="1"/>
  <c r="N54" i="14" s="1"/>
  <c r="Q53" i="14"/>
  <c r="G43" i="14"/>
  <c r="H43" i="14"/>
  <c r="F43" i="14"/>
  <c r="B44" i="14" s="1"/>
  <c r="C44" i="14" s="1"/>
  <c r="E44" i="14" s="1"/>
  <c r="A53" i="12"/>
  <c r="D52" i="12"/>
  <c r="M53" i="12"/>
  <c r="J54" i="12"/>
  <c r="N44" i="12"/>
  <c r="O44" i="12"/>
  <c r="K45" i="12" s="1"/>
  <c r="L45" i="12" s="1"/>
  <c r="P44" i="12"/>
  <c r="F37" i="12"/>
  <c r="B38" i="12" s="1"/>
  <c r="C38" i="12" s="1"/>
  <c r="L53" i="8"/>
  <c r="N52" i="8"/>
  <c r="A53" i="8"/>
  <c r="D52" i="8"/>
  <c r="L102" i="14" l="1"/>
  <c r="N101" i="14"/>
  <c r="A98" i="14"/>
  <c r="D97" i="14"/>
  <c r="P54" i="14"/>
  <c r="M55" i="14" s="1"/>
  <c r="N55" i="14" s="1"/>
  <c r="A54" i="12"/>
  <c r="D53" i="12"/>
  <c r="F38" i="12"/>
  <c r="M54" i="12"/>
  <c r="J55" i="12"/>
  <c r="N45" i="12"/>
  <c r="O45" i="12"/>
  <c r="K46" i="12" s="1"/>
  <c r="L46" i="12" s="1"/>
  <c r="E38" i="12"/>
  <c r="G38" i="12"/>
  <c r="L54" i="8"/>
  <c r="N53" i="8"/>
  <c r="A54" i="8"/>
  <c r="D53" i="8"/>
  <c r="L103" i="14" l="1"/>
  <c r="N102" i="14"/>
  <c r="O102" i="14"/>
  <c r="O103" i="14" s="1"/>
  <c r="Q54" i="14"/>
  <c r="A99" i="14"/>
  <c r="D98" i="14"/>
  <c r="P55" i="14"/>
  <c r="M56" i="14" s="1"/>
  <c r="N56" i="14" s="1"/>
  <c r="G44" i="14"/>
  <c r="B39" i="12"/>
  <c r="A55" i="12"/>
  <c r="D54" i="12"/>
  <c r="N46" i="12"/>
  <c r="O46" i="12"/>
  <c r="K47" i="12" s="1"/>
  <c r="L47" i="12" s="1"/>
  <c r="M55" i="12"/>
  <c r="J56" i="12"/>
  <c r="P45" i="12"/>
  <c r="P46" i="12" s="1"/>
  <c r="C39" i="12"/>
  <c r="E39" i="12" s="1"/>
  <c r="L55" i="8"/>
  <c r="N54" i="8"/>
  <c r="A55" i="8"/>
  <c r="D54" i="8"/>
  <c r="L104" i="14" l="1"/>
  <c r="N103" i="14"/>
  <c r="A100" i="14"/>
  <c r="D99" i="14"/>
  <c r="Q55" i="14"/>
  <c r="P56" i="14"/>
  <c r="M57" i="14" s="1"/>
  <c r="N57" i="14" s="1"/>
  <c r="F44" i="14"/>
  <c r="B45" i="14" s="1"/>
  <c r="H44" i="14"/>
  <c r="A56" i="12"/>
  <c r="D55" i="12"/>
  <c r="N47" i="12"/>
  <c r="O47" i="12"/>
  <c r="K48" i="12" s="1"/>
  <c r="L48" i="12" s="1"/>
  <c r="P47" i="12"/>
  <c r="M56" i="12"/>
  <c r="J57" i="12"/>
  <c r="F39" i="12"/>
  <c r="B40" i="12" s="1"/>
  <c r="G39" i="12"/>
  <c r="L56" i="8"/>
  <c r="N55" i="8"/>
  <c r="A56" i="8"/>
  <c r="D55" i="8"/>
  <c r="L105" i="14" l="1"/>
  <c r="N104" i="14"/>
  <c r="O104" i="14"/>
  <c r="O105" i="14" s="1"/>
  <c r="Q56" i="14"/>
  <c r="Q57" i="14" s="1"/>
  <c r="A101" i="14"/>
  <c r="D100" i="14"/>
  <c r="C45" i="14"/>
  <c r="E45" i="14" s="1"/>
  <c r="A57" i="12"/>
  <c r="D56" i="12"/>
  <c r="N48" i="12"/>
  <c r="O48" i="12"/>
  <c r="K49" i="12" s="1"/>
  <c r="L49" i="12" s="1"/>
  <c r="P48" i="12"/>
  <c r="M57" i="12"/>
  <c r="J58" i="12"/>
  <c r="C40" i="12"/>
  <c r="E40" i="12" s="1"/>
  <c r="L57" i="8"/>
  <c r="N56" i="8"/>
  <c r="A57" i="8"/>
  <c r="D56" i="8"/>
  <c r="L106" i="14" l="1"/>
  <c r="N105" i="14"/>
  <c r="A102" i="14"/>
  <c r="D101" i="14"/>
  <c r="P57" i="14"/>
  <c r="M58" i="14" s="1"/>
  <c r="G45" i="14"/>
  <c r="A58" i="12"/>
  <c r="D57" i="12"/>
  <c r="N49" i="12"/>
  <c r="O49" i="12"/>
  <c r="K50" i="12" s="1"/>
  <c r="L50" i="12" s="1"/>
  <c r="P49" i="12"/>
  <c r="J59" i="12"/>
  <c r="M58" i="12"/>
  <c r="F40" i="12"/>
  <c r="B41" i="12" s="1"/>
  <c r="G40" i="12"/>
  <c r="L58" i="8"/>
  <c r="N57" i="8"/>
  <c r="A58" i="8"/>
  <c r="D57" i="8"/>
  <c r="L107" i="14" l="1"/>
  <c r="N106" i="14"/>
  <c r="O106" i="14"/>
  <c r="O107" i="14" s="1"/>
  <c r="N58" i="14"/>
  <c r="Q58" i="14" s="1"/>
  <c r="A103" i="14"/>
  <c r="D102" i="14"/>
  <c r="H45" i="14"/>
  <c r="F45" i="14"/>
  <c r="B46" i="14" s="1"/>
  <c r="A59" i="12"/>
  <c r="D58" i="12"/>
  <c r="J60" i="12"/>
  <c r="M59" i="12"/>
  <c r="N50" i="12"/>
  <c r="O50" i="12"/>
  <c r="K51" i="12" s="1"/>
  <c r="L51" i="12" s="1"/>
  <c r="C41" i="12"/>
  <c r="E41" i="12" s="1"/>
  <c r="L59" i="8"/>
  <c r="N58" i="8"/>
  <c r="A59" i="8"/>
  <c r="D58" i="8"/>
  <c r="P58" i="14" l="1"/>
  <c r="M59" i="14" s="1"/>
  <c r="N59" i="14" s="1"/>
  <c r="Q59" i="14" s="1"/>
  <c r="L108" i="14"/>
  <c r="N107" i="14"/>
  <c r="A104" i="14"/>
  <c r="D103" i="14"/>
  <c r="C46" i="14"/>
  <c r="E46" i="14" s="1"/>
  <c r="A60" i="12"/>
  <c r="D59" i="12"/>
  <c r="N51" i="12"/>
  <c r="O51" i="12"/>
  <c r="K52" i="12" s="1"/>
  <c r="L52" i="12" s="1"/>
  <c r="J61" i="12"/>
  <c r="M60" i="12"/>
  <c r="P50" i="12"/>
  <c r="P51" i="12" s="1"/>
  <c r="F41" i="12"/>
  <c r="B42" i="12" s="1"/>
  <c r="G41" i="12"/>
  <c r="L60" i="8"/>
  <c r="N59" i="8"/>
  <c r="A60" i="8"/>
  <c r="D59" i="8"/>
  <c r="L109" i="14" l="1"/>
  <c r="N108" i="14"/>
  <c r="O108" i="14"/>
  <c r="O109" i="14" s="1"/>
  <c r="A105" i="14"/>
  <c r="D104" i="14"/>
  <c r="P59" i="14"/>
  <c r="M60" i="14" s="1"/>
  <c r="N60" i="14" s="1"/>
  <c r="G46" i="14"/>
  <c r="A61" i="12"/>
  <c r="D60" i="12"/>
  <c r="J62" i="12"/>
  <c r="M61" i="12"/>
  <c r="N52" i="12"/>
  <c r="O52" i="12"/>
  <c r="K53" i="12" s="1"/>
  <c r="L53" i="12" s="1"/>
  <c r="C42" i="12"/>
  <c r="E42" i="12" s="1"/>
  <c r="L61" i="8"/>
  <c r="N60" i="8"/>
  <c r="A61" i="8"/>
  <c r="D60" i="8"/>
  <c r="L110" i="14" l="1"/>
  <c r="N109" i="14"/>
  <c r="A106" i="14"/>
  <c r="D105" i="14"/>
  <c r="Q60" i="14"/>
  <c r="F46" i="14"/>
  <c r="B47" i="14" s="1"/>
  <c r="H46" i="14"/>
  <c r="A62" i="12"/>
  <c r="D61" i="12"/>
  <c r="N53" i="12"/>
  <c r="O53" i="12"/>
  <c r="K54" i="12" s="1"/>
  <c r="L54" i="12" s="1"/>
  <c r="M62" i="12"/>
  <c r="J63" i="12"/>
  <c r="P52" i="12"/>
  <c r="P53" i="12" s="1"/>
  <c r="F42" i="12"/>
  <c r="B43" i="12" s="1"/>
  <c r="G42" i="12"/>
  <c r="L62" i="8"/>
  <c r="N61" i="8"/>
  <c r="A62" i="8"/>
  <c r="D61" i="8"/>
  <c r="L111" i="14" l="1"/>
  <c r="N110" i="14"/>
  <c r="O110" i="14"/>
  <c r="O111" i="14" s="1"/>
  <c r="A107" i="14"/>
  <c r="D106" i="14"/>
  <c r="P60" i="14"/>
  <c r="M61" i="14" s="1"/>
  <c r="N61" i="14" s="1"/>
  <c r="C47" i="14"/>
  <c r="E47" i="14" s="1"/>
  <c r="A63" i="12"/>
  <c r="D62" i="12"/>
  <c r="N54" i="12"/>
  <c r="J64" i="12"/>
  <c r="M63" i="12"/>
  <c r="C43" i="12"/>
  <c r="E43" i="12" s="1"/>
  <c r="L63" i="8"/>
  <c r="N62" i="8"/>
  <c r="A63" i="8"/>
  <c r="D62" i="8"/>
  <c r="L112" i="14" l="1"/>
  <c r="N111" i="14"/>
  <c r="A108" i="14"/>
  <c r="D107" i="14"/>
  <c r="Q61" i="14"/>
  <c r="G47" i="14"/>
  <c r="A64" i="12"/>
  <c r="D63" i="12"/>
  <c r="J65" i="12"/>
  <c r="M64" i="12"/>
  <c r="O54" i="12"/>
  <c r="K55" i="12" s="1"/>
  <c r="L55" i="12" s="1"/>
  <c r="P54" i="12"/>
  <c r="G43" i="12"/>
  <c r="F43" i="12"/>
  <c r="B44" i="12" s="1"/>
  <c r="C44" i="12" s="1"/>
  <c r="L64" i="8"/>
  <c r="N63" i="8"/>
  <c r="A64" i="8"/>
  <c r="D63" i="8"/>
  <c r="L113" i="14" l="1"/>
  <c r="N112" i="14"/>
  <c r="O112" i="14"/>
  <c r="O113" i="14" s="1"/>
  <c r="A109" i="14"/>
  <c r="D108" i="14"/>
  <c r="P61" i="14"/>
  <c r="M62" i="14" s="1"/>
  <c r="N62" i="14" s="1"/>
  <c r="H47" i="14"/>
  <c r="F47" i="14"/>
  <c r="B48" i="14" s="1"/>
  <c r="A65" i="12"/>
  <c r="D64" i="12"/>
  <c r="N55" i="12"/>
  <c r="O55" i="12"/>
  <c r="K56" i="12" s="1"/>
  <c r="L56" i="12" s="1"/>
  <c r="J66" i="12"/>
  <c r="M65" i="12"/>
  <c r="E44" i="12"/>
  <c r="G44" i="12"/>
  <c r="F44" i="12"/>
  <c r="B45" i="12" s="1"/>
  <c r="L65" i="8"/>
  <c r="N64" i="8"/>
  <c r="A65" i="8"/>
  <c r="D64" i="8"/>
  <c r="P62" i="14" l="1"/>
  <c r="M63" i="14" s="1"/>
  <c r="N63" i="14" s="1"/>
  <c r="L114" i="14"/>
  <c r="N113" i="14"/>
  <c r="A110" i="14"/>
  <c r="D109" i="14"/>
  <c r="Q62" i="14"/>
  <c r="Q63" i="14"/>
  <c r="C48" i="14"/>
  <c r="E48" i="14" s="1"/>
  <c r="A66" i="12"/>
  <c r="D65" i="12"/>
  <c r="N56" i="12"/>
  <c r="P55" i="12"/>
  <c r="P56" i="12" s="1"/>
  <c r="J67" i="12"/>
  <c r="M66" i="12"/>
  <c r="C45" i="12"/>
  <c r="F45" i="12" s="1"/>
  <c r="L66" i="8"/>
  <c r="N65" i="8"/>
  <c r="A66" i="8"/>
  <c r="D65" i="8"/>
  <c r="L115" i="14" l="1"/>
  <c r="N114" i="14"/>
  <c r="O114" i="14"/>
  <c r="O115" i="14" s="1"/>
  <c r="P63" i="14"/>
  <c r="M64" i="14" s="1"/>
  <c r="A111" i="14"/>
  <c r="D110" i="14"/>
  <c r="G48" i="14"/>
  <c r="A67" i="12"/>
  <c r="D66" i="12"/>
  <c r="J68" i="12"/>
  <c r="M67" i="12"/>
  <c r="O56" i="12"/>
  <c r="K57" i="12" s="1"/>
  <c r="L57" i="12" s="1"/>
  <c r="E45" i="12"/>
  <c r="B46" i="12" s="1"/>
  <c r="G45" i="12"/>
  <c r="L67" i="8"/>
  <c r="N66" i="8"/>
  <c r="A67" i="8"/>
  <c r="D66" i="8"/>
  <c r="L116" i="14" l="1"/>
  <c r="N115" i="14"/>
  <c r="N64" i="14"/>
  <c r="Q64" i="14" s="1"/>
  <c r="A112" i="14"/>
  <c r="D111" i="14"/>
  <c r="F48" i="14"/>
  <c r="B49" i="14" s="1"/>
  <c r="H48" i="14"/>
  <c r="A68" i="12"/>
  <c r="D67" i="12"/>
  <c r="M68" i="12"/>
  <c r="J69" i="12"/>
  <c r="C46" i="12"/>
  <c r="E46" i="12" s="1"/>
  <c r="L68" i="8"/>
  <c r="N67" i="8"/>
  <c r="A68" i="8"/>
  <c r="D67" i="8"/>
  <c r="L117" i="14" l="1"/>
  <c r="N116" i="14"/>
  <c r="P64" i="14"/>
  <c r="M65" i="14" s="1"/>
  <c r="N65" i="14" s="1"/>
  <c r="Q65" i="14" s="1"/>
  <c r="O116" i="14"/>
  <c r="O117" i="14" s="1"/>
  <c r="A113" i="14"/>
  <c r="D112" i="14"/>
  <c r="C49" i="14"/>
  <c r="E49" i="14" s="1"/>
  <c r="A69" i="12"/>
  <c r="D68" i="12"/>
  <c r="N57" i="12"/>
  <c r="P57" i="12"/>
  <c r="J70" i="12"/>
  <c r="M69" i="12"/>
  <c r="O57" i="12"/>
  <c r="K58" i="12" s="1"/>
  <c r="L58" i="12" s="1"/>
  <c r="F46" i="12"/>
  <c r="B47" i="12" s="1"/>
  <c r="G46" i="12"/>
  <c r="L69" i="8"/>
  <c r="N68" i="8"/>
  <c r="A69" i="8"/>
  <c r="D68" i="8"/>
  <c r="L118" i="14" l="1"/>
  <c r="N117" i="14"/>
  <c r="A114" i="14"/>
  <c r="D113" i="14"/>
  <c r="P65" i="14"/>
  <c r="M66" i="14" s="1"/>
  <c r="N66" i="14" s="1"/>
  <c r="G49" i="14"/>
  <c r="A70" i="12"/>
  <c r="D69" i="12"/>
  <c r="J71" i="12"/>
  <c r="M70" i="12"/>
  <c r="N58" i="12"/>
  <c r="C47" i="12"/>
  <c r="E47" i="12" s="1"/>
  <c r="L70" i="8"/>
  <c r="N69" i="8"/>
  <c r="A70" i="8"/>
  <c r="D69" i="8"/>
  <c r="L119" i="14" l="1"/>
  <c r="N118" i="14"/>
  <c r="O118" i="14"/>
  <c r="O119" i="14" s="1"/>
  <c r="A115" i="14"/>
  <c r="D114" i="14"/>
  <c r="Q66" i="14"/>
  <c r="H49" i="14"/>
  <c r="F49" i="14"/>
  <c r="B50" i="14" s="1"/>
  <c r="A71" i="12"/>
  <c r="D70" i="12"/>
  <c r="O58" i="12"/>
  <c r="K59" i="12" s="1"/>
  <c r="L59" i="12" s="1"/>
  <c r="P58" i="12"/>
  <c r="J72" i="12"/>
  <c r="M71" i="12"/>
  <c r="G47" i="12"/>
  <c r="F47" i="12"/>
  <c r="B48" i="12" s="1"/>
  <c r="L71" i="8"/>
  <c r="N70" i="8"/>
  <c r="A71" i="8"/>
  <c r="D70" i="8"/>
  <c r="L120" i="14" l="1"/>
  <c r="N119" i="14"/>
  <c r="A116" i="14"/>
  <c r="D115" i="14"/>
  <c r="P66" i="14"/>
  <c r="M67" i="14" s="1"/>
  <c r="N67" i="14" s="1"/>
  <c r="C50" i="14"/>
  <c r="E50" i="14" s="1"/>
  <c r="A72" i="12"/>
  <c r="D71" i="12"/>
  <c r="N59" i="12"/>
  <c r="P59" i="12"/>
  <c r="M72" i="12"/>
  <c r="J73" i="12"/>
  <c r="C48" i="12"/>
  <c r="F48" i="12" s="1"/>
  <c r="L72" i="8"/>
  <c r="N71" i="8"/>
  <c r="A72" i="8"/>
  <c r="D71" i="8"/>
  <c r="L121" i="14" l="1"/>
  <c r="N120" i="14"/>
  <c r="O120" i="14"/>
  <c r="O121" i="14" s="1"/>
  <c r="A117" i="14"/>
  <c r="D116" i="14"/>
  <c r="Q67" i="14"/>
  <c r="G50" i="14"/>
  <c r="A73" i="12"/>
  <c r="D72" i="12"/>
  <c r="J74" i="12"/>
  <c r="M73" i="12"/>
  <c r="O59" i="12"/>
  <c r="K60" i="12" s="1"/>
  <c r="L60" i="12" s="1"/>
  <c r="E48" i="12"/>
  <c r="B49" i="12" s="1"/>
  <c r="G48" i="12"/>
  <c r="L73" i="8"/>
  <c r="N72" i="8"/>
  <c r="A73" i="8"/>
  <c r="D72" i="8"/>
  <c r="L122" i="14" l="1"/>
  <c r="N121" i="14"/>
  <c r="A118" i="14"/>
  <c r="D117" i="14"/>
  <c r="P67" i="14"/>
  <c r="M68" i="14" s="1"/>
  <c r="N68" i="14" s="1"/>
  <c r="F50" i="14"/>
  <c r="B51" i="14" s="1"/>
  <c r="H50" i="14"/>
  <c r="A74" i="12"/>
  <c r="D73" i="12"/>
  <c r="J75" i="12"/>
  <c r="M74" i="12"/>
  <c r="O60" i="12"/>
  <c r="K61" i="12" s="1"/>
  <c r="L61" i="12" s="1"/>
  <c r="C49" i="12"/>
  <c r="E49" i="12" s="1"/>
  <c r="L74" i="8"/>
  <c r="N73" i="8"/>
  <c r="A74" i="8"/>
  <c r="D73" i="8"/>
  <c r="L123" i="14" l="1"/>
  <c r="N122" i="14"/>
  <c r="O122" i="14"/>
  <c r="O123" i="14" s="1"/>
  <c r="Q68" i="14"/>
  <c r="P68" i="14"/>
  <c r="M69" i="14" s="1"/>
  <c r="A119" i="14"/>
  <c r="D118" i="14"/>
  <c r="C51" i="14"/>
  <c r="E51" i="14" s="1"/>
  <c r="A75" i="12"/>
  <c r="D74" i="12"/>
  <c r="J76" i="12"/>
  <c r="M75" i="12"/>
  <c r="N61" i="12"/>
  <c r="O61" i="12"/>
  <c r="K62" i="12" s="1"/>
  <c r="L62" i="12" s="1"/>
  <c r="N60" i="12"/>
  <c r="P60" i="12"/>
  <c r="P61" i="12" s="1"/>
  <c r="F49" i="12"/>
  <c r="B50" i="12" s="1"/>
  <c r="C50" i="12" s="1"/>
  <c r="E50" i="12" s="1"/>
  <c r="G49" i="12"/>
  <c r="L75" i="8"/>
  <c r="N74" i="8"/>
  <c r="A75" i="8"/>
  <c r="D74" i="8"/>
  <c r="L124" i="14" l="1"/>
  <c r="N123" i="14"/>
  <c r="N69" i="14"/>
  <c r="Q69" i="14" s="1"/>
  <c r="A120" i="14"/>
  <c r="D119" i="14"/>
  <c r="G51" i="14"/>
  <c r="A76" i="12"/>
  <c r="D75" i="12"/>
  <c r="J77" i="12"/>
  <c r="M76" i="12"/>
  <c r="N62" i="12"/>
  <c r="O62" i="12"/>
  <c r="K63" i="12" s="1"/>
  <c r="L63" i="12" s="1"/>
  <c r="G50" i="12"/>
  <c r="F50" i="12"/>
  <c r="B51" i="12" s="1"/>
  <c r="L76" i="8"/>
  <c r="N75" i="8"/>
  <c r="A76" i="8"/>
  <c r="D75" i="8"/>
  <c r="L125" i="14" l="1"/>
  <c r="N124" i="14"/>
  <c r="P69" i="14"/>
  <c r="M70" i="14" s="1"/>
  <c r="N70" i="14" s="1"/>
  <c r="Q70" i="14" s="1"/>
  <c r="O124" i="14"/>
  <c r="O125" i="14" s="1"/>
  <c r="A121" i="14"/>
  <c r="D120" i="14"/>
  <c r="H51" i="14"/>
  <c r="F51" i="14"/>
  <c r="B52" i="14" s="1"/>
  <c r="A77" i="12"/>
  <c r="D76" i="12"/>
  <c r="M77" i="12"/>
  <c r="J78" i="12"/>
  <c r="N63" i="12"/>
  <c r="P62" i="12"/>
  <c r="P63" i="12" s="1"/>
  <c r="C51" i="12"/>
  <c r="F51" i="12" s="1"/>
  <c r="L77" i="8"/>
  <c r="N76" i="8"/>
  <c r="A77" i="8"/>
  <c r="D76" i="8"/>
  <c r="L126" i="14" l="1"/>
  <c r="N125" i="14"/>
  <c r="A122" i="14"/>
  <c r="D121" i="14"/>
  <c r="P70" i="14"/>
  <c r="M71" i="14" s="1"/>
  <c r="N71" i="14" s="1"/>
  <c r="C52" i="14"/>
  <c r="E52" i="14" s="1"/>
  <c r="A78" i="12"/>
  <c r="D77" i="12"/>
  <c r="J79" i="12"/>
  <c r="M78" i="12"/>
  <c r="O63" i="12"/>
  <c r="K64" i="12" s="1"/>
  <c r="L64" i="12" s="1"/>
  <c r="E51" i="12"/>
  <c r="B52" i="12" s="1"/>
  <c r="G51" i="12"/>
  <c r="L78" i="8"/>
  <c r="N77" i="8"/>
  <c r="A78" i="8"/>
  <c r="D77" i="8"/>
  <c r="L127" i="14" l="1"/>
  <c r="N126" i="14"/>
  <c r="O126" i="14"/>
  <c r="O127" i="14" s="1"/>
  <c r="A123" i="14"/>
  <c r="D122" i="14"/>
  <c r="P71" i="14"/>
  <c r="M72" i="14" s="1"/>
  <c r="P72" i="14" s="1"/>
  <c r="M73" i="14" s="1"/>
  <c r="Q71" i="14"/>
  <c r="G52" i="14"/>
  <c r="A79" i="12"/>
  <c r="D78" i="12"/>
  <c r="J80" i="12"/>
  <c r="M79" i="12"/>
  <c r="O64" i="12"/>
  <c r="K65" i="12" s="1"/>
  <c r="L65" i="12" s="1"/>
  <c r="C52" i="12"/>
  <c r="E52" i="12" s="1"/>
  <c r="L79" i="8"/>
  <c r="N78" i="8"/>
  <c r="A79" i="8"/>
  <c r="D78" i="8"/>
  <c r="L128" i="14" l="1"/>
  <c r="N127" i="14"/>
  <c r="A124" i="14"/>
  <c r="D123" i="14"/>
  <c r="Q72" i="14"/>
  <c r="P73" i="14"/>
  <c r="M74" i="14" s="1"/>
  <c r="F52" i="14"/>
  <c r="B53" i="14" s="1"/>
  <c r="H52" i="14"/>
  <c r="A80" i="12"/>
  <c r="D79" i="12"/>
  <c r="N65" i="12"/>
  <c r="N64" i="12"/>
  <c r="P64" i="12"/>
  <c r="P65" i="12" s="1"/>
  <c r="M80" i="12"/>
  <c r="J81" i="12"/>
  <c r="F52" i="12"/>
  <c r="B53" i="12" s="1"/>
  <c r="G52" i="12"/>
  <c r="L80" i="8"/>
  <c r="N79" i="8"/>
  <c r="A80" i="8"/>
  <c r="D79" i="8"/>
  <c r="L129" i="14" l="1"/>
  <c r="N128" i="14"/>
  <c r="O128" i="14"/>
  <c r="O129" i="14" s="1"/>
  <c r="A125" i="14"/>
  <c r="D124" i="14"/>
  <c r="Q73" i="14"/>
  <c r="Q74" i="14"/>
  <c r="C53" i="14"/>
  <c r="E53" i="14" s="1"/>
  <c r="A81" i="12"/>
  <c r="D80" i="12"/>
  <c r="O65" i="12"/>
  <c r="K66" i="12" s="1"/>
  <c r="L66" i="12" s="1"/>
  <c r="M81" i="12"/>
  <c r="J82" i="12"/>
  <c r="C53" i="12"/>
  <c r="E53" i="12" s="1"/>
  <c r="L81" i="8"/>
  <c r="N80" i="8"/>
  <c r="A81" i="8"/>
  <c r="D80" i="8"/>
  <c r="L130" i="14" l="1"/>
  <c r="N129" i="14"/>
  <c r="A126" i="14"/>
  <c r="D125" i="14"/>
  <c r="P74" i="14"/>
  <c r="M75" i="14" s="1"/>
  <c r="Q75" i="14" s="1"/>
  <c r="G53" i="14"/>
  <c r="A82" i="12"/>
  <c r="D81" i="12"/>
  <c r="J83" i="12"/>
  <c r="M82" i="12"/>
  <c r="F53" i="12"/>
  <c r="B54" i="12" s="1"/>
  <c r="C54" i="12" s="1"/>
  <c r="E54" i="12" s="1"/>
  <c r="G53" i="12"/>
  <c r="L82" i="8"/>
  <c r="N81" i="8"/>
  <c r="A82" i="8"/>
  <c r="D81" i="8"/>
  <c r="L131" i="14" l="1"/>
  <c r="N130" i="14"/>
  <c r="O130" i="14"/>
  <c r="O131" i="14" s="1"/>
  <c r="A127" i="14"/>
  <c r="D126" i="14"/>
  <c r="P75" i="14"/>
  <c r="M76" i="14" s="1"/>
  <c r="Q76" i="14" s="1"/>
  <c r="H53" i="14"/>
  <c r="F53" i="14"/>
  <c r="B54" i="14" s="1"/>
  <c r="A83" i="12"/>
  <c r="D82" i="12"/>
  <c r="M83" i="12"/>
  <c r="J84" i="12"/>
  <c r="N66" i="12"/>
  <c r="P66" i="12"/>
  <c r="O66" i="12"/>
  <c r="K67" i="12" s="1"/>
  <c r="L67" i="12" s="1"/>
  <c r="F54" i="12"/>
  <c r="B55" i="12" s="1"/>
  <c r="G54" i="12"/>
  <c r="L83" i="8"/>
  <c r="N82" i="8"/>
  <c r="A83" i="8"/>
  <c r="D82" i="8"/>
  <c r="L132" i="14" l="1"/>
  <c r="N131" i="14"/>
  <c r="A128" i="14"/>
  <c r="D127" i="14"/>
  <c r="P76" i="14"/>
  <c r="M77" i="14" s="1"/>
  <c r="C54" i="14"/>
  <c r="E54" i="14" s="1"/>
  <c r="A84" i="12"/>
  <c r="D83" i="12"/>
  <c r="J85" i="12"/>
  <c r="M84" i="12"/>
  <c r="N67" i="12"/>
  <c r="P67" i="12"/>
  <c r="C55" i="12"/>
  <c r="F55" i="12" s="1"/>
  <c r="L84" i="8"/>
  <c r="N83" i="8"/>
  <c r="A84" i="8"/>
  <c r="D83" i="8"/>
  <c r="L133" i="14" l="1"/>
  <c r="N132" i="14"/>
  <c r="O132" i="14"/>
  <c r="A129" i="14"/>
  <c r="D128" i="14"/>
  <c r="Q77" i="14"/>
  <c r="G54" i="14"/>
  <c r="A85" i="12"/>
  <c r="D84" i="12"/>
  <c r="J86" i="12"/>
  <c r="M85" i="12"/>
  <c r="O67" i="12"/>
  <c r="K68" i="12" s="1"/>
  <c r="L68" i="12" s="1"/>
  <c r="E55" i="12"/>
  <c r="B56" i="12" s="1"/>
  <c r="G55" i="12"/>
  <c r="L85" i="8"/>
  <c r="N84" i="8"/>
  <c r="A85" i="8"/>
  <c r="D84" i="8"/>
  <c r="O133" i="14" l="1"/>
  <c r="L134" i="14"/>
  <c r="N133" i="14"/>
  <c r="A130" i="14"/>
  <c r="D129" i="14"/>
  <c r="P77" i="14"/>
  <c r="M78" i="14" s="1"/>
  <c r="F54" i="14"/>
  <c r="B55" i="14" s="1"/>
  <c r="H54" i="14"/>
  <c r="A86" i="12"/>
  <c r="D85" i="12"/>
  <c r="O68" i="12"/>
  <c r="K69" i="12" s="1"/>
  <c r="L69" i="12" s="1"/>
  <c r="M86" i="12"/>
  <c r="J87" i="12"/>
  <c r="C56" i="12"/>
  <c r="E56" i="12" s="1"/>
  <c r="L86" i="8"/>
  <c r="N85" i="8"/>
  <c r="A86" i="8"/>
  <c r="D85" i="8"/>
  <c r="L135" i="14" l="1"/>
  <c r="N134" i="14"/>
  <c r="O134" i="14"/>
  <c r="O135" i="14" s="1"/>
  <c r="A131" i="14"/>
  <c r="D130" i="14"/>
  <c r="Q78" i="14"/>
  <c r="C55" i="14"/>
  <c r="E55" i="14" s="1"/>
  <c r="A87" i="12"/>
  <c r="D86" i="12"/>
  <c r="N69" i="12"/>
  <c r="M87" i="12"/>
  <c r="J88" i="12"/>
  <c r="N68" i="12"/>
  <c r="P68" i="12"/>
  <c r="P69" i="12" s="1"/>
  <c r="F56" i="12"/>
  <c r="B57" i="12" s="1"/>
  <c r="G56" i="12"/>
  <c r="L87" i="8"/>
  <c r="N86" i="8"/>
  <c r="A87" i="8"/>
  <c r="D86" i="8"/>
  <c r="L136" i="14" l="1"/>
  <c r="N135" i="14"/>
  <c r="A132" i="14"/>
  <c r="D131" i="14"/>
  <c r="P78" i="14"/>
  <c r="M79" i="14" s="1"/>
  <c r="G55" i="14"/>
  <c r="A88" i="12"/>
  <c r="D87" i="12"/>
  <c r="J89" i="12"/>
  <c r="M88" i="12"/>
  <c r="O69" i="12"/>
  <c r="K70" i="12" s="1"/>
  <c r="L70" i="12" s="1"/>
  <c r="C57" i="12"/>
  <c r="E57" i="12" s="1"/>
  <c r="L88" i="8"/>
  <c r="N87" i="8"/>
  <c r="A88" i="8"/>
  <c r="D87" i="8"/>
  <c r="L137" i="14" l="1"/>
  <c r="N136" i="14"/>
  <c r="O136" i="14"/>
  <c r="O137" i="14" s="1"/>
  <c r="A133" i="14"/>
  <c r="D132" i="14"/>
  <c r="Q79" i="14"/>
  <c r="H55" i="14"/>
  <c r="F55" i="14"/>
  <c r="B56" i="14" s="1"/>
  <c r="A89" i="12"/>
  <c r="D88" i="12"/>
  <c r="O70" i="12"/>
  <c r="K71" i="12" s="1"/>
  <c r="L71" i="12" s="1"/>
  <c r="M89" i="12"/>
  <c r="J90" i="12"/>
  <c r="F57" i="12"/>
  <c r="B58" i="12" s="1"/>
  <c r="G57" i="12"/>
  <c r="L89" i="8"/>
  <c r="N88" i="8"/>
  <c r="A89" i="8"/>
  <c r="D88" i="8"/>
  <c r="L138" i="14" l="1"/>
  <c r="N137" i="14"/>
  <c r="A134" i="14"/>
  <c r="D133" i="14"/>
  <c r="P79" i="14"/>
  <c r="M80" i="14" s="1"/>
  <c r="C56" i="14"/>
  <c r="E56" i="14" s="1"/>
  <c r="A90" i="12"/>
  <c r="D89" i="12"/>
  <c r="M90" i="12"/>
  <c r="J91" i="12"/>
  <c r="N71" i="12"/>
  <c r="N70" i="12"/>
  <c r="P70" i="12"/>
  <c r="P71" i="12" s="1"/>
  <c r="C58" i="12"/>
  <c r="E58" i="12" s="1"/>
  <c r="L90" i="8"/>
  <c r="N89" i="8"/>
  <c r="A90" i="8"/>
  <c r="D89" i="8"/>
  <c r="L139" i="14" l="1"/>
  <c r="N138" i="14"/>
  <c r="O138" i="14"/>
  <c r="O139" i="14" s="1"/>
  <c r="A135" i="14"/>
  <c r="D134" i="14"/>
  <c r="P80" i="14"/>
  <c r="M81" i="14" s="1"/>
  <c r="Q80" i="14"/>
  <c r="G56" i="14"/>
  <c r="A91" i="12"/>
  <c r="D90" i="12"/>
  <c r="J92" i="12"/>
  <c r="M91" i="12"/>
  <c r="O71" i="12"/>
  <c r="K72" i="12" s="1"/>
  <c r="L72" i="12" s="1"/>
  <c r="F58" i="12"/>
  <c r="B59" i="12" s="1"/>
  <c r="G58" i="12"/>
  <c r="L91" i="8"/>
  <c r="N90" i="8"/>
  <c r="A91" i="8"/>
  <c r="D90" i="8"/>
  <c r="L140" i="14" l="1"/>
  <c r="N139" i="14"/>
  <c r="A136" i="14"/>
  <c r="D135" i="14"/>
  <c r="Q81" i="14"/>
  <c r="P81" i="14"/>
  <c r="M82" i="14" s="1"/>
  <c r="F56" i="14"/>
  <c r="B57" i="14" s="1"/>
  <c r="H56" i="14"/>
  <c r="A92" i="12"/>
  <c r="D91" i="12"/>
  <c r="M92" i="12"/>
  <c r="J93" i="12"/>
  <c r="C59" i="12"/>
  <c r="E59" i="12" s="1"/>
  <c r="L92" i="8"/>
  <c r="N91" i="8"/>
  <c r="A92" i="8"/>
  <c r="D91" i="8"/>
  <c r="L141" i="14" l="1"/>
  <c r="N140" i="14"/>
  <c r="O140" i="14"/>
  <c r="O141" i="14" s="1"/>
  <c r="A137" i="14"/>
  <c r="D136" i="14"/>
  <c r="Q82" i="14"/>
  <c r="C57" i="14"/>
  <c r="E57" i="14" s="1"/>
  <c r="A93" i="12"/>
  <c r="D92" i="12"/>
  <c r="N72" i="12"/>
  <c r="P72" i="12"/>
  <c r="M93" i="12"/>
  <c r="J94" i="12"/>
  <c r="O72" i="12"/>
  <c r="K73" i="12" s="1"/>
  <c r="L73" i="12" s="1"/>
  <c r="F59" i="12"/>
  <c r="B60" i="12" s="1"/>
  <c r="G59" i="12"/>
  <c r="L93" i="8"/>
  <c r="N92" i="8"/>
  <c r="A93" i="8"/>
  <c r="D92" i="8"/>
  <c r="L142" i="14" l="1"/>
  <c r="N141" i="14"/>
  <c r="A138" i="14"/>
  <c r="D137" i="14"/>
  <c r="P82" i="14"/>
  <c r="M83" i="14" s="1"/>
  <c r="G57" i="14"/>
  <c r="A94" i="12"/>
  <c r="D93" i="12"/>
  <c r="J95" i="12"/>
  <c r="M94" i="12"/>
  <c r="N73" i="12"/>
  <c r="O73" i="12"/>
  <c r="K74" i="12" s="1"/>
  <c r="L74" i="12" s="1"/>
  <c r="C60" i="12"/>
  <c r="E60" i="12" s="1"/>
  <c r="L94" i="8"/>
  <c r="N93" i="8"/>
  <c r="A94" i="8"/>
  <c r="D93" i="8"/>
  <c r="F60" i="12" l="1"/>
  <c r="L143" i="14"/>
  <c r="N142" i="14"/>
  <c r="O142" i="14"/>
  <c r="O143" i="14" s="1"/>
  <c r="A139" i="14"/>
  <c r="D138" i="14"/>
  <c r="Q83" i="14"/>
  <c r="H57" i="14"/>
  <c r="F57" i="14"/>
  <c r="B58" i="14" s="1"/>
  <c r="A95" i="12"/>
  <c r="D94" i="12"/>
  <c r="G60" i="12"/>
  <c r="M95" i="12"/>
  <c r="J96" i="12"/>
  <c r="N74" i="12"/>
  <c r="P73" i="12"/>
  <c r="B61" i="12"/>
  <c r="L95" i="8"/>
  <c r="N94" i="8"/>
  <c r="A95" i="8"/>
  <c r="D94" i="8"/>
  <c r="L144" i="14" l="1"/>
  <c r="N143" i="14"/>
  <c r="A140" i="14"/>
  <c r="D139" i="14"/>
  <c r="P83" i="14"/>
  <c r="M84" i="14" s="1"/>
  <c r="C58" i="14"/>
  <c r="E58" i="14" s="1"/>
  <c r="A96" i="12"/>
  <c r="D95" i="12"/>
  <c r="P74" i="12"/>
  <c r="J97" i="12"/>
  <c r="M96" i="12"/>
  <c r="O74" i="12"/>
  <c r="K75" i="12" s="1"/>
  <c r="L75" i="12" s="1"/>
  <c r="C61" i="12"/>
  <c r="F61" i="12" s="1"/>
  <c r="L96" i="8"/>
  <c r="N95" i="8"/>
  <c r="A96" i="8"/>
  <c r="D95" i="8"/>
  <c r="L145" i="14" l="1"/>
  <c r="N144" i="14"/>
  <c r="O144" i="14"/>
  <c r="O145" i="14" s="1"/>
  <c r="A141" i="14"/>
  <c r="D140" i="14"/>
  <c r="Q84" i="14"/>
  <c r="G58" i="14"/>
  <c r="A97" i="12"/>
  <c r="D96" i="12"/>
  <c r="J98" i="12"/>
  <c r="M97" i="12"/>
  <c r="E61" i="12"/>
  <c r="B62" i="12" s="1"/>
  <c r="G61" i="12"/>
  <c r="L97" i="8"/>
  <c r="N96" i="8"/>
  <c r="A97" i="8"/>
  <c r="D96" i="8"/>
  <c r="L146" i="14" l="1"/>
  <c r="N145" i="14"/>
  <c r="A142" i="14"/>
  <c r="D141" i="14"/>
  <c r="P84" i="14"/>
  <c r="M85" i="14" s="1"/>
  <c r="F58" i="14"/>
  <c r="B59" i="14" s="1"/>
  <c r="H58" i="14"/>
  <c r="A98" i="12"/>
  <c r="D97" i="12"/>
  <c r="N75" i="12"/>
  <c r="P75" i="12"/>
  <c r="M98" i="12"/>
  <c r="J99" i="12"/>
  <c r="O75" i="12"/>
  <c r="K76" i="12" s="1"/>
  <c r="L76" i="12" s="1"/>
  <c r="C62" i="12"/>
  <c r="E62" i="12" s="1"/>
  <c r="L98" i="8"/>
  <c r="N97" i="8"/>
  <c r="A98" i="8"/>
  <c r="D97" i="8"/>
  <c r="L147" i="14" l="1"/>
  <c r="N146" i="14"/>
  <c r="O146" i="14"/>
  <c r="O147" i="14" s="1"/>
  <c r="A143" i="14"/>
  <c r="D142" i="14"/>
  <c r="Q85" i="14"/>
  <c r="C59" i="14"/>
  <c r="E59" i="14" s="1"/>
  <c r="A99" i="12"/>
  <c r="D98" i="12"/>
  <c r="F62" i="12"/>
  <c r="B63" i="12" s="1"/>
  <c r="M99" i="12"/>
  <c r="J100" i="12"/>
  <c r="N76" i="12"/>
  <c r="O76" i="12"/>
  <c r="K77" i="12" s="1"/>
  <c r="L77" i="12" s="1"/>
  <c r="P76" i="12"/>
  <c r="G62" i="12"/>
  <c r="L99" i="8"/>
  <c r="N98" i="8"/>
  <c r="A99" i="8"/>
  <c r="D98" i="8"/>
  <c r="L148" i="14" l="1"/>
  <c r="N147" i="14"/>
  <c r="A144" i="14"/>
  <c r="D143" i="14"/>
  <c r="P85" i="14"/>
  <c r="M86" i="14" s="1"/>
  <c r="Q86" i="14" s="1"/>
  <c r="G59" i="14"/>
  <c r="A100" i="12"/>
  <c r="D99" i="12"/>
  <c r="N77" i="12"/>
  <c r="O77" i="12"/>
  <c r="K78" i="12" s="1"/>
  <c r="L78" i="12" s="1"/>
  <c r="J101" i="12"/>
  <c r="M100" i="12"/>
  <c r="P77" i="12"/>
  <c r="C63" i="12"/>
  <c r="E63" i="12" s="1"/>
  <c r="L100" i="8"/>
  <c r="N99" i="8"/>
  <c r="A100" i="8"/>
  <c r="D99" i="8"/>
  <c r="L149" i="14" l="1"/>
  <c r="N148" i="14"/>
  <c r="O148" i="14"/>
  <c r="O149" i="14" s="1"/>
  <c r="A145" i="14"/>
  <c r="D144" i="14"/>
  <c r="P86" i="14"/>
  <c r="M87" i="14" s="1"/>
  <c r="Q87" i="14"/>
  <c r="H59" i="14"/>
  <c r="F59" i="14"/>
  <c r="B60" i="14" s="1"/>
  <c r="C60" i="14" s="1"/>
  <c r="E60" i="14" s="1"/>
  <c r="A101" i="12"/>
  <c r="D100" i="12"/>
  <c r="F63" i="12"/>
  <c r="B64" i="12" s="1"/>
  <c r="M101" i="12"/>
  <c r="J102" i="12"/>
  <c r="N78" i="12"/>
  <c r="O78" i="12"/>
  <c r="K79" i="12" s="1"/>
  <c r="L79" i="12" s="1"/>
  <c r="P78" i="12"/>
  <c r="G63" i="12"/>
  <c r="L101" i="8"/>
  <c r="N100" i="8"/>
  <c r="A101" i="8"/>
  <c r="D100" i="8"/>
  <c r="L150" i="14" l="1"/>
  <c r="N149" i="14"/>
  <c r="A146" i="14"/>
  <c r="D145" i="14"/>
  <c r="P87" i="14"/>
  <c r="M88" i="14" s="1"/>
  <c r="Q88" i="14"/>
  <c r="A102" i="12"/>
  <c r="D101" i="12"/>
  <c r="N79" i="12"/>
  <c r="M102" i="12"/>
  <c r="J103" i="12"/>
  <c r="P79" i="12"/>
  <c r="C64" i="12"/>
  <c r="E64" i="12" s="1"/>
  <c r="L102" i="8"/>
  <c r="N101" i="8"/>
  <c r="A102" i="8"/>
  <c r="D101" i="8"/>
  <c r="L151" i="14" l="1"/>
  <c r="N150" i="14"/>
  <c r="O150" i="14"/>
  <c r="O151" i="14" s="1"/>
  <c r="A147" i="14"/>
  <c r="D146" i="14"/>
  <c r="P88" i="14"/>
  <c r="M89" i="14" s="1"/>
  <c r="G60" i="14"/>
  <c r="A103" i="12"/>
  <c r="D102" i="12"/>
  <c r="O79" i="12"/>
  <c r="K80" i="12" s="1"/>
  <c r="L80" i="12" s="1"/>
  <c r="N80" i="12" s="1"/>
  <c r="J104" i="12"/>
  <c r="M103" i="12"/>
  <c r="F64" i="12"/>
  <c r="B65" i="12" s="1"/>
  <c r="G64" i="12"/>
  <c r="L103" i="8"/>
  <c r="N102" i="8"/>
  <c r="A103" i="8"/>
  <c r="D102" i="8"/>
  <c r="L152" i="14" l="1"/>
  <c r="N151" i="14"/>
  <c r="A148" i="14"/>
  <c r="D147" i="14"/>
  <c r="Q89" i="14"/>
  <c r="F60" i="14"/>
  <c r="B61" i="14" s="1"/>
  <c r="C61" i="14" s="1"/>
  <c r="E61" i="14" s="1"/>
  <c r="H60" i="14"/>
  <c r="A104" i="12"/>
  <c r="D103" i="12"/>
  <c r="P80" i="12"/>
  <c r="O80" i="12"/>
  <c r="K81" i="12" s="1"/>
  <c r="L81" i="12" s="1"/>
  <c r="N81" i="12" s="1"/>
  <c r="M104" i="12"/>
  <c r="J105" i="12"/>
  <c r="C65" i="12"/>
  <c r="E65" i="12" s="1"/>
  <c r="L104" i="8"/>
  <c r="N103" i="8"/>
  <c r="A104" i="8"/>
  <c r="D103" i="8"/>
  <c r="L153" i="14" l="1"/>
  <c r="N152" i="14"/>
  <c r="O152" i="14"/>
  <c r="A149" i="14"/>
  <c r="D148" i="14"/>
  <c r="P89" i="14"/>
  <c r="M90" i="14" s="1"/>
  <c r="F65" i="12"/>
  <c r="B66" i="12" s="1"/>
  <c r="A105" i="12"/>
  <c r="D104" i="12"/>
  <c r="O81" i="12"/>
  <c r="K82" i="12" s="1"/>
  <c r="L82" i="12" s="1"/>
  <c r="N82" i="12" s="1"/>
  <c r="G65" i="12"/>
  <c r="P81" i="12"/>
  <c r="M105" i="12"/>
  <c r="J106" i="12"/>
  <c r="L105" i="8"/>
  <c r="N104" i="8"/>
  <c r="A105" i="8"/>
  <c r="D104" i="8"/>
  <c r="L154" i="14" l="1"/>
  <c r="N153" i="14"/>
  <c r="O153" i="14"/>
  <c r="A150" i="14"/>
  <c r="D149" i="14"/>
  <c r="Q90" i="14"/>
  <c r="G61" i="14"/>
  <c r="P82" i="12"/>
  <c r="A106" i="12"/>
  <c r="D105" i="12"/>
  <c r="O82" i="12"/>
  <c r="K83" i="12" s="1"/>
  <c r="L83" i="12" s="1"/>
  <c r="J107" i="12"/>
  <c r="M106" i="12"/>
  <c r="C66" i="12"/>
  <c r="F66" i="12" s="1"/>
  <c r="L106" i="8"/>
  <c r="N105" i="8"/>
  <c r="A106" i="8"/>
  <c r="D105" i="8"/>
  <c r="L155" i="14" l="1"/>
  <c r="N154" i="14"/>
  <c r="O154" i="14"/>
  <c r="A151" i="14"/>
  <c r="D150" i="14"/>
  <c r="P90" i="14"/>
  <c r="M91" i="14" s="1"/>
  <c r="H61" i="14"/>
  <c r="F61" i="14"/>
  <c r="B62" i="14" s="1"/>
  <c r="C62" i="14" s="1"/>
  <c r="E62" i="14" s="1"/>
  <c r="A107" i="12"/>
  <c r="D106" i="12"/>
  <c r="M107" i="12"/>
  <c r="J108" i="12"/>
  <c r="E66" i="12"/>
  <c r="B67" i="12" s="1"/>
  <c r="G66" i="12"/>
  <c r="L107" i="8"/>
  <c r="N106" i="8"/>
  <c r="A107" i="8"/>
  <c r="D106" i="8"/>
  <c r="L156" i="14" l="1"/>
  <c r="N155" i="14"/>
  <c r="O155" i="14"/>
  <c r="A152" i="14"/>
  <c r="D151" i="14"/>
  <c r="Q91" i="14"/>
  <c r="A108" i="12"/>
  <c r="D107" i="12"/>
  <c r="N83" i="12"/>
  <c r="P83" i="12"/>
  <c r="J109" i="12"/>
  <c r="M108" i="12"/>
  <c r="O83" i="12"/>
  <c r="K84" i="12" s="1"/>
  <c r="L84" i="12" s="1"/>
  <c r="C67" i="12"/>
  <c r="E67" i="12" s="1"/>
  <c r="L108" i="8"/>
  <c r="N107" i="8"/>
  <c r="A108" i="8"/>
  <c r="D107" i="8"/>
  <c r="L157" i="14" l="1"/>
  <c r="N156" i="14"/>
  <c r="O156" i="14"/>
  <c r="A153" i="14"/>
  <c r="D152" i="14"/>
  <c r="E152" i="14" s="1"/>
  <c r="C152" i="14"/>
  <c r="P91" i="14"/>
  <c r="M92" i="14" s="1"/>
  <c r="G62" i="14"/>
  <c r="A109" i="12"/>
  <c r="D108" i="12"/>
  <c r="F67" i="12"/>
  <c r="B68" i="12" s="1"/>
  <c r="N84" i="12"/>
  <c r="O84" i="12"/>
  <c r="K85" i="12" s="1"/>
  <c r="L85" i="12" s="1"/>
  <c r="P84" i="12"/>
  <c r="J110" i="12"/>
  <c r="M109" i="12"/>
  <c r="G67" i="12"/>
  <c r="L109" i="8"/>
  <c r="N108" i="8"/>
  <c r="A109" i="8"/>
  <c r="D108" i="8"/>
  <c r="L158" i="14" l="1"/>
  <c r="N157" i="14"/>
  <c r="O157" i="14"/>
  <c r="A154" i="14"/>
  <c r="D153" i="14"/>
  <c r="E153" i="14" s="1"/>
  <c r="C153" i="14"/>
  <c r="Q92" i="14"/>
  <c r="F62" i="14"/>
  <c r="B63" i="14" s="1"/>
  <c r="C63" i="14" s="1"/>
  <c r="E63" i="14" s="1"/>
  <c r="H62" i="14"/>
  <c r="A110" i="12"/>
  <c r="D109" i="12"/>
  <c r="M110" i="12"/>
  <c r="J111" i="12"/>
  <c r="N85" i="12"/>
  <c r="C68" i="12"/>
  <c r="E68" i="12" s="1"/>
  <c r="L110" i="8"/>
  <c r="N109" i="8"/>
  <c r="A110" i="8"/>
  <c r="D109" i="8"/>
  <c r="L159" i="14" l="1"/>
  <c r="N158" i="14"/>
  <c r="O158" i="14"/>
  <c r="A155" i="14"/>
  <c r="D154" i="14"/>
  <c r="E154" i="14" s="1"/>
  <c r="C154" i="14"/>
  <c r="P92" i="14"/>
  <c r="M93" i="14" s="1"/>
  <c r="A111" i="12"/>
  <c r="D110" i="12"/>
  <c r="P85" i="12"/>
  <c r="O85" i="12"/>
  <c r="K86" i="12" s="1"/>
  <c r="L86" i="12" s="1"/>
  <c r="N86" i="12" s="1"/>
  <c r="F68" i="12"/>
  <c r="B69" i="12" s="1"/>
  <c r="M111" i="12"/>
  <c r="J112" i="12"/>
  <c r="G68" i="12"/>
  <c r="L111" i="8"/>
  <c r="N110" i="8"/>
  <c r="A111" i="8"/>
  <c r="D110" i="8"/>
  <c r="L160" i="14" l="1"/>
  <c r="N159" i="14"/>
  <c r="O159" i="14"/>
  <c r="A156" i="14"/>
  <c r="D155" i="14"/>
  <c r="E155" i="14" s="1"/>
  <c r="C155" i="14"/>
  <c r="P93" i="14"/>
  <c r="M94" i="14" s="1"/>
  <c r="Q93" i="14"/>
  <c r="Q94" i="14"/>
  <c r="G63" i="14"/>
  <c r="A112" i="12"/>
  <c r="D111" i="12"/>
  <c r="O86" i="12"/>
  <c r="K87" i="12" s="1"/>
  <c r="L87" i="12" s="1"/>
  <c r="J113" i="12"/>
  <c r="M112" i="12"/>
  <c r="P86" i="12"/>
  <c r="C69" i="12"/>
  <c r="E69" i="12" s="1"/>
  <c r="L112" i="8"/>
  <c r="N111" i="8"/>
  <c r="A112" i="8"/>
  <c r="D111" i="8"/>
  <c r="L161" i="14" l="1"/>
  <c r="N160" i="14"/>
  <c r="O160" i="14"/>
  <c r="A157" i="14"/>
  <c r="D156" i="14"/>
  <c r="E156" i="14" s="1"/>
  <c r="C156" i="14"/>
  <c r="P94" i="14"/>
  <c r="M95" i="14" s="1"/>
  <c r="H63" i="14"/>
  <c r="F63" i="14"/>
  <c r="B64" i="14" s="1"/>
  <c r="C64" i="14" s="1"/>
  <c r="E64" i="14" s="1"/>
  <c r="F69" i="12"/>
  <c r="B70" i="12" s="1"/>
  <c r="A113" i="12"/>
  <c r="D112" i="12"/>
  <c r="M113" i="12"/>
  <c r="J114" i="12"/>
  <c r="N87" i="12"/>
  <c r="O87" i="12"/>
  <c r="K88" i="12" s="1"/>
  <c r="L88" i="12" s="1"/>
  <c r="G69" i="12"/>
  <c r="L113" i="8"/>
  <c r="N112" i="8"/>
  <c r="A113" i="8"/>
  <c r="D112" i="8"/>
  <c r="L162" i="14" l="1"/>
  <c r="N161" i="14"/>
  <c r="O161" i="14"/>
  <c r="A158" i="14"/>
  <c r="D157" i="14"/>
  <c r="E157" i="14" s="1"/>
  <c r="C157" i="14"/>
  <c r="Q95" i="14"/>
  <c r="A114" i="12"/>
  <c r="D113" i="12"/>
  <c r="N88" i="12"/>
  <c r="M114" i="12"/>
  <c r="J115" i="12"/>
  <c r="P87" i="12"/>
  <c r="C70" i="12"/>
  <c r="E70" i="12" s="1"/>
  <c r="L114" i="8"/>
  <c r="N113" i="8"/>
  <c r="A114" i="8"/>
  <c r="D113" i="8"/>
  <c r="L163" i="14" l="1"/>
  <c r="N162" i="14"/>
  <c r="O162" i="14"/>
  <c r="A159" i="14"/>
  <c r="D158" i="14"/>
  <c r="E158" i="14" s="1"/>
  <c r="C158" i="14"/>
  <c r="P95" i="14"/>
  <c r="M96" i="14" s="1"/>
  <c r="G64" i="14"/>
  <c r="A115" i="12"/>
  <c r="D114" i="12"/>
  <c r="P88" i="12"/>
  <c r="O88" i="12"/>
  <c r="K89" i="12" s="1"/>
  <c r="L89" i="12" s="1"/>
  <c r="F70" i="12"/>
  <c r="B71" i="12" s="1"/>
  <c r="J116" i="12"/>
  <c r="M115" i="12"/>
  <c r="G70" i="12"/>
  <c r="L115" i="8"/>
  <c r="N114" i="8"/>
  <c r="A115" i="8"/>
  <c r="D114" i="8"/>
  <c r="L164" i="14" l="1"/>
  <c r="N163" i="14"/>
  <c r="O163" i="14"/>
  <c r="A160" i="14"/>
  <c r="D159" i="14"/>
  <c r="E159" i="14" s="1"/>
  <c r="C159" i="14"/>
  <c r="Q96" i="14"/>
  <c r="F64" i="14"/>
  <c r="B65" i="14" s="1"/>
  <c r="C65" i="14" s="1"/>
  <c r="E65" i="14" s="1"/>
  <c r="H64" i="14"/>
  <c r="A116" i="12"/>
  <c r="D115" i="12"/>
  <c r="N89" i="12"/>
  <c r="P89" i="12"/>
  <c r="M116" i="12"/>
  <c r="J117" i="12"/>
  <c r="O89" i="12"/>
  <c r="K90" i="12" s="1"/>
  <c r="L90" i="12" s="1"/>
  <c r="C71" i="12"/>
  <c r="E71" i="12" s="1"/>
  <c r="L116" i="8"/>
  <c r="N115" i="8"/>
  <c r="A116" i="8"/>
  <c r="D115" i="8"/>
  <c r="L165" i="14" l="1"/>
  <c r="N164" i="14"/>
  <c r="O164" i="14"/>
  <c r="A161" i="14"/>
  <c r="D160" i="14"/>
  <c r="E160" i="14" s="1"/>
  <c r="C160" i="14"/>
  <c r="P96" i="14"/>
  <c r="M97" i="14" s="1"/>
  <c r="A117" i="12"/>
  <c r="D116" i="12"/>
  <c r="O90" i="12"/>
  <c r="K91" i="12" s="1"/>
  <c r="L91" i="12" s="1"/>
  <c r="M117" i="12"/>
  <c r="J118" i="12"/>
  <c r="F71" i="12"/>
  <c r="B72" i="12" s="1"/>
  <c r="G71" i="12"/>
  <c r="L117" i="8"/>
  <c r="N116" i="8"/>
  <c r="A117" i="8"/>
  <c r="D116" i="8"/>
  <c r="L166" i="14" l="1"/>
  <c r="N165" i="14"/>
  <c r="O165" i="14"/>
  <c r="A162" i="14"/>
  <c r="D161" i="14"/>
  <c r="E161" i="14" s="1"/>
  <c r="C161" i="14"/>
  <c r="Q97" i="14"/>
  <c r="P97" i="14"/>
  <c r="M98" i="14" s="1"/>
  <c r="G65" i="14"/>
  <c r="A118" i="12"/>
  <c r="D117" i="12"/>
  <c r="N91" i="12"/>
  <c r="O91" i="12"/>
  <c r="K92" i="12" s="1"/>
  <c r="L92" i="12" s="1"/>
  <c r="J119" i="12"/>
  <c r="M118" i="12"/>
  <c r="N90" i="12"/>
  <c r="P90" i="12"/>
  <c r="P91" i="12" s="1"/>
  <c r="C72" i="12"/>
  <c r="E72" i="12" s="1"/>
  <c r="L118" i="8"/>
  <c r="N117" i="8"/>
  <c r="A118" i="8"/>
  <c r="D117" i="8"/>
  <c r="L167" i="14" l="1"/>
  <c r="N166" i="14"/>
  <c r="O166" i="14"/>
  <c r="A163" i="14"/>
  <c r="D162" i="14"/>
  <c r="E162" i="14" s="1"/>
  <c r="C162" i="14"/>
  <c r="P98" i="14"/>
  <c r="M99" i="14" s="1"/>
  <c r="Q98" i="14"/>
  <c r="H65" i="14"/>
  <c r="F65" i="14"/>
  <c r="B66" i="14" s="1"/>
  <c r="C66" i="14" s="1"/>
  <c r="E66" i="14" s="1"/>
  <c r="A119" i="12"/>
  <c r="D118" i="12"/>
  <c r="N92" i="12"/>
  <c r="M119" i="12"/>
  <c r="J120" i="12"/>
  <c r="G72" i="12"/>
  <c r="F72" i="12"/>
  <c r="B73" i="12" s="1"/>
  <c r="L119" i="8"/>
  <c r="N118" i="8"/>
  <c r="A119" i="8"/>
  <c r="D118" i="8"/>
  <c r="L168" i="14" l="1"/>
  <c r="N167" i="14"/>
  <c r="O167" i="14"/>
  <c r="A164" i="14"/>
  <c r="D163" i="14"/>
  <c r="E163" i="14" s="1"/>
  <c r="C163" i="14"/>
  <c r="Q99" i="14"/>
  <c r="P99" i="14"/>
  <c r="M100" i="14" s="1"/>
  <c r="A120" i="12"/>
  <c r="D119" i="12"/>
  <c r="P92" i="12"/>
  <c r="J121" i="12"/>
  <c r="M120" i="12"/>
  <c r="O92" i="12"/>
  <c r="K93" i="12" s="1"/>
  <c r="L93" i="12" s="1"/>
  <c r="C73" i="12"/>
  <c r="E73" i="12" s="1"/>
  <c r="L120" i="8"/>
  <c r="N119" i="8"/>
  <c r="A120" i="8"/>
  <c r="D119" i="8"/>
  <c r="L169" i="14" l="1"/>
  <c r="N168" i="14"/>
  <c r="O168" i="14"/>
  <c r="A165" i="14"/>
  <c r="D164" i="14"/>
  <c r="E164" i="14" s="1"/>
  <c r="C164" i="14"/>
  <c r="Q100" i="14"/>
  <c r="G66" i="14"/>
  <c r="G73" i="12"/>
  <c r="F73" i="12"/>
  <c r="A121" i="12"/>
  <c r="D120" i="12"/>
  <c r="J122" i="12"/>
  <c r="M121" i="12"/>
  <c r="O93" i="12"/>
  <c r="K94" i="12" s="1"/>
  <c r="L94" i="12" s="1"/>
  <c r="B74" i="12"/>
  <c r="L121" i="8"/>
  <c r="N120" i="8"/>
  <c r="A121" i="8"/>
  <c r="D120" i="8"/>
  <c r="L170" i="14" l="1"/>
  <c r="N169" i="14"/>
  <c r="O169" i="14"/>
  <c r="A166" i="14"/>
  <c r="D165" i="14"/>
  <c r="E165" i="14" s="1"/>
  <c r="C165" i="14"/>
  <c r="P100" i="14"/>
  <c r="M101" i="14" s="1"/>
  <c r="F66" i="14"/>
  <c r="B67" i="14" s="1"/>
  <c r="C67" i="14" s="1"/>
  <c r="E67" i="14" s="1"/>
  <c r="H66" i="14"/>
  <c r="A122" i="12"/>
  <c r="D121" i="12"/>
  <c r="N94" i="12"/>
  <c r="O94" i="12"/>
  <c r="K95" i="12" s="1"/>
  <c r="L95" i="12" s="1"/>
  <c r="M122" i="12"/>
  <c r="J123" i="12"/>
  <c r="N93" i="12"/>
  <c r="P93" i="12"/>
  <c r="P94" i="12" s="1"/>
  <c r="C74" i="12"/>
  <c r="F74" i="12" s="1"/>
  <c r="L122" i="8"/>
  <c r="N121" i="8"/>
  <c r="A122" i="8"/>
  <c r="D121" i="8"/>
  <c r="L171" i="14" l="1"/>
  <c r="N170" i="14"/>
  <c r="O170" i="14"/>
  <c r="A167" i="14"/>
  <c r="D166" i="14"/>
  <c r="E166" i="14" s="1"/>
  <c r="C166" i="14"/>
  <c r="Q101" i="14"/>
  <c r="A123" i="12"/>
  <c r="D122" i="12"/>
  <c r="N95" i="12"/>
  <c r="M123" i="12"/>
  <c r="J124" i="12"/>
  <c r="E74" i="12"/>
  <c r="B75" i="12" s="1"/>
  <c r="G74" i="12"/>
  <c r="L123" i="8"/>
  <c r="N122" i="8"/>
  <c r="A123" i="8"/>
  <c r="D122" i="8"/>
  <c r="L172" i="14" l="1"/>
  <c r="N171" i="14"/>
  <c r="O171" i="14"/>
  <c r="A168" i="14"/>
  <c r="D167" i="14"/>
  <c r="E167" i="14" s="1"/>
  <c r="C167" i="14"/>
  <c r="P101" i="14"/>
  <c r="M102" i="14" s="1"/>
  <c r="G67" i="14"/>
  <c r="A124" i="12"/>
  <c r="D123" i="12"/>
  <c r="J125" i="12"/>
  <c r="M124" i="12"/>
  <c r="O95" i="12"/>
  <c r="K96" i="12" s="1"/>
  <c r="L96" i="12" s="1"/>
  <c r="P95" i="12"/>
  <c r="C75" i="12"/>
  <c r="E75" i="12" s="1"/>
  <c r="L124" i="8"/>
  <c r="N123" i="8"/>
  <c r="A124" i="8"/>
  <c r="D123" i="8"/>
  <c r="L173" i="14" l="1"/>
  <c r="N172" i="14"/>
  <c r="O172" i="14"/>
  <c r="A169" i="14"/>
  <c r="D168" i="14"/>
  <c r="E168" i="14" s="1"/>
  <c r="C168" i="14"/>
  <c r="Q102" i="14"/>
  <c r="H67" i="14"/>
  <c r="F67" i="14"/>
  <c r="B68" i="14" s="1"/>
  <c r="C68" i="14" s="1"/>
  <c r="E68" i="14" s="1"/>
  <c r="A125" i="12"/>
  <c r="D124" i="12"/>
  <c r="F75" i="12"/>
  <c r="B76" i="12" s="1"/>
  <c r="M125" i="12"/>
  <c r="J126" i="12"/>
  <c r="N96" i="12"/>
  <c r="O96" i="12"/>
  <c r="K97" i="12" s="1"/>
  <c r="L97" i="12" s="1"/>
  <c r="G75" i="12"/>
  <c r="L125" i="8"/>
  <c r="N124" i="8"/>
  <c r="A125" i="8"/>
  <c r="D124" i="8"/>
  <c r="L174" i="14" l="1"/>
  <c r="N173" i="14"/>
  <c r="O173" i="14"/>
  <c r="A170" i="14"/>
  <c r="D169" i="14"/>
  <c r="E169" i="14" s="1"/>
  <c r="C169" i="14"/>
  <c r="P102" i="14"/>
  <c r="M103" i="14" s="1"/>
  <c r="A126" i="12"/>
  <c r="D125" i="12"/>
  <c r="M126" i="12"/>
  <c r="J127" i="12"/>
  <c r="N97" i="12"/>
  <c r="P96" i="12"/>
  <c r="P97" i="12" s="1"/>
  <c r="C76" i="12"/>
  <c r="E76" i="12" s="1"/>
  <c r="L126" i="8"/>
  <c r="N125" i="8"/>
  <c r="A126" i="8"/>
  <c r="D125" i="8"/>
  <c r="L175" i="14" l="1"/>
  <c r="N174" i="14"/>
  <c r="O174" i="14"/>
  <c r="A171" i="14"/>
  <c r="D170" i="14"/>
  <c r="E170" i="14" s="1"/>
  <c r="C170" i="14"/>
  <c r="Q103" i="14"/>
  <c r="G68" i="14"/>
  <c r="A127" i="12"/>
  <c r="D126" i="12"/>
  <c r="J128" i="12"/>
  <c r="M127" i="12"/>
  <c r="O97" i="12"/>
  <c r="K98" i="12" s="1"/>
  <c r="L98" i="12" s="1"/>
  <c r="F76" i="12"/>
  <c r="B77" i="12" s="1"/>
  <c r="G76" i="12"/>
  <c r="L127" i="8"/>
  <c r="N126" i="8"/>
  <c r="A127" i="8"/>
  <c r="D126" i="8"/>
  <c r="L176" i="14" l="1"/>
  <c r="N175" i="14"/>
  <c r="O175" i="14"/>
  <c r="A172" i="14"/>
  <c r="D171" i="14"/>
  <c r="E171" i="14" s="1"/>
  <c r="C171" i="14"/>
  <c r="P103" i="14"/>
  <c r="M104" i="14" s="1"/>
  <c r="Q104" i="14"/>
  <c r="F68" i="14"/>
  <c r="B69" i="14" s="1"/>
  <c r="C69" i="14" s="1"/>
  <c r="E69" i="14" s="1"/>
  <c r="H68" i="14"/>
  <c r="A128" i="12"/>
  <c r="D127" i="12"/>
  <c r="M128" i="12"/>
  <c r="J129" i="12"/>
  <c r="C77" i="12"/>
  <c r="E77" i="12" s="1"/>
  <c r="F77" i="12"/>
  <c r="L128" i="8"/>
  <c r="N127" i="8"/>
  <c r="A128" i="8"/>
  <c r="D127" i="8"/>
  <c r="L177" i="14" l="1"/>
  <c r="N176" i="14"/>
  <c r="O176" i="14"/>
  <c r="A173" i="14"/>
  <c r="D172" i="14"/>
  <c r="E172" i="14" s="1"/>
  <c r="C172" i="14"/>
  <c r="P104" i="14"/>
  <c r="M105" i="14" s="1"/>
  <c r="Q105" i="14"/>
  <c r="P105" i="14"/>
  <c r="M106" i="14" s="1"/>
  <c r="G77" i="12"/>
  <c r="A129" i="12"/>
  <c r="D128" i="12"/>
  <c r="N98" i="12"/>
  <c r="P98" i="12"/>
  <c r="M129" i="12"/>
  <c r="J130" i="12"/>
  <c r="O98" i="12"/>
  <c r="K99" i="12" s="1"/>
  <c r="L99" i="12" s="1"/>
  <c r="B78" i="12"/>
  <c r="L129" i="8"/>
  <c r="N128" i="8"/>
  <c r="A129" i="8"/>
  <c r="D128" i="8"/>
  <c r="L178" i="14" l="1"/>
  <c r="N177" i="14"/>
  <c r="O177" i="14"/>
  <c r="A174" i="14"/>
  <c r="D173" i="14"/>
  <c r="E173" i="14" s="1"/>
  <c r="C173" i="14"/>
  <c r="Q106" i="14"/>
  <c r="G69" i="14"/>
  <c r="A130" i="12"/>
  <c r="D129" i="12"/>
  <c r="N99" i="12"/>
  <c r="J131" i="12"/>
  <c r="M130" i="12"/>
  <c r="C78" i="12"/>
  <c r="F78" i="12" s="1"/>
  <c r="L130" i="8"/>
  <c r="N129" i="8"/>
  <c r="A130" i="8"/>
  <c r="D129" i="8"/>
  <c r="L179" i="14" l="1"/>
  <c r="N178" i="14"/>
  <c r="O178" i="14"/>
  <c r="A175" i="14"/>
  <c r="D174" i="14"/>
  <c r="E174" i="14" s="1"/>
  <c r="C174" i="14"/>
  <c r="P106" i="14"/>
  <c r="M107" i="14" s="1"/>
  <c r="H69" i="14"/>
  <c r="F69" i="14"/>
  <c r="B70" i="14" s="1"/>
  <c r="C70" i="14" s="1"/>
  <c r="E70" i="14" s="1"/>
  <c r="A131" i="12"/>
  <c r="D130" i="12"/>
  <c r="M131" i="12"/>
  <c r="J132" i="12"/>
  <c r="P99" i="12"/>
  <c r="O99" i="12"/>
  <c r="K100" i="12" s="1"/>
  <c r="L100" i="12" s="1"/>
  <c r="E78" i="12"/>
  <c r="B79" i="12" s="1"/>
  <c r="G78" i="12"/>
  <c r="L131" i="8"/>
  <c r="N130" i="8"/>
  <c r="A131" i="8"/>
  <c r="D130" i="8"/>
  <c r="L180" i="14" l="1"/>
  <c r="N179" i="14"/>
  <c r="O179" i="14"/>
  <c r="A176" i="14"/>
  <c r="D175" i="14"/>
  <c r="E175" i="14" s="1"/>
  <c r="C175" i="14"/>
  <c r="Q107" i="14"/>
  <c r="A132" i="12"/>
  <c r="D131" i="12"/>
  <c r="J133" i="12"/>
  <c r="M132" i="12"/>
  <c r="N100" i="12"/>
  <c r="P100" i="12"/>
  <c r="C79" i="12"/>
  <c r="E79" i="12" s="1"/>
  <c r="L132" i="8"/>
  <c r="N131" i="8"/>
  <c r="A132" i="8"/>
  <c r="D131" i="8"/>
  <c r="L181" i="14" l="1"/>
  <c r="N180" i="14"/>
  <c r="O180" i="14"/>
  <c r="A177" i="14"/>
  <c r="D176" i="14"/>
  <c r="E176" i="14" s="1"/>
  <c r="C176" i="14"/>
  <c r="P107" i="14"/>
  <c r="M108" i="14" s="1"/>
  <c r="G70" i="14"/>
  <c r="A133" i="12"/>
  <c r="D132" i="12"/>
  <c r="J134" i="12"/>
  <c r="M133" i="12"/>
  <c r="O100" i="12"/>
  <c r="K101" i="12" s="1"/>
  <c r="L101" i="12" s="1"/>
  <c r="F79" i="12"/>
  <c r="B80" i="12" s="1"/>
  <c r="G79" i="12"/>
  <c r="L133" i="8"/>
  <c r="N132" i="8"/>
  <c r="A133" i="8"/>
  <c r="D132" i="8"/>
  <c r="L182" i="14" l="1"/>
  <c r="N181" i="14"/>
  <c r="O181" i="14"/>
  <c r="A178" i="14"/>
  <c r="D177" i="14"/>
  <c r="E177" i="14" s="1"/>
  <c r="C177" i="14"/>
  <c r="Q108" i="14"/>
  <c r="F70" i="14"/>
  <c r="B71" i="14" s="1"/>
  <c r="C71" i="14" s="1"/>
  <c r="E71" i="14" s="1"/>
  <c r="H70" i="14"/>
  <c r="A134" i="12"/>
  <c r="D133" i="12"/>
  <c r="O101" i="12"/>
  <c r="K102" i="12" s="1"/>
  <c r="L102" i="12" s="1"/>
  <c r="M134" i="12"/>
  <c r="J135" i="12"/>
  <c r="C80" i="12"/>
  <c r="E80" i="12" s="1"/>
  <c r="L134" i="8"/>
  <c r="N133" i="8"/>
  <c r="A134" i="8"/>
  <c r="D133" i="8"/>
  <c r="L183" i="14" l="1"/>
  <c r="N182" i="14"/>
  <c r="O182" i="14"/>
  <c r="A179" i="14"/>
  <c r="D178" i="14"/>
  <c r="E178" i="14" s="1"/>
  <c r="C178" i="14"/>
  <c r="P108" i="14"/>
  <c r="M109" i="14" s="1"/>
  <c r="F80" i="12"/>
  <c r="B81" i="12" s="1"/>
  <c r="C81" i="12" s="1"/>
  <c r="F81" i="12" s="1"/>
  <c r="A135" i="12"/>
  <c r="D134" i="12"/>
  <c r="G80" i="12"/>
  <c r="N101" i="12"/>
  <c r="P101" i="12"/>
  <c r="M135" i="12"/>
  <c r="J136" i="12"/>
  <c r="N102" i="12"/>
  <c r="L135" i="8"/>
  <c r="N134" i="8"/>
  <c r="A135" i="8"/>
  <c r="D134" i="8"/>
  <c r="L184" i="14" l="1"/>
  <c r="N183" i="14"/>
  <c r="O183" i="14"/>
  <c r="A180" i="14"/>
  <c r="D179" i="14"/>
  <c r="E179" i="14" s="1"/>
  <c r="C179" i="14"/>
  <c r="Q109" i="14"/>
  <c r="P109" i="14"/>
  <c r="M110" i="14" s="1"/>
  <c r="G71" i="14"/>
  <c r="A136" i="12"/>
  <c r="D135" i="12"/>
  <c r="P102" i="12"/>
  <c r="O102" i="12"/>
  <c r="K103" i="12" s="1"/>
  <c r="L103" i="12" s="1"/>
  <c r="J137" i="12"/>
  <c r="M136" i="12"/>
  <c r="E81" i="12"/>
  <c r="B82" i="12" s="1"/>
  <c r="G81" i="12"/>
  <c r="L136" i="8"/>
  <c r="N135" i="8"/>
  <c r="A136" i="8"/>
  <c r="D135" i="8"/>
  <c r="L185" i="14" l="1"/>
  <c r="N184" i="14"/>
  <c r="O184" i="14"/>
  <c r="A181" i="14"/>
  <c r="D180" i="14"/>
  <c r="E180" i="14" s="1"/>
  <c r="C180" i="14"/>
  <c r="P110" i="14"/>
  <c r="M111" i="14" s="1"/>
  <c r="H71" i="14"/>
  <c r="F71" i="14"/>
  <c r="B72" i="14" s="1"/>
  <c r="A137" i="12"/>
  <c r="D136" i="12"/>
  <c r="M137" i="12"/>
  <c r="J138" i="12"/>
  <c r="N103" i="12"/>
  <c r="C82" i="12"/>
  <c r="E82" i="12" s="1"/>
  <c r="L137" i="8"/>
  <c r="N136" i="8"/>
  <c r="A137" i="8"/>
  <c r="D136" i="8"/>
  <c r="L186" i="14" l="1"/>
  <c r="N185" i="14"/>
  <c r="O185" i="14"/>
  <c r="A182" i="14"/>
  <c r="D181" i="14"/>
  <c r="E181" i="14" s="1"/>
  <c r="C181" i="14"/>
  <c r="C72" i="14"/>
  <c r="Q110" i="14"/>
  <c r="P111" i="14"/>
  <c r="M112" i="14" s="1"/>
  <c r="A138" i="12"/>
  <c r="D137" i="12"/>
  <c r="O103" i="12"/>
  <c r="K104" i="12" s="1"/>
  <c r="L104" i="12" s="1"/>
  <c r="M138" i="12"/>
  <c r="J139" i="12"/>
  <c r="P103" i="12"/>
  <c r="F82" i="12"/>
  <c r="B83" i="12" s="1"/>
  <c r="G82" i="12"/>
  <c r="L138" i="8"/>
  <c r="N137" i="8"/>
  <c r="A138" i="8"/>
  <c r="D137" i="8"/>
  <c r="L187" i="14" l="1"/>
  <c r="N186" i="14"/>
  <c r="O186" i="14"/>
  <c r="A183" i="14"/>
  <c r="D182" i="14"/>
  <c r="E182" i="14" s="1"/>
  <c r="C182" i="14"/>
  <c r="E72" i="14"/>
  <c r="G72" i="14"/>
  <c r="Q111" i="14"/>
  <c r="Q112" i="14"/>
  <c r="A139" i="12"/>
  <c r="D138" i="12"/>
  <c r="N104" i="12"/>
  <c r="J140" i="12"/>
  <c r="M139" i="12"/>
  <c r="C83" i="12"/>
  <c r="E83" i="12" s="1"/>
  <c r="L139" i="8"/>
  <c r="N138" i="8"/>
  <c r="A139" i="8"/>
  <c r="D138" i="8"/>
  <c r="L188" i="14" l="1"/>
  <c r="N187" i="14"/>
  <c r="O187" i="14"/>
  <c r="A184" i="14"/>
  <c r="D183" i="14"/>
  <c r="E183" i="14" s="1"/>
  <c r="C183" i="14"/>
  <c r="H72" i="14"/>
  <c r="F72" i="14"/>
  <c r="B73" i="14" s="1"/>
  <c r="P112" i="14"/>
  <c r="M113" i="14" s="1"/>
  <c r="A140" i="12"/>
  <c r="D139" i="12"/>
  <c r="P104" i="12"/>
  <c r="O104" i="12"/>
  <c r="K105" i="12" s="1"/>
  <c r="L105" i="12" s="1"/>
  <c r="N105" i="12" s="1"/>
  <c r="G83" i="12"/>
  <c r="M140" i="12"/>
  <c r="J141" i="12"/>
  <c r="F83" i="12"/>
  <c r="B84" i="12" s="1"/>
  <c r="C84" i="12" s="1"/>
  <c r="L140" i="8"/>
  <c r="N139" i="8"/>
  <c r="A140" i="8"/>
  <c r="D139" i="8"/>
  <c r="L189" i="14" l="1"/>
  <c r="N188" i="14"/>
  <c r="O188" i="14"/>
  <c r="A185" i="14"/>
  <c r="D184" i="14"/>
  <c r="E184" i="14" s="1"/>
  <c r="C184" i="14"/>
  <c r="C73" i="14"/>
  <c r="Q113" i="14"/>
  <c r="A141" i="12"/>
  <c r="D140" i="12"/>
  <c r="O105" i="12"/>
  <c r="K106" i="12" s="1"/>
  <c r="L106" i="12" s="1"/>
  <c r="N106" i="12" s="1"/>
  <c r="M141" i="12"/>
  <c r="J142" i="12"/>
  <c r="L142" i="12" s="1"/>
  <c r="P105" i="12"/>
  <c r="F84" i="12"/>
  <c r="B85" i="12" s="1"/>
  <c r="E84" i="12"/>
  <c r="G84" i="12"/>
  <c r="L141" i="8"/>
  <c r="N140" i="8"/>
  <c r="A141" i="8"/>
  <c r="D140" i="8"/>
  <c r="L190" i="14" l="1"/>
  <c r="N189" i="14"/>
  <c r="O189" i="14"/>
  <c r="A186" i="14"/>
  <c r="D185" i="14"/>
  <c r="E185" i="14" s="1"/>
  <c r="C185" i="14"/>
  <c r="E73" i="14"/>
  <c r="G73" i="14"/>
  <c r="P113" i="14"/>
  <c r="M114" i="14" s="1"/>
  <c r="P152" i="14"/>
  <c r="M152" i="14"/>
  <c r="Q152" i="14"/>
  <c r="G152" i="14"/>
  <c r="B152" i="14"/>
  <c r="H152" i="14"/>
  <c r="F152" i="14"/>
  <c r="A142" i="12"/>
  <c r="G142" i="12" s="1"/>
  <c r="D141" i="12"/>
  <c r="P106" i="12"/>
  <c r="C85" i="12"/>
  <c r="E85" i="12" s="1"/>
  <c r="J143" i="12"/>
  <c r="L143" i="12" s="1"/>
  <c r="K142" i="12"/>
  <c r="P142" i="12"/>
  <c r="O142" i="12"/>
  <c r="M142" i="12"/>
  <c r="N142" i="12" s="1"/>
  <c r="O106" i="12"/>
  <c r="K107" i="12" s="1"/>
  <c r="L107" i="12" s="1"/>
  <c r="L142" i="8"/>
  <c r="N141" i="8"/>
  <c r="A142" i="8"/>
  <c r="D141" i="8"/>
  <c r="L191" i="14" l="1"/>
  <c r="N190" i="14"/>
  <c r="O190" i="14"/>
  <c r="A187" i="14"/>
  <c r="D186" i="14"/>
  <c r="E186" i="14" s="1"/>
  <c r="C186" i="14"/>
  <c r="F73" i="14"/>
  <c r="B74" i="14" s="1"/>
  <c r="H73" i="14"/>
  <c r="Q114" i="14"/>
  <c r="M153" i="14"/>
  <c r="Q153" i="14"/>
  <c r="P153" i="14"/>
  <c r="H153" i="14"/>
  <c r="B153" i="14"/>
  <c r="G153" i="14"/>
  <c r="F153" i="14"/>
  <c r="B142" i="12"/>
  <c r="G85" i="12"/>
  <c r="A143" i="12"/>
  <c r="B143" i="12" s="1"/>
  <c r="F142" i="12"/>
  <c r="C142" i="12"/>
  <c r="D142" i="12"/>
  <c r="E142" i="12" s="1"/>
  <c r="F85" i="12"/>
  <c r="B86" i="12" s="1"/>
  <c r="C86" i="12" s="1"/>
  <c r="M143" i="12"/>
  <c r="N143" i="12" s="1"/>
  <c r="J144" i="12"/>
  <c r="L144" i="12" s="1"/>
  <c r="K143" i="12"/>
  <c r="P143" i="12"/>
  <c r="O143" i="12"/>
  <c r="G143" i="12"/>
  <c r="L143" i="8"/>
  <c r="N142" i="8"/>
  <c r="A143" i="8"/>
  <c r="D142" i="8"/>
  <c r="L192" i="14" l="1"/>
  <c r="N191" i="14"/>
  <c r="O191" i="14"/>
  <c r="A188" i="14"/>
  <c r="D187" i="14"/>
  <c r="E187" i="14" s="1"/>
  <c r="C187" i="14"/>
  <c r="C74" i="14"/>
  <c r="P114" i="14"/>
  <c r="M115" i="14" s="1"/>
  <c r="M154" i="14"/>
  <c r="Q154" i="14"/>
  <c r="P154" i="14"/>
  <c r="G154" i="14"/>
  <c r="F154" i="14"/>
  <c r="H154" i="14"/>
  <c r="B154" i="14"/>
  <c r="F86" i="12"/>
  <c r="A144" i="12"/>
  <c r="F143" i="12"/>
  <c r="C143" i="12"/>
  <c r="D143" i="12"/>
  <c r="E143" i="12" s="1"/>
  <c r="N107" i="12"/>
  <c r="P107" i="12"/>
  <c r="P144" i="12"/>
  <c r="O144" i="12"/>
  <c r="J145" i="12"/>
  <c r="L145" i="12" s="1"/>
  <c r="M144" i="12"/>
  <c r="N144" i="12" s="1"/>
  <c r="K144" i="12"/>
  <c r="O107" i="12"/>
  <c r="K108" i="12" s="1"/>
  <c r="L108" i="12" s="1"/>
  <c r="E86" i="12"/>
  <c r="G86" i="12"/>
  <c r="G144" i="12"/>
  <c r="B144" i="12"/>
  <c r="L144" i="8"/>
  <c r="N143" i="8"/>
  <c r="A144" i="8"/>
  <c r="D143" i="8"/>
  <c r="L193" i="14" l="1"/>
  <c r="N192" i="14"/>
  <c r="O192" i="14"/>
  <c r="A189" i="14"/>
  <c r="D188" i="14"/>
  <c r="E188" i="14" s="1"/>
  <c r="C188" i="14"/>
  <c r="E74" i="14"/>
  <c r="G74" i="14"/>
  <c r="Q115" i="14"/>
  <c r="M155" i="14"/>
  <c r="Q155" i="14"/>
  <c r="P155" i="14"/>
  <c r="F155" i="14"/>
  <c r="H155" i="14"/>
  <c r="G155" i="14"/>
  <c r="B155" i="14"/>
  <c r="B87" i="12"/>
  <c r="A145" i="12"/>
  <c r="G145" i="12" s="1"/>
  <c r="F144" i="12"/>
  <c r="C144" i="12"/>
  <c r="D144" i="12"/>
  <c r="E144" i="12" s="1"/>
  <c r="J146" i="12"/>
  <c r="L146" i="12" s="1"/>
  <c r="K145" i="12"/>
  <c r="O145" i="12"/>
  <c r="M145" i="12"/>
  <c r="N145" i="12" s="1"/>
  <c r="P145" i="12"/>
  <c r="N108" i="12"/>
  <c r="C87" i="12"/>
  <c r="E87" i="12" s="1"/>
  <c r="L145" i="8"/>
  <c r="N144" i="8"/>
  <c r="A145" i="8"/>
  <c r="D144" i="8"/>
  <c r="L194" i="14" l="1"/>
  <c r="N193" i="14"/>
  <c r="O193" i="14"/>
  <c r="A190" i="14"/>
  <c r="D189" i="14"/>
  <c r="E189" i="14" s="1"/>
  <c r="C189" i="14"/>
  <c r="H74" i="14"/>
  <c r="F74" i="14"/>
  <c r="B75" i="14" s="1"/>
  <c r="P115" i="14"/>
  <c r="M116" i="14" s="1"/>
  <c r="M156" i="14"/>
  <c r="Q156" i="14"/>
  <c r="P156" i="14"/>
  <c r="H156" i="14"/>
  <c r="B156" i="14"/>
  <c r="F156" i="14"/>
  <c r="G156" i="14"/>
  <c r="B145" i="12"/>
  <c r="F87" i="12"/>
  <c r="A146" i="12"/>
  <c r="B146" i="12" s="1"/>
  <c r="F145" i="12"/>
  <c r="C145" i="12"/>
  <c r="D145" i="12"/>
  <c r="E145" i="12" s="1"/>
  <c r="O108" i="12"/>
  <c r="K109" i="12" s="1"/>
  <c r="L109" i="12" s="1"/>
  <c r="P108" i="12"/>
  <c r="P146" i="12"/>
  <c r="M146" i="12"/>
  <c r="N146" i="12" s="1"/>
  <c r="J147" i="12"/>
  <c r="L147" i="12" s="1"/>
  <c r="O146" i="12"/>
  <c r="K146" i="12"/>
  <c r="B88" i="12"/>
  <c r="G87" i="12"/>
  <c r="G146" i="12"/>
  <c r="L146" i="8"/>
  <c r="N145" i="8"/>
  <c r="A146" i="8"/>
  <c r="D145" i="8"/>
  <c r="L195" i="14" l="1"/>
  <c r="N194" i="14"/>
  <c r="O194" i="14"/>
  <c r="A191" i="14"/>
  <c r="D190" i="14"/>
  <c r="E190" i="14" s="1"/>
  <c r="C190" i="14"/>
  <c r="C75" i="14"/>
  <c r="Q116" i="14"/>
  <c r="P116" i="14"/>
  <c r="M117" i="14" s="1"/>
  <c r="Q157" i="14"/>
  <c r="M157" i="14"/>
  <c r="P157" i="14"/>
  <c r="G157" i="14"/>
  <c r="F157" i="14"/>
  <c r="H157" i="14"/>
  <c r="B157" i="14"/>
  <c r="A147" i="12"/>
  <c r="G147" i="12" s="1"/>
  <c r="F146" i="12"/>
  <c r="C146" i="12"/>
  <c r="D146" i="12"/>
  <c r="E146" i="12" s="1"/>
  <c r="O147" i="12"/>
  <c r="M147" i="12"/>
  <c r="N147" i="12" s="1"/>
  <c r="K147" i="12"/>
  <c r="J148" i="12"/>
  <c r="L148" i="12" s="1"/>
  <c r="P147" i="12"/>
  <c r="N109" i="12"/>
  <c r="C88" i="12"/>
  <c r="E88" i="12" s="1"/>
  <c r="L147" i="8"/>
  <c r="N146" i="8"/>
  <c r="A147" i="8"/>
  <c r="D146" i="8"/>
  <c r="L196" i="14" l="1"/>
  <c r="N195" i="14"/>
  <c r="O195" i="14"/>
  <c r="A192" i="14"/>
  <c r="D191" i="14"/>
  <c r="E191" i="14" s="1"/>
  <c r="C191" i="14"/>
  <c r="E75" i="14"/>
  <c r="G75" i="14"/>
  <c r="P117" i="14"/>
  <c r="M118" i="14" s="1"/>
  <c r="P158" i="14"/>
  <c r="M158" i="14"/>
  <c r="Q158" i="14"/>
  <c r="H158" i="14"/>
  <c r="G158" i="14"/>
  <c r="F158" i="14"/>
  <c r="B158" i="14"/>
  <c r="B147" i="12"/>
  <c r="F88" i="12"/>
  <c r="A148" i="12"/>
  <c r="G148" i="12" s="1"/>
  <c r="F147" i="12"/>
  <c r="C147" i="12"/>
  <c r="D147" i="12"/>
  <c r="E147" i="12" s="1"/>
  <c r="J149" i="12"/>
  <c r="L149" i="12" s="1"/>
  <c r="K148" i="12"/>
  <c r="P148" i="12"/>
  <c r="O148" i="12"/>
  <c r="M148" i="12"/>
  <c r="N148" i="12" s="1"/>
  <c r="O109" i="12"/>
  <c r="K110" i="12" s="1"/>
  <c r="L110" i="12" s="1"/>
  <c r="P109" i="12"/>
  <c r="B89" i="12"/>
  <c r="G88" i="12"/>
  <c r="L148" i="8"/>
  <c r="N147" i="8"/>
  <c r="A148" i="8"/>
  <c r="D147" i="8"/>
  <c r="B148" i="12" l="1"/>
  <c r="L197" i="14"/>
  <c r="N196" i="14"/>
  <c r="O196" i="14"/>
  <c r="A193" i="14"/>
  <c r="D192" i="14"/>
  <c r="E192" i="14" s="1"/>
  <c r="C192" i="14"/>
  <c r="F75" i="14"/>
  <c r="B76" i="14" s="1"/>
  <c r="H75" i="14"/>
  <c r="Q117" i="14"/>
  <c r="P118" i="14"/>
  <c r="M119" i="14" s="1"/>
  <c r="M159" i="14"/>
  <c r="Q159" i="14"/>
  <c r="P159" i="14"/>
  <c r="H159" i="14"/>
  <c r="B159" i="14"/>
  <c r="F159" i="14"/>
  <c r="G159" i="14"/>
  <c r="A149" i="12"/>
  <c r="F148" i="12"/>
  <c r="C148" i="12"/>
  <c r="D148" i="12"/>
  <c r="E148" i="12" s="1"/>
  <c r="M149" i="12"/>
  <c r="N149" i="12" s="1"/>
  <c r="J150" i="12"/>
  <c r="L150" i="12" s="1"/>
  <c r="K149" i="12"/>
  <c r="P149" i="12"/>
  <c r="O149" i="12"/>
  <c r="N110" i="12"/>
  <c r="C89" i="12"/>
  <c r="E89" i="12" s="1"/>
  <c r="G149" i="12"/>
  <c r="B149" i="12"/>
  <c r="L149" i="8"/>
  <c r="N148" i="8"/>
  <c r="A149" i="8"/>
  <c r="D148" i="8"/>
  <c r="L198" i="14" l="1"/>
  <c r="N197" i="14"/>
  <c r="O197" i="14"/>
  <c r="A194" i="14"/>
  <c r="D193" i="14"/>
  <c r="E193" i="14" s="1"/>
  <c r="C193" i="14"/>
  <c r="C76" i="14"/>
  <c r="Q118" i="14"/>
  <c r="Q119" i="14"/>
  <c r="M160" i="14"/>
  <c r="Q160" i="14"/>
  <c r="P160" i="14"/>
  <c r="G160" i="14"/>
  <c r="F160" i="14"/>
  <c r="H160" i="14"/>
  <c r="B160" i="14"/>
  <c r="F89" i="12"/>
  <c r="A150" i="12"/>
  <c r="F149" i="12"/>
  <c r="C149" i="12"/>
  <c r="D149" i="12"/>
  <c r="E149" i="12" s="1"/>
  <c r="P150" i="12"/>
  <c r="O150" i="12"/>
  <c r="M150" i="12"/>
  <c r="N150" i="12" s="1"/>
  <c r="K150" i="12"/>
  <c r="J151" i="12"/>
  <c r="L151" i="12" s="1"/>
  <c r="O110" i="12"/>
  <c r="K111" i="12" s="1"/>
  <c r="L111" i="12" s="1"/>
  <c r="P110" i="12"/>
  <c r="B90" i="12"/>
  <c r="C90" i="12" s="1"/>
  <c r="E90" i="12" s="1"/>
  <c r="G89" i="12"/>
  <c r="B150" i="12"/>
  <c r="L150" i="8"/>
  <c r="N149" i="8"/>
  <c r="A150" i="8"/>
  <c r="D149" i="8"/>
  <c r="L199" i="14" l="1"/>
  <c r="N198" i="14"/>
  <c r="O198" i="14"/>
  <c r="A195" i="14"/>
  <c r="D194" i="14"/>
  <c r="E194" i="14" s="1"/>
  <c r="C194" i="14"/>
  <c r="E76" i="14"/>
  <c r="G76" i="14"/>
  <c r="P119" i="14"/>
  <c r="M120" i="14" s="1"/>
  <c r="M161" i="14"/>
  <c r="Q161" i="14"/>
  <c r="P161" i="14"/>
  <c r="G161" i="14"/>
  <c r="F161" i="14"/>
  <c r="H161" i="14"/>
  <c r="B161" i="14"/>
  <c r="G90" i="12"/>
  <c r="F90" i="12"/>
  <c r="A151" i="12"/>
  <c r="B151" i="12" s="1"/>
  <c r="F150" i="12"/>
  <c r="C150" i="12"/>
  <c r="D150" i="12"/>
  <c r="E150" i="12" s="1"/>
  <c r="G150" i="12"/>
  <c r="J152" i="12"/>
  <c r="L152" i="12" s="1"/>
  <c r="K151" i="12"/>
  <c r="O151" i="12"/>
  <c r="P151" i="12"/>
  <c r="M151" i="12"/>
  <c r="N151" i="12" s="1"/>
  <c r="N111" i="12"/>
  <c r="B91" i="12"/>
  <c r="G151" i="12"/>
  <c r="L151" i="8"/>
  <c r="N150" i="8"/>
  <c r="A151" i="8"/>
  <c r="D150" i="8"/>
  <c r="L200" i="14" l="1"/>
  <c r="N199" i="14"/>
  <c r="O199" i="14"/>
  <c r="A196" i="14"/>
  <c r="D195" i="14"/>
  <c r="E195" i="14" s="1"/>
  <c r="C195" i="14"/>
  <c r="H76" i="14"/>
  <c r="F76" i="14"/>
  <c r="B77" i="14" s="1"/>
  <c r="Q120" i="14"/>
  <c r="M162" i="14"/>
  <c r="Q162" i="14"/>
  <c r="P162" i="14"/>
  <c r="H162" i="14"/>
  <c r="B162" i="14"/>
  <c r="G162" i="14"/>
  <c r="F162" i="14"/>
  <c r="A152" i="12"/>
  <c r="F151" i="12"/>
  <c r="C151" i="12"/>
  <c r="D151" i="12"/>
  <c r="E151" i="12" s="1"/>
  <c r="O111" i="12"/>
  <c r="K112" i="12" s="1"/>
  <c r="L112" i="12" s="1"/>
  <c r="P111" i="12"/>
  <c r="P152" i="12"/>
  <c r="M152" i="12"/>
  <c r="N152" i="12" s="1"/>
  <c r="K152" i="12"/>
  <c r="J153" i="12"/>
  <c r="L153" i="12" s="1"/>
  <c r="O152" i="12"/>
  <c r="C91" i="12"/>
  <c r="F91" i="12" s="1"/>
  <c r="G152" i="12"/>
  <c r="B152" i="12"/>
  <c r="L152" i="8"/>
  <c r="N151" i="8"/>
  <c r="A152" i="8"/>
  <c r="D151" i="8"/>
  <c r="L201" i="14" l="1"/>
  <c r="N200" i="14"/>
  <c r="O200" i="14"/>
  <c r="A197" i="14"/>
  <c r="D196" i="14"/>
  <c r="E196" i="14" s="1"/>
  <c r="C196" i="14"/>
  <c r="C77" i="14"/>
  <c r="P120" i="14"/>
  <c r="M121" i="14" s="1"/>
  <c r="Q163" i="14"/>
  <c r="M163" i="14"/>
  <c r="P163" i="14"/>
  <c r="G163" i="14"/>
  <c r="F163" i="14"/>
  <c r="B163" i="14"/>
  <c r="H163" i="14"/>
  <c r="A153" i="12"/>
  <c r="B153" i="12" s="1"/>
  <c r="F152" i="12"/>
  <c r="C152" i="12"/>
  <c r="D152" i="12"/>
  <c r="E152" i="12" s="1"/>
  <c r="O153" i="12"/>
  <c r="M153" i="12"/>
  <c r="N153" i="12" s="1"/>
  <c r="J154" i="12"/>
  <c r="L154" i="12" s="1"/>
  <c r="P153" i="12"/>
  <c r="K153" i="12"/>
  <c r="N112" i="12"/>
  <c r="E91" i="12"/>
  <c r="B92" i="12" s="1"/>
  <c r="G91" i="12"/>
  <c r="L153" i="8"/>
  <c r="N152" i="8"/>
  <c r="A153" i="8"/>
  <c r="D152" i="8"/>
  <c r="G153" i="12" l="1"/>
  <c r="L202" i="14"/>
  <c r="N201" i="14"/>
  <c r="O201" i="14"/>
  <c r="A198" i="14"/>
  <c r="D197" i="14"/>
  <c r="E197" i="14" s="1"/>
  <c r="C197" i="14"/>
  <c r="E77" i="14"/>
  <c r="G77" i="14"/>
  <c r="Q121" i="14"/>
  <c r="P121" i="14"/>
  <c r="M122" i="14" s="1"/>
  <c r="P164" i="14"/>
  <c r="M164" i="14"/>
  <c r="Q164" i="14"/>
  <c r="B164" i="14"/>
  <c r="H164" i="14"/>
  <c r="G164" i="14"/>
  <c r="F164" i="14"/>
  <c r="A154" i="12"/>
  <c r="F153" i="12"/>
  <c r="C153" i="12"/>
  <c r="D153" i="12"/>
  <c r="E153" i="12" s="1"/>
  <c r="J155" i="12"/>
  <c r="L155" i="12" s="1"/>
  <c r="K154" i="12"/>
  <c r="P154" i="12"/>
  <c r="M154" i="12"/>
  <c r="N154" i="12" s="1"/>
  <c r="O154" i="12"/>
  <c r="O112" i="12"/>
  <c r="K113" i="12" s="1"/>
  <c r="L113" i="12" s="1"/>
  <c r="P112" i="12"/>
  <c r="C92" i="12"/>
  <c r="E92" i="12" s="1"/>
  <c r="G154" i="12"/>
  <c r="B154" i="12"/>
  <c r="L154" i="8"/>
  <c r="N153" i="8"/>
  <c r="A154" i="8"/>
  <c r="D153" i="8"/>
  <c r="L203" i="14" l="1"/>
  <c r="N202" i="14"/>
  <c r="O202" i="14"/>
  <c r="A199" i="14"/>
  <c r="D198" i="14"/>
  <c r="E198" i="14" s="1"/>
  <c r="C198" i="14"/>
  <c r="F77" i="14"/>
  <c r="B78" i="14" s="1"/>
  <c r="H77" i="14"/>
  <c r="Q122" i="14"/>
  <c r="P122" i="14"/>
  <c r="M123" i="14" s="1"/>
  <c r="P165" i="14"/>
  <c r="M165" i="14"/>
  <c r="Q165" i="14"/>
  <c r="H165" i="14"/>
  <c r="B165" i="14"/>
  <c r="F165" i="14"/>
  <c r="G165" i="14"/>
  <c r="A155" i="12"/>
  <c r="F154" i="12"/>
  <c r="C154" i="12"/>
  <c r="D154" i="12"/>
  <c r="E154" i="12" s="1"/>
  <c r="F92" i="12"/>
  <c r="B93" i="12" s="1"/>
  <c r="M155" i="12"/>
  <c r="N155" i="12" s="1"/>
  <c r="J156" i="12"/>
  <c r="L156" i="12" s="1"/>
  <c r="K155" i="12"/>
  <c r="P155" i="12"/>
  <c r="O155" i="12"/>
  <c r="N113" i="12"/>
  <c r="G92" i="12"/>
  <c r="B155" i="12"/>
  <c r="G155" i="12"/>
  <c r="L155" i="8"/>
  <c r="N154" i="8"/>
  <c r="A155" i="8"/>
  <c r="D154" i="8"/>
  <c r="L204" i="14" l="1"/>
  <c r="N203" i="14"/>
  <c r="O203" i="14"/>
  <c r="A200" i="14"/>
  <c r="D199" i="14"/>
  <c r="E199" i="14" s="1"/>
  <c r="C199" i="14"/>
  <c r="C78" i="14"/>
  <c r="Q123" i="14"/>
  <c r="P166" i="14"/>
  <c r="M166" i="14"/>
  <c r="Q166" i="14"/>
  <c r="G166" i="14"/>
  <c r="F166" i="14"/>
  <c r="H166" i="14"/>
  <c r="B166" i="14"/>
  <c r="A156" i="12"/>
  <c r="B156" i="12" s="1"/>
  <c r="F155" i="12"/>
  <c r="C155" i="12"/>
  <c r="D155" i="12"/>
  <c r="E155" i="12" s="1"/>
  <c r="O113" i="12"/>
  <c r="K114" i="12" s="1"/>
  <c r="L114" i="12" s="1"/>
  <c r="N114" i="12" s="1"/>
  <c r="P156" i="12"/>
  <c r="O156" i="12"/>
  <c r="J157" i="12"/>
  <c r="L157" i="12" s="1"/>
  <c r="M156" i="12"/>
  <c r="N156" i="12" s="1"/>
  <c r="K156" i="12"/>
  <c r="P113" i="12"/>
  <c r="C93" i="12"/>
  <c r="E93" i="12" s="1"/>
  <c r="L156" i="8"/>
  <c r="N155" i="8"/>
  <c r="A156" i="8"/>
  <c r="D155" i="8"/>
  <c r="G156" i="12" l="1"/>
  <c r="L205" i="14"/>
  <c r="N204" i="14"/>
  <c r="O204" i="14"/>
  <c r="A201" i="14"/>
  <c r="D200" i="14"/>
  <c r="E200" i="14" s="1"/>
  <c r="C200" i="14"/>
  <c r="E78" i="14"/>
  <c r="G78" i="14"/>
  <c r="P123" i="14"/>
  <c r="M124" i="14" s="1"/>
  <c r="P167" i="14"/>
  <c r="M167" i="14"/>
  <c r="Q167" i="14"/>
  <c r="G167" i="14"/>
  <c r="F167" i="14"/>
  <c r="H167" i="14"/>
  <c r="B167" i="14"/>
  <c r="O114" i="12"/>
  <c r="K115" i="12" s="1"/>
  <c r="L115" i="12" s="1"/>
  <c r="P114" i="12"/>
  <c r="A157" i="12"/>
  <c r="B157" i="12" s="1"/>
  <c r="F156" i="12"/>
  <c r="C156" i="12"/>
  <c r="D156" i="12"/>
  <c r="E156" i="12" s="1"/>
  <c r="J158" i="12"/>
  <c r="L158" i="12" s="1"/>
  <c r="K157" i="12"/>
  <c r="O157" i="12"/>
  <c r="M157" i="12"/>
  <c r="N157" i="12" s="1"/>
  <c r="P157" i="12"/>
  <c r="N115" i="12"/>
  <c r="O115" i="12"/>
  <c r="K116" i="12" s="1"/>
  <c r="L116" i="12" s="1"/>
  <c r="P115" i="12"/>
  <c r="F93" i="12"/>
  <c r="B94" i="12" s="1"/>
  <c r="G93" i="12"/>
  <c r="L157" i="8"/>
  <c r="N156" i="8"/>
  <c r="A157" i="8"/>
  <c r="D156" i="8"/>
  <c r="G157" i="12" l="1"/>
  <c r="L206" i="14"/>
  <c r="N205" i="14"/>
  <c r="O205" i="14"/>
  <c r="A202" i="14"/>
  <c r="D201" i="14"/>
  <c r="E201" i="14" s="1"/>
  <c r="C201" i="14"/>
  <c r="H78" i="14"/>
  <c r="F78" i="14"/>
  <c r="B79" i="14" s="1"/>
  <c r="Q124" i="14"/>
  <c r="M168" i="14"/>
  <c r="P168" i="14"/>
  <c r="Q168" i="14"/>
  <c r="H168" i="14"/>
  <c r="B168" i="14"/>
  <c r="G168" i="14"/>
  <c r="F168" i="14"/>
  <c r="A158" i="12"/>
  <c r="F157" i="12"/>
  <c r="C157" i="12"/>
  <c r="D157" i="12"/>
  <c r="E157" i="12" s="1"/>
  <c r="N116" i="12"/>
  <c r="O116" i="12"/>
  <c r="K117" i="12" s="1"/>
  <c r="L117" i="12" s="1"/>
  <c r="P158" i="12"/>
  <c r="M158" i="12"/>
  <c r="N158" i="12" s="1"/>
  <c r="J159" i="12"/>
  <c r="L159" i="12" s="1"/>
  <c r="O158" i="12"/>
  <c r="K158" i="12"/>
  <c r="C94" i="12"/>
  <c r="E94" i="12" s="1"/>
  <c r="G158" i="12"/>
  <c r="B158" i="12"/>
  <c r="L158" i="8"/>
  <c r="N157" i="8"/>
  <c r="A158" i="8"/>
  <c r="D157" i="8"/>
  <c r="L207" i="14" l="1"/>
  <c r="N206" i="14"/>
  <c r="O206" i="14"/>
  <c r="A203" i="14"/>
  <c r="D202" i="14"/>
  <c r="E202" i="14" s="1"/>
  <c r="C202" i="14"/>
  <c r="C79" i="14"/>
  <c r="P124" i="14"/>
  <c r="M125" i="14" s="1"/>
  <c r="Q169" i="14"/>
  <c r="P169" i="14"/>
  <c r="M169" i="14"/>
  <c r="G169" i="14"/>
  <c r="F169" i="14"/>
  <c r="B169" i="14"/>
  <c r="H169" i="14"/>
  <c r="G94" i="12"/>
  <c r="A159" i="12"/>
  <c r="F158" i="12"/>
  <c r="C158" i="12"/>
  <c r="D158" i="12"/>
  <c r="E158" i="12" s="1"/>
  <c r="F94" i="12"/>
  <c r="B95" i="12" s="1"/>
  <c r="N117" i="12"/>
  <c r="O117" i="12"/>
  <c r="K118" i="12" s="1"/>
  <c r="L118" i="12" s="1"/>
  <c r="O159" i="12"/>
  <c r="M159" i="12"/>
  <c r="N159" i="12" s="1"/>
  <c r="K159" i="12"/>
  <c r="J160" i="12"/>
  <c r="L160" i="12" s="1"/>
  <c r="P159" i="12"/>
  <c r="P116" i="12"/>
  <c r="P117" i="12" s="1"/>
  <c r="G159" i="12"/>
  <c r="B159" i="12"/>
  <c r="L159" i="8"/>
  <c r="N158" i="8"/>
  <c r="A159" i="8"/>
  <c r="D158" i="8"/>
  <c r="L208" i="14" l="1"/>
  <c r="N207" i="14"/>
  <c r="O207" i="14"/>
  <c r="A204" i="14"/>
  <c r="D203" i="14"/>
  <c r="E203" i="14" s="1"/>
  <c r="C203" i="14"/>
  <c r="E79" i="14"/>
  <c r="G79" i="14"/>
  <c r="P125" i="14"/>
  <c r="M126" i="14" s="1"/>
  <c r="P126" i="14" s="1"/>
  <c r="M127" i="14" s="1"/>
  <c r="Q125" i="14"/>
  <c r="P170" i="14"/>
  <c r="Q170" i="14"/>
  <c r="M170" i="14"/>
  <c r="G170" i="14"/>
  <c r="F170" i="14"/>
  <c r="H170" i="14"/>
  <c r="B170" i="14"/>
  <c r="A160" i="12"/>
  <c r="B160" i="12" s="1"/>
  <c r="F159" i="12"/>
  <c r="C159" i="12"/>
  <c r="D159" i="12"/>
  <c r="E159" i="12" s="1"/>
  <c r="N118" i="12"/>
  <c r="P118" i="12"/>
  <c r="J161" i="12"/>
  <c r="L161" i="12" s="1"/>
  <c r="K160" i="12"/>
  <c r="P160" i="12"/>
  <c r="O160" i="12"/>
  <c r="M160" i="12"/>
  <c r="N160" i="12" s="1"/>
  <c r="C95" i="12"/>
  <c r="F95" i="12" s="1"/>
  <c r="G160" i="12"/>
  <c r="L160" i="8"/>
  <c r="N159" i="8"/>
  <c r="A160" i="8"/>
  <c r="D159" i="8"/>
  <c r="L209" i="14" l="1"/>
  <c r="N208" i="14"/>
  <c r="O208" i="14"/>
  <c r="A205" i="14"/>
  <c r="D204" i="14"/>
  <c r="E204" i="14" s="1"/>
  <c r="C204" i="14"/>
  <c r="F79" i="14"/>
  <c r="B80" i="14" s="1"/>
  <c r="H79" i="14"/>
  <c r="Q126" i="14"/>
  <c r="P127" i="14"/>
  <c r="M128" i="14" s="1"/>
  <c r="Q171" i="14"/>
  <c r="P171" i="14"/>
  <c r="M171" i="14"/>
  <c r="H171" i="14"/>
  <c r="B171" i="14"/>
  <c r="G171" i="14"/>
  <c r="F171" i="14"/>
  <c r="A161" i="12"/>
  <c r="G161" i="12" s="1"/>
  <c r="F160" i="12"/>
  <c r="C160" i="12"/>
  <c r="D160" i="12"/>
  <c r="E160" i="12" s="1"/>
  <c r="M161" i="12"/>
  <c r="N161" i="12" s="1"/>
  <c r="J162" i="12"/>
  <c r="L162" i="12" s="1"/>
  <c r="K161" i="12"/>
  <c r="P161" i="12"/>
  <c r="O161" i="12"/>
  <c r="O118" i="12"/>
  <c r="K119" i="12" s="1"/>
  <c r="L119" i="12" s="1"/>
  <c r="E95" i="12"/>
  <c r="B96" i="12" s="1"/>
  <c r="G95" i="12"/>
  <c r="L161" i="8"/>
  <c r="N160" i="8"/>
  <c r="A161" i="8"/>
  <c r="D160" i="8"/>
  <c r="L210" i="14" l="1"/>
  <c r="N209" i="14"/>
  <c r="O209" i="14"/>
  <c r="A206" i="14"/>
  <c r="D205" i="14"/>
  <c r="E205" i="14" s="1"/>
  <c r="C205" i="14"/>
  <c r="C80" i="14"/>
  <c r="Q127" i="14"/>
  <c r="P128" i="14"/>
  <c r="M129" i="14" s="1"/>
  <c r="Q128" i="14"/>
  <c r="P172" i="14"/>
  <c r="M172" i="14"/>
  <c r="Q172" i="14"/>
  <c r="G172" i="14"/>
  <c r="F172" i="14"/>
  <c r="H172" i="14"/>
  <c r="B172" i="14"/>
  <c r="B161" i="12"/>
  <c r="A162" i="12"/>
  <c r="G162" i="12" s="1"/>
  <c r="F161" i="12"/>
  <c r="C161" i="12"/>
  <c r="D161" i="12"/>
  <c r="E161" i="12" s="1"/>
  <c r="P162" i="12"/>
  <c r="O162" i="12"/>
  <c r="M162" i="12"/>
  <c r="N162" i="12" s="1"/>
  <c r="K162" i="12"/>
  <c r="J163" i="12"/>
  <c r="L163" i="12" s="1"/>
  <c r="O119" i="12"/>
  <c r="K120" i="12" s="1"/>
  <c r="L120" i="12" s="1"/>
  <c r="C96" i="12"/>
  <c r="E96" i="12" s="1"/>
  <c r="L162" i="8"/>
  <c r="N161" i="8"/>
  <c r="A162" i="8"/>
  <c r="D161" i="8"/>
  <c r="L211" i="14" l="1"/>
  <c r="N210" i="14"/>
  <c r="O210" i="14"/>
  <c r="A207" i="14"/>
  <c r="D206" i="14"/>
  <c r="E206" i="14" s="1"/>
  <c r="C206" i="14"/>
  <c r="E80" i="14"/>
  <c r="G80" i="14"/>
  <c r="Q129" i="14"/>
  <c r="Q173" i="14"/>
  <c r="P173" i="14"/>
  <c r="M173" i="14"/>
  <c r="H173" i="14"/>
  <c r="B173" i="14"/>
  <c r="G173" i="14"/>
  <c r="F173" i="14"/>
  <c r="B162" i="12"/>
  <c r="A163" i="12"/>
  <c r="G163" i="12" s="1"/>
  <c r="F162" i="12"/>
  <c r="C162" i="12"/>
  <c r="D162" i="12"/>
  <c r="E162" i="12" s="1"/>
  <c r="J164" i="12"/>
  <c r="L164" i="12" s="1"/>
  <c r="K163" i="12"/>
  <c r="O163" i="12"/>
  <c r="P163" i="12"/>
  <c r="M163" i="12"/>
  <c r="N163" i="12" s="1"/>
  <c r="N120" i="12"/>
  <c r="O120" i="12"/>
  <c r="K121" i="12" s="1"/>
  <c r="L121" i="12" s="1"/>
  <c r="N119" i="12"/>
  <c r="P119" i="12"/>
  <c r="P120" i="12" s="1"/>
  <c r="F96" i="12"/>
  <c r="B97" i="12" s="1"/>
  <c r="G96" i="12"/>
  <c r="L163" i="8"/>
  <c r="N162" i="8"/>
  <c r="A163" i="8"/>
  <c r="D162" i="8"/>
  <c r="L212" i="14" l="1"/>
  <c r="N211" i="14"/>
  <c r="O211" i="14"/>
  <c r="A208" i="14"/>
  <c r="D207" i="14"/>
  <c r="E207" i="14" s="1"/>
  <c r="C207" i="14"/>
  <c r="H80" i="14"/>
  <c r="F80" i="14"/>
  <c r="B81" i="14" s="1"/>
  <c r="P129" i="14"/>
  <c r="M130" i="14" s="1"/>
  <c r="M174" i="14"/>
  <c r="Q174" i="14"/>
  <c r="P174" i="14"/>
  <c r="H174" i="14"/>
  <c r="B174" i="14"/>
  <c r="F174" i="14"/>
  <c r="G174" i="14"/>
  <c r="B163" i="12"/>
  <c r="A164" i="12"/>
  <c r="F163" i="12"/>
  <c r="C163" i="12"/>
  <c r="D163" i="12"/>
  <c r="E163" i="12" s="1"/>
  <c r="N121" i="12"/>
  <c r="P121" i="12"/>
  <c r="P164" i="12"/>
  <c r="M164" i="12"/>
  <c r="N164" i="12" s="1"/>
  <c r="K164" i="12"/>
  <c r="J165" i="12"/>
  <c r="L165" i="12" s="1"/>
  <c r="O164" i="12"/>
  <c r="C97" i="12"/>
  <c r="E97" i="12" s="1"/>
  <c r="G164" i="12"/>
  <c r="B164" i="12"/>
  <c r="L164" i="8"/>
  <c r="N163" i="8"/>
  <c r="A164" i="8"/>
  <c r="D163" i="8"/>
  <c r="L213" i="14" l="1"/>
  <c r="N212" i="14"/>
  <c r="O212" i="14"/>
  <c r="A209" i="14"/>
  <c r="D208" i="14"/>
  <c r="E208" i="14" s="1"/>
  <c r="C208" i="14"/>
  <c r="C81" i="14"/>
  <c r="Q130" i="14"/>
  <c r="P130" i="14"/>
  <c r="M131" i="14" s="1"/>
  <c r="Q175" i="14"/>
  <c r="P175" i="14"/>
  <c r="M175" i="14"/>
  <c r="G175" i="14"/>
  <c r="F175" i="14"/>
  <c r="H175" i="14"/>
  <c r="B175" i="14"/>
  <c r="G97" i="12"/>
  <c r="F97" i="12"/>
  <c r="B98" i="12" s="1"/>
  <c r="A165" i="12"/>
  <c r="B165" i="12" s="1"/>
  <c r="F164" i="12"/>
  <c r="C164" i="12"/>
  <c r="D164" i="12"/>
  <c r="E164" i="12" s="1"/>
  <c r="O165" i="12"/>
  <c r="M165" i="12"/>
  <c r="N165" i="12" s="1"/>
  <c r="J166" i="12"/>
  <c r="L166" i="12" s="1"/>
  <c r="P165" i="12"/>
  <c r="K165" i="12"/>
  <c r="O121" i="12"/>
  <c r="K122" i="12" s="1"/>
  <c r="L122" i="12" s="1"/>
  <c r="L165" i="8"/>
  <c r="N164" i="8"/>
  <c r="A165" i="8"/>
  <c r="D164" i="8"/>
  <c r="L214" i="14" l="1"/>
  <c r="N213" i="14"/>
  <c r="O213" i="14"/>
  <c r="A210" i="14"/>
  <c r="D209" i="14"/>
  <c r="E209" i="14" s="1"/>
  <c r="C209" i="14"/>
  <c r="E81" i="14"/>
  <c r="G81" i="14"/>
  <c r="P131" i="14"/>
  <c r="M132" i="14" s="1"/>
  <c r="Q131" i="14"/>
  <c r="P176" i="14"/>
  <c r="Q176" i="14"/>
  <c r="M176" i="14"/>
  <c r="G176" i="14"/>
  <c r="B176" i="14"/>
  <c r="F176" i="14"/>
  <c r="H176" i="14"/>
  <c r="A166" i="12"/>
  <c r="G166" i="12" s="1"/>
  <c r="F165" i="12"/>
  <c r="C165" i="12"/>
  <c r="D165" i="12"/>
  <c r="E165" i="12" s="1"/>
  <c r="G165" i="12"/>
  <c r="J167" i="12"/>
  <c r="L167" i="12" s="1"/>
  <c r="K166" i="12"/>
  <c r="P166" i="12"/>
  <c r="O166" i="12"/>
  <c r="M166" i="12"/>
  <c r="N166" i="12" s="1"/>
  <c r="O122" i="12"/>
  <c r="K123" i="12" s="1"/>
  <c r="L123" i="12" s="1"/>
  <c r="C98" i="12"/>
  <c r="F98" i="12" s="1"/>
  <c r="L166" i="8"/>
  <c r="N165" i="8"/>
  <c r="A166" i="8"/>
  <c r="D165" i="8"/>
  <c r="L215" i="14" l="1"/>
  <c r="N214" i="14"/>
  <c r="O214" i="14"/>
  <c r="A211" i="14"/>
  <c r="D210" i="14"/>
  <c r="E210" i="14" s="1"/>
  <c r="C210" i="14"/>
  <c r="F81" i="14"/>
  <c r="B82" i="14" s="1"/>
  <c r="H81" i="14"/>
  <c r="Q132" i="14"/>
  <c r="Q177" i="14"/>
  <c r="P177" i="14"/>
  <c r="M177" i="14"/>
  <c r="H177" i="14"/>
  <c r="B177" i="14"/>
  <c r="G177" i="14"/>
  <c r="F177" i="14"/>
  <c r="B166" i="12"/>
  <c r="A167" i="12"/>
  <c r="B167" i="12" s="1"/>
  <c r="F166" i="12"/>
  <c r="C166" i="12"/>
  <c r="D166" i="12"/>
  <c r="E166" i="12" s="1"/>
  <c r="M167" i="12"/>
  <c r="N167" i="12" s="1"/>
  <c r="J168" i="12"/>
  <c r="L168" i="12" s="1"/>
  <c r="K167" i="12"/>
  <c r="P167" i="12"/>
  <c r="O167" i="12"/>
  <c r="N123" i="12"/>
  <c r="O123" i="12"/>
  <c r="K124" i="12" s="1"/>
  <c r="L124" i="12" s="1"/>
  <c r="N122" i="12"/>
  <c r="P122" i="12"/>
  <c r="P123" i="12" s="1"/>
  <c r="E98" i="12"/>
  <c r="B99" i="12" s="1"/>
  <c r="G98" i="12"/>
  <c r="L167" i="8"/>
  <c r="N166" i="8"/>
  <c r="A167" i="8"/>
  <c r="D166" i="8"/>
  <c r="G167" i="12" l="1"/>
  <c r="L216" i="14"/>
  <c r="N215" i="14"/>
  <c r="O215" i="14"/>
  <c r="A212" i="14"/>
  <c r="D211" i="14"/>
  <c r="E211" i="14" s="1"/>
  <c r="C211" i="14"/>
  <c r="C82" i="14"/>
  <c r="P132" i="14"/>
  <c r="M133" i="14" s="1"/>
  <c r="Q178" i="14"/>
  <c r="P178" i="14"/>
  <c r="M178" i="14"/>
  <c r="G178" i="14"/>
  <c r="F178" i="14"/>
  <c r="B178" i="14"/>
  <c r="H178" i="14"/>
  <c r="A168" i="12"/>
  <c r="G168" i="12" s="1"/>
  <c r="F167" i="12"/>
  <c r="C167" i="12"/>
  <c r="D167" i="12"/>
  <c r="E167" i="12" s="1"/>
  <c r="N124" i="12"/>
  <c r="O124" i="12"/>
  <c r="K125" i="12" s="1"/>
  <c r="L125" i="12" s="1"/>
  <c r="P168" i="12"/>
  <c r="O168" i="12"/>
  <c r="J169" i="12"/>
  <c r="L169" i="12" s="1"/>
  <c r="M168" i="12"/>
  <c r="N168" i="12" s="1"/>
  <c r="K168" i="12"/>
  <c r="P124" i="12"/>
  <c r="C99" i="12"/>
  <c r="E99" i="12" s="1"/>
  <c r="L168" i="8"/>
  <c r="N167" i="8"/>
  <c r="A168" i="8"/>
  <c r="D167" i="8"/>
  <c r="L217" i="14" l="1"/>
  <c r="N216" i="14"/>
  <c r="O216" i="14"/>
  <c r="A213" i="14"/>
  <c r="D212" i="14"/>
  <c r="E212" i="14" s="1"/>
  <c r="C212" i="14"/>
  <c r="E82" i="14"/>
  <c r="G82" i="14"/>
  <c r="Q133" i="14"/>
  <c r="Q179" i="14"/>
  <c r="P179" i="14"/>
  <c r="M179" i="14"/>
  <c r="G179" i="14"/>
  <c r="F179" i="14"/>
  <c r="B179" i="14"/>
  <c r="H179" i="14"/>
  <c r="B168" i="12"/>
  <c r="A169" i="12"/>
  <c r="F168" i="12"/>
  <c r="C168" i="12"/>
  <c r="D168" i="12"/>
  <c r="E168" i="12" s="1"/>
  <c r="N125" i="12"/>
  <c r="J170" i="12"/>
  <c r="L170" i="12" s="1"/>
  <c r="K169" i="12"/>
  <c r="O169" i="12"/>
  <c r="M169" i="12"/>
  <c r="N169" i="12" s="1"/>
  <c r="P169" i="12"/>
  <c r="P125" i="12"/>
  <c r="F99" i="12"/>
  <c r="B100" i="12" s="1"/>
  <c r="G99" i="12"/>
  <c r="G169" i="12"/>
  <c r="B169" i="12"/>
  <c r="L169" i="8"/>
  <c r="N168" i="8"/>
  <c r="A169" i="8"/>
  <c r="D168" i="8"/>
  <c r="L218" i="14" l="1"/>
  <c r="N217" i="14"/>
  <c r="O217" i="14"/>
  <c r="A214" i="14"/>
  <c r="D213" i="14"/>
  <c r="E213" i="14" s="1"/>
  <c r="C213" i="14"/>
  <c r="H82" i="14"/>
  <c r="F82" i="14"/>
  <c r="B83" i="14" s="1"/>
  <c r="P133" i="14"/>
  <c r="M134" i="14" s="1"/>
  <c r="M180" i="14"/>
  <c r="Q180" i="14"/>
  <c r="P180" i="14"/>
  <c r="H180" i="14"/>
  <c r="B180" i="14"/>
  <c r="G180" i="14"/>
  <c r="F180" i="14"/>
  <c r="A170" i="12"/>
  <c r="B170" i="12" s="1"/>
  <c r="F169" i="12"/>
  <c r="C169" i="12"/>
  <c r="D169" i="12"/>
  <c r="E169" i="12" s="1"/>
  <c r="P170" i="12"/>
  <c r="M170" i="12"/>
  <c r="N170" i="12" s="1"/>
  <c r="J171" i="12"/>
  <c r="L171" i="12" s="1"/>
  <c r="O170" i="12"/>
  <c r="K170" i="12"/>
  <c r="O125" i="12"/>
  <c r="K126" i="12" s="1"/>
  <c r="L126" i="12" s="1"/>
  <c r="C100" i="12"/>
  <c r="E100" i="12" s="1"/>
  <c r="G100" i="12"/>
  <c r="L170" i="8"/>
  <c r="N169" i="8"/>
  <c r="A170" i="8"/>
  <c r="D169" i="8"/>
  <c r="L219" i="14" l="1"/>
  <c r="N218" i="14"/>
  <c r="O218" i="14"/>
  <c r="A215" i="14"/>
  <c r="D214" i="14"/>
  <c r="E214" i="14" s="1"/>
  <c r="C214" i="14"/>
  <c r="C83" i="14"/>
  <c r="Q134" i="14"/>
  <c r="Q181" i="14"/>
  <c r="M181" i="14"/>
  <c r="P181" i="14"/>
  <c r="G181" i="14"/>
  <c r="F181" i="14"/>
  <c r="B181" i="14"/>
  <c r="H181" i="14"/>
  <c r="G170" i="12"/>
  <c r="A171" i="12"/>
  <c r="G171" i="12" s="1"/>
  <c r="F170" i="12"/>
  <c r="C170" i="12"/>
  <c r="D170" i="12"/>
  <c r="E170" i="12" s="1"/>
  <c r="F100" i="12"/>
  <c r="B101" i="12" s="1"/>
  <c r="O171" i="12"/>
  <c r="M171" i="12"/>
  <c r="N171" i="12" s="1"/>
  <c r="K171" i="12"/>
  <c r="J172" i="12"/>
  <c r="L172" i="12" s="1"/>
  <c r="P171" i="12"/>
  <c r="O126" i="12"/>
  <c r="K127" i="12" s="1"/>
  <c r="L127" i="12" s="1"/>
  <c r="B171" i="12"/>
  <c r="L171" i="8"/>
  <c r="N170" i="8"/>
  <c r="A171" i="8"/>
  <c r="D170" i="8"/>
  <c r="L220" i="14" l="1"/>
  <c r="N219" i="14"/>
  <c r="O219" i="14"/>
  <c r="A216" i="14"/>
  <c r="D215" i="14"/>
  <c r="E215" i="14" s="1"/>
  <c r="C215" i="14"/>
  <c r="E83" i="14"/>
  <c r="G83" i="14"/>
  <c r="P134" i="14"/>
  <c r="M135" i="14" s="1"/>
  <c r="Q135" i="14" s="1"/>
  <c r="P182" i="14"/>
  <c r="M182" i="14"/>
  <c r="Q182" i="14"/>
  <c r="H182" i="14"/>
  <c r="F182" i="14"/>
  <c r="G182" i="14"/>
  <c r="B182" i="14"/>
  <c r="A172" i="12"/>
  <c r="B172" i="12" s="1"/>
  <c r="F171" i="12"/>
  <c r="C171" i="12"/>
  <c r="D171" i="12"/>
  <c r="E171" i="12" s="1"/>
  <c r="J173" i="12"/>
  <c r="L173" i="12" s="1"/>
  <c r="K172" i="12"/>
  <c r="P172" i="12"/>
  <c r="O172" i="12"/>
  <c r="M172" i="12"/>
  <c r="N172" i="12" s="1"/>
  <c r="N127" i="12"/>
  <c r="O127" i="12"/>
  <c r="K128" i="12" s="1"/>
  <c r="L128" i="12" s="1"/>
  <c r="N126" i="12"/>
  <c r="P126" i="12"/>
  <c r="P127" i="12" s="1"/>
  <c r="C101" i="12"/>
  <c r="F101" i="12" s="1"/>
  <c r="L172" i="8"/>
  <c r="N171" i="8"/>
  <c r="A172" i="8"/>
  <c r="D171" i="8"/>
  <c r="L221" i="14" l="1"/>
  <c r="N220" i="14"/>
  <c r="O220" i="14"/>
  <c r="A217" i="14"/>
  <c r="D216" i="14"/>
  <c r="E216" i="14" s="1"/>
  <c r="C216" i="14"/>
  <c r="F83" i="14"/>
  <c r="B84" i="14" s="1"/>
  <c r="H83" i="14"/>
  <c r="P135" i="14"/>
  <c r="M136" i="14" s="1"/>
  <c r="Q136" i="14" s="1"/>
  <c r="M183" i="14"/>
  <c r="Q183" i="14"/>
  <c r="P183" i="14"/>
  <c r="H183" i="14"/>
  <c r="B183" i="14"/>
  <c r="G183" i="14"/>
  <c r="F183" i="14"/>
  <c r="G172" i="12"/>
  <c r="A173" i="12"/>
  <c r="G173" i="12" s="1"/>
  <c r="F172" i="12"/>
  <c r="C172" i="12"/>
  <c r="D172" i="12"/>
  <c r="E172" i="12" s="1"/>
  <c r="N128" i="12"/>
  <c r="M173" i="12"/>
  <c r="N173" i="12" s="1"/>
  <c r="J174" i="12"/>
  <c r="L174" i="12" s="1"/>
  <c r="K173" i="12"/>
  <c r="P173" i="12"/>
  <c r="O173" i="12"/>
  <c r="P128" i="12"/>
  <c r="E101" i="12"/>
  <c r="B102" i="12" s="1"/>
  <c r="G101" i="12"/>
  <c r="L173" i="8"/>
  <c r="N172" i="8"/>
  <c r="A173" i="8"/>
  <c r="D172" i="8"/>
  <c r="L222" i="14" l="1"/>
  <c r="N221" i="14"/>
  <c r="O221" i="14"/>
  <c r="A218" i="14"/>
  <c r="D217" i="14"/>
  <c r="E217" i="14" s="1"/>
  <c r="C217" i="14"/>
  <c r="C84" i="14"/>
  <c r="P136" i="14"/>
  <c r="M137" i="14" s="1"/>
  <c r="M184" i="14"/>
  <c r="Q184" i="14"/>
  <c r="P184" i="14"/>
  <c r="G184" i="14"/>
  <c r="F184" i="14"/>
  <c r="B184" i="14"/>
  <c r="H184" i="14"/>
  <c r="B173" i="12"/>
  <c r="A174" i="12"/>
  <c r="G174" i="12" s="1"/>
  <c r="F173" i="12"/>
  <c r="C173" i="12"/>
  <c r="D173" i="12"/>
  <c r="E173" i="12" s="1"/>
  <c r="P174" i="12"/>
  <c r="O174" i="12"/>
  <c r="M174" i="12"/>
  <c r="N174" i="12" s="1"/>
  <c r="K174" i="12"/>
  <c r="J175" i="12"/>
  <c r="L175" i="12" s="1"/>
  <c r="O128" i="12"/>
  <c r="K129" i="12" s="1"/>
  <c r="L129" i="12" s="1"/>
  <c r="C102" i="12"/>
  <c r="E102" i="12" s="1"/>
  <c r="L174" i="8"/>
  <c r="N173" i="8"/>
  <c r="A174" i="8"/>
  <c r="D173" i="8"/>
  <c r="L223" i="14" l="1"/>
  <c r="N222" i="14"/>
  <c r="O222" i="14"/>
  <c r="A219" i="14"/>
  <c r="D218" i="14"/>
  <c r="E218" i="14" s="1"/>
  <c r="C218" i="14"/>
  <c r="E84" i="14"/>
  <c r="G84" i="14"/>
  <c r="Q137" i="14"/>
  <c r="M185" i="14"/>
  <c r="Q185" i="14"/>
  <c r="P185" i="14"/>
  <c r="B185" i="14"/>
  <c r="G185" i="14"/>
  <c r="F185" i="14"/>
  <c r="H185" i="14"/>
  <c r="B174" i="12"/>
  <c r="F102" i="12"/>
  <c r="A175" i="12"/>
  <c r="G175" i="12" s="1"/>
  <c r="F174" i="12"/>
  <c r="C174" i="12"/>
  <c r="D174" i="12"/>
  <c r="E174" i="12" s="1"/>
  <c r="J176" i="12"/>
  <c r="L176" i="12" s="1"/>
  <c r="K175" i="12"/>
  <c r="O175" i="12"/>
  <c r="P175" i="12"/>
  <c r="M175" i="12"/>
  <c r="N175" i="12" s="1"/>
  <c r="B103" i="12"/>
  <c r="G102" i="12"/>
  <c r="L175" i="8"/>
  <c r="N174" i="8"/>
  <c r="A175" i="8"/>
  <c r="D174" i="8"/>
  <c r="L224" i="14" l="1"/>
  <c r="N223" i="14"/>
  <c r="O223" i="14"/>
  <c r="A220" i="14"/>
  <c r="D219" i="14"/>
  <c r="E219" i="14" s="1"/>
  <c r="C219" i="14"/>
  <c r="H84" i="14"/>
  <c r="F84" i="14"/>
  <c r="B85" i="14" s="1"/>
  <c r="P137" i="14"/>
  <c r="M138" i="14" s="1"/>
  <c r="M186" i="14"/>
  <c r="Q186" i="14"/>
  <c r="P186" i="14"/>
  <c r="H186" i="14"/>
  <c r="B186" i="14"/>
  <c r="G186" i="14"/>
  <c r="F186" i="14"/>
  <c r="A176" i="12"/>
  <c r="B176" i="12" s="1"/>
  <c r="F175" i="12"/>
  <c r="C175" i="12"/>
  <c r="D175" i="12"/>
  <c r="E175" i="12" s="1"/>
  <c r="B175" i="12"/>
  <c r="N129" i="12"/>
  <c r="P129" i="12"/>
  <c r="O129" i="12"/>
  <c r="K130" i="12" s="1"/>
  <c r="L130" i="12" s="1"/>
  <c r="P176" i="12"/>
  <c r="M176" i="12"/>
  <c r="N176" i="12" s="1"/>
  <c r="K176" i="12"/>
  <c r="J177" i="12"/>
  <c r="L177" i="12" s="1"/>
  <c r="O176" i="12"/>
  <c r="C103" i="12"/>
  <c r="E103" i="12" s="1"/>
  <c r="L176" i="8"/>
  <c r="N175" i="8"/>
  <c r="A176" i="8"/>
  <c r="D175" i="8"/>
  <c r="L225" i="14" l="1"/>
  <c r="N224" i="14"/>
  <c r="O224" i="14"/>
  <c r="A221" i="14"/>
  <c r="D220" i="14"/>
  <c r="E220" i="14" s="1"/>
  <c r="C220" i="14"/>
  <c r="C85" i="14"/>
  <c r="Q138" i="14"/>
  <c r="Q187" i="14"/>
  <c r="M187" i="14"/>
  <c r="P187" i="14"/>
  <c r="G187" i="14"/>
  <c r="F187" i="14"/>
  <c r="H187" i="14"/>
  <c r="B187" i="14"/>
  <c r="G176" i="12"/>
  <c r="F103" i="12"/>
  <c r="A177" i="12"/>
  <c r="F176" i="12"/>
  <c r="C176" i="12"/>
  <c r="D176" i="12"/>
  <c r="E176" i="12" s="1"/>
  <c r="N130" i="12"/>
  <c r="O177" i="12"/>
  <c r="M177" i="12"/>
  <c r="N177" i="12" s="1"/>
  <c r="J178" i="12"/>
  <c r="L178" i="12" s="1"/>
  <c r="P177" i="12"/>
  <c r="K177" i="12"/>
  <c r="P130" i="12"/>
  <c r="B104" i="12"/>
  <c r="C104" i="12" s="1"/>
  <c r="E104" i="12" s="1"/>
  <c r="G103" i="12"/>
  <c r="G177" i="12"/>
  <c r="B177" i="12"/>
  <c r="L177" i="8"/>
  <c r="N176" i="8"/>
  <c r="A177" i="8"/>
  <c r="D176" i="8"/>
  <c r="L226" i="14" l="1"/>
  <c r="N225" i="14"/>
  <c r="O225" i="14"/>
  <c r="A222" i="14"/>
  <c r="D221" i="14"/>
  <c r="E221" i="14" s="1"/>
  <c r="C221" i="14"/>
  <c r="E85" i="14"/>
  <c r="G85" i="14"/>
  <c r="P138" i="14"/>
  <c r="M139" i="14" s="1"/>
  <c r="P188" i="14"/>
  <c r="M188" i="14"/>
  <c r="Q188" i="14"/>
  <c r="G188" i="14"/>
  <c r="F188" i="14"/>
  <c r="B188" i="14"/>
  <c r="H188" i="14"/>
  <c r="G104" i="12"/>
  <c r="F104" i="12"/>
  <c r="B105" i="12" s="1"/>
  <c r="A178" i="12"/>
  <c r="B178" i="12" s="1"/>
  <c r="F177" i="12"/>
  <c r="C177" i="12"/>
  <c r="D177" i="12"/>
  <c r="E177" i="12" s="1"/>
  <c r="J179" i="12"/>
  <c r="L179" i="12" s="1"/>
  <c r="K178" i="12"/>
  <c r="P178" i="12"/>
  <c r="O178" i="12"/>
  <c r="M178" i="12"/>
  <c r="N178" i="12" s="1"/>
  <c r="O130" i="12"/>
  <c r="K131" i="12" s="1"/>
  <c r="L131" i="12" s="1"/>
  <c r="L178" i="8"/>
  <c r="N177" i="8"/>
  <c r="A178" i="8"/>
  <c r="D177" i="8"/>
  <c r="L227" i="14" l="1"/>
  <c r="N226" i="14"/>
  <c r="O226" i="14"/>
  <c r="A223" i="14"/>
  <c r="D222" i="14"/>
  <c r="E222" i="14" s="1"/>
  <c r="C222" i="14"/>
  <c r="F85" i="14"/>
  <c r="B86" i="14" s="1"/>
  <c r="H85" i="14"/>
  <c r="Q139" i="14"/>
  <c r="M189" i="14"/>
  <c r="Q189" i="14"/>
  <c r="P189" i="14"/>
  <c r="H189" i="14"/>
  <c r="B189" i="14"/>
  <c r="G189" i="14"/>
  <c r="F189" i="14"/>
  <c r="A179" i="12"/>
  <c r="B179" i="12" s="1"/>
  <c r="F178" i="12"/>
  <c r="C178" i="12"/>
  <c r="D178" i="12"/>
  <c r="E178" i="12" s="1"/>
  <c r="G178" i="12"/>
  <c r="M179" i="12"/>
  <c r="N179" i="12" s="1"/>
  <c r="J180" i="12"/>
  <c r="L180" i="12" s="1"/>
  <c r="K179" i="12"/>
  <c r="P179" i="12"/>
  <c r="O179" i="12"/>
  <c r="C105" i="12"/>
  <c r="F105" i="12" s="1"/>
  <c r="G179" i="12"/>
  <c r="L179" i="8"/>
  <c r="N178" i="8"/>
  <c r="A179" i="8"/>
  <c r="D178" i="8"/>
  <c r="L228" i="14" l="1"/>
  <c r="N227" i="14"/>
  <c r="O227" i="14"/>
  <c r="A224" i="14"/>
  <c r="D223" i="14"/>
  <c r="E223" i="14" s="1"/>
  <c r="C223" i="14"/>
  <c r="C86" i="14"/>
  <c r="P139" i="14"/>
  <c r="M140" i="14" s="1"/>
  <c r="M190" i="14"/>
  <c r="Q190" i="14"/>
  <c r="P190" i="14"/>
  <c r="G190" i="14"/>
  <c r="F190" i="14"/>
  <c r="H190" i="14"/>
  <c r="B190" i="14"/>
  <c r="A180" i="12"/>
  <c r="G180" i="12" s="1"/>
  <c r="F179" i="12"/>
  <c r="C179" i="12"/>
  <c r="D179" i="12"/>
  <c r="E179" i="12" s="1"/>
  <c r="N131" i="12"/>
  <c r="P131" i="12"/>
  <c r="P180" i="12"/>
  <c r="O180" i="12"/>
  <c r="J181" i="12"/>
  <c r="L181" i="12" s="1"/>
  <c r="K180" i="12"/>
  <c r="M180" i="12"/>
  <c r="N180" i="12" s="1"/>
  <c r="O131" i="12"/>
  <c r="K132" i="12" s="1"/>
  <c r="L132" i="12" s="1"/>
  <c r="E105" i="12"/>
  <c r="B106" i="12" s="1"/>
  <c r="G105" i="12"/>
  <c r="L180" i="8"/>
  <c r="N179" i="8"/>
  <c r="A180" i="8"/>
  <c r="D179" i="8"/>
  <c r="L229" i="14" l="1"/>
  <c r="N228" i="14"/>
  <c r="O228" i="14"/>
  <c r="A225" i="14"/>
  <c r="D224" i="14"/>
  <c r="E224" i="14" s="1"/>
  <c r="C224" i="14"/>
  <c r="E86" i="14"/>
  <c r="G86" i="14"/>
  <c r="Q140" i="14"/>
  <c r="M191" i="14"/>
  <c r="Q191" i="14"/>
  <c r="P191" i="14"/>
  <c r="H191" i="14"/>
  <c r="G191" i="14"/>
  <c r="B191" i="14"/>
  <c r="F191" i="14"/>
  <c r="B180" i="12"/>
  <c r="A181" i="12"/>
  <c r="F180" i="12"/>
  <c r="C180" i="12"/>
  <c r="D180" i="12"/>
  <c r="E180" i="12" s="1"/>
  <c r="J182" i="12"/>
  <c r="L182" i="12" s="1"/>
  <c r="K181" i="12"/>
  <c r="O181" i="12"/>
  <c r="M181" i="12"/>
  <c r="N181" i="12" s="1"/>
  <c r="P181" i="12"/>
  <c r="N132" i="12"/>
  <c r="O132" i="12"/>
  <c r="K133" i="12" s="1"/>
  <c r="L133" i="12" s="1"/>
  <c r="C106" i="12"/>
  <c r="E106" i="12" s="1"/>
  <c r="B181" i="12"/>
  <c r="G181" i="12"/>
  <c r="L181" i="8"/>
  <c r="N180" i="8"/>
  <c r="A181" i="8"/>
  <c r="D180" i="8"/>
  <c r="L230" i="14" l="1"/>
  <c r="N229" i="14"/>
  <c r="O229" i="14"/>
  <c r="A226" i="14"/>
  <c r="D225" i="14"/>
  <c r="E225" i="14" s="1"/>
  <c r="C225" i="14"/>
  <c r="H86" i="14"/>
  <c r="F86" i="14"/>
  <c r="B87" i="14" s="1"/>
  <c r="P140" i="14"/>
  <c r="M141" i="14" s="1"/>
  <c r="M192" i="14"/>
  <c r="Q192" i="14"/>
  <c r="P192" i="14"/>
  <c r="H192" i="14"/>
  <c r="B192" i="14"/>
  <c r="G192" i="14"/>
  <c r="F192" i="14"/>
  <c r="A182" i="12"/>
  <c r="B182" i="12" s="1"/>
  <c r="F181" i="12"/>
  <c r="C181" i="12"/>
  <c r="D181" i="12"/>
  <c r="E181" i="12" s="1"/>
  <c r="N133" i="12"/>
  <c r="P132" i="12"/>
  <c r="P182" i="12"/>
  <c r="M182" i="12"/>
  <c r="N182" i="12" s="1"/>
  <c r="J183" i="12"/>
  <c r="L183" i="12" s="1"/>
  <c r="O182" i="12"/>
  <c r="K182" i="12"/>
  <c r="F106" i="12"/>
  <c r="B107" i="12" s="1"/>
  <c r="G106" i="12"/>
  <c r="G182" i="12"/>
  <c r="L182" i="8"/>
  <c r="N181" i="8"/>
  <c r="A182" i="8"/>
  <c r="D181" i="8"/>
  <c r="L231" i="14" l="1"/>
  <c r="N230" i="14"/>
  <c r="O230" i="14"/>
  <c r="A227" i="14"/>
  <c r="D226" i="14"/>
  <c r="E226" i="14" s="1"/>
  <c r="C226" i="14"/>
  <c r="C87" i="14"/>
  <c r="Q141" i="14"/>
  <c r="Q193" i="14"/>
  <c r="M193" i="14"/>
  <c r="P193" i="14"/>
  <c r="G193" i="14"/>
  <c r="F193" i="14"/>
  <c r="B193" i="14"/>
  <c r="H193" i="14"/>
  <c r="A183" i="12"/>
  <c r="B183" i="12" s="1"/>
  <c r="F182" i="12"/>
  <c r="C182" i="12"/>
  <c r="D182" i="12"/>
  <c r="E182" i="12" s="1"/>
  <c r="P133" i="12"/>
  <c r="O133" i="12"/>
  <c r="K134" i="12" s="1"/>
  <c r="L134" i="12" s="1"/>
  <c r="N134" i="12" s="1"/>
  <c r="O183" i="12"/>
  <c r="M183" i="12"/>
  <c r="N183" i="12" s="1"/>
  <c r="K183" i="12"/>
  <c r="J184" i="12"/>
  <c r="L184" i="12" s="1"/>
  <c r="P183" i="12"/>
  <c r="C107" i="12"/>
  <c r="E107" i="12" s="1"/>
  <c r="L183" i="8"/>
  <c r="N182" i="8"/>
  <c r="A183" i="8"/>
  <c r="D182" i="8"/>
  <c r="G183" i="12" l="1"/>
  <c r="L232" i="14"/>
  <c r="N231" i="14"/>
  <c r="O231" i="14"/>
  <c r="A228" i="14"/>
  <c r="D227" i="14"/>
  <c r="E227" i="14" s="1"/>
  <c r="C227" i="14"/>
  <c r="E87" i="14"/>
  <c r="G87" i="14"/>
  <c r="P141" i="14"/>
  <c r="M142" i="14" s="1"/>
  <c r="Q142" i="14" s="1"/>
  <c r="P194" i="14"/>
  <c r="M194" i="14"/>
  <c r="Q194" i="14"/>
  <c r="B194" i="14"/>
  <c r="G194" i="14"/>
  <c r="F194" i="14"/>
  <c r="H194" i="14"/>
  <c r="G107" i="12"/>
  <c r="F107" i="12"/>
  <c r="A184" i="12"/>
  <c r="B184" i="12" s="1"/>
  <c r="F183" i="12"/>
  <c r="C183" i="12"/>
  <c r="D183" i="12"/>
  <c r="E183" i="12" s="1"/>
  <c r="J185" i="12"/>
  <c r="L185" i="12" s="1"/>
  <c r="K184" i="12"/>
  <c r="P184" i="12"/>
  <c r="O184" i="12"/>
  <c r="M184" i="12"/>
  <c r="N184" i="12" s="1"/>
  <c r="O134" i="12"/>
  <c r="K135" i="12" s="1"/>
  <c r="L135" i="12" s="1"/>
  <c r="P134" i="12"/>
  <c r="B108" i="12"/>
  <c r="L184" i="8"/>
  <c r="N183" i="8"/>
  <c r="A184" i="8"/>
  <c r="D183" i="8"/>
  <c r="G184" i="12" l="1"/>
  <c r="L233" i="14"/>
  <c r="N232" i="14"/>
  <c r="O232" i="14"/>
  <c r="A229" i="14"/>
  <c r="D228" i="14"/>
  <c r="E228" i="14" s="1"/>
  <c r="C228" i="14"/>
  <c r="F87" i="14"/>
  <c r="B88" i="14" s="1"/>
  <c r="H87" i="14"/>
  <c r="P142" i="14"/>
  <c r="M143" i="14" s="1"/>
  <c r="Q143" i="14" s="1"/>
  <c r="M195" i="14"/>
  <c r="Q195" i="14"/>
  <c r="P195" i="14"/>
  <c r="H195" i="14"/>
  <c r="B195" i="14"/>
  <c r="G195" i="14"/>
  <c r="F195" i="14"/>
  <c r="A185" i="12"/>
  <c r="G185" i="12" s="1"/>
  <c r="F184" i="12"/>
  <c r="C184" i="12"/>
  <c r="D184" i="12"/>
  <c r="E184" i="12" s="1"/>
  <c r="M185" i="12"/>
  <c r="N185" i="12" s="1"/>
  <c r="J186" i="12"/>
  <c r="L186" i="12" s="1"/>
  <c r="K185" i="12"/>
  <c r="P185" i="12"/>
  <c r="O185" i="12"/>
  <c r="N135" i="12"/>
  <c r="C108" i="12"/>
  <c r="F108" i="12" s="1"/>
  <c r="L185" i="8"/>
  <c r="N184" i="8"/>
  <c r="A185" i="8"/>
  <c r="D184" i="8"/>
  <c r="L234" i="14" l="1"/>
  <c r="N233" i="14"/>
  <c r="O233" i="14"/>
  <c r="A230" i="14"/>
  <c r="D229" i="14"/>
  <c r="E229" i="14" s="1"/>
  <c r="C229" i="14"/>
  <c r="C88" i="14"/>
  <c r="P143" i="14"/>
  <c r="M144" i="14" s="1"/>
  <c r="M196" i="14"/>
  <c r="Q196" i="14"/>
  <c r="P196" i="14"/>
  <c r="G196" i="14"/>
  <c r="F196" i="14"/>
  <c r="H196" i="14"/>
  <c r="B196" i="14"/>
  <c r="B185" i="12"/>
  <c r="A186" i="12"/>
  <c r="F185" i="12"/>
  <c r="C185" i="12"/>
  <c r="D185" i="12"/>
  <c r="E185" i="12" s="1"/>
  <c r="P186" i="12"/>
  <c r="O186" i="12"/>
  <c r="M186" i="12"/>
  <c r="N186" i="12" s="1"/>
  <c r="K186" i="12"/>
  <c r="J187" i="12"/>
  <c r="L187" i="12" s="1"/>
  <c r="O135" i="12"/>
  <c r="K136" i="12" s="1"/>
  <c r="L136" i="12" s="1"/>
  <c r="P135" i="12"/>
  <c r="E108" i="12"/>
  <c r="B109" i="12" s="1"/>
  <c r="G108" i="12"/>
  <c r="G186" i="12"/>
  <c r="B186" i="12"/>
  <c r="L186" i="8"/>
  <c r="N185" i="8"/>
  <c r="A186" i="8"/>
  <c r="D185" i="8"/>
  <c r="L235" i="14" l="1"/>
  <c r="N234" i="14"/>
  <c r="O234" i="14"/>
  <c r="A231" i="14"/>
  <c r="D230" i="14"/>
  <c r="E230" i="14" s="1"/>
  <c r="C230" i="14"/>
  <c r="E88" i="14"/>
  <c r="G88" i="14"/>
  <c r="Q144" i="14"/>
  <c r="M197" i="14"/>
  <c r="Q197" i="14"/>
  <c r="P197" i="14"/>
  <c r="G197" i="14"/>
  <c r="F197" i="14"/>
  <c r="H197" i="14"/>
  <c r="B197" i="14"/>
  <c r="A187" i="12"/>
  <c r="G187" i="12" s="1"/>
  <c r="F186" i="12"/>
  <c r="C186" i="12"/>
  <c r="D186" i="12"/>
  <c r="E186" i="12" s="1"/>
  <c r="J188" i="12"/>
  <c r="L188" i="12" s="1"/>
  <c r="K187" i="12"/>
  <c r="O187" i="12"/>
  <c r="P187" i="12"/>
  <c r="M187" i="12"/>
  <c r="N187" i="12" s="1"/>
  <c r="N136" i="12"/>
  <c r="C109" i="12"/>
  <c r="E109" i="12" s="1"/>
  <c r="L187" i="8"/>
  <c r="N186" i="8"/>
  <c r="A187" i="8"/>
  <c r="D186" i="8"/>
  <c r="L236" i="14" l="1"/>
  <c r="N235" i="14"/>
  <c r="O235" i="14"/>
  <c r="A232" i="14"/>
  <c r="D231" i="14"/>
  <c r="E231" i="14" s="1"/>
  <c r="C231" i="14"/>
  <c r="H88" i="14"/>
  <c r="F88" i="14"/>
  <c r="B89" i="14" s="1"/>
  <c r="P144" i="14"/>
  <c r="M145" i="14" s="1"/>
  <c r="M198" i="14"/>
  <c r="Q198" i="14"/>
  <c r="P198" i="14"/>
  <c r="H198" i="14"/>
  <c r="B198" i="14"/>
  <c r="G198" i="14"/>
  <c r="F198" i="14"/>
  <c r="B187" i="12"/>
  <c r="F109" i="12"/>
  <c r="A188" i="12"/>
  <c r="G188" i="12" s="1"/>
  <c r="F187" i="12"/>
  <c r="C187" i="12"/>
  <c r="D187" i="12"/>
  <c r="E187" i="12" s="1"/>
  <c r="O136" i="12"/>
  <c r="K137" i="12" s="1"/>
  <c r="L137" i="12" s="1"/>
  <c r="P136" i="12"/>
  <c r="P188" i="12"/>
  <c r="M188" i="12"/>
  <c r="N188" i="12" s="1"/>
  <c r="K188" i="12"/>
  <c r="J189" i="12"/>
  <c r="L189" i="12" s="1"/>
  <c r="O188" i="12"/>
  <c r="B110" i="12"/>
  <c r="C110" i="12" s="1"/>
  <c r="E110" i="12" s="1"/>
  <c r="G109" i="12"/>
  <c r="L188" i="8"/>
  <c r="N187" i="8"/>
  <c r="A188" i="8"/>
  <c r="D187" i="8"/>
  <c r="L237" i="14" l="1"/>
  <c r="N236" i="14"/>
  <c r="O236" i="14"/>
  <c r="A233" i="14"/>
  <c r="D232" i="14"/>
  <c r="E232" i="14" s="1"/>
  <c r="C232" i="14"/>
  <c r="C89" i="14"/>
  <c r="Q145" i="14"/>
  <c r="Q199" i="14"/>
  <c r="M199" i="14"/>
  <c r="P199" i="14"/>
  <c r="G199" i="14"/>
  <c r="F199" i="14"/>
  <c r="H199" i="14"/>
  <c r="B199" i="14"/>
  <c r="B188" i="12"/>
  <c r="G110" i="12"/>
  <c r="F110" i="12"/>
  <c r="A189" i="12"/>
  <c r="G189" i="12" s="1"/>
  <c r="F188" i="12"/>
  <c r="C188" i="12"/>
  <c r="D188" i="12"/>
  <c r="E188" i="12" s="1"/>
  <c r="O189" i="12"/>
  <c r="M189" i="12"/>
  <c r="N189" i="12" s="1"/>
  <c r="J190" i="12"/>
  <c r="L190" i="12" s="1"/>
  <c r="P189" i="12"/>
  <c r="K189" i="12"/>
  <c r="N137" i="12"/>
  <c r="O137" i="12"/>
  <c r="K138" i="12" s="1"/>
  <c r="L138" i="12" s="1"/>
  <c r="B111" i="12"/>
  <c r="L189" i="8"/>
  <c r="N188" i="8"/>
  <c r="A189" i="8"/>
  <c r="D188" i="8"/>
  <c r="L238" i="14" l="1"/>
  <c r="N237" i="14"/>
  <c r="O237" i="14"/>
  <c r="A234" i="14"/>
  <c r="D233" i="14"/>
  <c r="E233" i="14" s="1"/>
  <c r="C233" i="14"/>
  <c r="E89" i="14"/>
  <c r="G89" i="14"/>
  <c r="P145" i="14"/>
  <c r="M146" i="14" s="1"/>
  <c r="Q146" i="14" s="1"/>
  <c r="P200" i="14"/>
  <c r="M200" i="14"/>
  <c r="Q200" i="14"/>
  <c r="H200" i="14"/>
  <c r="G200" i="14"/>
  <c r="B200" i="14"/>
  <c r="F200" i="14"/>
  <c r="B189" i="12"/>
  <c r="A190" i="12"/>
  <c r="B190" i="12" s="1"/>
  <c r="F189" i="12"/>
  <c r="C189" i="12"/>
  <c r="D189" i="12"/>
  <c r="E189" i="12" s="1"/>
  <c r="J191" i="12"/>
  <c r="L191" i="12" s="1"/>
  <c r="K190" i="12"/>
  <c r="P190" i="12"/>
  <c r="M190" i="12"/>
  <c r="N190" i="12" s="1"/>
  <c r="O190" i="12"/>
  <c r="N138" i="12"/>
  <c r="P137" i="12"/>
  <c r="P138" i="12" s="1"/>
  <c r="C111" i="12"/>
  <c r="F111" i="12" s="1"/>
  <c r="L190" i="8"/>
  <c r="N189" i="8"/>
  <c r="A190" i="8"/>
  <c r="D189" i="8"/>
  <c r="L239" i="14" l="1"/>
  <c r="N238" i="14"/>
  <c r="O238" i="14"/>
  <c r="A235" i="14"/>
  <c r="D234" i="14"/>
  <c r="E234" i="14" s="1"/>
  <c r="C234" i="14"/>
  <c r="F89" i="14"/>
  <c r="B90" i="14" s="1"/>
  <c r="H89" i="14"/>
  <c r="P146" i="14"/>
  <c r="M147" i="14" s="1"/>
  <c r="P201" i="14"/>
  <c r="M201" i="14"/>
  <c r="Q201" i="14"/>
  <c r="H201" i="14"/>
  <c r="B201" i="14"/>
  <c r="G201" i="14"/>
  <c r="F201" i="14"/>
  <c r="G190" i="12"/>
  <c r="A191" i="12"/>
  <c r="F190" i="12"/>
  <c r="C190" i="12"/>
  <c r="D190" i="12"/>
  <c r="E190" i="12" s="1"/>
  <c r="M191" i="12"/>
  <c r="N191" i="12" s="1"/>
  <c r="J192" i="12"/>
  <c r="L192" i="12" s="1"/>
  <c r="K191" i="12"/>
  <c r="P191" i="12"/>
  <c r="O191" i="12"/>
  <c r="O138" i="12"/>
  <c r="K139" i="12" s="1"/>
  <c r="L139" i="12" s="1"/>
  <c r="E111" i="12"/>
  <c r="B112" i="12" s="1"/>
  <c r="G111" i="12"/>
  <c r="G191" i="12"/>
  <c r="B191" i="12"/>
  <c r="L191" i="8"/>
  <c r="N190" i="8"/>
  <c r="A191" i="8"/>
  <c r="D190" i="8"/>
  <c r="L240" i="14" l="1"/>
  <c r="N239" i="14"/>
  <c r="O239" i="14"/>
  <c r="A236" i="14"/>
  <c r="D235" i="14"/>
  <c r="E235" i="14" s="1"/>
  <c r="C235" i="14"/>
  <c r="C90" i="14"/>
  <c r="Q147" i="14"/>
  <c r="P147" i="14"/>
  <c r="M148" i="14" s="1"/>
  <c r="P202" i="14"/>
  <c r="M202" i="14"/>
  <c r="Q202" i="14"/>
  <c r="G202" i="14"/>
  <c r="F202" i="14"/>
  <c r="B202" i="14"/>
  <c r="H202" i="14"/>
  <c r="A192" i="12"/>
  <c r="B192" i="12" s="1"/>
  <c r="F191" i="12"/>
  <c r="C191" i="12"/>
  <c r="D191" i="12"/>
  <c r="E191" i="12" s="1"/>
  <c r="P192" i="12"/>
  <c r="O192" i="12"/>
  <c r="J193" i="12"/>
  <c r="L193" i="12" s="1"/>
  <c r="M192" i="12"/>
  <c r="N192" i="12" s="1"/>
  <c r="K192" i="12"/>
  <c r="C112" i="12"/>
  <c r="E112" i="12" s="1"/>
  <c r="L192" i="8"/>
  <c r="N191" i="8"/>
  <c r="A192" i="8"/>
  <c r="D191" i="8"/>
  <c r="L241" i="14" l="1"/>
  <c r="N240" i="14"/>
  <c r="O240" i="14"/>
  <c r="A237" i="14"/>
  <c r="D236" i="14"/>
  <c r="E236" i="14" s="1"/>
  <c r="C236" i="14"/>
  <c r="E90" i="14"/>
  <c r="G90" i="14"/>
  <c r="Q148" i="14"/>
  <c r="P148" i="14"/>
  <c r="M149" i="14" s="1"/>
  <c r="Q149" i="14" s="1"/>
  <c r="P203" i="14"/>
  <c r="M203" i="14"/>
  <c r="Q203" i="14"/>
  <c r="B203" i="14"/>
  <c r="G203" i="14"/>
  <c r="F203" i="14"/>
  <c r="H203" i="14"/>
  <c r="G192" i="12"/>
  <c r="A193" i="12"/>
  <c r="B193" i="12" s="1"/>
  <c r="F192" i="12"/>
  <c r="C192" i="12"/>
  <c r="D192" i="12"/>
  <c r="E192" i="12" s="1"/>
  <c r="J194" i="12"/>
  <c r="L194" i="12" s="1"/>
  <c r="K193" i="12"/>
  <c r="O193" i="12"/>
  <c r="M193" i="12"/>
  <c r="N193" i="12" s="1"/>
  <c r="P193" i="12"/>
  <c r="N139" i="12"/>
  <c r="P139" i="12"/>
  <c r="O139" i="12"/>
  <c r="K140" i="12" s="1"/>
  <c r="L140" i="12" s="1"/>
  <c r="F112" i="12"/>
  <c r="B113" i="12" s="1"/>
  <c r="G112" i="12"/>
  <c r="L193" i="8"/>
  <c r="N192" i="8"/>
  <c r="A193" i="8"/>
  <c r="D192" i="8"/>
  <c r="G193" i="12" l="1"/>
  <c r="L242" i="14"/>
  <c r="N241" i="14"/>
  <c r="O241" i="14"/>
  <c r="A238" i="14"/>
  <c r="D237" i="14"/>
  <c r="E237" i="14" s="1"/>
  <c r="C237" i="14"/>
  <c r="H90" i="14"/>
  <c r="F90" i="14"/>
  <c r="B91" i="14" s="1"/>
  <c r="P149" i="14"/>
  <c r="M150" i="14" s="1"/>
  <c r="Q150" i="14"/>
  <c r="M204" i="14"/>
  <c r="P204" i="14"/>
  <c r="Q204" i="14"/>
  <c r="H204" i="14"/>
  <c r="B204" i="14"/>
  <c r="G204" i="14"/>
  <c r="F204" i="14"/>
  <c r="A194" i="12"/>
  <c r="B194" i="12" s="1"/>
  <c r="F193" i="12"/>
  <c r="C193" i="12"/>
  <c r="D193" i="12"/>
  <c r="E193" i="12" s="1"/>
  <c r="N140" i="12"/>
  <c r="P194" i="12"/>
  <c r="M194" i="12"/>
  <c r="N194" i="12" s="1"/>
  <c r="J195" i="12"/>
  <c r="L195" i="12" s="1"/>
  <c r="O194" i="12"/>
  <c r="K194" i="12"/>
  <c r="C113" i="12"/>
  <c r="E113" i="12" s="1"/>
  <c r="L194" i="8"/>
  <c r="N193" i="8"/>
  <c r="A194" i="8"/>
  <c r="D193" i="8"/>
  <c r="L243" i="14" l="1"/>
  <c r="N242" i="14"/>
  <c r="O242" i="14"/>
  <c r="A239" i="14"/>
  <c r="D238" i="14"/>
  <c r="E238" i="14" s="1"/>
  <c r="C238" i="14"/>
  <c r="C91" i="14"/>
  <c r="P150" i="14"/>
  <c r="M151" i="14" s="1"/>
  <c r="Q205" i="14"/>
  <c r="P205" i="14"/>
  <c r="M205" i="14"/>
  <c r="G205" i="14"/>
  <c r="F205" i="14"/>
  <c r="B205" i="14"/>
  <c r="H205" i="14"/>
  <c r="G194" i="12"/>
  <c r="F113" i="12"/>
  <c r="G113" i="12"/>
  <c r="A195" i="12"/>
  <c r="G195" i="12" s="1"/>
  <c r="F194" i="12"/>
  <c r="C194" i="12"/>
  <c r="D194" i="12"/>
  <c r="E194" i="12" s="1"/>
  <c r="P140" i="12"/>
  <c r="O195" i="12"/>
  <c r="M195" i="12"/>
  <c r="N195" i="12" s="1"/>
  <c r="K195" i="12"/>
  <c r="J196" i="12"/>
  <c r="L196" i="12" s="1"/>
  <c r="P195" i="12"/>
  <c r="O140" i="12"/>
  <c r="K141" i="12" s="1"/>
  <c r="L141" i="12" s="1"/>
  <c r="B114" i="12"/>
  <c r="L195" i="8"/>
  <c r="N194" i="8"/>
  <c r="A195" i="8"/>
  <c r="D194" i="8"/>
  <c r="L244" i="14" l="1"/>
  <c r="N243" i="14"/>
  <c r="O243" i="14"/>
  <c r="A240" i="14"/>
  <c r="D239" i="14"/>
  <c r="E239" i="14" s="1"/>
  <c r="C239" i="14"/>
  <c r="E91" i="14"/>
  <c r="G91" i="14"/>
  <c r="Q151" i="14"/>
  <c r="P206" i="14"/>
  <c r="Q206" i="14"/>
  <c r="M206" i="14"/>
  <c r="G206" i="14"/>
  <c r="F206" i="14"/>
  <c r="H206" i="14"/>
  <c r="B206" i="14"/>
  <c r="B195" i="12"/>
  <c r="A196" i="12"/>
  <c r="G196" i="12" s="1"/>
  <c r="F195" i="12"/>
  <c r="C195" i="12"/>
  <c r="D195" i="12"/>
  <c r="E195" i="12" s="1"/>
  <c r="J197" i="12"/>
  <c r="L197" i="12" s="1"/>
  <c r="K196" i="12"/>
  <c r="P196" i="12"/>
  <c r="O196" i="12"/>
  <c r="M196" i="12"/>
  <c r="N196" i="12" s="1"/>
  <c r="C114" i="12"/>
  <c r="F114" i="12"/>
  <c r="L196" i="8"/>
  <c r="N195" i="8"/>
  <c r="A196" i="8"/>
  <c r="D195" i="8"/>
  <c r="L245" i="14" l="1"/>
  <c r="N244" i="14"/>
  <c r="O244" i="14"/>
  <c r="A241" i="14"/>
  <c r="D240" i="14"/>
  <c r="E240" i="14" s="1"/>
  <c r="C240" i="14"/>
  <c r="F91" i="14"/>
  <c r="B92" i="14" s="1"/>
  <c r="H91" i="14"/>
  <c r="P151" i="14"/>
  <c r="Q207" i="14"/>
  <c r="P207" i="14"/>
  <c r="M207" i="14"/>
  <c r="H207" i="14"/>
  <c r="B207" i="14"/>
  <c r="G207" i="14"/>
  <c r="F207" i="14"/>
  <c r="B196" i="12"/>
  <c r="A197" i="12"/>
  <c r="F196" i="12"/>
  <c r="C196" i="12"/>
  <c r="D196" i="12"/>
  <c r="E196" i="12" s="1"/>
  <c r="M197" i="12"/>
  <c r="N197" i="12" s="1"/>
  <c r="J198" i="12"/>
  <c r="L198" i="12" s="1"/>
  <c r="K197" i="12"/>
  <c r="P197" i="12"/>
  <c r="O197" i="12"/>
  <c r="N141" i="12"/>
  <c r="P141" i="12"/>
  <c r="O141" i="12"/>
  <c r="E114" i="12"/>
  <c r="B115" i="12" s="1"/>
  <c r="G114" i="12"/>
  <c r="B197" i="12"/>
  <c r="G197" i="12"/>
  <c r="L197" i="8"/>
  <c r="N196" i="8"/>
  <c r="A197" i="8"/>
  <c r="D196" i="8"/>
  <c r="L246" i="14" l="1"/>
  <c r="N245" i="14"/>
  <c r="O245" i="14"/>
  <c r="A242" i="14"/>
  <c r="D241" i="14"/>
  <c r="E241" i="14" s="1"/>
  <c r="C241" i="14"/>
  <c r="C92" i="14"/>
  <c r="Q208" i="14"/>
  <c r="P208" i="14"/>
  <c r="M208" i="14"/>
  <c r="G208" i="14"/>
  <c r="F208" i="14"/>
  <c r="H208" i="14"/>
  <c r="B208" i="14"/>
  <c r="A198" i="12"/>
  <c r="G198" i="12" s="1"/>
  <c r="F197" i="12"/>
  <c r="C197" i="12"/>
  <c r="D197" i="12"/>
  <c r="E197" i="12" s="1"/>
  <c r="P198" i="12"/>
  <c r="O198" i="12"/>
  <c r="M198" i="12"/>
  <c r="N198" i="12" s="1"/>
  <c r="K198" i="12"/>
  <c r="J199" i="12"/>
  <c r="L199" i="12" s="1"/>
  <c r="C115" i="12"/>
  <c r="E115" i="12" s="1"/>
  <c r="L198" i="8"/>
  <c r="N197" i="8"/>
  <c r="A198" i="8"/>
  <c r="D197" i="8"/>
  <c r="B198" i="12" l="1"/>
  <c r="F115" i="12"/>
  <c r="L247" i="14"/>
  <c r="N246" i="14"/>
  <c r="O246" i="14"/>
  <c r="A243" i="14"/>
  <c r="D242" i="14"/>
  <c r="E242" i="14" s="1"/>
  <c r="C242" i="14"/>
  <c r="E92" i="14"/>
  <c r="G92" i="14"/>
  <c r="Q209" i="14"/>
  <c r="P209" i="14"/>
  <c r="M209" i="14"/>
  <c r="H209" i="14"/>
  <c r="G209" i="14"/>
  <c r="F209" i="14"/>
  <c r="B209" i="14"/>
  <c r="A199" i="12"/>
  <c r="F198" i="12"/>
  <c r="C198" i="12"/>
  <c r="D198" i="12"/>
  <c r="E198" i="12" s="1"/>
  <c r="J200" i="12"/>
  <c r="L200" i="12" s="1"/>
  <c r="K199" i="12"/>
  <c r="O199" i="12"/>
  <c r="P199" i="12"/>
  <c r="M199" i="12"/>
  <c r="N199" i="12" s="1"/>
  <c r="G115" i="12"/>
  <c r="B116" i="12"/>
  <c r="B199" i="12"/>
  <c r="G199" i="12"/>
  <c r="L199" i="8"/>
  <c r="N198" i="8"/>
  <c r="A199" i="8"/>
  <c r="D198" i="8"/>
  <c r="L248" i="14" l="1"/>
  <c r="N247" i="14"/>
  <c r="O247" i="14"/>
  <c r="A244" i="14"/>
  <c r="D243" i="14"/>
  <c r="E243" i="14" s="1"/>
  <c r="C243" i="14"/>
  <c r="H92" i="14"/>
  <c r="F92" i="14"/>
  <c r="B93" i="14" s="1"/>
  <c r="M210" i="14"/>
  <c r="Q210" i="14"/>
  <c r="P210" i="14"/>
  <c r="H210" i="14"/>
  <c r="B210" i="14"/>
  <c r="G210" i="14"/>
  <c r="F210" i="14"/>
  <c r="A200" i="12"/>
  <c r="B200" i="12" s="1"/>
  <c r="F199" i="12"/>
  <c r="C199" i="12"/>
  <c r="D199" i="12"/>
  <c r="E199" i="12" s="1"/>
  <c r="P200" i="12"/>
  <c r="M200" i="12"/>
  <c r="N200" i="12" s="1"/>
  <c r="K200" i="12"/>
  <c r="J201" i="12"/>
  <c r="L201" i="12" s="1"/>
  <c r="O200" i="12"/>
  <c r="C116" i="12"/>
  <c r="F116" i="12" s="1"/>
  <c r="L200" i="8"/>
  <c r="N199" i="8"/>
  <c r="A200" i="8"/>
  <c r="D199" i="8"/>
  <c r="G200" i="12" l="1"/>
  <c r="L249" i="14"/>
  <c r="N248" i="14"/>
  <c r="O248" i="14"/>
  <c r="A245" i="14"/>
  <c r="D244" i="14"/>
  <c r="E244" i="14" s="1"/>
  <c r="C244" i="14"/>
  <c r="C93" i="14"/>
  <c r="Q211" i="14"/>
  <c r="P211" i="14"/>
  <c r="M211" i="14"/>
  <c r="G211" i="14"/>
  <c r="F211" i="14"/>
  <c r="B211" i="14"/>
  <c r="H211" i="14"/>
  <c r="A201" i="12"/>
  <c r="G201" i="12" s="1"/>
  <c r="F200" i="12"/>
  <c r="C200" i="12"/>
  <c r="D200" i="12"/>
  <c r="E200" i="12" s="1"/>
  <c r="O201" i="12"/>
  <c r="M201" i="12"/>
  <c r="N201" i="12" s="1"/>
  <c r="J202" i="12"/>
  <c r="L202" i="12" s="1"/>
  <c r="P201" i="12"/>
  <c r="K201" i="12"/>
  <c r="E116" i="12"/>
  <c r="B117" i="12" s="1"/>
  <c r="G116" i="12"/>
  <c r="L201" i="8"/>
  <c r="N200" i="8"/>
  <c r="A201" i="8"/>
  <c r="D200" i="8"/>
  <c r="B201" i="12" l="1"/>
  <c r="L250" i="14"/>
  <c r="N249" i="14"/>
  <c r="O249" i="14"/>
  <c r="A246" i="14"/>
  <c r="D245" i="14"/>
  <c r="E245" i="14" s="1"/>
  <c r="C245" i="14"/>
  <c r="E93" i="14"/>
  <c r="G93" i="14"/>
  <c r="P212" i="14"/>
  <c r="Q212" i="14"/>
  <c r="M212" i="14"/>
  <c r="B212" i="14"/>
  <c r="G212" i="14"/>
  <c r="H212" i="14"/>
  <c r="F212" i="14"/>
  <c r="A202" i="12"/>
  <c r="B202" i="12" s="1"/>
  <c r="F201" i="12"/>
  <c r="C201" i="12"/>
  <c r="D201" i="12"/>
  <c r="E201" i="12" s="1"/>
  <c r="J203" i="12"/>
  <c r="L203" i="12" s="1"/>
  <c r="K202" i="12"/>
  <c r="P202" i="12"/>
  <c r="O202" i="12"/>
  <c r="M202" i="12"/>
  <c r="N202" i="12" s="1"/>
  <c r="C117" i="12"/>
  <c r="E117" i="12" s="1"/>
  <c r="L202" i="8"/>
  <c r="N201" i="8"/>
  <c r="A202" i="8"/>
  <c r="D201" i="8"/>
  <c r="G202" i="12" l="1"/>
  <c r="L251" i="14"/>
  <c r="N250" i="14"/>
  <c r="O250" i="14"/>
  <c r="A247" i="14"/>
  <c r="D246" i="14"/>
  <c r="E246" i="14" s="1"/>
  <c r="C246" i="14"/>
  <c r="F93" i="14"/>
  <c r="B94" i="14" s="1"/>
  <c r="H93" i="14"/>
  <c r="Q213" i="14"/>
  <c r="P213" i="14"/>
  <c r="M213" i="14"/>
  <c r="H213" i="14"/>
  <c r="B213" i="14"/>
  <c r="G213" i="14"/>
  <c r="F213" i="14"/>
  <c r="A203" i="12"/>
  <c r="F202" i="12"/>
  <c r="C202" i="12"/>
  <c r="D202" i="12"/>
  <c r="E202" i="12" s="1"/>
  <c r="M203" i="12"/>
  <c r="N203" i="12" s="1"/>
  <c r="J204" i="12"/>
  <c r="L204" i="12" s="1"/>
  <c r="K203" i="12"/>
  <c r="P203" i="12"/>
  <c r="O203" i="12"/>
  <c r="F117" i="12"/>
  <c r="B118" i="12" s="1"/>
  <c r="G117" i="12"/>
  <c r="B203" i="12"/>
  <c r="G203" i="12"/>
  <c r="L203" i="8"/>
  <c r="N202" i="8"/>
  <c r="A203" i="8"/>
  <c r="D202" i="8"/>
  <c r="L252" i="14" l="1"/>
  <c r="N251" i="14"/>
  <c r="O251" i="14"/>
  <c r="A248" i="14"/>
  <c r="D247" i="14"/>
  <c r="E247" i="14" s="1"/>
  <c r="C247" i="14"/>
  <c r="C94" i="14"/>
  <c r="Q214" i="14"/>
  <c r="P214" i="14"/>
  <c r="M214" i="14"/>
  <c r="G214" i="14"/>
  <c r="F214" i="14"/>
  <c r="H214" i="14"/>
  <c r="B214" i="14"/>
  <c r="A204" i="12"/>
  <c r="G204" i="12" s="1"/>
  <c r="F203" i="12"/>
  <c r="C203" i="12"/>
  <c r="D203" i="12"/>
  <c r="E203" i="12" s="1"/>
  <c r="P204" i="12"/>
  <c r="O204" i="12"/>
  <c r="J205" i="12"/>
  <c r="L205" i="12" s="1"/>
  <c r="M204" i="12"/>
  <c r="N204" i="12" s="1"/>
  <c r="K204" i="12"/>
  <c r="C118" i="12"/>
  <c r="E118" i="12" s="1"/>
  <c r="L204" i="8"/>
  <c r="N203" i="8"/>
  <c r="A204" i="8"/>
  <c r="D203" i="8"/>
  <c r="B204" i="12" l="1"/>
  <c r="G118" i="12"/>
  <c r="F118" i="12"/>
  <c r="B119" i="12" s="1"/>
  <c r="L253" i="14"/>
  <c r="N252" i="14"/>
  <c r="O252" i="14"/>
  <c r="A249" i="14"/>
  <c r="D248" i="14"/>
  <c r="E248" i="14" s="1"/>
  <c r="C248" i="14"/>
  <c r="E94" i="14"/>
  <c r="G94" i="14"/>
  <c r="Q215" i="14"/>
  <c r="P215" i="14"/>
  <c r="M215" i="14"/>
  <c r="G215" i="14"/>
  <c r="F215" i="14"/>
  <c r="B215" i="14"/>
  <c r="H215" i="14"/>
  <c r="A205" i="12"/>
  <c r="F204" i="12"/>
  <c r="C204" i="12"/>
  <c r="D204" i="12"/>
  <c r="E204" i="12" s="1"/>
  <c r="J206" i="12"/>
  <c r="L206" i="12" s="1"/>
  <c r="K205" i="12"/>
  <c r="O205" i="12"/>
  <c r="M205" i="12"/>
  <c r="N205" i="12" s="1"/>
  <c r="P205" i="12"/>
  <c r="G205" i="12"/>
  <c r="B205" i="12"/>
  <c r="L205" i="8"/>
  <c r="N204" i="8"/>
  <c r="A205" i="8"/>
  <c r="D204" i="8"/>
  <c r="L254" i="14" l="1"/>
  <c r="N253" i="14"/>
  <c r="O253" i="14"/>
  <c r="A250" i="14"/>
  <c r="D249" i="14"/>
  <c r="E249" i="14" s="1"/>
  <c r="C249" i="14"/>
  <c r="H94" i="14"/>
  <c r="F94" i="14"/>
  <c r="B95" i="14" s="1"/>
  <c r="M216" i="14"/>
  <c r="Q216" i="14"/>
  <c r="P216" i="14"/>
  <c r="H216" i="14"/>
  <c r="B216" i="14"/>
  <c r="G216" i="14"/>
  <c r="F216" i="14"/>
  <c r="A206" i="12"/>
  <c r="G206" i="12" s="1"/>
  <c r="F205" i="12"/>
  <c r="C205" i="12"/>
  <c r="D205" i="12"/>
  <c r="E205" i="12" s="1"/>
  <c r="P206" i="12"/>
  <c r="M206" i="12"/>
  <c r="N206" i="12" s="1"/>
  <c r="J207" i="12"/>
  <c r="L207" i="12" s="1"/>
  <c r="O206" i="12"/>
  <c r="K206" i="12"/>
  <c r="C119" i="12"/>
  <c r="F119" i="12" s="1"/>
  <c r="L206" i="8"/>
  <c r="N205" i="8"/>
  <c r="A206" i="8"/>
  <c r="D205" i="8"/>
  <c r="B206" i="12" l="1"/>
  <c r="L255" i="14"/>
  <c r="N254" i="14"/>
  <c r="O254" i="14"/>
  <c r="A251" i="14"/>
  <c r="D250" i="14"/>
  <c r="E250" i="14" s="1"/>
  <c r="C250" i="14"/>
  <c r="C95" i="14"/>
  <c r="Q217" i="14"/>
  <c r="M217" i="14"/>
  <c r="P217" i="14"/>
  <c r="G217" i="14"/>
  <c r="F217" i="14"/>
  <c r="H217" i="14"/>
  <c r="B217" i="14"/>
  <c r="A207" i="12"/>
  <c r="B207" i="12" s="1"/>
  <c r="F206" i="12"/>
  <c r="C206" i="12"/>
  <c r="D206" i="12"/>
  <c r="E206" i="12" s="1"/>
  <c r="O207" i="12"/>
  <c r="M207" i="12"/>
  <c r="N207" i="12" s="1"/>
  <c r="K207" i="12"/>
  <c r="J208" i="12"/>
  <c r="L208" i="12" s="1"/>
  <c r="P207" i="12"/>
  <c r="E119" i="12"/>
  <c r="B120" i="12" s="1"/>
  <c r="G119" i="12"/>
  <c r="L207" i="8"/>
  <c r="N206" i="8"/>
  <c r="A207" i="8"/>
  <c r="D206" i="8"/>
  <c r="L256" i="14" l="1"/>
  <c r="N255" i="14"/>
  <c r="O255" i="14"/>
  <c r="A252" i="14"/>
  <c r="D251" i="14"/>
  <c r="E251" i="14" s="1"/>
  <c r="C251" i="14"/>
  <c r="E95" i="14"/>
  <c r="G95" i="14"/>
  <c r="P218" i="14"/>
  <c r="M218" i="14"/>
  <c r="Q218" i="14"/>
  <c r="F218" i="14"/>
  <c r="H218" i="14"/>
  <c r="B218" i="14"/>
  <c r="G218" i="14"/>
  <c r="G207" i="12"/>
  <c r="A208" i="12"/>
  <c r="G208" i="12" s="1"/>
  <c r="F207" i="12"/>
  <c r="C207" i="12"/>
  <c r="D207" i="12"/>
  <c r="E207" i="12" s="1"/>
  <c r="J209" i="12"/>
  <c r="L209" i="12" s="1"/>
  <c r="K208" i="12"/>
  <c r="P208" i="12"/>
  <c r="O208" i="12"/>
  <c r="M208" i="12"/>
  <c r="N208" i="12" s="1"/>
  <c r="C120" i="12"/>
  <c r="E120" i="12" s="1"/>
  <c r="L208" i="8"/>
  <c r="N207" i="8"/>
  <c r="A208" i="8"/>
  <c r="D207" i="8"/>
  <c r="L257" i="14" l="1"/>
  <c r="N256" i="14"/>
  <c r="O256" i="14"/>
  <c r="A253" i="14"/>
  <c r="D252" i="14"/>
  <c r="E252" i="14" s="1"/>
  <c r="C252" i="14"/>
  <c r="F95" i="14"/>
  <c r="B96" i="14" s="1"/>
  <c r="H95" i="14"/>
  <c r="M219" i="14"/>
  <c r="Q219" i="14"/>
  <c r="P219" i="14"/>
  <c r="B219" i="14"/>
  <c r="G219" i="14"/>
  <c r="H219" i="14"/>
  <c r="F219" i="14"/>
  <c r="F120" i="12"/>
  <c r="B121" i="12" s="1"/>
  <c r="C121" i="12" s="1"/>
  <c r="E121" i="12" s="1"/>
  <c r="B208" i="12"/>
  <c r="A209" i="12"/>
  <c r="B209" i="12" s="1"/>
  <c r="F208" i="12"/>
  <c r="C208" i="12"/>
  <c r="D208" i="12"/>
  <c r="E208" i="12" s="1"/>
  <c r="M209" i="12"/>
  <c r="N209" i="12" s="1"/>
  <c r="J210" i="12"/>
  <c r="L210" i="12" s="1"/>
  <c r="K209" i="12"/>
  <c r="P209" i="12"/>
  <c r="O209" i="12"/>
  <c r="G120" i="12"/>
  <c r="G209" i="12"/>
  <c r="L209" i="8"/>
  <c r="N208" i="8"/>
  <c r="A209" i="8"/>
  <c r="D208" i="8"/>
  <c r="L258" i="14" l="1"/>
  <c r="N257" i="14"/>
  <c r="O257" i="14"/>
  <c r="A254" i="14"/>
  <c r="D253" i="14"/>
  <c r="E253" i="14" s="1"/>
  <c r="C253" i="14"/>
  <c r="C96" i="14"/>
  <c r="M220" i="14"/>
  <c r="Q220" i="14"/>
  <c r="P220" i="14"/>
  <c r="H220" i="14"/>
  <c r="B220" i="14"/>
  <c r="F220" i="14"/>
  <c r="G220" i="14"/>
  <c r="A210" i="12"/>
  <c r="B210" i="12" s="1"/>
  <c r="F209" i="12"/>
  <c r="C209" i="12"/>
  <c r="D209" i="12"/>
  <c r="E209" i="12" s="1"/>
  <c r="P210" i="12"/>
  <c r="O210" i="12"/>
  <c r="M210" i="12"/>
  <c r="N210" i="12" s="1"/>
  <c r="K210" i="12"/>
  <c r="J211" i="12"/>
  <c r="L211" i="12" s="1"/>
  <c r="G121" i="12"/>
  <c r="F121" i="12"/>
  <c r="B122" i="12" s="1"/>
  <c r="L210" i="8"/>
  <c r="N209" i="8"/>
  <c r="A210" i="8"/>
  <c r="D209" i="8"/>
  <c r="L259" i="14" l="1"/>
  <c r="N258" i="14"/>
  <c r="O258" i="14"/>
  <c r="A255" i="14"/>
  <c r="D254" i="14"/>
  <c r="E254" i="14" s="1"/>
  <c r="C254" i="14"/>
  <c r="E96" i="14"/>
  <c r="G96" i="14"/>
  <c r="M221" i="14"/>
  <c r="Q221" i="14"/>
  <c r="P221" i="14"/>
  <c r="F221" i="14"/>
  <c r="B221" i="14"/>
  <c r="H221" i="14"/>
  <c r="G221" i="14"/>
  <c r="G210" i="12"/>
  <c r="A211" i="12"/>
  <c r="F210" i="12"/>
  <c r="C210" i="12"/>
  <c r="D210" i="12"/>
  <c r="E210" i="12" s="1"/>
  <c r="J212" i="12"/>
  <c r="L212" i="12" s="1"/>
  <c r="K211" i="12"/>
  <c r="O211" i="12"/>
  <c r="P211" i="12"/>
  <c r="M211" i="12"/>
  <c r="N211" i="12" s="1"/>
  <c r="C122" i="12"/>
  <c r="E122" i="12" s="1"/>
  <c r="F122" i="12"/>
  <c r="B211" i="12"/>
  <c r="G211" i="12"/>
  <c r="L211" i="8"/>
  <c r="N210" i="8"/>
  <c r="A211" i="8"/>
  <c r="D210" i="8"/>
  <c r="L260" i="14" l="1"/>
  <c r="N259" i="14"/>
  <c r="O259" i="14"/>
  <c r="A256" i="14"/>
  <c r="D255" i="14"/>
  <c r="E255" i="14" s="1"/>
  <c r="C255" i="14"/>
  <c r="H96" i="14"/>
  <c r="F96" i="14"/>
  <c r="B97" i="14" s="1"/>
  <c r="M222" i="14"/>
  <c r="Q222" i="14"/>
  <c r="P222" i="14"/>
  <c r="B222" i="14"/>
  <c r="H222" i="14"/>
  <c r="G222" i="14"/>
  <c r="F222" i="14"/>
  <c r="G122" i="12"/>
  <c r="A212" i="12"/>
  <c r="G212" i="12" s="1"/>
  <c r="F211" i="12"/>
  <c r="C211" i="12"/>
  <c r="D211" i="12"/>
  <c r="E211" i="12" s="1"/>
  <c r="P212" i="12"/>
  <c r="M212" i="12"/>
  <c r="N212" i="12" s="1"/>
  <c r="K212" i="12"/>
  <c r="J213" i="12"/>
  <c r="L213" i="12" s="1"/>
  <c r="O212" i="12"/>
  <c r="B123" i="12"/>
  <c r="L212" i="8"/>
  <c r="N211" i="8"/>
  <c r="A212" i="8"/>
  <c r="D211" i="8"/>
  <c r="L261" i="14" l="1"/>
  <c r="N260" i="14"/>
  <c r="O260" i="14"/>
  <c r="A257" i="14"/>
  <c r="D256" i="14"/>
  <c r="E256" i="14" s="1"/>
  <c r="C256" i="14"/>
  <c r="C97" i="14"/>
  <c r="Q223" i="14"/>
  <c r="M223" i="14"/>
  <c r="P223" i="14"/>
  <c r="H223" i="14"/>
  <c r="B223" i="14"/>
  <c r="F223" i="14"/>
  <c r="G223" i="14"/>
  <c r="B212" i="12"/>
  <c r="A213" i="12"/>
  <c r="G213" i="12" s="1"/>
  <c r="F212" i="12"/>
  <c r="C212" i="12"/>
  <c r="D212" i="12"/>
  <c r="E212" i="12" s="1"/>
  <c r="O213" i="12"/>
  <c r="M213" i="12"/>
  <c r="N213" i="12" s="1"/>
  <c r="J214" i="12"/>
  <c r="L214" i="12" s="1"/>
  <c r="P213" i="12"/>
  <c r="K213" i="12"/>
  <c r="C123" i="12"/>
  <c r="F123" i="12" s="1"/>
  <c r="L213" i="8"/>
  <c r="N212" i="8"/>
  <c r="A213" i="8"/>
  <c r="D212" i="8"/>
  <c r="L262" i="14" l="1"/>
  <c r="N261" i="14"/>
  <c r="O261" i="14"/>
  <c r="A258" i="14"/>
  <c r="D257" i="14"/>
  <c r="E257" i="14" s="1"/>
  <c r="C257" i="14"/>
  <c r="E97" i="14"/>
  <c r="G97" i="14"/>
  <c r="P224" i="14"/>
  <c r="M224" i="14"/>
  <c r="Q224" i="14"/>
  <c r="F224" i="14"/>
  <c r="H224" i="14"/>
  <c r="G224" i="14"/>
  <c r="B224" i="14"/>
  <c r="B213" i="12"/>
  <c r="A214" i="12"/>
  <c r="G214" i="12" s="1"/>
  <c r="F213" i="12"/>
  <c r="C213" i="12"/>
  <c r="D213" i="12"/>
  <c r="E213" i="12" s="1"/>
  <c r="J215" i="12"/>
  <c r="L215" i="12" s="1"/>
  <c r="K214" i="12"/>
  <c r="P214" i="12"/>
  <c r="O214" i="12"/>
  <c r="M214" i="12"/>
  <c r="N214" i="12" s="1"/>
  <c r="E123" i="12"/>
  <c r="B124" i="12" s="1"/>
  <c r="G123" i="12"/>
  <c r="L214" i="8"/>
  <c r="N213" i="8"/>
  <c r="A214" i="8"/>
  <c r="D213" i="8"/>
  <c r="L263" i="14" l="1"/>
  <c r="N262" i="14"/>
  <c r="O262" i="14"/>
  <c r="A259" i="14"/>
  <c r="D258" i="14"/>
  <c r="E258" i="14" s="1"/>
  <c r="C258" i="14"/>
  <c r="F97" i="14"/>
  <c r="B98" i="14" s="1"/>
  <c r="H97" i="14"/>
  <c r="M225" i="14"/>
  <c r="Q225" i="14"/>
  <c r="P225" i="14"/>
  <c r="G225" i="14"/>
  <c r="F225" i="14"/>
  <c r="B225" i="14"/>
  <c r="H225" i="14"/>
  <c r="B214" i="12"/>
  <c r="A215" i="12"/>
  <c r="B215" i="12" s="1"/>
  <c r="F214" i="12"/>
  <c r="C214" i="12"/>
  <c r="D214" i="12"/>
  <c r="E214" i="12" s="1"/>
  <c r="M215" i="12"/>
  <c r="N215" i="12" s="1"/>
  <c r="J216" i="12"/>
  <c r="L216" i="12" s="1"/>
  <c r="K215" i="12"/>
  <c r="P215" i="12"/>
  <c r="O215" i="12"/>
  <c r="C124" i="12"/>
  <c r="E124" i="12" s="1"/>
  <c r="G215" i="12"/>
  <c r="L215" i="8"/>
  <c r="N214" i="8"/>
  <c r="A215" i="8"/>
  <c r="D214" i="8"/>
  <c r="L264" i="14" l="1"/>
  <c r="N263" i="14"/>
  <c r="O263" i="14"/>
  <c r="A260" i="14"/>
  <c r="D259" i="14"/>
  <c r="E259" i="14" s="1"/>
  <c r="C259" i="14"/>
  <c r="C98" i="14"/>
  <c r="M226" i="14"/>
  <c r="Q226" i="14"/>
  <c r="P226" i="14"/>
  <c r="H226" i="14"/>
  <c r="B226" i="14"/>
  <c r="F226" i="14"/>
  <c r="G226" i="14"/>
  <c r="A216" i="12"/>
  <c r="G216" i="12" s="1"/>
  <c r="F215" i="12"/>
  <c r="C215" i="12"/>
  <c r="D215" i="12"/>
  <c r="E215" i="12" s="1"/>
  <c r="P216" i="12"/>
  <c r="O216" i="12"/>
  <c r="J217" i="12"/>
  <c r="L217" i="12" s="1"/>
  <c r="K216" i="12"/>
  <c r="M216" i="12"/>
  <c r="N216" i="12" s="1"/>
  <c r="F124" i="12"/>
  <c r="B125" i="12" s="1"/>
  <c r="G124" i="12"/>
  <c r="L216" i="8"/>
  <c r="N215" i="8"/>
  <c r="A216" i="8"/>
  <c r="D215" i="8"/>
  <c r="B216" i="12" l="1"/>
  <c r="L265" i="14"/>
  <c r="N264" i="14"/>
  <c r="O264" i="14"/>
  <c r="A261" i="14"/>
  <c r="D260" i="14"/>
  <c r="E260" i="14" s="1"/>
  <c r="C260" i="14"/>
  <c r="E98" i="14"/>
  <c r="G98" i="14"/>
  <c r="M227" i="14"/>
  <c r="Q227" i="14"/>
  <c r="P227" i="14"/>
  <c r="F227" i="14"/>
  <c r="G227" i="14"/>
  <c r="B227" i="14"/>
  <c r="H227" i="14"/>
  <c r="A217" i="12"/>
  <c r="B217" i="12" s="1"/>
  <c r="F216" i="12"/>
  <c r="C216" i="12"/>
  <c r="D216" i="12"/>
  <c r="E216" i="12" s="1"/>
  <c r="J218" i="12"/>
  <c r="L218" i="12" s="1"/>
  <c r="K217" i="12"/>
  <c r="O217" i="12"/>
  <c r="M217" i="12"/>
  <c r="N217" i="12" s="1"/>
  <c r="P217" i="12"/>
  <c r="C125" i="12"/>
  <c r="E125" i="12" s="1"/>
  <c r="F125" i="12"/>
  <c r="G125" i="12"/>
  <c r="L217" i="8"/>
  <c r="N216" i="8"/>
  <c r="A217" i="8"/>
  <c r="D216" i="8"/>
  <c r="G217" i="12" l="1"/>
  <c r="L266" i="14"/>
  <c r="N265" i="14"/>
  <c r="O265" i="14"/>
  <c r="A262" i="14"/>
  <c r="D261" i="14"/>
  <c r="E261" i="14" s="1"/>
  <c r="C261" i="14"/>
  <c r="H98" i="14"/>
  <c r="F98" i="14"/>
  <c r="B99" i="14" s="1"/>
  <c r="M228" i="14"/>
  <c r="Q228" i="14"/>
  <c r="P228" i="14"/>
  <c r="B228" i="14"/>
  <c r="G228" i="14"/>
  <c r="F228" i="14"/>
  <c r="H228" i="14"/>
  <c r="A218" i="12"/>
  <c r="F217" i="12"/>
  <c r="C217" i="12"/>
  <c r="D217" i="12"/>
  <c r="E217" i="12" s="1"/>
  <c r="P218" i="12"/>
  <c r="M218" i="12"/>
  <c r="N218" i="12" s="1"/>
  <c r="J219" i="12"/>
  <c r="L219" i="12" s="1"/>
  <c r="O218" i="12"/>
  <c r="K218" i="12"/>
  <c r="B126" i="12"/>
  <c r="B218" i="12"/>
  <c r="G218" i="12"/>
  <c r="L218" i="8"/>
  <c r="N217" i="8"/>
  <c r="A218" i="8"/>
  <c r="D217" i="8"/>
  <c r="L267" i="14" l="1"/>
  <c r="N266" i="14"/>
  <c r="O266" i="14"/>
  <c r="A263" i="14"/>
  <c r="D262" i="14"/>
  <c r="E262" i="14" s="1"/>
  <c r="C262" i="14"/>
  <c r="C99" i="14"/>
  <c r="Q229" i="14"/>
  <c r="M229" i="14"/>
  <c r="P229" i="14"/>
  <c r="H229" i="14"/>
  <c r="B229" i="14"/>
  <c r="G229" i="14"/>
  <c r="F229" i="14"/>
  <c r="A219" i="12"/>
  <c r="G219" i="12" s="1"/>
  <c r="F218" i="12"/>
  <c r="C218" i="12"/>
  <c r="D218" i="12"/>
  <c r="E218" i="12" s="1"/>
  <c r="O219" i="12"/>
  <c r="M219" i="12"/>
  <c r="N219" i="12" s="1"/>
  <c r="K219" i="12"/>
  <c r="J220" i="12"/>
  <c r="L220" i="12" s="1"/>
  <c r="P219" i="12"/>
  <c r="C126" i="12"/>
  <c r="F126" i="12" s="1"/>
  <c r="L219" i="8"/>
  <c r="N218" i="8"/>
  <c r="A219" i="8"/>
  <c r="D218" i="8"/>
  <c r="B219" i="12" l="1"/>
  <c r="L268" i="14"/>
  <c r="N267" i="14"/>
  <c r="O267" i="14"/>
  <c r="A264" i="14"/>
  <c r="D263" i="14"/>
  <c r="E263" i="14" s="1"/>
  <c r="C263" i="14"/>
  <c r="E99" i="14"/>
  <c r="G99" i="14"/>
  <c r="P230" i="14"/>
  <c r="M230" i="14"/>
  <c r="Q230" i="14"/>
  <c r="F230" i="14"/>
  <c r="H230" i="14"/>
  <c r="B230" i="14"/>
  <c r="G230" i="14"/>
  <c r="A220" i="12"/>
  <c r="F219" i="12"/>
  <c r="C219" i="12"/>
  <c r="D219" i="12"/>
  <c r="E219" i="12" s="1"/>
  <c r="J221" i="12"/>
  <c r="L221" i="12" s="1"/>
  <c r="K220" i="12"/>
  <c r="P220" i="12"/>
  <c r="O220" i="12"/>
  <c r="M220" i="12"/>
  <c r="N220" i="12" s="1"/>
  <c r="E126" i="12"/>
  <c r="B127" i="12" s="1"/>
  <c r="G126" i="12"/>
  <c r="B220" i="12"/>
  <c r="G220" i="12"/>
  <c r="L220" i="8"/>
  <c r="N219" i="8"/>
  <c r="A220" i="8"/>
  <c r="D219" i="8"/>
  <c r="L269" i="14" l="1"/>
  <c r="N268" i="14"/>
  <c r="O268" i="14"/>
  <c r="A265" i="14"/>
  <c r="D264" i="14"/>
  <c r="E264" i="14" s="1"/>
  <c r="C264" i="14"/>
  <c r="F99" i="14"/>
  <c r="B100" i="14" s="1"/>
  <c r="H99" i="14"/>
  <c r="M231" i="14"/>
  <c r="Q231" i="14"/>
  <c r="P231" i="14"/>
  <c r="G231" i="14"/>
  <c r="B231" i="14"/>
  <c r="H231" i="14"/>
  <c r="F231" i="14"/>
  <c r="A221" i="12"/>
  <c r="B221" i="12" s="1"/>
  <c r="F220" i="12"/>
  <c r="C220" i="12"/>
  <c r="D220" i="12"/>
  <c r="E220" i="12" s="1"/>
  <c r="M221" i="12"/>
  <c r="N221" i="12" s="1"/>
  <c r="J222" i="12"/>
  <c r="L222" i="12" s="1"/>
  <c r="K221" i="12"/>
  <c r="P221" i="12"/>
  <c r="O221" i="12"/>
  <c r="C127" i="12"/>
  <c r="E127" i="12" s="1"/>
  <c r="L221" i="8"/>
  <c r="N220" i="8"/>
  <c r="A221" i="8"/>
  <c r="D220" i="8"/>
  <c r="G221" i="12" l="1"/>
  <c r="L270" i="14"/>
  <c r="N269" i="14"/>
  <c r="O269" i="14"/>
  <c r="A266" i="14"/>
  <c r="D265" i="14"/>
  <c r="E265" i="14" s="1"/>
  <c r="C265" i="14"/>
  <c r="C100" i="14"/>
  <c r="M232" i="14"/>
  <c r="Q232" i="14"/>
  <c r="P232" i="14"/>
  <c r="H232" i="14"/>
  <c r="B232" i="14"/>
  <c r="F232" i="14"/>
  <c r="G232" i="14"/>
  <c r="A222" i="12"/>
  <c r="B222" i="12" s="1"/>
  <c r="F221" i="12"/>
  <c r="C221" i="12"/>
  <c r="D221" i="12"/>
  <c r="E221" i="12" s="1"/>
  <c r="P222" i="12"/>
  <c r="O222" i="12"/>
  <c r="M222" i="12"/>
  <c r="N222" i="12" s="1"/>
  <c r="K222" i="12"/>
  <c r="J223" i="12"/>
  <c r="L223" i="12" s="1"/>
  <c r="F127" i="12"/>
  <c r="B128" i="12" s="1"/>
  <c r="G127" i="12"/>
  <c r="L222" i="8"/>
  <c r="N221" i="8"/>
  <c r="A222" i="8"/>
  <c r="D221" i="8"/>
  <c r="G222" i="12" l="1"/>
  <c r="L271" i="14"/>
  <c r="N270" i="14"/>
  <c r="O270" i="14"/>
  <c r="A267" i="14"/>
  <c r="D266" i="14"/>
  <c r="E266" i="14" s="1"/>
  <c r="C266" i="14"/>
  <c r="E100" i="14"/>
  <c r="G100" i="14"/>
  <c r="M233" i="14"/>
  <c r="Q233" i="14"/>
  <c r="P233" i="14"/>
  <c r="F233" i="14"/>
  <c r="H233" i="14"/>
  <c r="G233" i="14"/>
  <c r="B233" i="14"/>
  <c r="A223" i="12"/>
  <c r="G223" i="12" s="1"/>
  <c r="F222" i="12"/>
  <c r="C222" i="12"/>
  <c r="D222" i="12"/>
  <c r="E222" i="12" s="1"/>
  <c r="J224" i="12"/>
  <c r="L224" i="12" s="1"/>
  <c r="K223" i="12"/>
  <c r="O223" i="12"/>
  <c r="P223" i="12"/>
  <c r="M223" i="12"/>
  <c r="N223" i="12" s="1"/>
  <c r="C128" i="12"/>
  <c r="E128" i="12" s="1"/>
  <c r="L223" i="8"/>
  <c r="N222" i="8"/>
  <c r="A223" i="8"/>
  <c r="D222" i="8"/>
  <c r="G128" i="12" l="1"/>
  <c r="L272" i="14"/>
  <c r="N271" i="14"/>
  <c r="O271" i="14"/>
  <c r="A268" i="14"/>
  <c r="D267" i="14"/>
  <c r="E267" i="14" s="1"/>
  <c r="C267" i="14"/>
  <c r="H100" i="14"/>
  <c r="F100" i="14"/>
  <c r="B101" i="14" s="1"/>
  <c r="M234" i="14"/>
  <c r="Q234" i="14"/>
  <c r="P234" i="14"/>
  <c r="G234" i="14"/>
  <c r="F234" i="14"/>
  <c r="B234" i="14"/>
  <c r="H234" i="14"/>
  <c r="B223" i="12"/>
  <c r="F128" i="12"/>
  <c r="A224" i="12"/>
  <c r="B224" i="12" s="1"/>
  <c r="F223" i="12"/>
  <c r="C223" i="12"/>
  <c r="D223" i="12"/>
  <c r="E223" i="12" s="1"/>
  <c r="P224" i="12"/>
  <c r="M224" i="12"/>
  <c r="N224" i="12" s="1"/>
  <c r="K224" i="12"/>
  <c r="J225" i="12"/>
  <c r="L225" i="12" s="1"/>
  <c r="O224" i="12"/>
  <c r="B129" i="12"/>
  <c r="L224" i="8"/>
  <c r="N223" i="8"/>
  <c r="A224" i="8"/>
  <c r="D223" i="8"/>
  <c r="L273" i="14" l="1"/>
  <c r="N272" i="14"/>
  <c r="O272" i="14"/>
  <c r="A269" i="14"/>
  <c r="D268" i="14"/>
  <c r="E268" i="14" s="1"/>
  <c r="C268" i="14"/>
  <c r="C101" i="14"/>
  <c r="Q235" i="14"/>
  <c r="M235" i="14"/>
  <c r="P235" i="14"/>
  <c r="H235" i="14"/>
  <c r="B235" i="14"/>
  <c r="F235" i="14"/>
  <c r="G235" i="14"/>
  <c r="G224" i="12"/>
  <c r="A225" i="12"/>
  <c r="B225" i="12" s="1"/>
  <c r="F224" i="12"/>
  <c r="C224" i="12"/>
  <c r="D224" i="12"/>
  <c r="E224" i="12" s="1"/>
  <c r="O225" i="12"/>
  <c r="M225" i="12"/>
  <c r="N225" i="12" s="1"/>
  <c r="J226" i="12"/>
  <c r="L226" i="12" s="1"/>
  <c r="P225" i="12"/>
  <c r="K225" i="12"/>
  <c r="C129" i="12"/>
  <c r="F129" i="12" s="1"/>
  <c r="L225" i="8"/>
  <c r="N224" i="8"/>
  <c r="A225" i="8"/>
  <c r="D224" i="8"/>
  <c r="G225" i="12" l="1"/>
  <c r="L274" i="14"/>
  <c r="N273" i="14"/>
  <c r="O273" i="14"/>
  <c r="A270" i="14"/>
  <c r="D269" i="14"/>
  <c r="E269" i="14" s="1"/>
  <c r="C269" i="14"/>
  <c r="E101" i="14"/>
  <c r="G101" i="14"/>
  <c r="P236" i="14"/>
  <c r="M236" i="14"/>
  <c r="Q236" i="14"/>
  <c r="F236" i="14"/>
  <c r="G236" i="14"/>
  <c r="B236" i="14"/>
  <c r="H236" i="14"/>
  <c r="A226" i="12"/>
  <c r="F225" i="12"/>
  <c r="C225" i="12"/>
  <c r="D225" i="12"/>
  <c r="E225" i="12" s="1"/>
  <c r="J227" i="12"/>
  <c r="L227" i="12" s="1"/>
  <c r="K226" i="12"/>
  <c r="P226" i="12"/>
  <c r="M226" i="12"/>
  <c r="N226" i="12" s="1"/>
  <c r="O226" i="12"/>
  <c r="E129" i="12"/>
  <c r="B130" i="12" s="1"/>
  <c r="G129" i="12"/>
  <c r="B226" i="12"/>
  <c r="G226" i="12"/>
  <c r="L226" i="8"/>
  <c r="N225" i="8"/>
  <c r="A226" i="8"/>
  <c r="D225" i="8"/>
  <c r="L275" i="14" l="1"/>
  <c r="N274" i="14"/>
  <c r="O274" i="14"/>
  <c r="A271" i="14"/>
  <c r="D270" i="14"/>
  <c r="E270" i="14" s="1"/>
  <c r="C270" i="14"/>
  <c r="F101" i="14"/>
  <c r="B102" i="14" s="1"/>
  <c r="H101" i="14"/>
  <c r="P237" i="14"/>
  <c r="M237" i="14"/>
  <c r="Q237" i="14"/>
  <c r="B237" i="14"/>
  <c r="G237" i="14"/>
  <c r="F237" i="14"/>
  <c r="H237" i="14"/>
  <c r="A227" i="12"/>
  <c r="G227" i="12" s="1"/>
  <c r="F226" i="12"/>
  <c r="C226" i="12"/>
  <c r="D226" i="12"/>
  <c r="E226" i="12" s="1"/>
  <c r="M227" i="12"/>
  <c r="N227" i="12" s="1"/>
  <c r="J228" i="12"/>
  <c r="L228" i="12" s="1"/>
  <c r="K227" i="12"/>
  <c r="P227" i="12"/>
  <c r="O227" i="12"/>
  <c r="C130" i="12"/>
  <c r="E130" i="12" s="1"/>
  <c r="L227" i="8"/>
  <c r="N226" i="8"/>
  <c r="A227" i="8"/>
  <c r="D226" i="8"/>
  <c r="B227" i="12" l="1"/>
  <c r="L276" i="14"/>
  <c r="N275" i="14"/>
  <c r="O275" i="14"/>
  <c r="A272" i="14"/>
  <c r="D271" i="14"/>
  <c r="E271" i="14" s="1"/>
  <c r="C271" i="14"/>
  <c r="C102" i="14"/>
  <c r="P238" i="14"/>
  <c r="M238" i="14"/>
  <c r="Q238" i="14"/>
  <c r="H238" i="14"/>
  <c r="B238" i="14"/>
  <c r="G238" i="14"/>
  <c r="F238" i="14"/>
  <c r="F130" i="12"/>
  <c r="B131" i="12" s="1"/>
  <c r="A228" i="12"/>
  <c r="G228" i="12" s="1"/>
  <c r="F227" i="12"/>
  <c r="C227" i="12"/>
  <c r="D227" i="12"/>
  <c r="E227" i="12" s="1"/>
  <c r="P228" i="12"/>
  <c r="O228" i="12"/>
  <c r="J229" i="12"/>
  <c r="L229" i="12" s="1"/>
  <c r="M228" i="12"/>
  <c r="N228" i="12" s="1"/>
  <c r="K228" i="12"/>
  <c r="G130" i="12"/>
  <c r="L228" i="8"/>
  <c r="N227" i="8"/>
  <c r="A228" i="8"/>
  <c r="D227" i="8"/>
  <c r="L277" i="14" l="1"/>
  <c r="N276" i="14"/>
  <c r="O276" i="14"/>
  <c r="A273" i="14"/>
  <c r="D272" i="14"/>
  <c r="E272" i="14" s="1"/>
  <c r="C272" i="14"/>
  <c r="E102" i="14"/>
  <c r="G102" i="14"/>
  <c r="P239" i="14"/>
  <c r="M239" i="14"/>
  <c r="Q239" i="14"/>
  <c r="F239" i="14"/>
  <c r="H239" i="14"/>
  <c r="B239" i="14"/>
  <c r="G239" i="14"/>
  <c r="B228" i="12"/>
  <c r="A229" i="12"/>
  <c r="G229" i="12" s="1"/>
  <c r="F228" i="12"/>
  <c r="C228" i="12"/>
  <c r="D228" i="12"/>
  <c r="E228" i="12" s="1"/>
  <c r="J230" i="12"/>
  <c r="L230" i="12" s="1"/>
  <c r="K229" i="12"/>
  <c r="O229" i="12"/>
  <c r="M229" i="12"/>
  <c r="N229" i="12" s="1"/>
  <c r="P229" i="12"/>
  <c r="C131" i="12"/>
  <c r="F131" i="12" s="1"/>
  <c r="B229" i="12"/>
  <c r="L229" i="8"/>
  <c r="N228" i="8"/>
  <c r="A229" i="8"/>
  <c r="D228" i="8"/>
  <c r="L278" i="14" l="1"/>
  <c r="N277" i="14"/>
  <c r="O277" i="14"/>
  <c r="A274" i="14"/>
  <c r="D273" i="14"/>
  <c r="E273" i="14" s="1"/>
  <c r="C273" i="14"/>
  <c r="H102" i="14"/>
  <c r="F102" i="14"/>
  <c r="B103" i="14" s="1"/>
  <c r="M240" i="14"/>
  <c r="P240" i="14"/>
  <c r="Q240" i="14"/>
  <c r="G240" i="14"/>
  <c r="B240" i="14"/>
  <c r="H240" i="14"/>
  <c r="F240" i="14"/>
  <c r="A230" i="12"/>
  <c r="B230" i="12" s="1"/>
  <c r="F229" i="12"/>
  <c r="C229" i="12"/>
  <c r="D229" i="12"/>
  <c r="E229" i="12" s="1"/>
  <c r="P230" i="12"/>
  <c r="M230" i="12"/>
  <c r="N230" i="12" s="1"/>
  <c r="J231" i="12"/>
  <c r="L231" i="12" s="1"/>
  <c r="O230" i="12"/>
  <c r="K230" i="12"/>
  <c r="E131" i="12"/>
  <c r="B132" i="12" s="1"/>
  <c r="G131" i="12"/>
  <c r="L230" i="8"/>
  <c r="N229" i="8"/>
  <c r="A230" i="8"/>
  <c r="D229" i="8"/>
  <c r="G230" i="12" l="1"/>
  <c r="L279" i="14"/>
  <c r="N278" i="14"/>
  <c r="O278" i="14"/>
  <c r="A275" i="14"/>
  <c r="D274" i="14"/>
  <c r="E274" i="14" s="1"/>
  <c r="C274" i="14"/>
  <c r="C103" i="14"/>
  <c r="Q241" i="14"/>
  <c r="P241" i="14"/>
  <c r="M241" i="14"/>
  <c r="H241" i="14"/>
  <c r="B241" i="14"/>
  <c r="F241" i="14"/>
  <c r="G241" i="14"/>
  <c r="A231" i="12"/>
  <c r="G231" i="12" s="1"/>
  <c r="F230" i="12"/>
  <c r="C230" i="12"/>
  <c r="D230" i="12"/>
  <c r="E230" i="12" s="1"/>
  <c r="O231" i="12"/>
  <c r="M231" i="12"/>
  <c r="N231" i="12" s="1"/>
  <c r="K231" i="12"/>
  <c r="J232" i="12"/>
  <c r="L232" i="12" s="1"/>
  <c r="P231" i="12"/>
  <c r="C132" i="12"/>
  <c r="E132" i="12" s="1"/>
  <c r="L231" i="8"/>
  <c r="N230" i="8"/>
  <c r="A231" i="8"/>
  <c r="D230" i="8"/>
  <c r="L280" i="14" l="1"/>
  <c r="N279" i="14"/>
  <c r="O279" i="14"/>
  <c r="A276" i="14"/>
  <c r="D275" i="14"/>
  <c r="E275" i="14" s="1"/>
  <c r="C275" i="14"/>
  <c r="E103" i="14"/>
  <c r="G103" i="14"/>
  <c r="P242" i="14"/>
  <c r="Q242" i="14"/>
  <c r="M242" i="14"/>
  <c r="F242" i="14"/>
  <c r="H242" i="14"/>
  <c r="G242" i="14"/>
  <c r="B242" i="14"/>
  <c r="B231" i="12"/>
  <c r="F132" i="12"/>
  <c r="B133" i="12" s="1"/>
  <c r="A232" i="12"/>
  <c r="G232" i="12" s="1"/>
  <c r="F231" i="12"/>
  <c r="C231" i="12"/>
  <c r="D231" i="12"/>
  <c r="E231" i="12" s="1"/>
  <c r="J233" i="12"/>
  <c r="L233" i="12" s="1"/>
  <c r="K232" i="12"/>
  <c r="P232" i="12"/>
  <c r="O232" i="12"/>
  <c r="M232" i="12"/>
  <c r="N232" i="12" s="1"/>
  <c r="C133" i="12"/>
  <c r="E133" i="12" s="1"/>
  <c r="G132" i="12"/>
  <c r="L232" i="8"/>
  <c r="N231" i="8"/>
  <c r="A232" i="8"/>
  <c r="D231" i="8"/>
  <c r="L281" i="14" l="1"/>
  <c r="N280" i="14"/>
  <c r="O280" i="14"/>
  <c r="A277" i="14"/>
  <c r="D276" i="14"/>
  <c r="E276" i="14" s="1"/>
  <c r="C276" i="14"/>
  <c r="F103" i="14"/>
  <c r="B104" i="14" s="1"/>
  <c r="H103" i="14"/>
  <c r="Q243" i="14"/>
  <c r="P243" i="14"/>
  <c r="M243" i="14"/>
  <c r="G243" i="14"/>
  <c r="F243" i="14"/>
  <c r="B243" i="14"/>
  <c r="H243" i="14"/>
  <c r="B232" i="12"/>
  <c r="F133" i="12"/>
  <c r="G133" i="12"/>
  <c r="A233" i="12"/>
  <c r="B233" i="12" s="1"/>
  <c r="F232" i="12"/>
  <c r="C232" i="12"/>
  <c r="D232" i="12"/>
  <c r="E232" i="12" s="1"/>
  <c r="M233" i="12"/>
  <c r="N233" i="12" s="1"/>
  <c r="J234" i="12"/>
  <c r="L234" i="12" s="1"/>
  <c r="K233" i="12"/>
  <c r="P233" i="12"/>
  <c r="O233" i="12"/>
  <c r="B134" i="12"/>
  <c r="L233" i="8"/>
  <c r="N232" i="8"/>
  <c r="A233" i="8"/>
  <c r="D232" i="8"/>
  <c r="L282" i="14" l="1"/>
  <c r="N281" i="14"/>
  <c r="O281" i="14"/>
  <c r="A278" i="14"/>
  <c r="D277" i="14"/>
  <c r="E277" i="14" s="1"/>
  <c r="C277" i="14"/>
  <c r="C104" i="14"/>
  <c r="Q244" i="14"/>
  <c r="P244" i="14"/>
  <c r="M244" i="14"/>
  <c r="H244" i="14"/>
  <c r="B244" i="14"/>
  <c r="G244" i="14"/>
  <c r="F244" i="14"/>
  <c r="G233" i="12"/>
  <c r="A234" i="12"/>
  <c r="B234" i="12" s="1"/>
  <c r="F233" i="12"/>
  <c r="C233" i="12"/>
  <c r="D233" i="12"/>
  <c r="E233" i="12" s="1"/>
  <c r="P234" i="12"/>
  <c r="O234" i="12"/>
  <c r="M234" i="12"/>
  <c r="N234" i="12" s="1"/>
  <c r="K234" i="12"/>
  <c r="J235" i="12"/>
  <c r="L235" i="12" s="1"/>
  <c r="C134" i="12"/>
  <c r="F134" i="12" s="1"/>
  <c r="L234" i="8"/>
  <c r="N233" i="8"/>
  <c r="A234" i="8"/>
  <c r="D233" i="8"/>
  <c r="L283" i="14" l="1"/>
  <c r="N282" i="14"/>
  <c r="O282" i="14"/>
  <c r="A279" i="14"/>
  <c r="D278" i="14"/>
  <c r="E278" i="14" s="1"/>
  <c r="C278" i="14"/>
  <c r="E104" i="14"/>
  <c r="G104" i="14"/>
  <c r="Q245" i="14"/>
  <c r="P245" i="14"/>
  <c r="M245" i="14"/>
  <c r="G245" i="14"/>
  <c r="F245" i="14"/>
  <c r="H245" i="14"/>
  <c r="B245" i="14"/>
  <c r="G234" i="12"/>
  <c r="A235" i="12"/>
  <c r="B235" i="12" s="1"/>
  <c r="F234" i="12"/>
  <c r="C234" i="12"/>
  <c r="D234" i="12"/>
  <c r="E234" i="12" s="1"/>
  <c r="J236" i="12"/>
  <c r="L236" i="12" s="1"/>
  <c r="K235" i="12"/>
  <c r="O235" i="12"/>
  <c r="P235" i="12"/>
  <c r="M235" i="12"/>
  <c r="N235" i="12" s="1"/>
  <c r="E134" i="12"/>
  <c r="B135" i="12" s="1"/>
  <c r="G134" i="12"/>
  <c r="G235" i="12"/>
  <c r="L235" i="8"/>
  <c r="N234" i="8"/>
  <c r="A235" i="8"/>
  <c r="D234" i="8"/>
  <c r="L284" i="14" l="1"/>
  <c r="N283" i="14"/>
  <c r="O283" i="14"/>
  <c r="A280" i="14"/>
  <c r="D279" i="14"/>
  <c r="E279" i="14" s="1"/>
  <c r="C279" i="14"/>
  <c r="H104" i="14"/>
  <c r="F104" i="14"/>
  <c r="B105" i="14" s="1"/>
  <c r="M246" i="14"/>
  <c r="Q246" i="14"/>
  <c r="P246" i="14"/>
  <c r="G246" i="14"/>
  <c r="H246" i="14"/>
  <c r="F246" i="14"/>
  <c r="B246" i="14"/>
  <c r="A236" i="12"/>
  <c r="G236" i="12" s="1"/>
  <c r="F235" i="12"/>
  <c r="C235" i="12"/>
  <c r="D235" i="12"/>
  <c r="E235" i="12" s="1"/>
  <c r="P236" i="12"/>
  <c r="M236" i="12"/>
  <c r="N236" i="12" s="1"/>
  <c r="K236" i="12"/>
  <c r="J237" i="12"/>
  <c r="L237" i="12" s="1"/>
  <c r="O236" i="12"/>
  <c r="C135" i="12"/>
  <c r="E135" i="12" s="1"/>
  <c r="L236" i="8"/>
  <c r="N235" i="8"/>
  <c r="A236" i="8"/>
  <c r="D235" i="8"/>
  <c r="B236" i="12" l="1"/>
  <c r="L285" i="14"/>
  <c r="N284" i="14"/>
  <c r="O284" i="14"/>
  <c r="A281" i="14"/>
  <c r="D280" i="14"/>
  <c r="E280" i="14" s="1"/>
  <c r="C280" i="14"/>
  <c r="C105" i="14"/>
  <c r="Q247" i="14"/>
  <c r="P247" i="14"/>
  <c r="M247" i="14"/>
  <c r="H247" i="14"/>
  <c r="B247" i="14"/>
  <c r="G247" i="14"/>
  <c r="F247" i="14"/>
  <c r="F135" i="12"/>
  <c r="B136" i="12" s="1"/>
  <c r="A237" i="12"/>
  <c r="G237" i="12" s="1"/>
  <c r="F236" i="12"/>
  <c r="C236" i="12"/>
  <c r="D236" i="12"/>
  <c r="E236" i="12" s="1"/>
  <c r="O237" i="12"/>
  <c r="M237" i="12"/>
  <c r="N237" i="12" s="1"/>
  <c r="J238" i="12"/>
  <c r="L238" i="12" s="1"/>
  <c r="P237" i="12"/>
  <c r="K237" i="12"/>
  <c r="G135" i="12"/>
  <c r="L237" i="8"/>
  <c r="N236" i="8"/>
  <c r="A237" i="8"/>
  <c r="D236" i="8"/>
  <c r="L286" i="14" l="1"/>
  <c r="N285" i="14"/>
  <c r="O285" i="14"/>
  <c r="A282" i="14"/>
  <c r="D281" i="14"/>
  <c r="E281" i="14" s="1"/>
  <c r="C281" i="14"/>
  <c r="E105" i="14"/>
  <c r="G105" i="14"/>
  <c r="P248" i="14"/>
  <c r="Q248" i="14"/>
  <c r="M248" i="14"/>
  <c r="G248" i="14"/>
  <c r="F248" i="14"/>
  <c r="B248" i="14"/>
  <c r="H248" i="14"/>
  <c r="B237" i="12"/>
  <c r="A238" i="12"/>
  <c r="G238" i="12" s="1"/>
  <c r="F237" i="12"/>
  <c r="C237" i="12"/>
  <c r="D237" i="12"/>
  <c r="E237" i="12" s="1"/>
  <c r="J239" i="12"/>
  <c r="L239" i="12" s="1"/>
  <c r="K238" i="12"/>
  <c r="P238" i="12"/>
  <c r="O238" i="12"/>
  <c r="M238" i="12"/>
  <c r="N238" i="12" s="1"/>
  <c r="C136" i="12"/>
  <c r="E136" i="12" s="1"/>
  <c r="B238" i="12"/>
  <c r="L238" i="8"/>
  <c r="N237" i="8"/>
  <c r="A238" i="8"/>
  <c r="D237" i="8"/>
  <c r="L287" i="14" l="1"/>
  <c r="N286" i="14"/>
  <c r="O286" i="14"/>
  <c r="A283" i="14"/>
  <c r="D282" i="14"/>
  <c r="E282" i="14" s="1"/>
  <c r="C282" i="14"/>
  <c r="F105" i="14"/>
  <c r="B106" i="14" s="1"/>
  <c r="H105" i="14"/>
  <c r="Q249" i="14"/>
  <c r="P249" i="14"/>
  <c r="M249" i="14"/>
  <c r="B249" i="14"/>
  <c r="G249" i="14"/>
  <c r="F249" i="14"/>
  <c r="H249" i="14"/>
  <c r="A239" i="12"/>
  <c r="B239" i="12" s="1"/>
  <c r="F238" i="12"/>
  <c r="C238" i="12"/>
  <c r="D238" i="12"/>
  <c r="E238" i="12" s="1"/>
  <c r="M239" i="12"/>
  <c r="N239" i="12" s="1"/>
  <c r="J240" i="12"/>
  <c r="L240" i="12" s="1"/>
  <c r="K239" i="12"/>
  <c r="P239" i="12"/>
  <c r="O239" i="12"/>
  <c r="F136" i="12"/>
  <c r="B137" i="12" s="1"/>
  <c r="G136" i="12"/>
  <c r="L239" i="8"/>
  <c r="N238" i="8"/>
  <c r="A239" i="8"/>
  <c r="D238" i="8"/>
  <c r="G239" i="12" l="1"/>
  <c r="L288" i="14"/>
  <c r="N287" i="14"/>
  <c r="O287" i="14"/>
  <c r="A284" i="14"/>
  <c r="D283" i="14"/>
  <c r="E283" i="14" s="1"/>
  <c r="C283" i="14"/>
  <c r="C106" i="14"/>
  <c r="Q250" i="14"/>
  <c r="P250" i="14"/>
  <c r="M250" i="14"/>
  <c r="H250" i="14"/>
  <c r="B250" i="14"/>
  <c r="F250" i="14"/>
  <c r="G250" i="14"/>
  <c r="A240" i="12"/>
  <c r="G240" i="12" s="1"/>
  <c r="F239" i="12"/>
  <c r="C239" i="12"/>
  <c r="D239" i="12"/>
  <c r="E239" i="12" s="1"/>
  <c r="P240" i="12"/>
  <c r="O240" i="12"/>
  <c r="J241" i="12"/>
  <c r="L241" i="12" s="1"/>
  <c r="M240" i="12"/>
  <c r="N240" i="12" s="1"/>
  <c r="K240" i="12"/>
  <c r="C137" i="12"/>
  <c r="E137" i="12" s="1"/>
  <c r="L240" i="8"/>
  <c r="N239" i="8"/>
  <c r="A240" i="8"/>
  <c r="D239" i="8"/>
  <c r="B240" i="12" l="1"/>
  <c r="G137" i="12"/>
  <c r="F137" i="12"/>
  <c r="L289" i="14"/>
  <c r="N288" i="14"/>
  <c r="O288" i="14"/>
  <c r="A285" i="14"/>
  <c r="D284" i="14"/>
  <c r="E284" i="14" s="1"/>
  <c r="C284" i="14"/>
  <c r="E106" i="14"/>
  <c r="G106" i="14"/>
  <c r="Q251" i="14"/>
  <c r="P251" i="14"/>
  <c r="M251" i="14"/>
  <c r="G251" i="14"/>
  <c r="F251" i="14"/>
  <c r="H251" i="14"/>
  <c r="B251" i="14"/>
  <c r="A241" i="12"/>
  <c r="F240" i="12"/>
  <c r="C240" i="12"/>
  <c r="D240" i="12"/>
  <c r="E240" i="12" s="1"/>
  <c r="J242" i="12"/>
  <c r="L242" i="12" s="1"/>
  <c r="K241" i="12"/>
  <c r="O241" i="12"/>
  <c r="M241" i="12"/>
  <c r="N241" i="12" s="1"/>
  <c r="P241" i="12"/>
  <c r="B138" i="12"/>
  <c r="B241" i="12"/>
  <c r="G241" i="12"/>
  <c r="L241" i="8"/>
  <c r="N240" i="8"/>
  <c r="A241" i="8"/>
  <c r="D240" i="8"/>
  <c r="L290" i="14" l="1"/>
  <c r="N289" i="14"/>
  <c r="O289" i="14"/>
  <c r="A286" i="14"/>
  <c r="D285" i="14"/>
  <c r="E285" i="14" s="1"/>
  <c r="C285" i="14"/>
  <c r="H106" i="14"/>
  <c r="F106" i="14"/>
  <c r="B107" i="14" s="1"/>
  <c r="M252" i="14"/>
  <c r="Q252" i="14"/>
  <c r="P252" i="14"/>
  <c r="G252" i="14"/>
  <c r="F252" i="14"/>
  <c r="H252" i="14"/>
  <c r="B252" i="14"/>
  <c r="A242" i="12"/>
  <c r="G242" i="12" s="1"/>
  <c r="F241" i="12"/>
  <c r="C241" i="12"/>
  <c r="D241" i="12"/>
  <c r="E241" i="12" s="1"/>
  <c r="P242" i="12"/>
  <c r="M242" i="12"/>
  <c r="N242" i="12" s="1"/>
  <c r="J243" i="12"/>
  <c r="L243" i="12" s="1"/>
  <c r="O242" i="12"/>
  <c r="K242" i="12"/>
  <c r="C138" i="12"/>
  <c r="F138" i="12"/>
  <c r="L242" i="8"/>
  <c r="N241" i="8"/>
  <c r="A242" i="8"/>
  <c r="D241" i="8"/>
  <c r="B242" i="12" l="1"/>
  <c r="L291" i="14"/>
  <c r="N290" i="14"/>
  <c r="O290" i="14"/>
  <c r="A287" i="14"/>
  <c r="D286" i="14"/>
  <c r="E286" i="14" s="1"/>
  <c r="C286" i="14"/>
  <c r="C107" i="14"/>
  <c r="Q253" i="14"/>
  <c r="M253" i="14"/>
  <c r="P253" i="14"/>
  <c r="H253" i="14"/>
  <c r="B253" i="14"/>
  <c r="G253" i="14"/>
  <c r="F253" i="14"/>
  <c r="A243" i="12"/>
  <c r="B243" i="12" s="1"/>
  <c r="F242" i="12"/>
  <c r="C242" i="12"/>
  <c r="D242" i="12"/>
  <c r="E242" i="12" s="1"/>
  <c r="O243" i="12"/>
  <c r="M243" i="12"/>
  <c r="N243" i="12" s="1"/>
  <c r="K243" i="12"/>
  <c r="J244" i="12"/>
  <c r="L244" i="12" s="1"/>
  <c r="P243" i="12"/>
  <c r="E138" i="12"/>
  <c r="B139" i="12" s="1"/>
  <c r="G138" i="12"/>
  <c r="L243" i="8"/>
  <c r="N242" i="8"/>
  <c r="A243" i="8"/>
  <c r="D242" i="8"/>
  <c r="G243" i="12" l="1"/>
  <c r="L292" i="14"/>
  <c r="N291" i="14"/>
  <c r="O291" i="14"/>
  <c r="A288" i="14"/>
  <c r="D287" i="14"/>
  <c r="E287" i="14" s="1"/>
  <c r="C287" i="14"/>
  <c r="E107" i="14"/>
  <c r="G107" i="14"/>
  <c r="P254" i="14"/>
  <c r="M254" i="14"/>
  <c r="Q254" i="14"/>
  <c r="G254" i="14"/>
  <c r="F254" i="14"/>
  <c r="H254" i="14"/>
  <c r="B254" i="14"/>
  <c r="A244" i="12"/>
  <c r="B244" i="12" s="1"/>
  <c r="F243" i="12"/>
  <c r="C243" i="12"/>
  <c r="D243" i="12"/>
  <c r="E243" i="12" s="1"/>
  <c r="J245" i="12"/>
  <c r="L245" i="12" s="1"/>
  <c r="K244" i="12"/>
  <c r="P244" i="12"/>
  <c r="O244" i="12"/>
  <c r="M244" i="12"/>
  <c r="N244" i="12" s="1"/>
  <c r="C139" i="12"/>
  <c r="E139" i="12" s="1"/>
  <c r="L244" i="8"/>
  <c r="N243" i="8"/>
  <c r="A244" i="8"/>
  <c r="D243" i="8"/>
  <c r="G244" i="12" l="1"/>
  <c r="L293" i="14"/>
  <c r="N292" i="14"/>
  <c r="O292" i="14"/>
  <c r="A289" i="14"/>
  <c r="D288" i="14"/>
  <c r="E288" i="14" s="1"/>
  <c r="C288" i="14"/>
  <c r="F107" i="14"/>
  <c r="B108" i="14" s="1"/>
  <c r="H107" i="14"/>
  <c r="M255" i="14"/>
  <c r="Q255" i="14"/>
  <c r="P255" i="14"/>
  <c r="G255" i="14"/>
  <c r="H255" i="14"/>
  <c r="F255" i="14"/>
  <c r="B255" i="14"/>
  <c r="A245" i="12"/>
  <c r="F244" i="12"/>
  <c r="C244" i="12"/>
  <c r="D244" i="12"/>
  <c r="E244" i="12" s="1"/>
  <c r="M245" i="12"/>
  <c r="N245" i="12" s="1"/>
  <c r="J246" i="12"/>
  <c r="L246" i="12" s="1"/>
  <c r="K245" i="12"/>
  <c r="P245" i="12"/>
  <c r="O245" i="12"/>
  <c r="F139" i="12"/>
  <c r="B140" i="12" s="1"/>
  <c r="G139" i="12"/>
  <c r="B245" i="12"/>
  <c r="G245" i="12"/>
  <c r="L245" i="8"/>
  <c r="N244" i="8"/>
  <c r="A245" i="8"/>
  <c r="D244" i="8"/>
  <c r="L294" i="14" l="1"/>
  <c r="N293" i="14"/>
  <c r="O293" i="14"/>
  <c r="A290" i="14"/>
  <c r="D289" i="14"/>
  <c r="E289" i="14" s="1"/>
  <c r="C289" i="14"/>
  <c r="C108" i="14"/>
  <c r="M256" i="14"/>
  <c r="P256" i="14"/>
  <c r="Q256" i="14"/>
  <c r="H256" i="14"/>
  <c r="B256" i="14"/>
  <c r="G256" i="14"/>
  <c r="F256" i="14"/>
  <c r="A246" i="12"/>
  <c r="G246" i="12" s="1"/>
  <c r="F245" i="12"/>
  <c r="C245" i="12"/>
  <c r="D245" i="12"/>
  <c r="E245" i="12" s="1"/>
  <c r="P246" i="12"/>
  <c r="O246" i="12"/>
  <c r="M246" i="12"/>
  <c r="N246" i="12" s="1"/>
  <c r="K246" i="12"/>
  <c r="J247" i="12"/>
  <c r="L247" i="12" s="1"/>
  <c r="C140" i="12"/>
  <c r="E140" i="12" s="1"/>
  <c r="L246" i="8"/>
  <c r="N245" i="8"/>
  <c r="A246" i="8"/>
  <c r="D245" i="8"/>
  <c r="B246" i="12" l="1"/>
  <c r="G140" i="12"/>
  <c r="L295" i="14"/>
  <c r="N294" i="14"/>
  <c r="O294" i="14"/>
  <c r="A291" i="14"/>
  <c r="D290" i="14"/>
  <c r="E290" i="14" s="1"/>
  <c r="C290" i="14"/>
  <c r="E108" i="14"/>
  <c r="G108" i="14"/>
  <c r="M257" i="14"/>
  <c r="Q257" i="14"/>
  <c r="P257" i="14"/>
  <c r="G257" i="14"/>
  <c r="F257" i="14"/>
  <c r="B257" i="14"/>
  <c r="H257" i="14"/>
  <c r="F140" i="12"/>
  <c r="A247" i="12"/>
  <c r="G247" i="12" s="1"/>
  <c r="F246" i="12"/>
  <c r="C246" i="12"/>
  <c r="D246" i="12"/>
  <c r="E246" i="12" s="1"/>
  <c r="J248" i="12"/>
  <c r="L248" i="12" s="1"/>
  <c r="K247" i="12"/>
  <c r="O247" i="12"/>
  <c r="P247" i="12"/>
  <c r="M247" i="12"/>
  <c r="N247" i="12" s="1"/>
  <c r="B141" i="12"/>
  <c r="B247" i="12"/>
  <c r="L247" i="8"/>
  <c r="N246" i="8"/>
  <c r="A247" i="8"/>
  <c r="D246" i="8"/>
  <c r="L296" i="14" l="1"/>
  <c r="N295" i="14"/>
  <c r="O295" i="14"/>
  <c r="A292" i="14"/>
  <c r="D291" i="14"/>
  <c r="E291" i="14" s="1"/>
  <c r="C291" i="14"/>
  <c r="H108" i="14"/>
  <c r="F108" i="14"/>
  <c r="B109" i="14" s="1"/>
  <c r="M258" i="14"/>
  <c r="Q258" i="14"/>
  <c r="P258" i="14"/>
  <c r="B258" i="14"/>
  <c r="G258" i="14"/>
  <c r="F258" i="14"/>
  <c r="H258" i="14"/>
  <c r="A248" i="12"/>
  <c r="G248" i="12" s="1"/>
  <c r="F247" i="12"/>
  <c r="C247" i="12"/>
  <c r="D247" i="12"/>
  <c r="E247" i="12" s="1"/>
  <c r="P248" i="12"/>
  <c r="M248" i="12"/>
  <c r="N248" i="12" s="1"/>
  <c r="K248" i="12"/>
  <c r="J249" i="12"/>
  <c r="L249" i="12" s="1"/>
  <c r="O248" i="12"/>
  <c r="C141" i="12"/>
  <c r="F141" i="12" s="1"/>
  <c r="L248" i="8"/>
  <c r="N247" i="8"/>
  <c r="A248" i="8"/>
  <c r="D247" i="8"/>
  <c r="B248" i="12" l="1"/>
  <c r="L297" i="14"/>
  <c r="N296" i="14"/>
  <c r="O296" i="14"/>
  <c r="A293" i="14"/>
  <c r="D292" i="14"/>
  <c r="E292" i="14" s="1"/>
  <c r="C292" i="14"/>
  <c r="C109" i="14"/>
  <c r="Q259" i="14"/>
  <c r="M259" i="14"/>
  <c r="P259" i="14"/>
  <c r="H259" i="14"/>
  <c r="B259" i="14"/>
  <c r="F259" i="14"/>
  <c r="G259" i="14"/>
  <c r="A249" i="12"/>
  <c r="G249" i="12" s="1"/>
  <c r="F248" i="12"/>
  <c r="C248" i="12"/>
  <c r="D248" i="12"/>
  <c r="E248" i="12" s="1"/>
  <c r="O249" i="12"/>
  <c r="M249" i="12"/>
  <c r="N249" i="12" s="1"/>
  <c r="J250" i="12"/>
  <c r="L250" i="12" s="1"/>
  <c r="P249" i="12"/>
  <c r="K249" i="12"/>
  <c r="E141" i="12"/>
  <c r="G141" i="12"/>
  <c r="L249" i="8"/>
  <c r="N248" i="8"/>
  <c r="A249" i="8"/>
  <c r="D248" i="8"/>
  <c r="B249" i="12" l="1"/>
  <c r="L298" i="14"/>
  <c r="N297" i="14"/>
  <c r="O297" i="14"/>
  <c r="A294" i="14"/>
  <c r="D293" i="14"/>
  <c r="E293" i="14" s="1"/>
  <c r="C293" i="14"/>
  <c r="E109" i="14"/>
  <c r="G109" i="14"/>
  <c r="P260" i="14"/>
  <c r="M260" i="14"/>
  <c r="Q260" i="14"/>
  <c r="G260" i="14"/>
  <c r="F260" i="14"/>
  <c r="H260" i="14"/>
  <c r="B260" i="14"/>
  <c r="A250" i="12"/>
  <c r="F249" i="12"/>
  <c r="C249" i="12"/>
  <c r="D249" i="12"/>
  <c r="E249" i="12" s="1"/>
  <c r="J251" i="12"/>
  <c r="L251" i="12" s="1"/>
  <c r="K250" i="12"/>
  <c r="P250" i="12"/>
  <c r="O250" i="12"/>
  <c r="M250" i="12"/>
  <c r="N250" i="12" s="1"/>
  <c r="B250" i="12"/>
  <c r="G250" i="12"/>
  <c r="L250" i="8"/>
  <c r="N249" i="8"/>
  <c r="A250" i="8"/>
  <c r="D249" i="8"/>
  <c r="L299" i="14" l="1"/>
  <c r="N298" i="14"/>
  <c r="O298" i="14"/>
  <c r="A295" i="14"/>
  <c r="D294" i="14"/>
  <c r="E294" i="14" s="1"/>
  <c r="C294" i="14"/>
  <c r="F109" i="14"/>
  <c r="B110" i="14" s="1"/>
  <c r="H109" i="14"/>
  <c r="M261" i="14"/>
  <c r="Q261" i="14"/>
  <c r="P261" i="14"/>
  <c r="G261" i="14"/>
  <c r="F261" i="14"/>
  <c r="H261" i="14"/>
  <c r="B261" i="14"/>
  <c r="A251" i="12"/>
  <c r="B251" i="12" s="1"/>
  <c r="F250" i="12"/>
  <c r="C250" i="12"/>
  <c r="D250" i="12"/>
  <c r="E250" i="12" s="1"/>
  <c r="M251" i="12"/>
  <c r="N251" i="12" s="1"/>
  <c r="J252" i="12"/>
  <c r="L252" i="12" s="1"/>
  <c r="K251" i="12"/>
  <c r="P251" i="12"/>
  <c r="O251" i="12"/>
  <c r="L251" i="8"/>
  <c r="N250" i="8"/>
  <c r="A251" i="8"/>
  <c r="D250" i="8"/>
  <c r="G251" i="12" l="1"/>
  <c r="L300" i="14"/>
  <c r="N299" i="14"/>
  <c r="O299" i="14"/>
  <c r="A296" i="14"/>
  <c r="D295" i="14"/>
  <c r="E295" i="14" s="1"/>
  <c r="C295" i="14"/>
  <c r="C110" i="14"/>
  <c r="M262" i="14"/>
  <c r="Q262" i="14"/>
  <c r="P262" i="14"/>
  <c r="H262" i="14"/>
  <c r="B262" i="14"/>
  <c r="G262" i="14"/>
  <c r="F262" i="14"/>
  <c r="A252" i="12"/>
  <c r="G252" i="12" s="1"/>
  <c r="F251" i="12"/>
  <c r="C251" i="12"/>
  <c r="D251" i="12"/>
  <c r="E251" i="12" s="1"/>
  <c r="P252" i="12"/>
  <c r="O252" i="12"/>
  <c r="J253" i="12"/>
  <c r="L253" i="12" s="1"/>
  <c r="M252" i="12"/>
  <c r="N252" i="12" s="1"/>
  <c r="K252" i="12"/>
  <c r="L252" i="8"/>
  <c r="N251" i="8"/>
  <c r="A252" i="8"/>
  <c r="D251" i="8"/>
  <c r="B252" i="12" l="1"/>
  <c r="L301" i="14"/>
  <c r="N300" i="14"/>
  <c r="O300" i="14"/>
  <c r="A297" i="14"/>
  <c r="D296" i="14"/>
  <c r="E296" i="14" s="1"/>
  <c r="C296" i="14"/>
  <c r="E110" i="14"/>
  <c r="G110" i="14"/>
  <c r="P263" i="14"/>
  <c r="Q263" i="14"/>
  <c r="M263" i="14"/>
  <c r="G263" i="14"/>
  <c r="F263" i="14"/>
  <c r="H263" i="14"/>
  <c r="B263" i="14"/>
  <c r="A253" i="12"/>
  <c r="B253" i="12" s="1"/>
  <c r="F252" i="12"/>
  <c r="C252" i="12"/>
  <c r="D252" i="12"/>
  <c r="E252" i="12" s="1"/>
  <c r="J254" i="12"/>
  <c r="L254" i="12" s="1"/>
  <c r="K253" i="12"/>
  <c r="O253" i="12"/>
  <c r="M253" i="12"/>
  <c r="N253" i="12" s="1"/>
  <c r="P253" i="12"/>
  <c r="G253" i="12"/>
  <c r="L253" i="8"/>
  <c r="N252" i="8"/>
  <c r="A253" i="8"/>
  <c r="D252" i="8"/>
  <c r="L302" i="14" l="1"/>
  <c r="N301" i="14"/>
  <c r="O301" i="14"/>
  <c r="A298" i="14"/>
  <c r="D297" i="14"/>
  <c r="E297" i="14" s="1"/>
  <c r="C297" i="14"/>
  <c r="H110" i="14"/>
  <c r="F110" i="14"/>
  <c r="B111" i="14" s="1"/>
  <c r="M264" i="14"/>
  <c r="P264" i="14"/>
  <c r="Q264" i="14"/>
  <c r="G264" i="14"/>
  <c r="H264" i="14"/>
  <c r="F264" i="14"/>
  <c r="B264" i="14"/>
  <c r="A254" i="12"/>
  <c r="B254" i="12" s="1"/>
  <c r="F253" i="12"/>
  <c r="C253" i="12"/>
  <c r="D253" i="12"/>
  <c r="E253" i="12" s="1"/>
  <c r="P254" i="12"/>
  <c r="M254" i="12"/>
  <c r="N254" i="12" s="1"/>
  <c r="J255" i="12"/>
  <c r="L255" i="12" s="1"/>
  <c r="O254" i="12"/>
  <c r="K254" i="12"/>
  <c r="L254" i="8"/>
  <c r="N253" i="8"/>
  <c r="A254" i="8"/>
  <c r="D253" i="8"/>
  <c r="G254" i="12" l="1"/>
  <c r="L303" i="14"/>
  <c r="N302" i="14"/>
  <c r="O302" i="14"/>
  <c r="A299" i="14"/>
  <c r="D298" i="14"/>
  <c r="E298" i="14" s="1"/>
  <c r="C298" i="14"/>
  <c r="C111" i="14"/>
  <c r="Q265" i="14"/>
  <c r="P265" i="14"/>
  <c r="M265" i="14"/>
  <c r="H265" i="14"/>
  <c r="B265" i="14"/>
  <c r="G265" i="14"/>
  <c r="F265" i="14"/>
  <c r="A255" i="12"/>
  <c r="G255" i="12" s="1"/>
  <c r="F254" i="12"/>
  <c r="C254" i="12"/>
  <c r="D254" i="12"/>
  <c r="E254" i="12" s="1"/>
  <c r="O255" i="12"/>
  <c r="M255" i="12"/>
  <c r="N255" i="12" s="1"/>
  <c r="K255" i="12"/>
  <c r="J256" i="12"/>
  <c r="L256" i="12" s="1"/>
  <c r="P255" i="12"/>
  <c r="L255" i="8"/>
  <c r="N254" i="8"/>
  <c r="A255" i="8"/>
  <c r="D254" i="8"/>
  <c r="L304" i="14" l="1"/>
  <c r="N303" i="14"/>
  <c r="O303" i="14"/>
  <c r="A300" i="14"/>
  <c r="D299" i="14"/>
  <c r="E299" i="14" s="1"/>
  <c r="C299" i="14"/>
  <c r="E111" i="14"/>
  <c r="G111" i="14"/>
  <c r="P266" i="14"/>
  <c r="M266" i="14"/>
  <c r="Q266" i="14"/>
  <c r="G266" i="14"/>
  <c r="F266" i="14"/>
  <c r="B266" i="14"/>
  <c r="H266" i="14"/>
  <c r="B255" i="12"/>
  <c r="A256" i="12"/>
  <c r="F255" i="12"/>
  <c r="C255" i="12"/>
  <c r="D255" i="12"/>
  <c r="E255" i="12" s="1"/>
  <c r="J257" i="12"/>
  <c r="L257" i="12" s="1"/>
  <c r="K256" i="12"/>
  <c r="P256" i="12"/>
  <c r="O256" i="12"/>
  <c r="M256" i="12"/>
  <c r="N256" i="12" s="1"/>
  <c r="B256" i="12"/>
  <c r="G256" i="12"/>
  <c r="L256" i="8"/>
  <c r="N255" i="8"/>
  <c r="A256" i="8"/>
  <c r="D255" i="8"/>
  <c r="L305" i="14" l="1"/>
  <c r="N304" i="14"/>
  <c r="O304" i="14"/>
  <c r="A301" i="14"/>
  <c r="D300" i="14"/>
  <c r="E300" i="14" s="1"/>
  <c r="C300" i="14"/>
  <c r="F111" i="14"/>
  <c r="B112" i="14" s="1"/>
  <c r="H111" i="14"/>
  <c r="P267" i="14"/>
  <c r="M267" i="14"/>
  <c r="Q267" i="14"/>
  <c r="B267" i="14"/>
  <c r="G267" i="14"/>
  <c r="F267" i="14"/>
  <c r="H267" i="14"/>
  <c r="A257" i="12"/>
  <c r="B257" i="12" s="1"/>
  <c r="F256" i="12"/>
  <c r="C256" i="12"/>
  <c r="D256" i="12"/>
  <c r="E256" i="12" s="1"/>
  <c r="M257" i="12"/>
  <c r="N257" i="12" s="1"/>
  <c r="J258" i="12"/>
  <c r="L258" i="12" s="1"/>
  <c r="K257" i="12"/>
  <c r="P257" i="12"/>
  <c r="O257" i="12"/>
  <c r="L257" i="8"/>
  <c r="N256" i="8"/>
  <c r="A257" i="8"/>
  <c r="D256" i="8"/>
  <c r="G257" i="12" l="1"/>
  <c r="L306" i="14"/>
  <c r="N305" i="14"/>
  <c r="O305" i="14"/>
  <c r="A302" i="14"/>
  <c r="D301" i="14"/>
  <c r="E301" i="14" s="1"/>
  <c r="C301" i="14"/>
  <c r="C112" i="14"/>
  <c r="P268" i="14"/>
  <c r="M268" i="14"/>
  <c r="Q268" i="14"/>
  <c r="H268" i="14"/>
  <c r="B268" i="14"/>
  <c r="F268" i="14"/>
  <c r="G268" i="14"/>
  <c r="A258" i="12"/>
  <c r="G258" i="12" s="1"/>
  <c r="F257" i="12"/>
  <c r="C257" i="12"/>
  <c r="D257" i="12"/>
  <c r="E257" i="12" s="1"/>
  <c r="P258" i="12"/>
  <c r="O258" i="12"/>
  <c r="M258" i="12"/>
  <c r="N258" i="12" s="1"/>
  <c r="K258" i="12"/>
  <c r="J259" i="12"/>
  <c r="L259" i="12" s="1"/>
  <c r="L258" i="8"/>
  <c r="N257" i="8"/>
  <c r="A258" i="8"/>
  <c r="D257" i="8"/>
  <c r="L307" i="14" l="1"/>
  <c r="N306" i="14"/>
  <c r="O306" i="14"/>
  <c r="A303" i="14"/>
  <c r="D302" i="14"/>
  <c r="E302" i="14" s="1"/>
  <c r="C302" i="14"/>
  <c r="E112" i="14"/>
  <c r="G112" i="14"/>
  <c r="P269" i="14"/>
  <c r="Q269" i="14"/>
  <c r="M269" i="14"/>
  <c r="G269" i="14"/>
  <c r="F269" i="14"/>
  <c r="H269" i="14"/>
  <c r="B269" i="14"/>
  <c r="B258" i="12"/>
  <c r="A259" i="12"/>
  <c r="F258" i="12"/>
  <c r="C258" i="12"/>
  <c r="D258" i="12"/>
  <c r="E258" i="12" s="1"/>
  <c r="J260" i="12"/>
  <c r="L260" i="12" s="1"/>
  <c r="K259" i="12"/>
  <c r="O259" i="12"/>
  <c r="P259" i="12"/>
  <c r="M259" i="12"/>
  <c r="N259" i="12" s="1"/>
  <c r="B259" i="12"/>
  <c r="G259" i="12"/>
  <c r="L259" i="8"/>
  <c r="N258" i="8"/>
  <c r="A259" i="8"/>
  <c r="D258" i="8"/>
  <c r="L308" i="14" l="1"/>
  <c r="N307" i="14"/>
  <c r="O307" i="14"/>
  <c r="A304" i="14"/>
  <c r="D303" i="14"/>
  <c r="E303" i="14" s="1"/>
  <c r="C303" i="14"/>
  <c r="H112" i="14"/>
  <c r="F112" i="14"/>
  <c r="B113" i="14" s="1"/>
  <c r="M270" i="14"/>
  <c r="P270" i="14"/>
  <c r="Q270" i="14"/>
  <c r="G270" i="14"/>
  <c r="F270" i="14"/>
  <c r="H270" i="14"/>
  <c r="B270" i="14"/>
  <c r="A260" i="12"/>
  <c r="B260" i="12" s="1"/>
  <c r="F259" i="12"/>
  <c r="C259" i="12"/>
  <c r="D259" i="12"/>
  <c r="E259" i="12" s="1"/>
  <c r="P260" i="12"/>
  <c r="M260" i="12"/>
  <c r="N260" i="12" s="1"/>
  <c r="K260" i="12"/>
  <c r="J261" i="12"/>
  <c r="L261" i="12" s="1"/>
  <c r="O260" i="12"/>
  <c r="L260" i="8"/>
  <c r="N259" i="8"/>
  <c r="A260" i="8"/>
  <c r="D259" i="8"/>
  <c r="G260" i="12" l="1"/>
  <c r="L309" i="14"/>
  <c r="N308" i="14"/>
  <c r="O308" i="14"/>
  <c r="A305" i="14"/>
  <c r="D304" i="14"/>
  <c r="E304" i="14" s="1"/>
  <c r="C304" i="14"/>
  <c r="C113" i="14"/>
  <c r="Q271" i="14"/>
  <c r="P271" i="14"/>
  <c r="M271" i="14"/>
  <c r="H271" i="14"/>
  <c r="B271" i="14"/>
  <c r="G271" i="14"/>
  <c r="F271" i="14"/>
  <c r="A261" i="12"/>
  <c r="G261" i="12" s="1"/>
  <c r="F260" i="12"/>
  <c r="C260" i="12"/>
  <c r="D260" i="12"/>
  <c r="E260" i="12" s="1"/>
  <c r="O261" i="12"/>
  <c r="M261" i="12"/>
  <c r="N261" i="12" s="1"/>
  <c r="J262" i="12"/>
  <c r="L262" i="12" s="1"/>
  <c r="P261" i="12"/>
  <c r="K261" i="12"/>
  <c r="L261" i="8"/>
  <c r="N260" i="8"/>
  <c r="A261" i="8"/>
  <c r="D260" i="8"/>
  <c r="B261" i="12" l="1"/>
  <c r="L310" i="14"/>
  <c r="N309" i="14"/>
  <c r="O309" i="14"/>
  <c r="A306" i="14"/>
  <c r="D305" i="14"/>
  <c r="E305" i="14" s="1"/>
  <c r="C305" i="14"/>
  <c r="E113" i="14"/>
  <c r="G113" i="14"/>
  <c r="P272" i="14"/>
  <c r="Q272" i="14"/>
  <c r="M272" i="14"/>
  <c r="G272" i="14"/>
  <c r="F272" i="14"/>
  <c r="H272" i="14"/>
  <c r="B272" i="14"/>
  <c r="A262" i="12"/>
  <c r="F261" i="12"/>
  <c r="C261" i="12"/>
  <c r="D261" i="12"/>
  <c r="E261" i="12" s="1"/>
  <c r="J263" i="12"/>
  <c r="L263" i="12" s="1"/>
  <c r="K262" i="12"/>
  <c r="P262" i="12"/>
  <c r="M262" i="12"/>
  <c r="N262" i="12" s="1"/>
  <c r="O262" i="12"/>
  <c r="B262" i="12"/>
  <c r="G262" i="12"/>
  <c r="L262" i="8"/>
  <c r="N261" i="8"/>
  <c r="A262" i="8"/>
  <c r="D261" i="8"/>
  <c r="L311" i="14" l="1"/>
  <c r="N310" i="14"/>
  <c r="O310" i="14"/>
  <c r="A307" i="14"/>
  <c r="D306" i="14"/>
  <c r="E306" i="14" s="1"/>
  <c r="C306" i="14"/>
  <c r="F113" i="14"/>
  <c r="B114" i="14" s="1"/>
  <c r="H113" i="14"/>
  <c r="Q273" i="14"/>
  <c r="M273" i="14"/>
  <c r="P273" i="14"/>
  <c r="G273" i="14"/>
  <c r="H273" i="14"/>
  <c r="F273" i="14"/>
  <c r="B273" i="14"/>
  <c r="A263" i="12"/>
  <c r="G263" i="12" s="1"/>
  <c r="F262" i="12"/>
  <c r="C262" i="12"/>
  <c r="D262" i="12"/>
  <c r="E262" i="12" s="1"/>
  <c r="M263" i="12"/>
  <c r="N263" i="12" s="1"/>
  <c r="J264" i="12"/>
  <c r="L264" i="12" s="1"/>
  <c r="K263" i="12"/>
  <c r="P263" i="12"/>
  <c r="O263" i="12"/>
  <c r="L263" i="8"/>
  <c r="N262" i="8"/>
  <c r="A263" i="8"/>
  <c r="D262" i="8"/>
  <c r="B263" i="12" l="1"/>
  <c r="L312" i="14"/>
  <c r="N311" i="14"/>
  <c r="O311" i="14"/>
  <c r="A308" i="14"/>
  <c r="D307" i="14"/>
  <c r="E307" i="14" s="1"/>
  <c r="C307" i="14"/>
  <c r="C114" i="14"/>
  <c r="Q274" i="14"/>
  <c r="P274" i="14"/>
  <c r="M274" i="14"/>
  <c r="H274" i="14"/>
  <c r="B274" i="14"/>
  <c r="G274" i="14"/>
  <c r="F274" i="14"/>
  <c r="A264" i="12"/>
  <c r="G264" i="12" s="1"/>
  <c r="F263" i="12"/>
  <c r="C263" i="12"/>
  <c r="D263" i="12"/>
  <c r="E263" i="12" s="1"/>
  <c r="P264" i="12"/>
  <c r="O264" i="12"/>
  <c r="J265" i="12"/>
  <c r="L265" i="12" s="1"/>
  <c r="M264" i="12"/>
  <c r="N264" i="12" s="1"/>
  <c r="K264" i="12"/>
  <c r="L264" i="8"/>
  <c r="N263" i="8"/>
  <c r="A264" i="8"/>
  <c r="D263" i="8"/>
  <c r="B264" i="12" l="1"/>
  <c r="L313" i="14"/>
  <c r="N312" i="14"/>
  <c r="O312" i="14"/>
  <c r="A309" i="14"/>
  <c r="D308" i="14"/>
  <c r="E308" i="14" s="1"/>
  <c r="C308" i="14"/>
  <c r="E114" i="14"/>
  <c r="G114" i="14"/>
  <c r="Q275" i="14"/>
  <c r="P275" i="14"/>
  <c r="M275" i="14"/>
  <c r="G275" i="14"/>
  <c r="F275" i="14"/>
  <c r="B275" i="14"/>
  <c r="H275" i="14"/>
  <c r="A265" i="12"/>
  <c r="B265" i="12" s="1"/>
  <c r="F264" i="12"/>
  <c r="C264" i="12"/>
  <c r="D264" i="12"/>
  <c r="E264" i="12" s="1"/>
  <c r="J266" i="12"/>
  <c r="L266" i="12" s="1"/>
  <c r="K265" i="12"/>
  <c r="O265" i="12"/>
  <c r="M265" i="12"/>
  <c r="N265" i="12" s="1"/>
  <c r="P265" i="12"/>
  <c r="G265" i="12"/>
  <c r="L265" i="8"/>
  <c r="N264" i="8"/>
  <c r="A265" i="8"/>
  <c r="D264" i="8"/>
  <c r="L314" i="14" l="1"/>
  <c r="N313" i="14"/>
  <c r="O313" i="14"/>
  <c r="A310" i="14"/>
  <c r="D309" i="14"/>
  <c r="E309" i="14" s="1"/>
  <c r="C309" i="14"/>
  <c r="H114" i="14"/>
  <c r="F114" i="14"/>
  <c r="B115" i="14" s="1"/>
  <c r="M276" i="14"/>
  <c r="Q276" i="14"/>
  <c r="P276" i="14"/>
  <c r="B276" i="14"/>
  <c r="G276" i="14"/>
  <c r="F276" i="14"/>
  <c r="H276" i="14"/>
  <c r="A266" i="12"/>
  <c r="G266" i="12" s="1"/>
  <c r="F265" i="12"/>
  <c r="C265" i="12"/>
  <c r="D265" i="12"/>
  <c r="E265" i="12" s="1"/>
  <c r="P266" i="12"/>
  <c r="M266" i="12"/>
  <c r="N266" i="12" s="1"/>
  <c r="J267" i="12"/>
  <c r="L267" i="12" s="1"/>
  <c r="O266" i="12"/>
  <c r="K266" i="12"/>
  <c r="L266" i="8"/>
  <c r="N265" i="8"/>
  <c r="A266" i="8"/>
  <c r="D265" i="8"/>
  <c r="B266" i="12" l="1"/>
  <c r="L315" i="14"/>
  <c r="N314" i="14"/>
  <c r="O314" i="14"/>
  <c r="A311" i="14"/>
  <c r="D310" i="14"/>
  <c r="E310" i="14" s="1"/>
  <c r="C310" i="14"/>
  <c r="C115" i="14"/>
  <c r="Q277" i="14"/>
  <c r="M277" i="14"/>
  <c r="P277" i="14"/>
  <c r="H277" i="14"/>
  <c r="B277" i="14"/>
  <c r="F277" i="14"/>
  <c r="G277" i="14"/>
  <c r="A267" i="12"/>
  <c r="G267" i="12" s="1"/>
  <c r="F266" i="12"/>
  <c r="C266" i="12"/>
  <c r="D266" i="12"/>
  <c r="E266" i="12" s="1"/>
  <c r="O267" i="12"/>
  <c r="M267" i="12"/>
  <c r="N267" i="12" s="1"/>
  <c r="K267" i="12"/>
  <c r="J268" i="12"/>
  <c r="L268" i="12" s="1"/>
  <c r="P267" i="12"/>
  <c r="L267" i="8"/>
  <c r="N266" i="8"/>
  <c r="A267" i="8"/>
  <c r="D266" i="8"/>
  <c r="L316" i="14" l="1"/>
  <c r="N315" i="14"/>
  <c r="O315" i="14"/>
  <c r="A312" i="14"/>
  <c r="D311" i="14"/>
  <c r="E311" i="14" s="1"/>
  <c r="C311" i="14"/>
  <c r="E115" i="14"/>
  <c r="G115" i="14"/>
  <c r="P278" i="14"/>
  <c r="M278" i="14"/>
  <c r="Q278" i="14"/>
  <c r="G278" i="14"/>
  <c r="F278" i="14"/>
  <c r="H278" i="14"/>
  <c r="B278" i="14"/>
  <c r="B267" i="12"/>
  <c r="A268" i="12"/>
  <c r="F267" i="12"/>
  <c r="C267" i="12"/>
  <c r="D267" i="12"/>
  <c r="E267" i="12" s="1"/>
  <c r="J269" i="12"/>
  <c r="L269" i="12" s="1"/>
  <c r="K268" i="12"/>
  <c r="P268" i="12"/>
  <c r="O268" i="12"/>
  <c r="M268" i="12"/>
  <c r="N268" i="12" s="1"/>
  <c r="B268" i="12"/>
  <c r="G268" i="12"/>
  <c r="L268" i="8"/>
  <c r="N267" i="8"/>
  <c r="A268" i="8"/>
  <c r="D267" i="8"/>
  <c r="L317" i="14" l="1"/>
  <c r="N316" i="14"/>
  <c r="O316" i="14"/>
  <c r="A313" i="14"/>
  <c r="D312" i="14"/>
  <c r="E312" i="14" s="1"/>
  <c r="C312" i="14"/>
  <c r="F115" i="14"/>
  <c r="B116" i="14" s="1"/>
  <c r="H115" i="14"/>
  <c r="P279" i="14"/>
  <c r="Q279" i="14"/>
  <c r="M279" i="14"/>
  <c r="G279" i="14"/>
  <c r="F279" i="14"/>
  <c r="H279" i="14"/>
  <c r="B279" i="14"/>
  <c r="A269" i="12"/>
  <c r="B269" i="12" s="1"/>
  <c r="F268" i="12"/>
  <c r="C268" i="12"/>
  <c r="D268" i="12"/>
  <c r="E268" i="12" s="1"/>
  <c r="M269" i="12"/>
  <c r="N269" i="12" s="1"/>
  <c r="J270" i="12"/>
  <c r="L270" i="12" s="1"/>
  <c r="K269" i="12"/>
  <c r="P269" i="12"/>
  <c r="O269" i="12"/>
  <c r="L269" i="8"/>
  <c r="N268" i="8"/>
  <c r="A269" i="8"/>
  <c r="D268" i="8"/>
  <c r="G269" i="12" l="1"/>
  <c r="L318" i="14"/>
  <c r="N317" i="14"/>
  <c r="O317" i="14"/>
  <c r="A314" i="14"/>
  <c r="D313" i="14"/>
  <c r="E313" i="14" s="1"/>
  <c r="C313" i="14"/>
  <c r="C116" i="14"/>
  <c r="P280" i="14"/>
  <c r="Q280" i="14"/>
  <c r="M280" i="14"/>
  <c r="H280" i="14"/>
  <c r="B280" i="14"/>
  <c r="G280" i="14"/>
  <c r="F280" i="14"/>
  <c r="A270" i="12"/>
  <c r="G270" i="12" s="1"/>
  <c r="F269" i="12"/>
  <c r="C269" i="12"/>
  <c r="D269" i="12"/>
  <c r="E269" i="12" s="1"/>
  <c r="P270" i="12"/>
  <c r="O270" i="12"/>
  <c r="M270" i="12"/>
  <c r="N270" i="12" s="1"/>
  <c r="K270" i="12"/>
  <c r="J271" i="12"/>
  <c r="L271" i="12" s="1"/>
  <c r="L270" i="8"/>
  <c r="N269" i="8"/>
  <c r="A270" i="8"/>
  <c r="D269" i="8"/>
  <c r="B270" i="12" l="1"/>
  <c r="L319" i="14"/>
  <c r="N318" i="14"/>
  <c r="O318" i="14"/>
  <c r="A315" i="14"/>
  <c r="D314" i="14"/>
  <c r="E314" i="14" s="1"/>
  <c r="C314" i="14"/>
  <c r="E116" i="14"/>
  <c r="G116" i="14"/>
  <c r="Q281" i="14"/>
  <c r="P281" i="14"/>
  <c r="M281" i="14"/>
  <c r="G281" i="14"/>
  <c r="F281" i="14"/>
  <c r="H281" i="14"/>
  <c r="B281" i="14"/>
  <c r="A271" i="12"/>
  <c r="F270" i="12"/>
  <c r="C270" i="12"/>
  <c r="D270" i="12"/>
  <c r="E270" i="12" s="1"/>
  <c r="J272" i="12"/>
  <c r="L272" i="12" s="1"/>
  <c r="K271" i="12"/>
  <c r="O271" i="12"/>
  <c r="P271" i="12"/>
  <c r="M271" i="12"/>
  <c r="N271" i="12" s="1"/>
  <c r="B271" i="12"/>
  <c r="G271" i="12"/>
  <c r="L271" i="8"/>
  <c r="N270" i="8"/>
  <c r="A271" i="8"/>
  <c r="D270" i="8"/>
  <c r="L320" i="14" l="1"/>
  <c r="N319" i="14"/>
  <c r="O319" i="14"/>
  <c r="A316" i="14"/>
  <c r="D315" i="14"/>
  <c r="E315" i="14" s="1"/>
  <c r="C315" i="14"/>
  <c r="H116" i="14"/>
  <c r="F116" i="14"/>
  <c r="B117" i="14" s="1"/>
  <c r="M282" i="14"/>
  <c r="Q282" i="14"/>
  <c r="P282" i="14"/>
  <c r="G282" i="14"/>
  <c r="H282" i="14"/>
  <c r="F282" i="14"/>
  <c r="B282" i="14"/>
  <c r="A272" i="12"/>
  <c r="G272" i="12" s="1"/>
  <c r="F271" i="12"/>
  <c r="C271" i="12"/>
  <c r="D271" i="12"/>
  <c r="E271" i="12" s="1"/>
  <c r="P272" i="12"/>
  <c r="M272" i="12"/>
  <c r="N272" i="12" s="1"/>
  <c r="K272" i="12"/>
  <c r="O272" i="12"/>
  <c r="J273" i="12"/>
  <c r="L273" i="12" s="1"/>
  <c r="L272" i="8"/>
  <c r="N271" i="8"/>
  <c r="A272" i="8"/>
  <c r="D271" i="8"/>
  <c r="B272" i="12" l="1"/>
  <c r="L321" i="14"/>
  <c r="N320" i="14"/>
  <c r="O320" i="14"/>
  <c r="A317" i="14"/>
  <c r="D316" i="14"/>
  <c r="E316" i="14" s="1"/>
  <c r="C316" i="14"/>
  <c r="C117" i="14"/>
  <c r="Q283" i="14"/>
  <c r="M283" i="14"/>
  <c r="P283" i="14"/>
  <c r="H283" i="14"/>
  <c r="B283" i="14"/>
  <c r="G283" i="14"/>
  <c r="F283" i="14"/>
  <c r="A273" i="12"/>
  <c r="G273" i="12" s="1"/>
  <c r="F272" i="12"/>
  <c r="C272" i="12"/>
  <c r="D272" i="12"/>
  <c r="E272" i="12" s="1"/>
  <c r="O273" i="12"/>
  <c r="M273" i="12"/>
  <c r="N273" i="12" s="1"/>
  <c r="J274" i="12"/>
  <c r="L274" i="12" s="1"/>
  <c r="P273" i="12"/>
  <c r="K273" i="12"/>
  <c r="L273" i="8"/>
  <c r="N272" i="8"/>
  <c r="A273" i="8"/>
  <c r="D272" i="8"/>
  <c r="B273" i="12" l="1"/>
  <c r="L322" i="14"/>
  <c r="N321" i="14"/>
  <c r="O321" i="14"/>
  <c r="A318" i="14"/>
  <c r="D317" i="14"/>
  <c r="E317" i="14" s="1"/>
  <c r="C317" i="14"/>
  <c r="E117" i="14"/>
  <c r="G117" i="14"/>
  <c r="P284" i="14"/>
  <c r="M284" i="14"/>
  <c r="Q284" i="14"/>
  <c r="G284" i="14"/>
  <c r="F284" i="14"/>
  <c r="B284" i="14"/>
  <c r="H284" i="14"/>
  <c r="A274" i="12"/>
  <c r="F273" i="12"/>
  <c r="C273" i="12"/>
  <c r="D273" i="12"/>
  <c r="E273" i="12" s="1"/>
  <c r="J275" i="12"/>
  <c r="L275" i="12" s="1"/>
  <c r="K274" i="12"/>
  <c r="P274" i="12"/>
  <c r="O274" i="12"/>
  <c r="M274" i="12"/>
  <c r="N274" i="12" s="1"/>
  <c r="B274" i="12"/>
  <c r="G274" i="12"/>
  <c r="L274" i="8"/>
  <c r="N273" i="8"/>
  <c r="A274" i="8"/>
  <c r="D273" i="8"/>
  <c r="L323" i="14" l="1"/>
  <c r="N322" i="14"/>
  <c r="O322" i="14"/>
  <c r="A319" i="14"/>
  <c r="D318" i="14"/>
  <c r="E318" i="14" s="1"/>
  <c r="C318" i="14"/>
  <c r="F117" i="14"/>
  <c r="B118" i="14" s="1"/>
  <c r="H117" i="14"/>
  <c r="M285" i="14"/>
  <c r="P285" i="14"/>
  <c r="Q285" i="14"/>
  <c r="B285" i="14"/>
  <c r="G285" i="14"/>
  <c r="F285" i="14"/>
  <c r="H285" i="14"/>
  <c r="A275" i="12"/>
  <c r="G275" i="12" s="1"/>
  <c r="F274" i="12"/>
  <c r="C274" i="12"/>
  <c r="D274" i="12"/>
  <c r="E274" i="12" s="1"/>
  <c r="M275" i="12"/>
  <c r="N275" i="12" s="1"/>
  <c r="J276" i="12"/>
  <c r="L276" i="12" s="1"/>
  <c r="K275" i="12"/>
  <c r="P275" i="12"/>
  <c r="O275" i="12"/>
  <c r="L275" i="8"/>
  <c r="T274" i="8"/>
  <c r="S274" i="8"/>
  <c r="R274" i="8"/>
  <c r="Q274" i="8"/>
  <c r="O274" i="8"/>
  <c r="P274" i="8"/>
  <c r="M274" i="8"/>
  <c r="N274" i="8"/>
  <c r="A275" i="8"/>
  <c r="G274" i="8"/>
  <c r="H274" i="8"/>
  <c r="F274" i="8"/>
  <c r="D274" i="8"/>
  <c r="E274" i="8" s="1"/>
  <c r="B274" i="8"/>
  <c r="C274" i="8"/>
  <c r="B275" i="12" l="1"/>
  <c r="L324" i="14"/>
  <c r="N323" i="14"/>
  <c r="O323" i="14"/>
  <c r="A320" i="14"/>
  <c r="D319" i="14"/>
  <c r="E319" i="14" s="1"/>
  <c r="C319" i="14"/>
  <c r="C118" i="14"/>
  <c r="M286" i="14"/>
  <c r="Q286" i="14"/>
  <c r="P286" i="14"/>
  <c r="H286" i="14"/>
  <c r="B286" i="14"/>
  <c r="F286" i="14"/>
  <c r="G286" i="14"/>
  <c r="A276" i="12"/>
  <c r="G276" i="12" s="1"/>
  <c r="F275" i="12"/>
  <c r="C275" i="12"/>
  <c r="D275" i="12"/>
  <c r="E275" i="12" s="1"/>
  <c r="P276" i="12"/>
  <c r="O276" i="12"/>
  <c r="J277" i="12"/>
  <c r="L277" i="12" s="1"/>
  <c r="M276" i="12"/>
  <c r="N276" i="12" s="1"/>
  <c r="K276" i="12"/>
  <c r="L276" i="8"/>
  <c r="T275" i="8"/>
  <c r="S275" i="8"/>
  <c r="R275" i="8"/>
  <c r="Q275" i="8"/>
  <c r="P275" i="8"/>
  <c r="O275" i="8"/>
  <c r="M275" i="8"/>
  <c r="N275" i="8"/>
  <c r="A276" i="8"/>
  <c r="G275" i="8"/>
  <c r="H275" i="8"/>
  <c r="D275" i="8"/>
  <c r="E275" i="8" s="1"/>
  <c r="F275" i="8"/>
  <c r="B275" i="8"/>
  <c r="C275" i="8"/>
  <c r="B276" i="12" l="1"/>
  <c r="L325" i="14"/>
  <c r="N324" i="14"/>
  <c r="O324" i="14"/>
  <c r="A321" i="14"/>
  <c r="D320" i="14"/>
  <c r="E320" i="14" s="1"/>
  <c r="C320" i="14"/>
  <c r="E118" i="14"/>
  <c r="G118" i="14"/>
  <c r="M287" i="14"/>
  <c r="Q287" i="14"/>
  <c r="P287" i="14"/>
  <c r="G287" i="14"/>
  <c r="F287" i="14"/>
  <c r="H287" i="14"/>
  <c r="B287" i="14"/>
  <c r="A277" i="12"/>
  <c r="F276" i="12"/>
  <c r="C276" i="12"/>
  <c r="D276" i="12"/>
  <c r="E276" i="12" s="1"/>
  <c r="J278" i="12"/>
  <c r="L278" i="12" s="1"/>
  <c r="K277" i="12"/>
  <c r="O277" i="12"/>
  <c r="M277" i="12"/>
  <c r="N277" i="12" s="1"/>
  <c r="P277" i="12"/>
  <c r="B277" i="12"/>
  <c r="G277" i="12"/>
  <c r="L277" i="8"/>
  <c r="T276" i="8"/>
  <c r="S276" i="8"/>
  <c r="R276" i="8"/>
  <c r="P276" i="8"/>
  <c r="Q276" i="8"/>
  <c r="O276" i="8"/>
  <c r="M276" i="8"/>
  <c r="N276" i="8"/>
  <c r="A277" i="8"/>
  <c r="H276" i="8"/>
  <c r="G276" i="8"/>
  <c r="D276" i="8"/>
  <c r="E276" i="8" s="1"/>
  <c r="C276" i="8"/>
  <c r="F276" i="8"/>
  <c r="B276" i="8"/>
  <c r="L326" i="14" l="1"/>
  <c r="N325" i="14"/>
  <c r="O325" i="14"/>
  <c r="A322" i="14"/>
  <c r="D321" i="14"/>
  <c r="E321" i="14" s="1"/>
  <c r="C321" i="14"/>
  <c r="H118" i="14"/>
  <c r="F118" i="14"/>
  <c r="B119" i="14" s="1"/>
  <c r="M288" i="14"/>
  <c r="Q288" i="14"/>
  <c r="P288" i="14"/>
  <c r="G288" i="14"/>
  <c r="F288" i="14"/>
  <c r="H288" i="14"/>
  <c r="B288" i="14"/>
  <c r="A278" i="12"/>
  <c r="B278" i="12" s="1"/>
  <c r="F277" i="12"/>
  <c r="C277" i="12"/>
  <c r="D277" i="12"/>
  <c r="E277" i="12" s="1"/>
  <c r="P278" i="12"/>
  <c r="M278" i="12"/>
  <c r="N278" i="12" s="1"/>
  <c r="J279" i="12"/>
  <c r="L279" i="12" s="1"/>
  <c r="O278" i="12"/>
  <c r="K278" i="12"/>
  <c r="L278" i="8"/>
  <c r="S277" i="8"/>
  <c r="T277" i="8"/>
  <c r="R277" i="8"/>
  <c r="P277" i="8"/>
  <c r="Q277" i="8"/>
  <c r="O277" i="8"/>
  <c r="M277" i="8"/>
  <c r="N277" i="8"/>
  <c r="A278" i="8"/>
  <c r="G277" i="8"/>
  <c r="H277" i="8"/>
  <c r="F277" i="8"/>
  <c r="D277" i="8"/>
  <c r="E277" i="8" s="1"/>
  <c r="B277" i="8"/>
  <c r="C277" i="8"/>
  <c r="G278" i="12" l="1"/>
  <c r="L327" i="14"/>
  <c r="N326" i="14"/>
  <c r="O326" i="14"/>
  <c r="A323" i="14"/>
  <c r="D322" i="14"/>
  <c r="E322" i="14" s="1"/>
  <c r="C322" i="14"/>
  <c r="C119" i="14"/>
  <c r="Q289" i="14"/>
  <c r="M289" i="14"/>
  <c r="P289" i="14"/>
  <c r="H289" i="14"/>
  <c r="B289" i="14"/>
  <c r="G289" i="14"/>
  <c r="F289" i="14"/>
  <c r="A279" i="12"/>
  <c r="B279" i="12" s="1"/>
  <c r="F278" i="12"/>
  <c r="C278" i="12"/>
  <c r="D278" i="12"/>
  <c r="E278" i="12" s="1"/>
  <c r="O279" i="12"/>
  <c r="M279" i="12"/>
  <c r="N279" i="12" s="1"/>
  <c r="K279" i="12"/>
  <c r="J280" i="12"/>
  <c r="L280" i="12" s="1"/>
  <c r="P279" i="12"/>
  <c r="L279" i="8"/>
  <c r="T278" i="8"/>
  <c r="S278" i="8"/>
  <c r="R278" i="8"/>
  <c r="Q278" i="8"/>
  <c r="P278" i="8"/>
  <c r="O278" i="8"/>
  <c r="M278" i="8"/>
  <c r="N278" i="8"/>
  <c r="A279" i="8"/>
  <c r="G278" i="8"/>
  <c r="H278" i="8"/>
  <c r="F278" i="8"/>
  <c r="C278" i="8"/>
  <c r="B278" i="8"/>
  <c r="D278" i="8"/>
  <c r="E278" i="8" s="1"/>
  <c r="G279" i="12" l="1"/>
  <c r="L328" i="14"/>
  <c r="N327" i="14"/>
  <c r="O327" i="14"/>
  <c r="A324" i="14"/>
  <c r="D323" i="14"/>
  <c r="E323" i="14" s="1"/>
  <c r="C323" i="14"/>
  <c r="E119" i="14"/>
  <c r="G119" i="14"/>
  <c r="P290" i="14"/>
  <c r="Q290" i="14"/>
  <c r="M290" i="14"/>
  <c r="G290" i="14"/>
  <c r="F290" i="14"/>
  <c r="H290" i="14"/>
  <c r="B290" i="14"/>
  <c r="A280" i="12"/>
  <c r="F279" i="12"/>
  <c r="C279" i="12"/>
  <c r="D279" i="12"/>
  <c r="E279" i="12" s="1"/>
  <c r="J281" i="12"/>
  <c r="L281" i="12" s="1"/>
  <c r="K280" i="12"/>
  <c r="P280" i="12"/>
  <c r="O280" i="12"/>
  <c r="M280" i="12"/>
  <c r="N280" i="12" s="1"/>
  <c r="B280" i="12"/>
  <c r="G280" i="12"/>
  <c r="L280" i="8"/>
  <c r="T279" i="8"/>
  <c r="R279" i="8"/>
  <c r="S279" i="8"/>
  <c r="Q279" i="8"/>
  <c r="P279" i="8"/>
  <c r="O279" i="8"/>
  <c r="M279" i="8"/>
  <c r="N279" i="8"/>
  <c r="A280" i="8"/>
  <c r="G279" i="8"/>
  <c r="H279" i="8"/>
  <c r="F279" i="8"/>
  <c r="D279" i="8"/>
  <c r="E279" i="8" s="1"/>
  <c r="C279" i="8"/>
  <c r="B279" i="8"/>
  <c r="L329" i="14" l="1"/>
  <c r="N328" i="14"/>
  <c r="O328" i="14"/>
  <c r="A325" i="14"/>
  <c r="D324" i="14"/>
  <c r="E324" i="14" s="1"/>
  <c r="C324" i="14"/>
  <c r="F119" i="14"/>
  <c r="B120" i="14" s="1"/>
  <c r="H119" i="14"/>
  <c r="Q291" i="14"/>
  <c r="P291" i="14"/>
  <c r="M291" i="14"/>
  <c r="G291" i="14"/>
  <c r="H291" i="14"/>
  <c r="F291" i="14"/>
  <c r="B291" i="14"/>
  <c r="A281" i="12"/>
  <c r="G281" i="12" s="1"/>
  <c r="F280" i="12"/>
  <c r="C280" i="12"/>
  <c r="D280" i="12"/>
  <c r="E280" i="12" s="1"/>
  <c r="M281" i="12"/>
  <c r="N281" i="12" s="1"/>
  <c r="J282" i="12"/>
  <c r="L282" i="12" s="1"/>
  <c r="K281" i="12"/>
  <c r="P281" i="12"/>
  <c r="O281" i="12"/>
  <c r="L281" i="8"/>
  <c r="T280" i="8"/>
  <c r="S280" i="8"/>
  <c r="Q280" i="8"/>
  <c r="R280" i="8"/>
  <c r="P280" i="8"/>
  <c r="O280" i="8"/>
  <c r="M280" i="8"/>
  <c r="N280" i="8"/>
  <c r="A281" i="8"/>
  <c r="H280" i="8"/>
  <c r="F280" i="8"/>
  <c r="G280" i="8"/>
  <c r="D280" i="8"/>
  <c r="E280" i="8" s="1"/>
  <c r="C280" i="8"/>
  <c r="B280" i="8"/>
  <c r="L330" i="14" l="1"/>
  <c r="N329" i="14"/>
  <c r="O329" i="14"/>
  <c r="A326" i="14"/>
  <c r="D325" i="14"/>
  <c r="E325" i="14" s="1"/>
  <c r="C325" i="14"/>
  <c r="C120" i="14"/>
  <c r="Q292" i="14"/>
  <c r="M292" i="14"/>
  <c r="P292" i="14"/>
  <c r="H292" i="14"/>
  <c r="B292" i="14"/>
  <c r="G292" i="14"/>
  <c r="F292" i="14"/>
  <c r="B281" i="12"/>
  <c r="A282" i="12"/>
  <c r="B282" i="12" s="1"/>
  <c r="F281" i="12"/>
  <c r="C281" i="12"/>
  <c r="D281" i="12"/>
  <c r="E281" i="12" s="1"/>
  <c r="P282" i="12"/>
  <c r="O282" i="12"/>
  <c r="M282" i="12"/>
  <c r="N282" i="12" s="1"/>
  <c r="K282" i="12"/>
  <c r="J283" i="12"/>
  <c r="L283" i="12" s="1"/>
  <c r="L282" i="8"/>
  <c r="T281" i="8"/>
  <c r="S281" i="8"/>
  <c r="Q281" i="8"/>
  <c r="R281" i="8"/>
  <c r="O281" i="8"/>
  <c r="P281" i="8"/>
  <c r="M281" i="8"/>
  <c r="N281" i="8"/>
  <c r="A282" i="8"/>
  <c r="G281" i="8"/>
  <c r="H281" i="8"/>
  <c r="F281" i="8"/>
  <c r="D281" i="8"/>
  <c r="E281" i="8" s="1"/>
  <c r="B281" i="8"/>
  <c r="C281" i="8"/>
  <c r="G282" i="12" l="1"/>
  <c r="L331" i="14"/>
  <c r="N330" i="14"/>
  <c r="O330" i="14"/>
  <c r="A327" i="14"/>
  <c r="D326" i="14"/>
  <c r="E326" i="14" s="1"/>
  <c r="C326" i="14"/>
  <c r="E120" i="14"/>
  <c r="G120" i="14"/>
  <c r="M293" i="14"/>
  <c r="Q293" i="14"/>
  <c r="P293" i="14"/>
  <c r="G293" i="14"/>
  <c r="F293" i="14"/>
  <c r="B293" i="14"/>
  <c r="H293" i="14"/>
  <c r="A283" i="12"/>
  <c r="B283" i="12" s="1"/>
  <c r="F282" i="12"/>
  <c r="C282" i="12"/>
  <c r="D282" i="12"/>
  <c r="E282" i="12" s="1"/>
  <c r="J284" i="12"/>
  <c r="L284" i="12" s="1"/>
  <c r="K283" i="12"/>
  <c r="O283" i="12"/>
  <c r="P283" i="12"/>
  <c r="M283" i="12"/>
  <c r="N283" i="12" s="1"/>
  <c r="L283" i="8"/>
  <c r="T282" i="8"/>
  <c r="S282" i="8"/>
  <c r="R282" i="8"/>
  <c r="Q282" i="8"/>
  <c r="O282" i="8"/>
  <c r="P282" i="8"/>
  <c r="M282" i="8"/>
  <c r="N282" i="8"/>
  <c r="A283" i="8"/>
  <c r="G282" i="8"/>
  <c r="H282" i="8"/>
  <c r="F282" i="8"/>
  <c r="D282" i="8"/>
  <c r="E282" i="8" s="1"/>
  <c r="B282" i="8"/>
  <c r="C282" i="8"/>
  <c r="G283" i="12" l="1"/>
  <c r="L332" i="14"/>
  <c r="N331" i="14"/>
  <c r="O331" i="14"/>
  <c r="A328" i="14"/>
  <c r="D327" i="14"/>
  <c r="E327" i="14" s="1"/>
  <c r="C327" i="14"/>
  <c r="H120" i="14"/>
  <c r="F120" i="14"/>
  <c r="B121" i="14" s="1"/>
  <c r="M294" i="14"/>
  <c r="P294" i="14"/>
  <c r="Q294" i="14"/>
  <c r="B294" i="14"/>
  <c r="G294" i="14"/>
  <c r="F294" i="14"/>
  <c r="H294" i="14"/>
  <c r="A284" i="12"/>
  <c r="F283" i="12"/>
  <c r="C283" i="12"/>
  <c r="D283" i="12"/>
  <c r="E283" i="12" s="1"/>
  <c r="P284" i="12"/>
  <c r="M284" i="12"/>
  <c r="N284" i="12" s="1"/>
  <c r="K284" i="12"/>
  <c r="J285" i="12"/>
  <c r="L285" i="12" s="1"/>
  <c r="O284" i="12"/>
  <c r="B284" i="12"/>
  <c r="G284" i="12"/>
  <c r="L284" i="8"/>
  <c r="T283" i="8"/>
  <c r="S283" i="8"/>
  <c r="R283" i="8"/>
  <c r="Q283" i="8"/>
  <c r="P283" i="8"/>
  <c r="O283" i="8"/>
  <c r="M283" i="8"/>
  <c r="N283" i="8"/>
  <c r="A284" i="8"/>
  <c r="G283" i="8"/>
  <c r="H283" i="8"/>
  <c r="F283" i="8"/>
  <c r="C283" i="8"/>
  <c r="D283" i="8"/>
  <c r="E283" i="8" s="1"/>
  <c r="B283" i="8"/>
  <c r="L333" i="14" l="1"/>
  <c r="N332" i="14"/>
  <c r="O332" i="14"/>
  <c r="A329" i="14"/>
  <c r="D328" i="14"/>
  <c r="E328" i="14" s="1"/>
  <c r="C328" i="14"/>
  <c r="C121" i="14"/>
  <c r="Q295" i="14"/>
  <c r="P295" i="14"/>
  <c r="M295" i="14"/>
  <c r="H295" i="14"/>
  <c r="B295" i="14"/>
  <c r="F295" i="14"/>
  <c r="G295" i="14"/>
  <c r="A285" i="12"/>
  <c r="G285" i="12" s="1"/>
  <c r="F284" i="12"/>
  <c r="C284" i="12"/>
  <c r="D284" i="12"/>
  <c r="E284" i="12" s="1"/>
  <c r="O285" i="12"/>
  <c r="M285" i="12"/>
  <c r="N285" i="12" s="1"/>
  <c r="J286" i="12"/>
  <c r="L286" i="12" s="1"/>
  <c r="P285" i="12"/>
  <c r="K285" i="12"/>
  <c r="L285" i="8"/>
  <c r="T284" i="8"/>
  <c r="S284" i="8"/>
  <c r="R284" i="8"/>
  <c r="Q284" i="8"/>
  <c r="P284" i="8"/>
  <c r="O284" i="8"/>
  <c r="M284" i="8"/>
  <c r="N284" i="8"/>
  <c r="A285" i="8"/>
  <c r="H284" i="8"/>
  <c r="G284" i="8"/>
  <c r="F284" i="8"/>
  <c r="C284" i="8"/>
  <c r="D284" i="8"/>
  <c r="E284" i="8" s="1"/>
  <c r="B284" i="8"/>
  <c r="B285" i="12" l="1"/>
  <c r="L334" i="14"/>
  <c r="N333" i="14"/>
  <c r="O333" i="14"/>
  <c r="A330" i="14"/>
  <c r="D329" i="14"/>
  <c r="E329" i="14" s="1"/>
  <c r="C329" i="14"/>
  <c r="E121" i="14"/>
  <c r="G121" i="14"/>
  <c r="P296" i="14"/>
  <c r="Q296" i="14"/>
  <c r="M296" i="14"/>
  <c r="G296" i="14"/>
  <c r="F296" i="14"/>
  <c r="H296" i="14"/>
  <c r="B296" i="14"/>
  <c r="A286" i="12"/>
  <c r="F285" i="12"/>
  <c r="C285" i="12"/>
  <c r="D285" i="12"/>
  <c r="E285" i="12" s="1"/>
  <c r="J287" i="12"/>
  <c r="L287" i="12" s="1"/>
  <c r="K286" i="12"/>
  <c r="P286" i="12"/>
  <c r="O286" i="12"/>
  <c r="M286" i="12"/>
  <c r="N286" i="12" s="1"/>
  <c r="B286" i="12"/>
  <c r="G286" i="12"/>
  <c r="L286" i="8"/>
  <c r="T285" i="8"/>
  <c r="S285" i="8"/>
  <c r="R285" i="8"/>
  <c r="Q285" i="8"/>
  <c r="P285" i="8"/>
  <c r="O285" i="8"/>
  <c r="M285" i="8"/>
  <c r="N285" i="8"/>
  <c r="A286" i="8"/>
  <c r="G285" i="8"/>
  <c r="H285" i="8"/>
  <c r="F285" i="8"/>
  <c r="D285" i="8"/>
  <c r="E285" i="8" s="1"/>
  <c r="C285" i="8"/>
  <c r="B285" i="8"/>
  <c r="L335" i="14" l="1"/>
  <c r="N334" i="14"/>
  <c r="O334" i="14"/>
  <c r="A331" i="14"/>
  <c r="D330" i="14"/>
  <c r="E330" i="14" s="1"/>
  <c r="C330" i="14"/>
  <c r="F121" i="14"/>
  <c r="B122" i="14" s="1"/>
  <c r="H121" i="14"/>
  <c r="Q297" i="14"/>
  <c r="M297" i="14"/>
  <c r="P297" i="14"/>
  <c r="G297" i="14"/>
  <c r="F297" i="14"/>
  <c r="H297" i="14"/>
  <c r="B297" i="14"/>
  <c r="A287" i="12"/>
  <c r="G287" i="12" s="1"/>
  <c r="F286" i="12"/>
  <c r="C286" i="12"/>
  <c r="D286" i="12"/>
  <c r="E286" i="12" s="1"/>
  <c r="M287" i="12"/>
  <c r="N287" i="12" s="1"/>
  <c r="J288" i="12"/>
  <c r="L288" i="12" s="1"/>
  <c r="K287" i="12"/>
  <c r="P287" i="12"/>
  <c r="O287" i="12"/>
  <c r="L287" i="8"/>
  <c r="T286" i="8"/>
  <c r="S286" i="8"/>
  <c r="R286" i="8"/>
  <c r="Q286" i="8"/>
  <c r="P286" i="8"/>
  <c r="O286" i="8"/>
  <c r="M286" i="8"/>
  <c r="N286" i="8"/>
  <c r="A287" i="8"/>
  <c r="G286" i="8"/>
  <c r="H286" i="8"/>
  <c r="F286" i="8"/>
  <c r="C286" i="8"/>
  <c r="D286" i="8"/>
  <c r="E286" i="8" s="1"/>
  <c r="B286" i="8"/>
  <c r="B287" i="12" l="1"/>
  <c r="L336" i="14"/>
  <c r="N335" i="14"/>
  <c r="O335" i="14"/>
  <c r="A332" i="14"/>
  <c r="D331" i="14"/>
  <c r="E331" i="14" s="1"/>
  <c r="C331" i="14"/>
  <c r="C122" i="14"/>
  <c r="M298" i="14"/>
  <c r="P298" i="14"/>
  <c r="Q298" i="14"/>
  <c r="H298" i="14"/>
  <c r="B298" i="14"/>
  <c r="G298" i="14"/>
  <c r="F298" i="14"/>
  <c r="A288" i="12"/>
  <c r="B288" i="12" s="1"/>
  <c r="F287" i="12"/>
  <c r="C287" i="12"/>
  <c r="D287" i="12"/>
  <c r="E287" i="12" s="1"/>
  <c r="P288" i="12"/>
  <c r="O288" i="12"/>
  <c r="J289" i="12"/>
  <c r="L289" i="12" s="1"/>
  <c r="M288" i="12"/>
  <c r="N288" i="12" s="1"/>
  <c r="K288" i="12"/>
  <c r="L288" i="8"/>
  <c r="T287" i="8"/>
  <c r="S287" i="8"/>
  <c r="R287" i="8"/>
  <c r="Q287" i="8"/>
  <c r="P287" i="8"/>
  <c r="O287" i="8"/>
  <c r="M287" i="8"/>
  <c r="N287" i="8"/>
  <c r="A288" i="8"/>
  <c r="G287" i="8"/>
  <c r="H287" i="8"/>
  <c r="F287" i="8"/>
  <c r="D287" i="8"/>
  <c r="E287" i="8" s="1"/>
  <c r="C287" i="8"/>
  <c r="B287" i="8"/>
  <c r="G288" i="12" l="1"/>
  <c r="L337" i="14"/>
  <c r="N336" i="14"/>
  <c r="O336" i="14"/>
  <c r="A333" i="14"/>
  <c r="D332" i="14"/>
  <c r="E332" i="14" s="1"/>
  <c r="C332" i="14"/>
  <c r="E122" i="14"/>
  <c r="G122" i="14"/>
  <c r="M299" i="14"/>
  <c r="P299" i="14"/>
  <c r="Q299" i="14"/>
  <c r="G299" i="14"/>
  <c r="F299" i="14"/>
  <c r="H299" i="14"/>
  <c r="B299" i="14"/>
  <c r="A289" i="12"/>
  <c r="F288" i="12"/>
  <c r="C288" i="12"/>
  <c r="D288" i="12"/>
  <c r="E288" i="12" s="1"/>
  <c r="J290" i="12"/>
  <c r="L290" i="12" s="1"/>
  <c r="K289" i="12"/>
  <c r="O289" i="12"/>
  <c r="M289" i="12"/>
  <c r="N289" i="12" s="1"/>
  <c r="P289" i="12"/>
  <c r="B289" i="12"/>
  <c r="G289" i="12"/>
  <c r="L289" i="8"/>
  <c r="T288" i="8"/>
  <c r="S288" i="8"/>
  <c r="Q288" i="8"/>
  <c r="R288" i="8"/>
  <c r="P288" i="8"/>
  <c r="O288" i="8"/>
  <c r="M288" i="8"/>
  <c r="N288" i="8"/>
  <c r="A289" i="8"/>
  <c r="H288" i="8"/>
  <c r="G288" i="8"/>
  <c r="F288" i="8"/>
  <c r="D288" i="8"/>
  <c r="E288" i="8" s="1"/>
  <c r="C288" i="8"/>
  <c r="B288" i="8"/>
  <c r="L338" i="14" l="1"/>
  <c r="N337" i="14"/>
  <c r="O337" i="14"/>
  <c r="A334" i="14"/>
  <c r="D333" i="14"/>
  <c r="E333" i="14" s="1"/>
  <c r="C333" i="14"/>
  <c r="H122" i="14"/>
  <c r="F122" i="14"/>
  <c r="B123" i="14" s="1"/>
  <c r="M300" i="14"/>
  <c r="Q300" i="14"/>
  <c r="P300" i="14"/>
  <c r="G300" i="14"/>
  <c r="H300" i="14"/>
  <c r="F300" i="14"/>
  <c r="B300" i="14"/>
  <c r="A290" i="12"/>
  <c r="G290" i="12" s="1"/>
  <c r="F289" i="12"/>
  <c r="C289" i="12"/>
  <c r="D289" i="12"/>
  <c r="E289" i="12" s="1"/>
  <c r="P290" i="12"/>
  <c r="M290" i="12"/>
  <c r="N290" i="12" s="1"/>
  <c r="J291" i="12"/>
  <c r="L291" i="12" s="1"/>
  <c r="O290" i="12"/>
  <c r="K290" i="12"/>
  <c r="L290" i="8"/>
  <c r="T289" i="8"/>
  <c r="S289" i="8"/>
  <c r="Q289" i="8"/>
  <c r="R289" i="8"/>
  <c r="O289" i="8"/>
  <c r="P289" i="8"/>
  <c r="M289" i="8"/>
  <c r="N289" i="8"/>
  <c r="A290" i="8"/>
  <c r="G289" i="8"/>
  <c r="H289" i="8"/>
  <c r="F289" i="8"/>
  <c r="D289" i="8"/>
  <c r="E289" i="8" s="1"/>
  <c r="B289" i="8"/>
  <c r="C289" i="8"/>
  <c r="B290" i="12" l="1"/>
  <c r="L339" i="14"/>
  <c r="N338" i="14"/>
  <c r="O338" i="14"/>
  <c r="A335" i="14"/>
  <c r="D334" i="14"/>
  <c r="E334" i="14" s="1"/>
  <c r="C334" i="14"/>
  <c r="C123" i="14"/>
  <c r="Q301" i="14"/>
  <c r="P301" i="14"/>
  <c r="M301" i="14"/>
  <c r="H301" i="14"/>
  <c r="B301" i="14"/>
  <c r="G301" i="14"/>
  <c r="F301" i="14"/>
  <c r="A291" i="12"/>
  <c r="B291" i="12" s="1"/>
  <c r="F290" i="12"/>
  <c r="C290" i="12"/>
  <c r="D290" i="12"/>
  <c r="E290" i="12" s="1"/>
  <c r="O291" i="12"/>
  <c r="M291" i="12"/>
  <c r="N291" i="12" s="1"/>
  <c r="K291" i="12"/>
  <c r="J292" i="12"/>
  <c r="L292" i="12" s="1"/>
  <c r="P291" i="12"/>
  <c r="L291" i="8"/>
  <c r="T290" i="8"/>
  <c r="S290" i="8"/>
  <c r="R290" i="8"/>
  <c r="Q290" i="8"/>
  <c r="P290" i="8"/>
  <c r="O290" i="8"/>
  <c r="M290" i="8"/>
  <c r="N290" i="8"/>
  <c r="A291" i="8"/>
  <c r="G290" i="8"/>
  <c r="H290" i="8"/>
  <c r="F290" i="8"/>
  <c r="D290" i="8"/>
  <c r="E290" i="8" s="1"/>
  <c r="B290" i="8"/>
  <c r="C290" i="8"/>
  <c r="G291" i="12" l="1"/>
  <c r="L340" i="14"/>
  <c r="N339" i="14"/>
  <c r="O339" i="14"/>
  <c r="A336" i="14"/>
  <c r="D335" i="14"/>
  <c r="E335" i="14" s="1"/>
  <c r="C335" i="14"/>
  <c r="E123" i="14"/>
  <c r="G123" i="14"/>
  <c r="P302" i="14"/>
  <c r="Q302" i="14"/>
  <c r="M302" i="14"/>
  <c r="G302" i="14"/>
  <c r="F302" i="14"/>
  <c r="B302" i="14"/>
  <c r="H302" i="14"/>
  <c r="A292" i="12"/>
  <c r="F291" i="12"/>
  <c r="C291" i="12"/>
  <c r="D291" i="12"/>
  <c r="E291" i="12" s="1"/>
  <c r="J293" i="12"/>
  <c r="L293" i="12" s="1"/>
  <c r="K292" i="12"/>
  <c r="P292" i="12"/>
  <c r="O292" i="12"/>
  <c r="M292" i="12"/>
  <c r="N292" i="12" s="1"/>
  <c r="B292" i="12"/>
  <c r="G292" i="12"/>
  <c r="L292" i="8"/>
  <c r="T291" i="8"/>
  <c r="S291" i="8"/>
  <c r="R291" i="8"/>
  <c r="Q291" i="8"/>
  <c r="P291" i="8"/>
  <c r="O291" i="8"/>
  <c r="M291" i="8"/>
  <c r="N291" i="8"/>
  <c r="A292" i="8"/>
  <c r="G291" i="8"/>
  <c r="H291" i="8"/>
  <c r="F291" i="8"/>
  <c r="D291" i="8"/>
  <c r="E291" i="8" s="1"/>
  <c r="B291" i="8"/>
  <c r="C291" i="8"/>
  <c r="L341" i="14" l="1"/>
  <c r="N340" i="14"/>
  <c r="O340" i="14"/>
  <c r="A337" i="14"/>
  <c r="D336" i="14"/>
  <c r="E336" i="14" s="1"/>
  <c r="C336" i="14"/>
  <c r="F123" i="14"/>
  <c r="B124" i="14" s="1"/>
  <c r="H123" i="14"/>
  <c r="P303" i="14"/>
  <c r="M303" i="14"/>
  <c r="Q303" i="14"/>
  <c r="B303" i="14"/>
  <c r="G303" i="14"/>
  <c r="F303" i="14"/>
  <c r="H303" i="14"/>
  <c r="A293" i="12"/>
  <c r="G293" i="12" s="1"/>
  <c r="F292" i="12"/>
  <c r="C292" i="12"/>
  <c r="D292" i="12"/>
  <c r="E292" i="12" s="1"/>
  <c r="M293" i="12"/>
  <c r="N293" i="12" s="1"/>
  <c r="J294" i="12"/>
  <c r="L294" i="12" s="1"/>
  <c r="K293" i="12"/>
  <c r="P293" i="12"/>
  <c r="O293" i="12"/>
  <c r="L293" i="8"/>
  <c r="T292" i="8"/>
  <c r="S292" i="8"/>
  <c r="R292" i="8"/>
  <c r="Q292" i="8"/>
  <c r="P292" i="8"/>
  <c r="O292" i="8"/>
  <c r="M292" i="8"/>
  <c r="N292" i="8"/>
  <c r="A293" i="8"/>
  <c r="G292" i="8"/>
  <c r="H292" i="8"/>
  <c r="F292" i="8"/>
  <c r="D292" i="8"/>
  <c r="E292" i="8" s="1"/>
  <c r="C292" i="8"/>
  <c r="B292" i="8"/>
  <c r="B293" i="12" l="1"/>
  <c r="L342" i="14"/>
  <c r="N341" i="14"/>
  <c r="O341" i="14"/>
  <c r="A338" i="14"/>
  <c r="D337" i="14"/>
  <c r="E337" i="14" s="1"/>
  <c r="C337" i="14"/>
  <c r="C124" i="14"/>
  <c r="P304" i="14"/>
  <c r="M304" i="14"/>
  <c r="Q304" i="14"/>
  <c r="H304" i="14"/>
  <c r="B304" i="14"/>
  <c r="F304" i="14"/>
  <c r="G304" i="14"/>
  <c r="A294" i="12"/>
  <c r="B294" i="12" s="1"/>
  <c r="F293" i="12"/>
  <c r="C293" i="12"/>
  <c r="D293" i="12"/>
  <c r="E293" i="12" s="1"/>
  <c r="P294" i="12"/>
  <c r="O294" i="12"/>
  <c r="M294" i="12"/>
  <c r="N294" i="12" s="1"/>
  <c r="K294" i="12"/>
  <c r="J295" i="12"/>
  <c r="L295" i="12" s="1"/>
  <c r="L294" i="8"/>
  <c r="T293" i="8"/>
  <c r="S293" i="8"/>
  <c r="R293" i="8"/>
  <c r="Q293" i="8"/>
  <c r="P293" i="8"/>
  <c r="O293" i="8"/>
  <c r="M293" i="8"/>
  <c r="N293" i="8"/>
  <c r="A294" i="8"/>
  <c r="G293" i="8"/>
  <c r="H293" i="8"/>
  <c r="F293" i="8"/>
  <c r="D293" i="8"/>
  <c r="E293" i="8" s="1"/>
  <c r="C293" i="8"/>
  <c r="B293" i="8"/>
  <c r="G294" i="12" l="1"/>
  <c r="L343" i="14"/>
  <c r="N342" i="14"/>
  <c r="O342" i="14"/>
  <c r="A339" i="14"/>
  <c r="D338" i="14"/>
  <c r="E338" i="14" s="1"/>
  <c r="C338" i="14"/>
  <c r="E124" i="14"/>
  <c r="G124" i="14"/>
  <c r="P305" i="14"/>
  <c r="M305" i="14"/>
  <c r="Q305" i="14"/>
  <c r="G305" i="14"/>
  <c r="F305" i="14"/>
  <c r="H305" i="14"/>
  <c r="B305" i="14"/>
  <c r="A295" i="12"/>
  <c r="G295" i="12" s="1"/>
  <c r="F294" i="12"/>
  <c r="C294" i="12"/>
  <c r="D294" i="12"/>
  <c r="E294" i="12" s="1"/>
  <c r="J296" i="12"/>
  <c r="L296" i="12" s="1"/>
  <c r="K295" i="12"/>
  <c r="O295" i="12"/>
  <c r="P295" i="12"/>
  <c r="M295" i="12"/>
  <c r="N295" i="12" s="1"/>
  <c r="B295" i="12"/>
  <c r="L295" i="8"/>
  <c r="T294" i="8"/>
  <c r="R294" i="8"/>
  <c r="S294" i="8"/>
  <c r="Q294" i="8"/>
  <c r="P294" i="8"/>
  <c r="O294" i="8"/>
  <c r="N294" i="8"/>
  <c r="M294" i="8"/>
  <c r="A295" i="8"/>
  <c r="G294" i="8"/>
  <c r="H294" i="8"/>
  <c r="F294" i="8"/>
  <c r="C294" i="8"/>
  <c r="D294" i="8"/>
  <c r="E294" i="8" s="1"/>
  <c r="B294" i="8"/>
  <c r="L344" i="14" l="1"/>
  <c r="N343" i="14"/>
  <c r="O343" i="14"/>
  <c r="A340" i="14"/>
  <c r="D339" i="14"/>
  <c r="E339" i="14" s="1"/>
  <c r="C339" i="14"/>
  <c r="H124" i="14"/>
  <c r="F124" i="14"/>
  <c r="B125" i="14" s="1"/>
  <c r="M306" i="14"/>
  <c r="P306" i="14"/>
  <c r="Q306" i="14"/>
  <c r="G306" i="14"/>
  <c r="F306" i="14"/>
  <c r="H306" i="14"/>
  <c r="B306" i="14"/>
  <c r="A296" i="12"/>
  <c r="G296" i="12" s="1"/>
  <c r="F295" i="12"/>
  <c r="C295" i="12"/>
  <c r="D295" i="12"/>
  <c r="E295" i="12" s="1"/>
  <c r="P296" i="12"/>
  <c r="M296" i="12"/>
  <c r="N296" i="12" s="1"/>
  <c r="K296" i="12"/>
  <c r="J297" i="12"/>
  <c r="L297" i="12" s="1"/>
  <c r="O296" i="12"/>
  <c r="L296" i="8"/>
  <c r="T295" i="8"/>
  <c r="S295" i="8"/>
  <c r="R295" i="8"/>
  <c r="Q295" i="8"/>
  <c r="P295" i="8"/>
  <c r="O295" i="8"/>
  <c r="M295" i="8"/>
  <c r="N295" i="8"/>
  <c r="A296" i="8"/>
  <c r="G295" i="8"/>
  <c r="F295" i="8"/>
  <c r="H295" i="8"/>
  <c r="D295" i="8"/>
  <c r="E295" i="8" s="1"/>
  <c r="C295" i="8"/>
  <c r="B295" i="8"/>
  <c r="B296" i="12" l="1"/>
  <c r="L345" i="14"/>
  <c r="N344" i="14"/>
  <c r="O344" i="14"/>
  <c r="A341" i="14"/>
  <c r="D340" i="14"/>
  <c r="E340" i="14" s="1"/>
  <c r="C340" i="14"/>
  <c r="C125" i="14"/>
  <c r="Q307" i="14"/>
  <c r="P307" i="14"/>
  <c r="M307" i="14"/>
  <c r="H307" i="14"/>
  <c r="B307" i="14"/>
  <c r="G307" i="14"/>
  <c r="F307" i="14"/>
  <c r="A297" i="12"/>
  <c r="B297" i="12" s="1"/>
  <c r="F296" i="12"/>
  <c r="C296" i="12"/>
  <c r="D296" i="12"/>
  <c r="E296" i="12" s="1"/>
  <c r="O297" i="12"/>
  <c r="M297" i="12"/>
  <c r="N297" i="12" s="1"/>
  <c r="J298" i="12"/>
  <c r="L298" i="12" s="1"/>
  <c r="P297" i="12"/>
  <c r="K297" i="12"/>
  <c r="L297" i="8"/>
  <c r="T296" i="8"/>
  <c r="S296" i="8"/>
  <c r="Q296" i="8"/>
  <c r="R296" i="8"/>
  <c r="P296" i="8"/>
  <c r="O296" i="8"/>
  <c r="M296" i="8"/>
  <c r="N296" i="8"/>
  <c r="A297" i="8"/>
  <c r="H296" i="8"/>
  <c r="F296" i="8"/>
  <c r="G296" i="8"/>
  <c r="D296" i="8"/>
  <c r="E296" i="8" s="1"/>
  <c r="C296" i="8"/>
  <c r="B296" i="8"/>
  <c r="G297" i="12" l="1"/>
  <c r="L346" i="14"/>
  <c r="N345" i="14"/>
  <c r="O345" i="14"/>
  <c r="A342" i="14"/>
  <c r="D341" i="14"/>
  <c r="E341" i="14" s="1"/>
  <c r="C341" i="14"/>
  <c r="E125" i="14"/>
  <c r="G125" i="14"/>
  <c r="P308" i="14"/>
  <c r="Q308" i="14"/>
  <c r="M308" i="14"/>
  <c r="G308" i="14"/>
  <c r="F308" i="14"/>
  <c r="H308" i="14"/>
  <c r="B308" i="14"/>
  <c r="A298" i="12"/>
  <c r="F297" i="12"/>
  <c r="C297" i="12"/>
  <c r="D297" i="12"/>
  <c r="E297" i="12" s="1"/>
  <c r="M298" i="12"/>
  <c r="N298" i="12" s="1"/>
  <c r="O298" i="12"/>
  <c r="K298" i="12"/>
  <c r="J299" i="12"/>
  <c r="L299" i="12" s="1"/>
  <c r="P298" i="12"/>
  <c r="B298" i="12"/>
  <c r="G298" i="12"/>
  <c r="L298" i="8"/>
  <c r="T297" i="8"/>
  <c r="S297" i="8"/>
  <c r="Q297" i="8"/>
  <c r="R297" i="8"/>
  <c r="P297" i="8"/>
  <c r="O297" i="8"/>
  <c r="M297" i="8"/>
  <c r="N297" i="8"/>
  <c r="A298" i="8"/>
  <c r="G297" i="8"/>
  <c r="H297" i="8"/>
  <c r="F297" i="8"/>
  <c r="D297" i="8"/>
  <c r="E297" i="8" s="1"/>
  <c r="B297" i="8"/>
  <c r="C297" i="8"/>
  <c r="L347" i="14" l="1"/>
  <c r="N346" i="14"/>
  <c r="O346" i="14"/>
  <c r="A343" i="14"/>
  <c r="D342" i="14"/>
  <c r="E342" i="14" s="1"/>
  <c r="C342" i="14"/>
  <c r="F125" i="14"/>
  <c r="B126" i="14" s="1"/>
  <c r="H125" i="14"/>
  <c r="Q309" i="14"/>
  <c r="M309" i="14"/>
  <c r="P309" i="14"/>
  <c r="G309" i="14"/>
  <c r="H309" i="14"/>
  <c r="F309" i="14"/>
  <c r="B309" i="14"/>
  <c r="A299" i="12"/>
  <c r="B299" i="12" s="1"/>
  <c r="F298" i="12"/>
  <c r="C298" i="12"/>
  <c r="D298" i="12"/>
  <c r="E298" i="12" s="1"/>
  <c r="O299" i="12"/>
  <c r="M299" i="12"/>
  <c r="N299" i="12" s="1"/>
  <c r="K299" i="12"/>
  <c r="J300" i="12"/>
  <c r="L300" i="12" s="1"/>
  <c r="P299" i="12"/>
  <c r="L299" i="8"/>
  <c r="T298" i="8"/>
  <c r="S298" i="8"/>
  <c r="R298" i="8"/>
  <c r="Q298" i="8"/>
  <c r="P298" i="8"/>
  <c r="O298" i="8"/>
  <c r="M298" i="8"/>
  <c r="N298" i="8"/>
  <c r="A299" i="8"/>
  <c r="G298" i="8"/>
  <c r="H298" i="8"/>
  <c r="F298" i="8"/>
  <c r="D298" i="8"/>
  <c r="E298" i="8" s="1"/>
  <c r="B298" i="8"/>
  <c r="C298" i="8"/>
  <c r="G299" i="12" l="1"/>
  <c r="L348" i="14"/>
  <c r="N347" i="14"/>
  <c r="O347" i="14"/>
  <c r="A344" i="14"/>
  <c r="D343" i="14"/>
  <c r="E343" i="14" s="1"/>
  <c r="C343" i="14"/>
  <c r="C126" i="14"/>
  <c r="Q310" i="14"/>
  <c r="M310" i="14"/>
  <c r="P310" i="14"/>
  <c r="H310" i="14"/>
  <c r="B310" i="14"/>
  <c r="G310" i="14"/>
  <c r="F310" i="14"/>
  <c r="A300" i="12"/>
  <c r="G300" i="12" s="1"/>
  <c r="F299" i="12"/>
  <c r="C299" i="12"/>
  <c r="D299" i="12"/>
  <c r="E299" i="12" s="1"/>
  <c r="M300" i="12"/>
  <c r="N300" i="12" s="1"/>
  <c r="J301" i="12"/>
  <c r="L301" i="12" s="1"/>
  <c r="K300" i="12"/>
  <c r="P300" i="12"/>
  <c r="O300" i="12"/>
  <c r="L300" i="8"/>
  <c r="T299" i="8"/>
  <c r="S299" i="8"/>
  <c r="R299" i="8"/>
  <c r="P299" i="8"/>
  <c r="Q299" i="8"/>
  <c r="O299" i="8"/>
  <c r="M299" i="8"/>
  <c r="N299" i="8"/>
  <c r="A300" i="8"/>
  <c r="G299" i="8"/>
  <c r="H299" i="8"/>
  <c r="F299" i="8"/>
  <c r="C299" i="8"/>
  <c r="D299" i="8"/>
  <c r="E299" i="8" s="1"/>
  <c r="B299" i="8"/>
  <c r="B300" i="12" l="1"/>
  <c r="L349" i="14"/>
  <c r="N348" i="14"/>
  <c r="O348" i="14"/>
  <c r="A345" i="14"/>
  <c r="D344" i="14"/>
  <c r="E344" i="14" s="1"/>
  <c r="C344" i="14"/>
  <c r="E126" i="14"/>
  <c r="G126" i="14"/>
  <c r="Q311" i="14"/>
  <c r="P311" i="14"/>
  <c r="M311" i="14"/>
  <c r="G311" i="14"/>
  <c r="F311" i="14"/>
  <c r="B311" i="14"/>
  <c r="H311" i="14"/>
  <c r="A301" i="12"/>
  <c r="B301" i="12" s="1"/>
  <c r="F300" i="12"/>
  <c r="C300" i="12"/>
  <c r="D300" i="12"/>
  <c r="E300" i="12" s="1"/>
  <c r="P301" i="12"/>
  <c r="O301" i="12"/>
  <c r="J302" i="12"/>
  <c r="L302" i="12" s="1"/>
  <c r="M301" i="12"/>
  <c r="N301" i="12" s="1"/>
  <c r="K301" i="12"/>
  <c r="G301" i="12"/>
  <c r="L301" i="8"/>
  <c r="T300" i="8"/>
  <c r="S300" i="8"/>
  <c r="R300" i="8"/>
  <c r="Q300" i="8"/>
  <c r="P300" i="8"/>
  <c r="O300" i="8"/>
  <c r="M300" i="8"/>
  <c r="N300" i="8"/>
  <c r="A301" i="8"/>
  <c r="H300" i="8"/>
  <c r="G300" i="8"/>
  <c r="F300" i="8"/>
  <c r="C300" i="8"/>
  <c r="D300" i="8"/>
  <c r="E300" i="8" s="1"/>
  <c r="B300" i="8"/>
  <c r="L350" i="14" l="1"/>
  <c r="N349" i="14"/>
  <c r="O349" i="14"/>
  <c r="A346" i="14"/>
  <c r="D345" i="14"/>
  <c r="E345" i="14" s="1"/>
  <c r="C345" i="14"/>
  <c r="H126" i="14"/>
  <c r="F126" i="14"/>
  <c r="B127" i="14" s="1"/>
  <c r="M312" i="14"/>
  <c r="Q312" i="14"/>
  <c r="P312" i="14"/>
  <c r="B312" i="14"/>
  <c r="G312" i="14"/>
  <c r="F312" i="14"/>
  <c r="H312" i="14"/>
  <c r="A302" i="12"/>
  <c r="B302" i="12" s="1"/>
  <c r="F301" i="12"/>
  <c r="C301" i="12"/>
  <c r="D301" i="12"/>
  <c r="E301" i="12" s="1"/>
  <c r="J303" i="12"/>
  <c r="L303" i="12" s="1"/>
  <c r="K302" i="12"/>
  <c r="O302" i="12"/>
  <c r="P302" i="12"/>
  <c r="M302" i="12"/>
  <c r="N302" i="12" s="1"/>
  <c r="L302" i="8"/>
  <c r="T301" i="8"/>
  <c r="S301" i="8"/>
  <c r="Q301" i="8"/>
  <c r="R301" i="8"/>
  <c r="P301" i="8"/>
  <c r="O301" i="8"/>
  <c r="M301" i="8"/>
  <c r="N301" i="8"/>
  <c r="A302" i="8"/>
  <c r="G301" i="8"/>
  <c r="H301" i="8"/>
  <c r="D301" i="8"/>
  <c r="E301" i="8" s="1"/>
  <c r="C301" i="8"/>
  <c r="F301" i="8"/>
  <c r="B301" i="8"/>
  <c r="G302" i="12" l="1"/>
  <c r="L351" i="14"/>
  <c r="N350" i="14"/>
  <c r="O350" i="14"/>
  <c r="A347" i="14"/>
  <c r="D346" i="14"/>
  <c r="E346" i="14" s="1"/>
  <c r="C346" i="14"/>
  <c r="C127" i="14"/>
  <c r="Q313" i="14"/>
  <c r="P313" i="14"/>
  <c r="M313" i="14"/>
  <c r="H313" i="14"/>
  <c r="B313" i="14"/>
  <c r="F313" i="14"/>
  <c r="G313" i="14"/>
  <c r="A303" i="12"/>
  <c r="G303" i="12" s="1"/>
  <c r="F302" i="12"/>
  <c r="C302" i="12"/>
  <c r="D302" i="12"/>
  <c r="E302" i="12" s="1"/>
  <c r="P303" i="12"/>
  <c r="O303" i="12"/>
  <c r="M303" i="12"/>
  <c r="N303" i="12" s="1"/>
  <c r="K303" i="12"/>
  <c r="J304" i="12"/>
  <c r="L304" i="12" s="1"/>
  <c r="L303" i="8"/>
  <c r="T302" i="8"/>
  <c r="S302" i="8"/>
  <c r="R302" i="8"/>
  <c r="Q302" i="8"/>
  <c r="P302" i="8"/>
  <c r="O302" i="8"/>
  <c r="N302" i="8"/>
  <c r="M302" i="8"/>
  <c r="A303" i="8"/>
  <c r="G302" i="8"/>
  <c r="H302" i="8"/>
  <c r="F302" i="8"/>
  <c r="C302" i="8"/>
  <c r="D302" i="8"/>
  <c r="E302" i="8" s="1"/>
  <c r="B302" i="8"/>
  <c r="B303" i="12" l="1"/>
  <c r="L352" i="14"/>
  <c r="N351" i="14"/>
  <c r="O351" i="14"/>
  <c r="A348" i="14"/>
  <c r="D347" i="14"/>
  <c r="E347" i="14" s="1"/>
  <c r="C347" i="14"/>
  <c r="E127" i="14"/>
  <c r="G127" i="14"/>
  <c r="P314" i="14"/>
  <c r="M314" i="14"/>
  <c r="Q314" i="14"/>
  <c r="G314" i="14"/>
  <c r="F314" i="14"/>
  <c r="H314" i="14"/>
  <c r="B314" i="14"/>
  <c r="A304" i="12"/>
  <c r="B304" i="12" s="1"/>
  <c r="F303" i="12"/>
  <c r="C303" i="12"/>
  <c r="D303" i="12"/>
  <c r="E303" i="12" s="1"/>
  <c r="O304" i="12"/>
  <c r="M304" i="12"/>
  <c r="N304" i="12" s="1"/>
  <c r="J305" i="12"/>
  <c r="L305" i="12" s="1"/>
  <c r="P304" i="12"/>
  <c r="K304" i="12"/>
  <c r="L304" i="8"/>
  <c r="T303" i="8"/>
  <c r="S303" i="8"/>
  <c r="R303" i="8"/>
  <c r="Q303" i="8"/>
  <c r="P303" i="8"/>
  <c r="O303" i="8"/>
  <c r="N303" i="8"/>
  <c r="M303" i="8"/>
  <c r="A304" i="8"/>
  <c r="G303" i="8"/>
  <c r="H303" i="8"/>
  <c r="F303" i="8"/>
  <c r="D303" i="8"/>
  <c r="E303" i="8" s="1"/>
  <c r="C303" i="8"/>
  <c r="B303" i="8"/>
  <c r="G304" i="12" l="1"/>
  <c r="L353" i="14"/>
  <c r="N352" i="14"/>
  <c r="O352" i="14"/>
  <c r="A349" i="14"/>
  <c r="D348" i="14"/>
  <c r="E348" i="14" s="1"/>
  <c r="C348" i="14"/>
  <c r="F127" i="14"/>
  <c r="B128" i="14" s="1"/>
  <c r="H127" i="14"/>
  <c r="M315" i="14"/>
  <c r="P315" i="14"/>
  <c r="Q315" i="14"/>
  <c r="B315" i="14"/>
  <c r="G315" i="14"/>
  <c r="F315" i="14"/>
  <c r="H315" i="14"/>
  <c r="A305" i="12"/>
  <c r="G305" i="12" s="1"/>
  <c r="F304" i="12"/>
  <c r="C304" i="12"/>
  <c r="D304" i="12"/>
  <c r="E304" i="12" s="1"/>
  <c r="J306" i="12"/>
  <c r="L306" i="12" s="1"/>
  <c r="O305" i="12"/>
  <c r="M305" i="12"/>
  <c r="N305" i="12" s="1"/>
  <c r="P305" i="12"/>
  <c r="K305" i="12"/>
  <c r="L305" i="8"/>
  <c r="S304" i="8"/>
  <c r="T304" i="8"/>
  <c r="R304" i="8"/>
  <c r="Q304" i="8"/>
  <c r="P304" i="8"/>
  <c r="O304" i="8"/>
  <c r="M304" i="8"/>
  <c r="N304" i="8"/>
  <c r="A305" i="8"/>
  <c r="H304" i="8"/>
  <c r="G304" i="8"/>
  <c r="F304" i="8"/>
  <c r="D304" i="8"/>
  <c r="E304" i="8" s="1"/>
  <c r="C304" i="8"/>
  <c r="B304" i="8"/>
  <c r="B305" i="12" l="1"/>
  <c r="L354" i="14"/>
  <c r="N353" i="14"/>
  <c r="O353" i="14"/>
  <c r="A350" i="14"/>
  <c r="D349" i="14"/>
  <c r="E349" i="14" s="1"/>
  <c r="C349" i="14"/>
  <c r="C128" i="14"/>
  <c r="Q316" i="14"/>
  <c r="P316" i="14"/>
  <c r="M316" i="14"/>
  <c r="H316" i="14"/>
  <c r="B316" i="14"/>
  <c r="G316" i="14"/>
  <c r="F316" i="14"/>
  <c r="A306" i="12"/>
  <c r="B306" i="12" s="1"/>
  <c r="F305" i="12"/>
  <c r="C305" i="12"/>
  <c r="D305" i="12"/>
  <c r="E305" i="12" s="1"/>
  <c r="M306" i="12"/>
  <c r="N306" i="12" s="1"/>
  <c r="J307" i="12"/>
  <c r="L307" i="12" s="1"/>
  <c r="K306" i="12"/>
  <c r="P306" i="12"/>
  <c r="O306" i="12"/>
  <c r="L306" i="8"/>
  <c r="T305" i="8"/>
  <c r="S305" i="8"/>
  <c r="R305" i="8"/>
  <c r="Q305" i="8"/>
  <c r="O305" i="8"/>
  <c r="P305" i="8"/>
  <c r="M305" i="8"/>
  <c r="N305" i="8"/>
  <c r="A306" i="8"/>
  <c r="G305" i="8"/>
  <c r="H305" i="8"/>
  <c r="F305" i="8"/>
  <c r="D305" i="8"/>
  <c r="E305" i="8" s="1"/>
  <c r="B305" i="8"/>
  <c r="C305" i="8"/>
  <c r="G306" i="12" l="1"/>
  <c r="L355" i="14"/>
  <c r="N354" i="14"/>
  <c r="O354" i="14"/>
  <c r="A351" i="14"/>
  <c r="D350" i="14"/>
  <c r="E350" i="14" s="1"/>
  <c r="C350" i="14"/>
  <c r="E128" i="14"/>
  <c r="G128" i="14"/>
  <c r="P317" i="14"/>
  <c r="Q317" i="14"/>
  <c r="M317" i="14"/>
  <c r="G317" i="14"/>
  <c r="F317" i="14"/>
  <c r="H317" i="14"/>
  <c r="B317" i="14"/>
  <c r="A307" i="12"/>
  <c r="F306" i="12"/>
  <c r="C306" i="12"/>
  <c r="D306" i="12"/>
  <c r="E306" i="12" s="1"/>
  <c r="P307" i="12"/>
  <c r="M307" i="12"/>
  <c r="N307" i="12" s="1"/>
  <c r="J308" i="12"/>
  <c r="L308" i="12" s="1"/>
  <c r="K307" i="12"/>
  <c r="O307" i="12"/>
  <c r="B307" i="12"/>
  <c r="G307" i="12"/>
  <c r="L307" i="8"/>
  <c r="T306" i="8"/>
  <c r="S306" i="8"/>
  <c r="R306" i="8"/>
  <c r="Q306" i="8"/>
  <c r="O306" i="8"/>
  <c r="P306" i="8"/>
  <c r="M306" i="8"/>
  <c r="N306" i="8"/>
  <c r="A307" i="8"/>
  <c r="G306" i="8"/>
  <c r="H306" i="8"/>
  <c r="F306" i="8"/>
  <c r="D306" i="8"/>
  <c r="E306" i="8" s="1"/>
  <c r="B306" i="8"/>
  <c r="C306" i="8"/>
  <c r="L356" i="14" l="1"/>
  <c r="N355" i="14"/>
  <c r="O355" i="14"/>
  <c r="A352" i="14"/>
  <c r="D351" i="14"/>
  <c r="E351" i="14" s="1"/>
  <c r="C351" i="14"/>
  <c r="H128" i="14"/>
  <c r="F128" i="14"/>
  <c r="B129" i="14" s="1"/>
  <c r="M318" i="14"/>
  <c r="Q318" i="14"/>
  <c r="P318" i="14"/>
  <c r="G318" i="14"/>
  <c r="F318" i="14"/>
  <c r="H318" i="14"/>
  <c r="B318" i="14"/>
  <c r="A308" i="12"/>
  <c r="B308" i="12" s="1"/>
  <c r="F307" i="12"/>
  <c r="C307" i="12"/>
  <c r="D307" i="12"/>
  <c r="E307" i="12" s="1"/>
  <c r="J309" i="12"/>
  <c r="L309" i="12" s="1"/>
  <c r="K308" i="12"/>
  <c r="O308" i="12"/>
  <c r="P308" i="12"/>
  <c r="M308" i="12"/>
  <c r="N308" i="12" s="1"/>
  <c r="L308" i="8"/>
  <c r="T307" i="8"/>
  <c r="S307" i="8"/>
  <c r="R307" i="8"/>
  <c r="Q307" i="8"/>
  <c r="P307" i="8"/>
  <c r="O307" i="8"/>
  <c r="M307" i="8"/>
  <c r="N307" i="8"/>
  <c r="A308" i="8"/>
  <c r="G307" i="8"/>
  <c r="H307" i="8"/>
  <c r="F307" i="8"/>
  <c r="D307" i="8"/>
  <c r="E307" i="8" s="1"/>
  <c r="C307" i="8"/>
  <c r="B307" i="8"/>
  <c r="G308" i="12" l="1"/>
  <c r="L357" i="14"/>
  <c r="N356" i="14"/>
  <c r="O356" i="14"/>
  <c r="A353" i="14"/>
  <c r="D352" i="14"/>
  <c r="E352" i="14" s="1"/>
  <c r="C352" i="14"/>
  <c r="C129" i="14"/>
  <c r="Q319" i="14"/>
  <c r="M319" i="14"/>
  <c r="P319" i="14"/>
  <c r="H319" i="14"/>
  <c r="B319" i="14"/>
  <c r="G319" i="14"/>
  <c r="F319" i="14"/>
  <c r="A309" i="12"/>
  <c r="G309" i="12" s="1"/>
  <c r="F308" i="12"/>
  <c r="C308" i="12"/>
  <c r="D308" i="12"/>
  <c r="E308" i="12" s="1"/>
  <c r="P309" i="12"/>
  <c r="J310" i="12"/>
  <c r="L310" i="12" s="1"/>
  <c r="M309" i="12"/>
  <c r="N309" i="12" s="1"/>
  <c r="O309" i="12"/>
  <c r="K309" i="12"/>
  <c r="L309" i="8"/>
  <c r="T308" i="8"/>
  <c r="S308" i="8"/>
  <c r="R308" i="8"/>
  <c r="P308" i="8"/>
  <c r="Q308" i="8"/>
  <c r="O308" i="8"/>
  <c r="M308" i="8"/>
  <c r="N308" i="8"/>
  <c r="A309" i="8"/>
  <c r="H308" i="8"/>
  <c r="G308" i="8"/>
  <c r="F308" i="8"/>
  <c r="D308" i="8"/>
  <c r="E308" i="8" s="1"/>
  <c r="C308" i="8"/>
  <c r="B308" i="8"/>
  <c r="L358" i="14" l="1"/>
  <c r="N357" i="14"/>
  <c r="O357" i="14"/>
  <c r="A354" i="14"/>
  <c r="D353" i="14"/>
  <c r="E353" i="14" s="1"/>
  <c r="C353" i="14"/>
  <c r="E129" i="14"/>
  <c r="G129" i="14"/>
  <c r="P320" i="14"/>
  <c r="M320" i="14"/>
  <c r="Q320" i="14"/>
  <c r="G320" i="14"/>
  <c r="F320" i="14"/>
  <c r="H320" i="14"/>
  <c r="B320" i="14"/>
  <c r="B309" i="12"/>
  <c r="A310" i="12"/>
  <c r="F309" i="12"/>
  <c r="C309" i="12"/>
  <c r="D309" i="12"/>
  <c r="E309" i="12" s="1"/>
  <c r="O310" i="12"/>
  <c r="M310" i="12"/>
  <c r="N310" i="12" s="1"/>
  <c r="K310" i="12"/>
  <c r="P310" i="12"/>
  <c r="J311" i="12"/>
  <c r="L311" i="12" s="1"/>
  <c r="B310" i="12"/>
  <c r="G310" i="12"/>
  <c r="L310" i="8"/>
  <c r="T309" i="8"/>
  <c r="S309" i="8"/>
  <c r="R309" i="8"/>
  <c r="P309" i="8"/>
  <c r="Q309" i="8"/>
  <c r="O309" i="8"/>
  <c r="M309" i="8"/>
  <c r="N309" i="8"/>
  <c r="A310" i="8"/>
  <c r="G309" i="8"/>
  <c r="H309" i="8"/>
  <c r="F309" i="8"/>
  <c r="D309" i="8"/>
  <c r="E309" i="8" s="1"/>
  <c r="B309" i="8"/>
  <c r="C309" i="8"/>
  <c r="L359" i="14" l="1"/>
  <c r="N358" i="14"/>
  <c r="O358" i="14"/>
  <c r="A355" i="14"/>
  <c r="D354" i="14"/>
  <c r="E354" i="14" s="1"/>
  <c r="C354" i="14"/>
  <c r="F129" i="14"/>
  <c r="B130" i="14" s="1"/>
  <c r="H129" i="14"/>
  <c r="M321" i="14"/>
  <c r="Q321" i="14"/>
  <c r="P321" i="14"/>
  <c r="H321" i="14"/>
  <c r="B321" i="14"/>
  <c r="G321" i="14"/>
  <c r="F321" i="14"/>
  <c r="A311" i="12"/>
  <c r="B311" i="12" s="1"/>
  <c r="F310" i="12"/>
  <c r="C310" i="12"/>
  <c r="D310" i="12"/>
  <c r="E310" i="12" s="1"/>
  <c r="M311" i="12"/>
  <c r="N311" i="12" s="1"/>
  <c r="K311" i="12"/>
  <c r="J312" i="12"/>
  <c r="L312" i="12" s="1"/>
  <c r="P311" i="12"/>
  <c r="O311" i="12"/>
  <c r="L311" i="8"/>
  <c r="T310" i="8"/>
  <c r="S310" i="8"/>
  <c r="R310" i="8"/>
  <c r="Q310" i="8"/>
  <c r="P310" i="8"/>
  <c r="O310" i="8"/>
  <c r="N310" i="8"/>
  <c r="M310" i="8"/>
  <c r="A311" i="8"/>
  <c r="G310" i="8"/>
  <c r="H310" i="8"/>
  <c r="F310" i="8"/>
  <c r="C310" i="8"/>
  <c r="D310" i="8"/>
  <c r="E310" i="8" s="1"/>
  <c r="B310" i="8"/>
  <c r="G311" i="12" l="1"/>
  <c r="L360" i="14"/>
  <c r="N359" i="14"/>
  <c r="O359" i="14"/>
  <c r="A356" i="14"/>
  <c r="D355" i="14"/>
  <c r="E355" i="14" s="1"/>
  <c r="C355" i="14"/>
  <c r="C130" i="14"/>
  <c r="M322" i="14"/>
  <c r="P322" i="14"/>
  <c r="Q322" i="14"/>
  <c r="H322" i="14"/>
  <c r="B322" i="14"/>
  <c r="G322" i="14"/>
  <c r="F322" i="14"/>
  <c r="A312" i="12"/>
  <c r="B312" i="12" s="1"/>
  <c r="F311" i="12"/>
  <c r="C311" i="12"/>
  <c r="D311" i="12"/>
  <c r="E311" i="12" s="1"/>
  <c r="M312" i="12"/>
  <c r="N312" i="12" s="1"/>
  <c r="J313" i="12"/>
  <c r="L313" i="12" s="1"/>
  <c r="K312" i="12"/>
  <c r="O312" i="12"/>
  <c r="P312" i="12"/>
  <c r="L312" i="8"/>
  <c r="T311" i="8"/>
  <c r="R311" i="8"/>
  <c r="S311" i="8"/>
  <c r="Q311" i="8"/>
  <c r="P311" i="8"/>
  <c r="O311" i="8"/>
  <c r="N311" i="8"/>
  <c r="M311" i="8"/>
  <c r="A312" i="8"/>
  <c r="G311" i="8"/>
  <c r="H311" i="8"/>
  <c r="F311" i="8"/>
  <c r="AG310" i="8" s="1"/>
  <c r="D311" i="8"/>
  <c r="E311" i="8" s="1"/>
  <c r="C311" i="8"/>
  <c r="B311" i="8"/>
  <c r="G312" i="12" l="1"/>
  <c r="L361" i="14"/>
  <c r="N360" i="14"/>
  <c r="O360" i="14"/>
  <c r="A357" i="14"/>
  <c r="D356" i="14"/>
  <c r="E356" i="14" s="1"/>
  <c r="C356" i="14"/>
  <c r="E130" i="14"/>
  <c r="G130" i="14"/>
  <c r="M323" i="14"/>
  <c r="Q323" i="14"/>
  <c r="P323" i="14"/>
  <c r="G323" i="14"/>
  <c r="F323" i="14"/>
  <c r="B323" i="14"/>
  <c r="H323" i="14"/>
  <c r="A313" i="12"/>
  <c r="F312" i="12"/>
  <c r="C312" i="12"/>
  <c r="D312" i="12"/>
  <c r="E312" i="12" s="1"/>
  <c r="P313" i="12"/>
  <c r="J314" i="12"/>
  <c r="L314" i="12" s="1"/>
  <c r="O313" i="12"/>
  <c r="M313" i="12"/>
  <c r="N313" i="12" s="1"/>
  <c r="K313" i="12"/>
  <c r="B313" i="12"/>
  <c r="G313" i="12"/>
  <c r="L313" i="8"/>
  <c r="T312" i="8"/>
  <c r="Q312" i="8"/>
  <c r="S312" i="8"/>
  <c r="R312" i="8"/>
  <c r="P312" i="8"/>
  <c r="O312" i="8"/>
  <c r="N312" i="8"/>
  <c r="M312" i="8"/>
  <c r="A313" i="8"/>
  <c r="H312" i="8"/>
  <c r="F312" i="8"/>
  <c r="AG311" i="8" s="1"/>
  <c r="G312" i="8"/>
  <c r="D312" i="8"/>
  <c r="E312" i="8" s="1"/>
  <c r="C312" i="8"/>
  <c r="B312" i="8"/>
  <c r="L362" i="14" l="1"/>
  <c r="N361" i="14"/>
  <c r="O361" i="14"/>
  <c r="A358" i="14"/>
  <c r="D357" i="14"/>
  <c r="E357" i="14" s="1"/>
  <c r="C357" i="14"/>
  <c r="H130" i="14"/>
  <c r="F130" i="14"/>
  <c r="B131" i="14" s="1"/>
  <c r="M324" i="14"/>
  <c r="Q324" i="14"/>
  <c r="P324" i="14"/>
  <c r="B324" i="14"/>
  <c r="G324" i="14"/>
  <c r="F324" i="14"/>
  <c r="H324" i="14"/>
  <c r="A314" i="12"/>
  <c r="G314" i="12" s="1"/>
  <c r="F313" i="12"/>
  <c r="C313" i="12"/>
  <c r="D313" i="12"/>
  <c r="E313" i="12" s="1"/>
  <c r="J315" i="12"/>
  <c r="L315" i="12" s="1"/>
  <c r="K314" i="12"/>
  <c r="O314" i="12"/>
  <c r="M314" i="12"/>
  <c r="N314" i="12" s="1"/>
  <c r="P314" i="12"/>
  <c r="L314" i="8"/>
  <c r="T313" i="8"/>
  <c r="S313" i="8"/>
  <c r="Q313" i="8"/>
  <c r="R313" i="8"/>
  <c r="O313" i="8"/>
  <c r="P313" i="8"/>
  <c r="M313" i="8"/>
  <c r="N313" i="8"/>
  <c r="A314" i="8"/>
  <c r="G313" i="8"/>
  <c r="H313" i="8"/>
  <c r="F313" i="8"/>
  <c r="AG312" i="8" s="1"/>
  <c r="D313" i="8"/>
  <c r="E313" i="8" s="1"/>
  <c r="B313" i="8"/>
  <c r="C313" i="8"/>
  <c r="B314" i="12" l="1"/>
  <c r="L363" i="14"/>
  <c r="N362" i="14"/>
  <c r="O362" i="14"/>
  <c r="A359" i="14"/>
  <c r="D358" i="14"/>
  <c r="E358" i="14" s="1"/>
  <c r="C358" i="14"/>
  <c r="C131" i="14"/>
  <c r="Q325" i="14"/>
  <c r="M325" i="14"/>
  <c r="P325" i="14"/>
  <c r="H325" i="14"/>
  <c r="B325" i="14"/>
  <c r="G325" i="14"/>
  <c r="F325" i="14"/>
  <c r="A315" i="12"/>
  <c r="G315" i="12" s="1"/>
  <c r="F314" i="12"/>
  <c r="C314" i="12"/>
  <c r="D314" i="12"/>
  <c r="E314" i="12" s="1"/>
  <c r="P315" i="12"/>
  <c r="K315" i="12"/>
  <c r="J316" i="12"/>
  <c r="L316" i="12" s="1"/>
  <c r="O315" i="12"/>
  <c r="M315" i="12"/>
  <c r="N315" i="12" s="1"/>
  <c r="L315" i="8"/>
  <c r="T314" i="8"/>
  <c r="S314" i="8"/>
  <c r="R314" i="8"/>
  <c r="Q314" i="8"/>
  <c r="O314" i="8"/>
  <c r="P314" i="8"/>
  <c r="M314" i="8"/>
  <c r="N314" i="8"/>
  <c r="A315" i="8"/>
  <c r="G314" i="8"/>
  <c r="H314" i="8"/>
  <c r="F314" i="8"/>
  <c r="AG313" i="8" s="1"/>
  <c r="D314" i="8"/>
  <c r="E314" i="8" s="1"/>
  <c r="C314" i="8"/>
  <c r="B314" i="8"/>
  <c r="B315" i="12" l="1"/>
  <c r="L364" i="14"/>
  <c r="N363" i="14"/>
  <c r="O363" i="14"/>
  <c r="A360" i="14"/>
  <c r="D359" i="14"/>
  <c r="E359" i="14" s="1"/>
  <c r="C359" i="14"/>
  <c r="E131" i="14"/>
  <c r="G131" i="14"/>
  <c r="P326" i="14"/>
  <c r="M326" i="14"/>
  <c r="Q326" i="14"/>
  <c r="G326" i="14"/>
  <c r="F326" i="14"/>
  <c r="H326" i="14"/>
  <c r="B326" i="14"/>
  <c r="A316" i="12"/>
  <c r="F315" i="12"/>
  <c r="C315" i="12"/>
  <c r="D315" i="12"/>
  <c r="E315" i="12" s="1"/>
  <c r="O316" i="12"/>
  <c r="M316" i="12"/>
  <c r="N316" i="12" s="1"/>
  <c r="J317" i="12"/>
  <c r="L317" i="12" s="1"/>
  <c r="P316" i="12"/>
  <c r="K316" i="12"/>
  <c r="B316" i="12"/>
  <c r="G316" i="12"/>
  <c r="L316" i="8"/>
  <c r="T315" i="8"/>
  <c r="R315" i="8"/>
  <c r="S315" i="8"/>
  <c r="Q315" i="8"/>
  <c r="P315" i="8"/>
  <c r="O315" i="8"/>
  <c r="M315" i="8"/>
  <c r="N315" i="8"/>
  <c r="A316" i="8"/>
  <c r="G315" i="8"/>
  <c r="H315" i="8"/>
  <c r="F315" i="8"/>
  <c r="AG314" i="8" s="1"/>
  <c r="C315" i="8"/>
  <c r="D315" i="8"/>
  <c r="E315" i="8" s="1"/>
  <c r="B315" i="8"/>
  <c r="L365" i="14" l="1"/>
  <c r="N364" i="14"/>
  <c r="O364" i="14"/>
  <c r="A361" i="14"/>
  <c r="D360" i="14"/>
  <c r="E360" i="14" s="1"/>
  <c r="C360" i="14"/>
  <c r="H131" i="14"/>
  <c r="F131" i="14"/>
  <c r="B132" i="14" s="1"/>
  <c r="P327" i="14"/>
  <c r="Q327" i="14"/>
  <c r="M327" i="14"/>
  <c r="G327" i="14"/>
  <c r="F327" i="14"/>
  <c r="H327" i="14"/>
  <c r="B327" i="14"/>
  <c r="A317" i="12"/>
  <c r="B317" i="12" s="1"/>
  <c r="F316" i="12"/>
  <c r="C316" i="12"/>
  <c r="D316" i="12"/>
  <c r="E316" i="12" s="1"/>
  <c r="P317" i="12"/>
  <c r="O317" i="12"/>
  <c r="K317" i="12"/>
  <c r="J318" i="12"/>
  <c r="L318" i="12" s="1"/>
  <c r="M317" i="12"/>
  <c r="N317" i="12" s="1"/>
  <c r="L317" i="8"/>
  <c r="T316" i="8"/>
  <c r="S316" i="8"/>
  <c r="R316" i="8"/>
  <c r="Q316" i="8"/>
  <c r="P316" i="8"/>
  <c r="O316" i="8"/>
  <c r="M316" i="8"/>
  <c r="N316" i="8"/>
  <c r="A317" i="8"/>
  <c r="G316" i="8"/>
  <c r="H316" i="8"/>
  <c r="F316" i="8"/>
  <c r="AG315" i="8" s="1"/>
  <c r="D316" i="8"/>
  <c r="E316" i="8" s="1"/>
  <c r="C316" i="8"/>
  <c r="B316" i="8"/>
  <c r="G317" i="12" l="1"/>
  <c r="L366" i="14"/>
  <c r="N365" i="14"/>
  <c r="O365" i="14"/>
  <c r="A362" i="14"/>
  <c r="D361" i="14"/>
  <c r="E361" i="14" s="1"/>
  <c r="C361" i="14"/>
  <c r="C132" i="14"/>
  <c r="Q328" i="14"/>
  <c r="P328" i="14"/>
  <c r="M328" i="14"/>
  <c r="H328" i="14"/>
  <c r="B328" i="14"/>
  <c r="G328" i="14"/>
  <c r="F328" i="14"/>
  <c r="A318" i="12"/>
  <c r="B318" i="12" s="1"/>
  <c r="F317" i="12"/>
  <c r="C317" i="12"/>
  <c r="D317" i="12"/>
  <c r="E317" i="12" s="1"/>
  <c r="M318" i="12"/>
  <c r="N318" i="12" s="1"/>
  <c r="J319" i="12"/>
  <c r="L319" i="12" s="1"/>
  <c r="K318" i="12"/>
  <c r="P318" i="12"/>
  <c r="O318" i="12"/>
  <c r="L318" i="8"/>
  <c r="T317" i="8"/>
  <c r="S317" i="8"/>
  <c r="R317" i="8"/>
  <c r="Q317" i="8"/>
  <c r="P317" i="8"/>
  <c r="O317" i="8"/>
  <c r="M317" i="8"/>
  <c r="N317" i="8"/>
  <c r="A318" i="8"/>
  <c r="G317" i="8"/>
  <c r="H317" i="8"/>
  <c r="F317" i="8"/>
  <c r="AG316" i="8" s="1"/>
  <c r="D317" i="8"/>
  <c r="E317" i="8" s="1"/>
  <c r="C317" i="8"/>
  <c r="B317" i="8"/>
  <c r="G318" i="12" l="1"/>
  <c r="L367" i="14"/>
  <c r="N366" i="14"/>
  <c r="O366" i="14"/>
  <c r="A363" i="14"/>
  <c r="D362" i="14"/>
  <c r="E362" i="14" s="1"/>
  <c r="C362" i="14"/>
  <c r="E132" i="14"/>
  <c r="G132" i="14"/>
  <c r="Q329" i="14"/>
  <c r="M329" i="14"/>
  <c r="P329" i="14"/>
  <c r="G329" i="14"/>
  <c r="F329" i="14"/>
  <c r="H329" i="14"/>
  <c r="B329" i="14"/>
  <c r="A319" i="12"/>
  <c r="B319" i="12" s="1"/>
  <c r="F318" i="12"/>
  <c r="C318" i="12"/>
  <c r="D318" i="12"/>
  <c r="E318" i="12" s="1"/>
  <c r="P319" i="12"/>
  <c r="K319" i="12"/>
  <c r="O319" i="12"/>
  <c r="M319" i="12"/>
  <c r="N319" i="12" s="1"/>
  <c r="J320" i="12"/>
  <c r="L320" i="12" s="1"/>
  <c r="G319" i="12"/>
  <c r="L319" i="8"/>
  <c r="T318" i="8"/>
  <c r="S318" i="8"/>
  <c r="R318" i="8"/>
  <c r="P318" i="8"/>
  <c r="Q318" i="8"/>
  <c r="O318" i="8"/>
  <c r="N318" i="8"/>
  <c r="M318" i="8"/>
  <c r="A319" i="8"/>
  <c r="G318" i="8"/>
  <c r="H318" i="8"/>
  <c r="F318" i="8"/>
  <c r="AG317" i="8" s="1"/>
  <c r="C318" i="8"/>
  <c r="D318" i="8"/>
  <c r="E318" i="8" s="1"/>
  <c r="B318" i="8"/>
  <c r="L368" i="14" l="1"/>
  <c r="N367" i="14"/>
  <c r="O367" i="14"/>
  <c r="A364" i="14"/>
  <c r="D363" i="14"/>
  <c r="E363" i="14" s="1"/>
  <c r="C363" i="14"/>
  <c r="F132" i="14"/>
  <c r="B133" i="14" s="1"/>
  <c r="H132" i="14"/>
  <c r="M330" i="14"/>
  <c r="Q330" i="14"/>
  <c r="P330" i="14"/>
  <c r="H330" i="14"/>
  <c r="B330" i="14"/>
  <c r="G330" i="14"/>
  <c r="F330" i="14"/>
  <c r="A320" i="12"/>
  <c r="B320" i="12" s="1"/>
  <c r="F319" i="12"/>
  <c r="C319" i="12"/>
  <c r="D319" i="12"/>
  <c r="E319" i="12" s="1"/>
  <c r="J321" i="12"/>
  <c r="L321" i="12" s="1"/>
  <c r="K320" i="12"/>
  <c r="O320" i="12"/>
  <c r="M320" i="12"/>
  <c r="N320" i="12" s="1"/>
  <c r="P320" i="12"/>
  <c r="L320" i="8"/>
  <c r="T319" i="8"/>
  <c r="R319" i="8"/>
  <c r="S319" i="8"/>
  <c r="P319" i="8"/>
  <c r="Q319" i="8"/>
  <c r="O319" i="8"/>
  <c r="N319" i="8"/>
  <c r="M319" i="8"/>
  <c r="A320" i="8"/>
  <c r="G319" i="8"/>
  <c r="H319" i="8"/>
  <c r="F319" i="8"/>
  <c r="AG318" i="8" s="1"/>
  <c r="D319" i="8"/>
  <c r="E319" i="8" s="1"/>
  <c r="C319" i="8"/>
  <c r="B319" i="8"/>
  <c r="G320" i="12" l="1"/>
  <c r="L369" i="14"/>
  <c r="N368" i="14"/>
  <c r="O368" i="14"/>
  <c r="A365" i="14"/>
  <c r="D364" i="14"/>
  <c r="E364" i="14" s="1"/>
  <c r="C364" i="14"/>
  <c r="C133" i="14"/>
  <c r="Q331" i="14"/>
  <c r="M331" i="14"/>
  <c r="P331" i="14"/>
  <c r="H331" i="14"/>
  <c r="B331" i="14"/>
  <c r="G331" i="14"/>
  <c r="F331" i="14"/>
  <c r="A321" i="12"/>
  <c r="B321" i="12" s="1"/>
  <c r="F320" i="12"/>
  <c r="C320" i="12"/>
  <c r="D320" i="12"/>
  <c r="E320" i="12" s="1"/>
  <c r="P321" i="12"/>
  <c r="O321" i="12"/>
  <c r="M321" i="12"/>
  <c r="N321" i="12" s="1"/>
  <c r="K321" i="12"/>
  <c r="J322" i="12"/>
  <c r="L322" i="12" s="1"/>
  <c r="L321" i="8"/>
  <c r="T320" i="8"/>
  <c r="S320" i="8"/>
  <c r="Q320" i="8"/>
  <c r="R320" i="8"/>
  <c r="P320" i="8"/>
  <c r="O320" i="8"/>
  <c r="N320" i="8"/>
  <c r="M320" i="8"/>
  <c r="A321" i="8"/>
  <c r="H320" i="8"/>
  <c r="F320" i="8"/>
  <c r="AG319" i="8" s="1"/>
  <c r="G320" i="8"/>
  <c r="D320" i="8"/>
  <c r="E320" i="8" s="1"/>
  <c r="C320" i="8"/>
  <c r="B320" i="8"/>
  <c r="G321" i="12" l="1"/>
  <c r="L370" i="14"/>
  <c r="N369" i="14"/>
  <c r="O369" i="14"/>
  <c r="A366" i="14"/>
  <c r="D365" i="14"/>
  <c r="E365" i="14" s="1"/>
  <c r="C365" i="14"/>
  <c r="E133" i="14"/>
  <c r="G133" i="14"/>
  <c r="P332" i="14"/>
  <c r="Q332" i="14"/>
  <c r="M332" i="14"/>
  <c r="G332" i="14"/>
  <c r="F332" i="14"/>
  <c r="B332" i="14"/>
  <c r="H332" i="14"/>
  <c r="A322" i="12"/>
  <c r="B322" i="12" s="1"/>
  <c r="F321" i="12"/>
  <c r="C321" i="12"/>
  <c r="D321" i="12"/>
  <c r="E321" i="12" s="1"/>
  <c r="O322" i="12"/>
  <c r="M322" i="12"/>
  <c r="N322" i="12" s="1"/>
  <c r="J323" i="12"/>
  <c r="L323" i="12" s="1"/>
  <c r="P322" i="12"/>
  <c r="K322" i="12"/>
  <c r="L322" i="8"/>
  <c r="T321" i="8"/>
  <c r="S321" i="8"/>
  <c r="Q321" i="8"/>
  <c r="R321" i="8"/>
  <c r="O321" i="8"/>
  <c r="P321" i="8"/>
  <c r="N321" i="8"/>
  <c r="M321" i="8"/>
  <c r="A322" i="8"/>
  <c r="G321" i="8"/>
  <c r="H321" i="8"/>
  <c r="F321" i="8"/>
  <c r="AG320" i="8" s="1"/>
  <c r="D321" i="8"/>
  <c r="E321" i="8" s="1"/>
  <c r="B321" i="8"/>
  <c r="C321" i="8"/>
  <c r="G322" i="12" l="1"/>
  <c r="L371" i="14"/>
  <c r="N370" i="14"/>
  <c r="O370" i="14"/>
  <c r="A367" i="14"/>
  <c r="D366" i="14"/>
  <c r="E366" i="14" s="1"/>
  <c r="C366" i="14"/>
  <c r="H133" i="14"/>
  <c r="F133" i="14"/>
  <c r="B134" i="14" s="1"/>
  <c r="Q333" i="14"/>
  <c r="P333" i="14"/>
  <c r="M333" i="14"/>
  <c r="B333" i="14"/>
  <c r="G333" i="14"/>
  <c r="F333" i="14"/>
  <c r="H333" i="14"/>
  <c r="A323" i="12"/>
  <c r="F322" i="12"/>
  <c r="C322" i="12"/>
  <c r="D322" i="12"/>
  <c r="E322" i="12" s="1"/>
  <c r="J324" i="12"/>
  <c r="L324" i="12" s="1"/>
  <c r="O323" i="12"/>
  <c r="M323" i="12"/>
  <c r="N323" i="12" s="1"/>
  <c r="K323" i="12"/>
  <c r="P323" i="12"/>
  <c r="B323" i="12"/>
  <c r="G323" i="12"/>
  <c r="L323" i="8"/>
  <c r="T322" i="8"/>
  <c r="S322" i="8"/>
  <c r="R322" i="8"/>
  <c r="Q322" i="8"/>
  <c r="P322" i="8"/>
  <c r="O322" i="8"/>
  <c r="M322" i="8"/>
  <c r="N322" i="8"/>
  <c r="A323" i="8"/>
  <c r="G322" i="8"/>
  <c r="H322" i="8"/>
  <c r="F322" i="8"/>
  <c r="AG321" i="8" s="1"/>
  <c r="D322" i="8"/>
  <c r="E322" i="8" s="1"/>
  <c r="B322" i="8"/>
  <c r="C322" i="8"/>
  <c r="L372" i="14" l="1"/>
  <c r="N371" i="14"/>
  <c r="O371" i="14"/>
  <c r="A368" i="14"/>
  <c r="D367" i="14"/>
  <c r="E367" i="14" s="1"/>
  <c r="C367" i="14"/>
  <c r="C134" i="14"/>
  <c r="Q334" i="14"/>
  <c r="M334" i="14"/>
  <c r="P334" i="14"/>
  <c r="H334" i="14"/>
  <c r="B334" i="14"/>
  <c r="G334" i="14"/>
  <c r="F334" i="14"/>
  <c r="A324" i="12"/>
  <c r="B324" i="12" s="1"/>
  <c r="F323" i="12"/>
  <c r="C323" i="12"/>
  <c r="D323" i="12"/>
  <c r="E323" i="12" s="1"/>
  <c r="M324" i="12"/>
  <c r="N324" i="12" s="1"/>
  <c r="J325" i="12"/>
  <c r="L325" i="12" s="1"/>
  <c r="K324" i="12"/>
  <c r="P324" i="12"/>
  <c r="O324" i="12"/>
  <c r="L324" i="8"/>
  <c r="T323" i="8"/>
  <c r="S323" i="8"/>
  <c r="R323" i="8"/>
  <c r="Q323" i="8"/>
  <c r="P323" i="8"/>
  <c r="O323" i="8"/>
  <c r="M323" i="8"/>
  <c r="N323" i="8"/>
  <c r="A324" i="8"/>
  <c r="G323" i="8"/>
  <c r="H323" i="8"/>
  <c r="F323" i="8"/>
  <c r="AG322" i="8" s="1"/>
  <c r="D323" i="8"/>
  <c r="E323" i="8" s="1"/>
  <c r="B323" i="8"/>
  <c r="C323" i="8"/>
  <c r="G324" i="12" l="1"/>
  <c r="L373" i="14"/>
  <c r="N372" i="14"/>
  <c r="O372" i="14"/>
  <c r="A369" i="14"/>
  <c r="D368" i="14"/>
  <c r="E368" i="14" s="1"/>
  <c r="C368" i="14"/>
  <c r="E134" i="14"/>
  <c r="G134" i="14"/>
  <c r="M335" i="14"/>
  <c r="P335" i="14"/>
  <c r="Q335" i="14"/>
  <c r="G335" i="14"/>
  <c r="F335" i="14"/>
  <c r="H335" i="14"/>
  <c r="B335" i="14"/>
  <c r="A325" i="12"/>
  <c r="B325" i="12" s="1"/>
  <c r="F324" i="12"/>
  <c r="C324" i="12"/>
  <c r="D324" i="12"/>
  <c r="E324" i="12" s="1"/>
  <c r="P325" i="12"/>
  <c r="M325" i="12"/>
  <c r="N325" i="12" s="1"/>
  <c r="J326" i="12"/>
  <c r="L326" i="12" s="1"/>
  <c r="O325" i="12"/>
  <c r="K325" i="12"/>
  <c r="L325" i="8"/>
  <c r="T324" i="8"/>
  <c r="S324" i="8"/>
  <c r="R324" i="8"/>
  <c r="Q324" i="8"/>
  <c r="P324" i="8"/>
  <c r="O324" i="8"/>
  <c r="M324" i="8"/>
  <c r="N324" i="8"/>
  <c r="A325" i="8"/>
  <c r="H324" i="8"/>
  <c r="G324" i="8"/>
  <c r="F324" i="8"/>
  <c r="AG323" i="8" s="1"/>
  <c r="D324" i="8"/>
  <c r="E324" i="8" s="1"/>
  <c r="C324" i="8"/>
  <c r="B324" i="8"/>
  <c r="G325" i="12" l="1"/>
  <c r="L374" i="14"/>
  <c r="N373" i="14"/>
  <c r="O373" i="14"/>
  <c r="A370" i="14"/>
  <c r="D369" i="14"/>
  <c r="E369" i="14" s="1"/>
  <c r="C369" i="14"/>
  <c r="F134" i="14"/>
  <c r="B135" i="14" s="1"/>
  <c r="H134" i="14"/>
  <c r="M336" i="14"/>
  <c r="P336" i="14"/>
  <c r="Q336" i="14"/>
  <c r="G336" i="14"/>
  <c r="F336" i="14"/>
  <c r="H336" i="14"/>
  <c r="B336" i="14"/>
  <c r="A326" i="12"/>
  <c r="G326" i="12" s="1"/>
  <c r="F325" i="12"/>
  <c r="C325" i="12"/>
  <c r="D325" i="12"/>
  <c r="E325" i="12" s="1"/>
  <c r="J327" i="12"/>
  <c r="L327" i="12" s="1"/>
  <c r="K326" i="12"/>
  <c r="O326" i="12"/>
  <c r="P326" i="12"/>
  <c r="M326" i="12"/>
  <c r="N326" i="12" s="1"/>
  <c r="L326" i="8"/>
  <c r="T325" i="8"/>
  <c r="R325" i="8"/>
  <c r="S325" i="8"/>
  <c r="Q325" i="8"/>
  <c r="P325" i="8"/>
  <c r="O325" i="8"/>
  <c r="M325" i="8"/>
  <c r="N325" i="8"/>
  <c r="A326" i="8"/>
  <c r="G325" i="8"/>
  <c r="H325" i="8"/>
  <c r="F325" i="8"/>
  <c r="AG324" i="8" s="1"/>
  <c r="D325" i="8"/>
  <c r="E325" i="8" s="1"/>
  <c r="C325" i="8"/>
  <c r="B325" i="8"/>
  <c r="L375" i="14" l="1"/>
  <c r="N374" i="14"/>
  <c r="O374" i="14"/>
  <c r="A371" i="14"/>
  <c r="D370" i="14"/>
  <c r="E370" i="14" s="1"/>
  <c r="C370" i="14"/>
  <c r="C135" i="14"/>
  <c r="Q337" i="14"/>
  <c r="P337" i="14"/>
  <c r="M337" i="14"/>
  <c r="H337" i="14"/>
  <c r="B337" i="14"/>
  <c r="G337" i="14"/>
  <c r="F337" i="14"/>
  <c r="B326" i="12"/>
  <c r="A327" i="12"/>
  <c r="G327" i="12" s="1"/>
  <c r="F326" i="12"/>
  <c r="C326" i="12"/>
  <c r="D326" i="12"/>
  <c r="E326" i="12" s="1"/>
  <c r="P327" i="12"/>
  <c r="J328" i="12"/>
  <c r="L328" i="12" s="1"/>
  <c r="M327" i="12"/>
  <c r="N327" i="12" s="1"/>
  <c r="K327" i="12"/>
  <c r="O327" i="12"/>
  <c r="L327" i="8"/>
  <c r="T326" i="8"/>
  <c r="S326" i="8"/>
  <c r="R326" i="8"/>
  <c r="Q326" i="8"/>
  <c r="P326" i="8"/>
  <c r="O326" i="8"/>
  <c r="N326" i="8"/>
  <c r="M326" i="8"/>
  <c r="A327" i="8"/>
  <c r="G326" i="8"/>
  <c r="H326" i="8"/>
  <c r="C326" i="8"/>
  <c r="F326" i="8"/>
  <c r="AG325" i="8" s="1"/>
  <c r="D326" i="8"/>
  <c r="E326" i="8" s="1"/>
  <c r="B326" i="8"/>
  <c r="B327" i="12" l="1"/>
  <c r="L376" i="14"/>
  <c r="N375" i="14"/>
  <c r="O375" i="14"/>
  <c r="A372" i="14"/>
  <c r="D371" i="14"/>
  <c r="E371" i="14" s="1"/>
  <c r="C371" i="14"/>
  <c r="E135" i="14"/>
  <c r="G135" i="14"/>
  <c r="P338" i="14"/>
  <c r="Q338" i="14"/>
  <c r="M338" i="14"/>
  <c r="G338" i="14"/>
  <c r="F338" i="14"/>
  <c r="H338" i="14"/>
  <c r="B338" i="14"/>
  <c r="A328" i="12"/>
  <c r="F327" i="12"/>
  <c r="C327" i="12"/>
  <c r="D327" i="12"/>
  <c r="E327" i="12" s="1"/>
  <c r="O328" i="12"/>
  <c r="M328" i="12"/>
  <c r="N328" i="12" s="1"/>
  <c r="K328" i="12"/>
  <c r="P328" i="12"/>
  <c r="J329" i="12"/>
  <c r="L329" i="12" s="1"/>
  <c r="B328" i="12"/>
  <c r="G328" i="12"/>
  <c r="L328" i="8"/>
  <c r="T327" i="8"/>
  <c r="R327" i="8"/>
  <c r="S327" i="8"/>
  <c r="Q327" i="8"/>
  <c r="P327" i="8"/>
  <c r="O327" i="8"/>
  <c r="N327" i="8"/>
  <c r="M327" i="8"/>
  <c r="A328" i="8"/>
  <c r="G327" i="8"/>
  <c r="H327" i="8"/>
  <c r="F327" i="8"/>
  <c r="AG326" i="8" s="1"/>
  <c r="C327" i="8"/>
  <c r="D327" i="8"/>
  <c r="E327" i="8" s="1"/>
  <c r="B327" i="8"/>
  <c r="L377" i="14" l="1"/>
  <c r="N376" i="14"/>
  <c r="O376" i="14"/>
  <c r="A373" i="14"/>
  <c r="D372" i="14"/>
  <c r="E372" i="14" s="1"/>
  <c r="C372" i="14"/>
  <c r="H135" i="14"/>
  <c r="F135" i="14"/>
  <c r="B136" i="14" s="1"/>
  <c r="P339" i="14"/>
  <c r="Q339" i="14"/>
  <c r="M339" i="14"/>
  <c r="H339" i="14"/>
  <c r="G339" i="14"/>
  <c r="B339" i="14"/>
  <c r="F339" i="14"/>
  <c r="A329" i="12"/>
  <c r="G329" i="12" s="1"/>
  <c r="F328" i="12"/>
  <c r="C328" i="12"/>
  <c r="D328" i="12"/>
  <c r="E328" i="12" s="1"/>
  <c r="J330" i="12"/>
  <c r="L330" i="12" s="1"/>
  <c r="M329" i="12"/>
  <c r="N329" i="12" s="1"/>
  <c r="K329" i="12"/>
  <c r="P329" i="12"/>
  <c r="O329" i="12"/>
  <c r="L329" i="8"/>
  <c r="T328" i="8"/>
  <c r="S328" i="8"/>
  <c r="Q328" i="8"/>
  <c r="R328" i="8"/>
  <c r="P328" i="8"/>
  <c r="O328" i="8"/>
  <c r="N328" i="8"/>
  <c r="M328" i="8"/>
  <c r="A329" i="8"/>
  <c r="H328" i="8"/>
  <c r="G328" i="8"/>
  <c r="F328" i="8"/>
  <c r="AG327" i="8" s="1"/>
  <c r="D328" i="8"/>
  <c r="E328" i="8" s="1"/>
  <c r="C328" i="8"/>
  <c r="B328" i="8"/>
  <c r="L378" i="14" l="1"/>
  <c r="N377" i="14"/>
  <c r="O377" i="14"/>
  <c r="A374" i="14"/>
  <c r="D373" i="14"/>
  <c r="E373" i="14" s="1"/>
  <c r="C373" i="14"/>
  <c r="C136" i="14"/>
  <c r="P340" i="14"/>
  <c r="M340" i="14"/>
  <c r="Q340" i="14"/>
  <c r="H340" i="14"/>
  <c r="B340" i="14"/>
  <c r="G340" i="14"/>
  <c r="F340" i="14"/>
  <c r="B329" i="12"/>
  <c r="A330" i="12"/>
  <c r="G330" i="12" s="1"/>
  <c r="F329" i="12"/>
  <c r="C329" i="12"/>
  <c r="D329" i="12"/>
  <c r="E329" i="12" s="1"/>
  <c r="P330" i="12"/>
  <c r="J331" i="12"/>
  <c r="L331" i="12" s="1"/>
  <c r="O330" i="12"/>
  <c r="K330" i="12"/>
  <c r="M330" i="12"/>
  <c r="N330" i="12" s="1"/>
  <c r="L330" i="8"/>
  <c r="T329" i="8"/>
  <c r="S329" i="8"/>
  <c r="Q329" i="8"/>
  <c r="R329" i="8"/>
  <c r="P329" i="8"/>
  <c r="O329" i="8"/>
  <c r="N329" i="8"/>
  <c r="M329" i="8"/>
  <c r="A330" i="8"/>
  <c r="G329" i="8"/>
  <c r="H329" i="8"/>
  <c r="F329" i="8"/>
  <c r="AG328" i="8" s="1"/>
  <c r="D329" i="8"/>
  <c r="E329" i="8" s="1"/>
  <c r="C329" i="8"/>
  <c r="B329" i="8"/>
  <c r="B330" i="12" l="1"/>
  <c r="L379" i="14"/>
  <c r="N378" i="14"/>
  <c r="O378" i="14"/>
  <c r="A375" i="14"/>
  <c r="D374" i="14"/>
  <c r="E374" i="14" s="1"/>
  <c r="C374" i="14"/>
  <c r="E136" i="14"/>
  <c r="G136" i="14"/>
  <c r="P341" i="14"/>
  <c r="M341" i="14"/>
  <c r="Q341" i="14"/>
  <c r="G341" i="14"/>
  <c r="F341" i="14"/>
  <c r="B341" i="14"/>
  <c r="H341" i="14"/>
  <c r="A331" i="12"/>
  <c r="B331" i="12" s="1"/>
  <c r="F330" i="12"/>
  <c r="C330" i="12"/>
  <c r="D330" i="12"/>
  <c r="E330" i="12" s="1"/>
  <c r="O331" i="12"/>
  <c r="P331" i="12"/>
  <c r="M331" i="12"/>
  <c r="N331" i="12" s="1"/>
  <c r="K331" i="12"/>
  <c r="J332" i="12"/>
  <c r="L332" i="12" s="1"/>
  <c r="G331" i="12"/>
  <c r="L331" i="8"/>
  <c r="T330" i="8"/>
  <c r="S330" i="8"/>
  <c r="R330" i="8"/>
  <c r="Q330" i="8"/>
  <c r="P330" i="8"/>
  <c r="O330" i="8"/>
  <c r="M330" i="8"/>
  <c r="N330" i="8"/>
  <c r="A331" i="8"/>
  <c r="G330" i="8"/>
  <c r="H330" i="8"/>
  <c r="F330" i="8"/>
  <c r="AG329" i="8" s="1"/>
  <c r="D330" i="8"/>
  <c r="E330" i="8" s="1"/>
  <c r="C330" i="8"/>
  <c r="B330" i="8"/>
  <c r="L380" i="14" l="1"/>
  <c r="N379" i="14"/>
  <c r="O379" i="14"/>
  <c r="A376" i="14"/>
  <c r="D375" i="14"/>
  <c r="E375" i="14" s="1"/>
  <c r="C375" i="14"/>
  <c r="F136" i="14"/>
  <c r="B137" i="14" s="1"/>
  <c r="H136" i="14"/>
  <c r="M342" i="14"/>
  <c r="P342" i="14"/>
  <c r="Q342" i="14"/>
  <c r="B342" i="14"/>
  <c r="H342" i="14"/>
  <c r="G342" i="14"/>
  <c r="F342" i="14"/>
  <c r="A332" i="12"/>
  <c r="B332" i="12" s="1"/>
  <c r="F331" i="12"/>
  <c r="C331" i="12"/>
  <c r="D331" i="12"/>
  <c r="E331" i="12" s="1"/>
  <c r="O332" i="12"/>
  <c r="M332" i="12"/>
  <c r="N332" i="12" s="1"/>
  <c r="K332" i="12"/>
  <c r="J333" i="12"/>
  <c r="L333" i="12" s="1"/>
  <c r="P332" i="12"/>
  <c r="L332" i="8"/>
  <c r="T331" i="8"/>
  <c r="S331" i="8"/>
  <c r="R331" i="8"/>
  <c r="Q331" i="8"/>
  <c r="P331" i="8"/>
  <c r="O331" i="8"/>
  <c r="M331" i="8"/>
  <c r="N331" i="8"/>
  <c r="A332" i="8"/>
  <c r="G331" i="8"/>
  <c r="H331" i="8"/>
  <c r="F331" i="8"/>
  <c r="AG330" i="8" s="1"/>
  <c r="C331" i="8"/>
  <c r="D331" i="8"/>
  <c r="E331" i="8" s="1"/>
  <c r="B331" i="8"/>
  <c r="G332" i="12" l="1"/>
  <c r="L381" i="14"/>
  <c r="N380" i="14"/>
  <c r="O380" i="14"/>
  <c r="A377" i="14"/>
  <c r="D376" i="14"/>
  <c r="E376" i="14" s="1"/>
  <c r="C376" i="14"/>
  <c r="C137" i="14"/>
  <c r="Q343" i="14"/>
  <c r="P343" i="14"/>
  <c r="M343" i="14"/>
  <c r="H343" i="14"/>
  <c r="B343" i="14"/>
  <c r="G343" i="14"/>
  <c r="F343" i="14"/>
  <c r="A333" i="12"/>
  <c r="B333" i="12" s="1"/>
  <c r="F332" i="12"/>
  <c r="C332" i="12"/>
  <c r="D332" i="12"/>
  <c r="E332" i="12" s="1"/>
  <c r="M333" i="12"/>
  <c r="N333" i="12" s="1"/>
  <c r="O333" i="12"/>
  <c r="J334" i="12"/>
  <c r="L334" i="12" s="1"/>
  <c r="P333" i="12"/>
  <c r="K333" i="12"/>
  <c r="L333" i="8"/>
  <c r="T332" i="8"/>
  <c r="S332" i="8"/>
  <c r="R332" i="8"/>
  <c r="Q332" i="8"/>
  <c r="P332" i="8"/>
  <c r="O332" i="8"/>
  <c r="M332" i="8"/>
  <c r="N332" i="8"/>
  <c r="A333" i="8"/>
  <c r="G332" i="8"/>
  <c r="H332" i="8"/>
  <c r="F332" i="8"/>
  <c r="AG331" i="8" s="1"/>
  <c r="D332" i="8"/>
  <c r="E332" i="8" s="1"/>
  <c r="C332" i="8"/>
  <c r="B332" i="8"/>
  <c r="G333" i="12" l="1"/>
  <c r="L382" i="14"/>
  <c r="N381" i="14"/>
  <c r="O381" i="14"/>
  <c r="A378" i="14"/>
  <c r="D377" i="14"/>
  <c r="E377" i="14" s="1"/>
  <c r="C377" i="14"/>
  <c r="E137" i="14"/>
  <c r="G137" i="14"/>
  <c r="P344" i="14"/>
  <c r="Q344" i="14"/>
  <c r="M344" i="14"/>
  <c r="G344" i="14"/>
  <c r="F344" i="14"/>
  <c r="B344" i="14"/>
  <c r="H344" i="14"/>
  <c r="A334" i="12"/>
  <c r="F333" i="12"/>
  <c r="C333" i="12"/>
  <c r="D333" i="12"/>
  <c r="E333" i="12" s="1"/>
  <c r="O334" i="12"/>
  <c r="M334" i="12"/>
  <c r="N334" i="12" s="1"/>
  <c r="P334" i="12"/>
  <c r="K334" i="12"/>
  <c r="J335" i="12"/>
  <c r="L335" i="12" s="1"/>
  <c r="B334" i="12"/>
  <c r="G334" i="12"/>
  <c r="L334" i="8"/>
  <c r="T333" i="8"/>
  <c r="S333" i="8"/>
  <c r="R333" i="8"/>
  <c r="Q333" i="8"/>
  <c r="P333" i="8"/>
  <c r="O333" i="8"/>
  <c r="M333" i="8"/>
  <c r="N333" i="8"/>
  <c r="A334" i="8"/>
  <c r="G333" i="8"/>
  <c r="H333" i="8"/>
  <c r="F333" i="8"/>
  <c r="AG332" i="8" s="1"/>
  <c r="D333" i="8"/>
  <c r="E333" i="8" s="1"/>
  <c r="C333" i="8"/>
  <c r="B333" i="8"/>
  <c r="L383" i="14" l="1"/>
  <c r="N382" i="14"/>
  <c r="O382" i="14"/>
  <c r="A379" i="14"/>
  <c r="D378" i="14"/>
  <c r="E378" i="14" s="1"/>
  <c r="C378" i="14"/>
  <c r="H137" i="14"/>
  <c r="F137" i="14"/>
  <c r="B138" i="14" s="1"/>
  <c r="Q345" i="14"/>
  <c r="P345" i="14"/>
  <c r="M345" i="14"/>
  <c r="G345" i="14"/>
  <c r="F345" i="14"/>
  <c r="B345" i="14"/>
  <c r="H345" i="14"/>
  <c r="A335" i="12"/>
  <c r="G335" i="12" s="1"/>
  <c r="F334" i="12"/>
  <c r="C334" i="12"/>
  <c r="D334" i="12"/>
  <c r="E334" i="12" s="1"/>
  <c r="J336" i="12"/>
  <c r="L336" i="12" s="1"/>
  <c r="K335" i="12"/>
  <c r="O335" i="12"/>
  <c r="M335" i="12"/>
  <c r="N335" i="12" s="1"/>
  <c r="P335" i="12"/>
  <c r="L335" i="8"/>
  <c r="T334" i="8"/>
  <c r="S334" i="8"/>
  <c r="R334" i="8"/>
  <c r="Q334" i="8"/>
  <c r="P334" i="8"/>
  <c r="O334" i="8"/>
  <c r="M334" i="8"/>
  <c r="N334" i="8"/>
  <c r="A335" i="8"/>
  <c r="G334" i="8"/>
  <c r="H334" i="8"/>
  <c r="F334" i="8"/>
  <c r="AG333" i="8" s="1"/>
  <c r="D334" i="8"/>
  <c r="E334" i="8" s="1"/>
  <c r="C334" i="8"/>
  <c r="B334" i="8"/>
  <c r="B335" i="12" l="1"/>
  <c r="L384" i="14"/>
  <c r="N383" i="14"/>
  <c r="O383" i="14"/>
  <c r="A380" i="14"/>
  <c r="D379" i="14"/>
  <c r="E379" i="14" s="1"/>
  <c r="C379" i="14"/>
  <c r="C138" i="14"/>
  <c r="Q346" i="14"/>
  <c r="M346" i="14"/>
  <c r="P346" i="14"/>
  <c r="H346" i="14"/>
  <c r="B346" i="14"/>
  <c r="G346" i="14"/>
  <c r="F346" i="14"/>
  <c r="A336" i="12"/>
  <c r="G336" i="12" s="1"/>
  <c r="F335" i="12"/>
  <c r="C335" i="12"/>
  <c r="D335" i="12"/>
  <c r="E335" i="12" s="1"/>
  <c r="P336" i="12"/>
  <c r="O336" i="12"/>
  <c r="M336" i="12"/>
  <c r="N336" i="12" s="1"/>
  <c r="J337" i="12"/>
  <c r="L337" i="12" s="1"/>
  <c r="K336" i="12"/>
  <c r="L336" i="8"/>
  <c r="T335" i="8"/>
  <c r="R335" i="8"/>
  <c r="S335" i="8"/>
  <c r="Q335" i="8"/>
  <c r="P335" i="8"/>
  <c r="O335" i="8"/>
  <c r="M335" i="8"/>
  <c r="N335" i="8"/>
  <c r="A336" i="8"/>
  <c r="G335" i="8"/>
  <c r="F335" i="8"/>
  <c r="AG334" i="8" s="1"/>
  <c r="H335" i="8"/>
  <c r="D335" i="8"/>
  <c r="E335" i="8" s="1"/>
  <c r="C335" i="8"/>
  <c r="B335" i="8"/>
  <c r="B336" i="12" l="1"/>
  <c r="L385" i="14"/>
  <c r="N384" i="14"/>
  <c r="O384" i="14"/>
  <c r="A381" i="14"/>
  <c r="D380" i="14"/>
  <c r="E380" i="14" s="1"/>
  <c r="C380" i="14"/>
  <c r="E138" i="14"/>
  <c r="G138" i="14"/>
  <c r="Q347" i="14"/>
  <c r="M347" i="14"/>
  <c r="P347" i="14"/>
  <c r="G347" i="14"/>
  <c r="F347" i="14"/>
  <c r="H347" i="14"/>
  <c r="B347" i="14"/>
  <c r="A337" i="12"/>
  <c r="F336" i="12"/>
  <c r="C336" i="12"/>
  <c r="D336" i="12"/>
  <c r="E336" i="12" s="1"/>
  <c r="O337" i="12"/>
  <c r="P337" i="12"/>
  <c r="M337" i="12"/>
  <c r="N337" i="12" s="1"/>
  <c r="K337" i="12"/>
  <c r="J338" i="12"/>
  <c r="L338" i="12" s="1"/>
  <c r="B337" i="12"/>
  <c r="G337" i="12"/>
  <c r="L337" i="8"/>
  <c r="T336" i="8"/>
  <c r="S336" i="8"/>
  <c r="R336" i="8"/>
  <c r="Q336" i="8"/>
  <c r="P336" i="8"/>
  <c r="O336" i="8"/>
  <c r="M336" i="8"/>
  <c r="N336" i="8"/>
  <c r="A337" i="8"/>
  <c r="H336" i="8"/>
  <c r="F336" i="8"/>
  <c r="AG335" i="8" s="1"/>
  <c r="G336" i="8"/>
  <c r="D336" i="8"/>
  <c r="E336" i="8" s="1"/>
  <c r="C336" i="8"/>
  <c r="B336" i="8"/>
  <c r="L386" i="14" l="1"/>
  <c r="N385" i="14"/>
  <c r="O385" i="14"/>
  <c r="A382" i="14"/>
  <c r="D381" i="14"/>
  <c r="E381" i="14" s="1"/>
  <c r="C381" i="14"/>
  <c r="F138" i="14"/>
  <c r="B139" i="14" s="1"/>
  <c r="H138" i="14"/>
  <c r="M348" i="14"/>
  <c r="Q348" i="14"/>
  <c r="P348" i="14"/>
  <c r="H348" i="14"/>
  <c r="G348" i="14"/>
  <c r="F348" i="14"/>
  <c r="B348" i="14"/>
  <c r="A338" i="12"/>
  <c r="B338" i="12" s="1"/>
  <c r="F337" i="12"/>
  <c r="C337" i="12"/>
  <c r="D337" i="12"/>
  <c r="E337" i="12" s="1"/>
  <c r="P338" i="12"/>
  <c r="M338" i="12"/>
  <c r="N338" i="12" s="1"/>
  <c r="O338" i="12"/>
  <c r="J339" i="12"/>
  <c r="L339" i="12" s="1"/>
  <c r="K338" i="12"/>
  <c r="L338" i="8"/>
  <c r="T337" i="8"/>
  <c r="S337" i="8"/>
  <c r="R337" i="8"/>
  <c r="Q337" i="8"/>
  <c r="O337" i="8"/>
  <c r="P337" i="8"/>
  <c r="M337" i="8"/>
  <c r="N337" i="8"/>
  <c r="A338" i="8"/>
  <c r="G337" i="8"/>
  <c r="H337" i="8"/>
  <c r="F337" i="8"/>
  <c r="AG336" i="8" s="1"/>
  <c r="D337" i="8"/>
  <c r="E337" i="8" s="1"/>
  <c r="B337" i="8"/>
  <c r="C337" i="8"/>
  <c r="G338" i="12" l="1"/>
  <c r="L387" i="14"/>
  <c r="N386" i="14"/>
  <c r="O386" i="14"/>
  <c r="A383" i="14"/>
  <c r="D382" i="14"/>
  <c r="E382" i="14" s="1"/>
  <c r="C382" i="14"/>
  <c r="C139" i="14"/>
  <c r="Q349" i="14"/>
  <c r="P349" i="14"/>
  <c r="M349" i="14"/>
  <c r="H349" i="14"/>
  <c r="B349" i="14"/>
  <c r="G349" i="14"/>
  <c r="F349" i="14"/>
  <c r="A339" i="12"/>
  <c r="G339" i="12" s="1"/>
  <c r="F338" i="12"/>
  <c r="C338" i="12"/>
  <c r="D338" i="12"/>
  <c r="E338" i="12" s="1"/>
  <c r="M339" i="12"/>
  <c r="N339" i="12" s="1"/>
  <c r="P339" i="12"/>
  <c r="J340" i="12"/>
  <c r="L340" i="12" s="1"/>
  <c r="K339" i="12"/>
  <c r="O339" i="12"/>
  <c r="L339" i="8"/>
  <c r="T338" i="8"/>
  <c r="S338" i="8"/>
  <c r="R338" i="8"/>
  <c r="Q338" i="8"/>
  <c r="O338" i="8"/>
  <c r="P338" i="8"/>
  <c r="M338" i="8"/>
  <c r="N338" i="8"/>
  <c r="A339" i="8"/>
  <c r="G338" i="8"/>
  <c r="H338" i="8"/>
  <c r="F338" i="8"/>
  <c r="AG337" i="8" s="1"/>
  <c r="D338" i="8"/>
  <c r="E338" i="8" s="1"/>
  <c r="B338" i="8"/>
  <c r="C338" i="8"/>
  <c r="B339" i="12" l="1"/>
  <c r="L388" i="14"/>
  <c r="N387" i="14"/>
  <c r="O387" i="14"/>
  <c r="A384" i="14"/>
  <c r="D383" i="14"/>
  <c r="E383" i="14" s="1"/>
  <c r="C383" i="14"/>
  <c r="E139" i="14"/>
  <c r="G139" i="14"/>
  <c r="P350" i="14"/>
  <c r="Q350" i="14"/>
  <c r="M350" i="14"/>
  <c r="G350" i="14"/>
  <c r="F350" i="14"/>
  <c r="B350" i="14"/>
  <c r="H350" i="14"/>
  <c r="A340" i="12"/>
  <c r="G340" i="12" s="1"/>
  <c r="F339" i="12"/>
  <c r="C339" i="12"/>
  <c r="D339" i="12"/>
  <c r="E339" i="12" s="1"/>
  <c r="P340" i="12"/>
  <c r="K340" i="12"/>
  <c r="J341" i="12"/>
  <c r="L341" i="12" s="1"/>
  <c r="O340" i="12"/>
  <c r="M340" i="12"/>
  <c r="N340" i="12" s="1"/>
  <c r="L340" i="8"/>
  <c r="T339" i="8"/>
  <c r="S339" i="8"/>
  <c r="R339" i="8"/>
  <c r="Q339" i="8"/>
  <c r="P339" i="8"/>
  <c r="O339" i="8"/>
  <c r="M339" i="8"/>
  <c r="N339" i="8"/>
  <c r="A340" i="8"/>
  <c r="G339" i="8"/>
  <c r="H339" i="8"/>
  <c r="F339" i="8"/>
  <c r="AG338" i="8" s="1"/>
  <c r="D339" i="8"/>
  <c r="E339" i="8" s="1"/>
  <c r="C339" i="8"/>
  <c r="B339" i="8"/>
  <c r="L389" i="14" l="1"/>
  <c r="N388" i="14"/>
  <c r="O388" i="14"/>
  <c r="A385" i="14"/>
  <c r="D384" i="14"/>
  <c r="E384" i="14" s="1"/>
  <c r="C384" i="14"/>
  <c r="H139" i="14"/>
  <c r="F139" i="14"/>
  <c r="B140" i="14" s="1"/>
  <c r="M351" i="14"/>
  <c r="Q351" i="14"/>
  <c r="P351" i="14"/>
  <c r="B351" i="14"/>
  <c r="H351" i="14"/>
  <c r="G351" i="14"/>
  <c r="F351" i="14"/>
  <c r="B340" i="12"/>
  <c r="A341" i="12"/>
  <c r="F340" i="12"/>
  <c r="C340" i="12"/>
  <c r="D340" i="12"/>
  <c r="E340" i="12" s="1"/>
  <c r="J342" i="12"/>
  <c r="L342" i="12" s="1"/>
  <c r="K341" i="12"/>
  <c r="P341" i="12"/>
  <c r="O341" i="12"/>
  <c r="M341" i="12"/>
  <c r="N341" i="12" s="1"/>
  <c r="G341" i="12"/>
  <c r="B341" i="12"/>
  <c r="L341" i="8"/>
  <c r="T340" i="8"/>
  <c r="S340" i="8"/>
  <c r="R340" i="8"/>
  <c r="Q340" i="8"/>
  <c r="P340" i="8"/>
  <c r="O340" i="8"/>
  <c r="M340" i="8"/>
  <c r="N340" i="8"/>
  <c r="A341" i="8"/>
  <c r="H340" i="8"/>
  <c r="G340" i="8"/>
  <c r="F340" i="8"/>
  <c r="AG339" i="8" s="1"/>
  <c r="C340" i="8"/>
  <c r="B340" i="8"/>
  <c r="D340" i="8"/>
  <c r="E340" i="8" s="1"/>
  <c r="L390" i="14" l="1"/>
  <c r="N389" i="14"/>
  <c r="O389" i="14"/>
  <c r="A386" i="14"/>
  <c r="D385" i="14"/>
  <c r="E385" i="14" s="1"/>
  <c r="C385" i="14"/>
  <c r="C140" i="14"/>
  <c r="M352" i="14"/>
  <c r="P352" i="14"/>
  <c r="Q352" i="14"/>
  <c r="H352" i="14"/>
  <c r="B352" i="14"/>
  <c r="G352" i="14"/>
  <c r="F352" i="14"/>
  <c r="A342" i="12"/>
  <c r="G342" i="12" s="1"/>
  <c r="F341" i="12"/>
  <c r="C341" i="12"/>
  <c r="D341" i="12"/>
  <c r="E341" i="12" s="1"/>
  <c r="P342" i="12"/>
  <c r="J343" i="12"/>
  <c r="L343" i="12" s="1"/>
  <c r="M342" i="12"/>
  <c r="N342" i="12" s="1"/>
  <c r="K342" i="12"/>
  <c r="O342" i="12"/>
  <c r="B342" i="12"/>
  <c r="L342" i="8"/>
  <c r="T341" i="8"/>
  <c r="S341" i="8"/>
  <c r="R341" i="8"/>
  <c r="Q341" i="8"/>
  <c r="P341" i="8"/>
  <c r="O341" i="8"/>
  <c r="M341" i="8"/>
  <c r="N341" i="8"/>
  <c r="A342" i="8"/>
  <c r="G341" i="8"/>
  <c r="H341" i="8"/>
  <c r="F341" i="8"/>
  <c r="AG340" i="8" s="1"/>
  <c r="C341" i="8"/>
  <c r="D341" i="8"/>
  <c r="E341" i="8" s="1"/>
  <c r="B341" i="8"/>
  <c r="L391" i="14" l="1"/>
  <c r="N390" i="14"/>
  <c r="O390" i="14"/>
  <c r="A387" i="14"/>
  <c r="D386" i="14"/>
  <c r="E386" i="14" s="1"/>
  <c r="C386" i="14"/>
  <c r="E140" i="14"/>
  <c r="G140" i="14"/>
  <c r="M353" i="14"/>
  <c r="Q353" i="14"/>
  <c r="P353" i="14"/>
  <c r="G353" i="14"/>
  <c r="F353" i="14"/>
  <c r="B353" i="14"/>
  <c r="H353" i="14"/>
  <c r="A343" i="12"/>
  <c r="B343" i="12" s="1"/>
  <c r="F342" i="12"/>
  <c r="C342" i="12"/>
  <c r="D342" i="12"/>
  <c r="E342" i="12" s="1"/>
  <c r="O343" i="12"/>
  <c r="J344" i="12"/>
  <c r="L344" i="12" s="1"/>
  <c r="K343" i="12"/>
  <c r="P343" i="12"/>
  <c r="M343" i="12"/>
  <c r="N343" i="12" s="1"/>
  <c r="L343" i="8"/>
  <c r="T342" i="8"/>
  <c r="S342" i="8"/>
  <c r="R342" i="8"/>
  <c r="Q342" i="8"/>
  <c r="P342" i="8"/>
  <c r="O342" i="8"/>
  <c r="M342" i="8"/>
  <c r="N342" i="8"/>
  <c r="A343" i="8"/>
  <c r="G342" i="8"/>
  <c r="H342" i="8"/>
  <c r="F342" i="8"/>
  <c r="AG341" i="8" s="1"/>
  <c r="C342" i="8"/>
  <c r="D342" i="8"/>
  <c r="E342" i="8" s="1"/>
  <c r="B342" i="8"/>
  <c r="G343" i="12" l="1"/>
  <c r="L392" i="14"/>
  <c r="N391" i="14"/>
  <c r="O391" i="14"/>
  <c r="A388" i="14"/>
  <c r="D387" i="14"/>
  <c r="E387" i="14" s="1"/>
  <c r="C387" i="14"/>
  <c r="F140" i="14"/>
  <c r="B141" i="14" s="1"/>
  <c r="H140" i="14"/>
  <c r="M354" i="14"/>
  <c r="P354" i="14"/>
  <c r="Q354" i="14"/>
  <c r="G354" i="14"/>
  <c r="F354" i="14"/>
  <c r="B354" i="14"/>
  <c r="H354" i="14"/>
  <c r="A344" i="12"/>
  <c r="F343" i="12"/>
  <c r="C343" i="12"/>
  <c r="D343" i="12"/>
  <c r="E343" i="12" s="1"/>
  <c r="J345" i="12"/>
  <c r="L345" i="12" s="1"/>
  <c r="O344" i="12"/>
  <c r="P344" i="12"/>
  <c r="M344" i="12"/>
  <c r="N344" i="12" s="1"/>
  <c r="K344" i="12"/>
  <c r="G344" i="12"/>
  <c r="B344" i="12"/>
  <c r="L344" i="8"/>
  <c r="T343" i="8"/>
  <c r="S343" i="8"/>
  <c r="R343" i="8"/>
  <c r="Q343" i="8"/>
  <c r="P343" i="8"/>
  <c r="O343" i="8"/>
  <c r="M343" i="8"/>
  <c r="N343" i="8"/>
  <c r="A344" i="8"/>
  <c r="G343" i="8"/>
  <c r="H343" i="8"/>
  <c r="F343" i="8"/>
  <c r="AG342" i="8" s="1"/>
  <c r="C343" i="8"/>
  <c r="D343" i="8"/>
  <c r="E343" i="8" s="1"/>
  <c r="B343" i="8"/>
  <c r="L393" i="14" l="1"/>
  <c r="N392" i="14"/>
  <c r="O392" i="14"/>
  <c r="A389" i="14"/>
  <c r="D388" i="14"/>
  <c r="E388" i="14" s="1"/>
  <c r="C388" i="14"/>
  <c r="C141" i="14"/>
  <c r="Q355" i="14"/>
  <c r="M355" i="14"/>
  <c r="P355" i="14"/>
  <c r="H355" i="14"/>
  <c r="B355" i="14"/>
  <c r="G355" i="14"/>
  <c r="F355" i="14"/>
  <c r="A345" i="12"/>
  <c r="B345" i="12" s="1"/>
  <c r="F344" i="12"/>
  <c r="C344" i="12"/>
  <c r="D344" i="12"/>
  <c r="E344" i="12" s="1"/>
  <c r="M345" i="12"/>
  <c r="N345" i="12" s="1"/>
  <c r="J346" i="12"/>
  <c r="L346" i="12" s="1"/>
  <c r="O345" i="12"/>
  <c r="K345" i="12"/>
  <c r="P345" i="12"/>
  <c r="L345" i="8"/>
  <c r="T344" i="8"/>
  <c r="S344" i="8"/>
  <c r="Q344" i="8"/>
  <c r="R344" i="8"/>
  <c r="P344" i="8"/>
  <c r="O344" i="8"/>
  <c r="M344" i="8"/>
  <c r="N344" i="8"/>
  <c r="A345" i="8"/>
  <c r="H344" i="8"/>
  <c r="G344" i="8"/>
  <c r="F344" i="8"/>
  <c r="AG343" i="8" s="1"/>
  <c r="D344" i="8"/>
  <c r="E344" i="8" s="1"/>
  <c r="C344" i="8"/>
  <c r="B344" i="8"/>
  <c r="G345" i="12" l="1"/>
  <c r="L394" i="14"/>
  <c r="N393" i="14"/>
  <c r="O393" i="14"/>
  <c r="A390" i="14"/>
  <c r="D389" i="14"/>
  <c r="E389" i="14" s="1"/>
  <c r="C389" i="14"/>
  <c r="E141" i="14"/>
  <c r="G141" i="14"/>
  <c r="P356" i="14"/>
  <c r="M356" i="14"/>
  <c r="Q356" i="14"/>
  <c r="G356" i="14"/>
  <c r="F356" i="14"/>
  <c r="H356" i="14"/>
  <c r="B356" i="14"/>
  <c r="A346" i="12"/>
  <c r="B346" i="12" s="1"/>
  <c r="F345" i="12"/>
  <c r="C345" i="12"/>
  <c r="D345" i="12"/>
  <c r="E345" i="12" s="1"/>
  <c r="J347" i="12"/>
  <c r="L347" i="12" s="1"/>
  <c r="O346" i="12"/>
  <c r="M346" i="12"/>
  <c r="N346" i="12" s="1"/>
  <c r="K346" i="12"/>
  <c r="P346" i="12"/>
  <c r="L346" i="8"/>
  <c r="T345" i="8"/>
  <c r="S345" i="8"/>
  <c r="Q345" i="8"/>
  <c r="R345" i="8"/>
  <c r="O345" i="8"/>
  <c r="P345" i="8"/>
  <c r="M345" i="8"/>
  <c r="N345" i="8"/>
  <c r="A346" i="8"/>
  <c r="G345" i="8"/>
  <c r="H345" i="8"/>
  <c r="F345" i="8"/>
  <c r="AG344" i="8" s="1"/>
  <c r="D345" i="8"/>
  <c r="E345" i="8" s="1"/>
  <c r="B345" i="8"/>
  <c r="C345" i="8"/>
  <c r="G346" i="12" l="1"/>
  <c r="L395" i="14"/>
  <c r="N394" i="14"/>
  <c r="O394" i="14"/>
  <c r="A391" i="14"/>
  <c r="D390" i="14"/>
  <c r="E390" i="14" s="1"/>
  <c r="C390" i="14"/>
  <c r="H141" i="14"/>
  <c r="F141" i="14"/>
  <c r="B142" i="14" s="1"/>
  <c r="M357" i="14"/>
  <c r="Q357" i="14"/>
  <c r="P357" i="14"/>
  <c r="H357" i="14"/>
  <c r="G357" i="14"/>
  <c r="F357" i="14"/>
  <c r="B357" i="14"/>
  <c r="A347" i="12"/>
  <c r="F346" i="12"/>
  <c r="C346" i="12"/>
  <c r="D346" i="12"/>
  <c r="E346" i="12" s="1"/>
  <c r="J348" i="12"/>
  <c r="L348" i="12" s="1"/>
  <c r="K347" i="12"/>
  <c r="O347" i="12"/>
  <c r="P347" i="12"/>
  <c r="M347" i="12"/>
  <c r="N347" i="12" s="1"/>
  <c r="G347" i="12"/>
  <c r="B347" i="12"/>
  <c r="L347" i="8"/>
  <c r="T346" i="8"/>
  <c r="S346" i="8"/>
  <c r="R346" i="8"/>
  <c r="Q346" i="8"/>
  <c r="O346" i="8"/>
  <c r="P346" i="8"/>
  <c r="M346" i="8"/>
  <c r="N346" i="8"/>
  <c r="A347" i="8"/>
  <c r="G346" i="8"/>
  <c r="H346" i="8"/>
  <c r="F346" i="8"/>
  <c r="AG345" i="8" s="1"/>
  <c r="D346" i="8"/>
  <c r="E346" i="8" s="1"/>
  <c r="B346" i="8"/>
  <c r="C346" i="8"/>
  <c r="L396" i="14" l="1"/>
  <c r="N395" i="14"/>
  <c r="O395" i="14"/>
  <c r="A392" i="14"/>
  <c r="D391" i="14"/>
  <c r="E391" i="14" s="1"/>
  <c r="C391" i="14"/>
  <c r="C142" i="14"/>
  <c r="M358" i="14"/>
  <c r="Q358" i="14"/>
  <c r="P358" i="14"/>
  <c r="H358" i="14"/>
  <c r="B358" i="14"/>
  <c r="G358" i="14"/>
  <c r="F358" i="14"/>
  <c r="A348" i="12"/>
  <c r="G348" i="12" s="1"/>
  <c r="F347" i="12"/>
  <c r="C347" i="12"/>
  <c r="D347" i="12"/>
  <c r="E347" i="12" s="1"/>
  <c r="P348" i="12"/>
  <c r="K348" i="12"/>
  <c r="O348" i="12"/>
  <c r="M348" i="12"/>
  <c r="N348" i="12" s="1"/>
  <c r="J349" i="12"/>
  <c r="L349" i="12" s="1"/>
  <c r="L348" i="8"/>
  <c r="T347" i="8"/>
  <c r="S347" i="8"/>
  <c r="R347" i="8"/>
  <c r="Q347" i="8"/>
  <c r="P347" i="8"/>
  <c r="O347" i="8"/>
  <c r="M347" i="8"/>
  <c r="N347" i="8"/>
  <c r="A348" i="8"/>
  <c r="G347" i="8"/>
  <c r="H347" i="8"/>
  <c r="F347" i="8"/>
  <c r="AG346" i="8" s="1"/>
  <c r="D347" i="8"/>
  <c r="E347" i="8" s="1"/>
  <c r="B347" i="8"/>
  <c r="C347" i="8"/>
  <c r="B348" i="12" l="1"/>
  <c r="L397" i="14"/>
  <c r="N396" i="14"/>
  <c r="O396" i="14"/>
  <c r="A393" i="14"/>
  <c r="D392" i="14"/>
  <c r="E392" i="14" s="1"/>
  <c r="C392" i="14"/>
  <c r="E142" i="14"/>
  <c r="G142" i="14"/>
  <c r="M359" i="14"/>
  <c r="P359" i="14"/>
  <c r="Q359" i="14"/>
  <c r="G359" i="14"/>
  <c r="F359" i="14"/>
  <c r="B359" i="14"/>
  <c r="H359" i="14"/>
  <c r="A349" i="12"/>
  <c r="B349" i="12" s="1"/>
  <c r="F348" i="12"/>
  <c r="C348" i="12"/>
  <c r="D348" i="12"/>
  <c r="E348" i="12" s="1"/>
  <c r="O349" i="12"/>
  <c r="K349" i="12"/>
  <c r="P349" i="12"/>
  <c r="M349" i="12"/>
  <c r="N349" i="12" s="1"/>
  <c r="J350" i="12"/>
  <c r="L350" i="12" s="1"/>
  <c r="L349" i="8"/>
  <c r="T348" i="8"/>
  <c r="S348" i="8"/>
  <c r="R348" i="8"/>
  <c r="Q348" i="8"/>
  <c r="P348" i="8"/>
  <c r="O348" i="8"/>
  <c r="M348" i="8"/>
  <c r="N348" i="8"/>
  <c r="A349" i="8"/>
  <c r="H348" i="8"/>
  <c r="G348" i="8"/>
  <c r="F348" i="8"/>
  <c r="AG347" i="8" s="1"/>
  <c r="D348" i="8"/>
  <c r="E348" i="8" s="1"/>
  <c r="C348" i="8"/>
  <c r="B348" i="8"/>
  <c r="G349" i="12" l="1"/>
  <c r="L398" i="14"/>
  <c r="N397" i="14"/>
  <c r="O397" i="14"/>
  <c r="A394" i="14"/>
  <c r="D393" i="14"/>
  <c r="E393" i="14" s="1"/>
  <c r="C393" i="14"/>
  <c r="F142" i="14"/>
  <c r="B143" i="14" s="1"/>
  <c r="H142" i="14"/>
  <c r="M360" i="14"/>
  <c r="Q360" i="14"/>
  <c r="P360" i="14"/>
  <c r="B360" i="14"/>
  <c r="H360" i="14"/>
  <c r="G360" i="14"/>
  <c r="F360" i="14"/>
  <c r="A350" i="12"/>
  <c r="F349" i="12"/>
  <c r="C349" i="12"/>
  <c r="D349" i="12"/>
  <c r="E349" i="12" s="1"/>
  <c r="K350" i="12"/>
  <c r="P350" i="12"/>
  <c r="J351" i="12"/>
  <c r="L351" i="12" s="1"/>
  <c r="O350" i="12"/>
  <c r="M350" i="12"/>
  <c r="N350" i="12" s="1"/>
  <c r="G350" i="12"/>
  <c r="B350" i="12"/>
  <c r="L350" i="8"/>
  <c r="T349" i="8"/>
  <c r="S349" i="8"/>
  <c r="R349" i="8"/>
  <c r="Q349" i="8"/>
  <c r="P349" i="8"/>
  <c r="O349" i="8"/>
  <c r="M349" i="8"/>
  <c r="N349" i="8"/>
  <c r="A350" i="8"/>
  <c r="G349" i="8"/>
  <c r="H349" i="8"/>
  <c r="F349" i="8"/>
  <c r="AG348" i="8" s="1"/>
  <c r="D349" i="8"/>
  <c r="E349" i="8" s="1"/>
  <c r="C349" i="8"/>
  <c r="B349" i="8"/>
  <c r="L399" i="14" l="1"/>
  <c r="N398" i="14"/>
  <c r="O398" i="14"/>
  <c r="A395" i="14"/>
  <c r="D394" i="14"/>
  <c r="E394" i="14" s="1"/>
  <c r="C394" i="14"/>
  <c r="C143" i="14"/>
  <c r="Q361" i="14"/>
  <c r="P361" i="14"/>
  <c r="M361" i="14"/>
  <c r="H361" i="14"/>
  <c r="B361" i="14"/>
  <c r="G361" i="14"/>
  <c r="F361" i="14"/>
  <c r="A351" i="12"/>
  <c r="G351" i="12" s="1"/>
  <c r="F350" i="12"/>
  <c r="C350" i="12"/>
  <c r="D350" i="12"/>
  <c r="E350" i="12" s="1"/>
  <c r="M351" i="12"/>
  <c r="N351" i="12" s="1"/>
  <c r="K351" i="12"/>
  <c r="P351" i="12"/>
  <c r="O351" i="12"/>
  <c r="J352" i="12"/>
  <c r="L352" i="12" s="1"/>
  <c r="L351" i="8"/>
  <c r="T350" i="8"/>
  <c r="S350" i="8"/>
  <c r="R350" i="8"/>
  <c r="Q350" i="8"/>
  <c r="P350" i="8"/>
  <c r="O350" i="8"/>
  <c r="M350" i="8"/>
  <c r="N350" i="8"/>
  <c r="A351" i="8"/>
  <c r="G350" i="8"/>
  <c r="H350" i="8"/>
  <c r="C350" i="8"/>
  <c r="F350" i="8"/>
  <c r="AG349" i="8" s="1"/>
  <c r="D350" i="8"/>
  <c r="E350" i="8" s="1"/>
  <c r="B350" i="8"/>
  <c r="B351" i="12" l="1"/>
  <c r="L400" i="14"/>
  <c r="N399" i="14"/>
  <c r="O399" i="14"/>
  <c r="A396" i="14"/>
  <c r="D395" i="14"/>
  <c r="E395" i="14" s="1"/>
  <c r="C395" i="14"/>
  <c r="E143" i="14"/>
  <c r="G143" i="14"/>
  <c r="P362" i="14"/>
  <c r="M362" i="14"/>
  <c r="Q362" i="14"/>
  <c r="G362" i="14"/>
  <c r="F362" i="14"/>
  <c r="B362" i="14"/>
  <c r="H362" i="14"/>
  <c r="A352" i="12"/>
  <c r="B352" i="12" s="1"/>
  <c r="F351" i="12"/>
  <c r="C351" i="12"/>
  <c r="D351" i="12"/>
  <c r="E351" i="12" s="1"/>
  <c r="K352" i="12"/>
  <c r="P352" i="12"/>
  <c r="M352" i="12"/>
  <c r="N352" i="12" s="1"/>
  <c r="J353" i="12"/>
  <c r="L353" i="12" s="1"/>
  <c r="O352" i="12"/>
  <c r="L352" i="8"/>
  <c r="T351" i="8"/>
  <c r="R351" i="8"/>
  <c r="S351" i="8"/>
  <c r="Q351" i="8"/>
  <c r="P351" i="8"/>
  <c r="M351" i="8"/>
  <c r="O351" i="8"/>
  <c r="N351" i="8"/>
  <c r="A352" i="8"/>
  <c r="G351" i="8"/>
  <c r="H351" i="8"/>
  <c r="C351" i="8"/>
  <c r="F351" i="8"/>
  <c r="AG350" i="8" s="1"/>
  <c r="D351" i="8"/>
  <c r="E351" i="8" s="1"/>
  <c r="B351" i="8"/>
  <c r="G352" i="12" l="1"/>
  <c r="L401" i="14"/>
  <c r="N400" i="14"/>
  <c r="O400" i="14"/>
  <c r="A397" i="14"/>
  <c r="D396" i="14"/>
  <c r="E396" i="14" s="1"/>
  <c r="C396" i="14"/>
  <c r="H143" i="14"/>
  <c r="F143" i="14"/>
  <c r="B144" i="14" s="1"/>
  <c r="M363" i="14"/>
  <c r="Q363" i="14"/>
  <c r="P363" i="14"/>
  <c r="G363" i="14"/>
  <c r="F363" i="14"/>
  <c r="B363" i="14"/>
  <c r="H363" i="14"/>
  <c r="A353" i="12"/>
  <c r="F352" i="12"/>
  <c r="C352" i="12"/>
  <c r="D352" i="12"/>
  <c r="E352" i="12" s="1"/>
  <c r="J354" i="12"/>
  <c r="L354" i="12" s="1"/>
  <c r="K353" i="12"/>
  <c r="P353" i="12"/>
  <c r="O353" i="12"/>
  <c r="M353" i="12"/>
  <c r="N353" i="12" s="1"/>
  <c r="B353" i="12"/>
  <c r="G353" i="12"/>
  <c r="L353" i="8"/>
  <c r="T352" i="8"/>
  <c r="Q352" i="8"/>
  <c r="S352" i="8"/>
  <c r="R352" i="8"/>
  <c r="P352" i="8"/>
  <c r="M352" i="8"/>
  <c r="O352" i="8"/>
  <c r="N352" i="8"/>
  <c r="A353" i="8"/>
  <c r="H352" i="8"/>
  <c r="G352" i="8"/>
  <c r="F352" i="8"/>
  <c r="AG351" i="8" s="1"/>
  <c r="D352" i="8"/>
  <c r="E352" i="8" s="1"/>
  <c r="C352" i="8"/>
  <c r="B352" i="8"/>
  <c r="L402" i="14" l="1"/>
  <c r="N401" i="14"/>
  <c r="O401" i="14"/>
  <c r="A398" i="14"/>
  <c r="D397" i="14"/>
  <c r="E397" i="14" s="1"/>
  <c r="C397" i="14"/>
  <c r="C144" i="14"/>
  <c r="P364" i="14"/>
  <c r="M364" i="14"/>
  <c r="Q364" i="14"/>
  <c r="H364" i="14"/>
  <c r="B364" i="14"/>
  <c r="G364" i="14"/>
  <c r="F364" i="14"/>
  <c r="A354" i="12"/>
  <c r="B354" i="12" s="1"/>
  <c r="F353" i="12"/>
  <c r="C353" i="12"/>
  <c r="D353" i="12"/>
  <c r="E353" i="12" s="1"/>
  <c r="P354" i="12"/>
  <c r="J355" i="12"/>
  <c r="L355" i="12" s="1"/>
  <c r="K354" i="12"/>
  <c r="O354" i="12"/>
  <c r="M354" i="12"/>
  <c r="N354" i="12" s="1"/>
  <c r="G354" i="12"/>
  <c r="L354" i="8"/>
  <c r="T353" i="8"/>
  <c r="S353" i="8"/>
  <c r="Q353" i="8"/>
  <c r="R353" i="8"/>
  <c r="O353" i="8"/>
  <c r="P353" i="8"/>
  <c r="M353" i="8"/>
  <c r="N353" i="8"/>
  <c r="A354" i="8"/>
  <c r="G353" i="8"/>
  <c r="H353" i="8"/>
  <c r="F353" i="8"/>
  <c r="AG352" i="8" s="1"/>
  <c r="D353" i="8"/>
  <c r="E353" i="8" s="1"/>
  <c r="C353" i="8"/>
  <c r="B353" i="8"/>
  <c r="L403" i="14" l="1"/>
  <c r="N402" i="14"/>
  <c r="O402" i="14"/>
  <c r="A399" i="14"/>
  <c r="D398" i="14"/>
  <c r="E398" i="14" s="1"/>
  <c r="C398" i="14"/>
  <c r="E144" i="14"/>
  <c r="G144" i="14"/>
  <c r="Q365" i="14"/>
  <c r="P365" i="14"/>
  <c r="M365" i="14"/>
  <c r="G365" i="14"/>
  <c r="F365" i="14"/>
  <c r="H365" i="14"/>
  <c r="B365" i="14"/>
  <c r="A355" i="12"/>
  <c r="B355" i="12" s="1"/>
  <c r="F354" i="12"/>
  <c r="C354" i="12"/>
  <c r="D354" i="12"/>
  <c r="E354" i="12" s="1"/>
  <c r="O355" i="12"/>
  <c r="J356" i="12"/>
  <c r="L356" i="12" s="1"/>
  <c r="M355" i="12"/>
  <c r="N355" i="12" s="1"/>
  <c r="P355" i="12"/>
  <c r="K355" i="12"/>
  <c r="L355" i="8"/>
  <c r="T354" i="8"/>
  <c r="S354" i="8"/>
  <c r="R354" i="8"/>
  <c r="Q354" i="8"/>
  <c r="P354" i="8"/>
  <c r="O354" i="8"/>
  <c r="M354" i="8"/>
  <c r="N354" i="8"/>
  <c r="A355" i="8"/>
  <c r="G354" i="8"/>
  <c r="H354" i="8"/>
  <c r="F354" i="8"/>
  <c r="AG353" i="8" s="1"/>
  <c r="D354" i="8"/>
  <c r="E354" i="8" s="1"/>
  <c r="C354" i="8"/>
  <c r="B354" i="8"/>
  <c r="G355" i="12" l="1"/>
  <c r="L404" i="14"/>
  <c r="N403" i="14"/>
  <c r="O403" i="14"/>
  <c r="A400" i="14"/>
  <c r="D399" i="14"/>
  <c r="E399" i="14" s="1"/>
  <c r="C399" i="14"/>
  <c r="F144" i="14"/>
  <c r="B145" i="14" s="1"/>
  <c r="H144" i="14"/>
  <c r="M366" i="14"/>
  <c r="Q366" i="14"/>
  <c r="P366" i="14"/>
  <c r="H366" i="14"/>
  <c r="G366" i="14"/>
  <c r="F366" i="14"/>
  <c r="B366" i="14"/>
  <c r="A356" i="12"/>
  <c r="F355" i="12"/>
  <c r="C355" i="12"/>
  <c r="D355" i="12"/>
  <c r="E355" i="12" s="1"/>
  <c r="J357" i="12"/>
  <c r="L357" i="12" s="1"/>
  <c r="P356" i="12"/>
  <c r="M356" i="12"/>
  <c r="N356" i="12" s="1"/>
  <c r="K356" i="12"/>
  <c r="O356" i="12"/>
  <c r="G356" i="12"/>
  <c r="B356" i="12"/>
  <c r="L356" i="8"/>
  <c r="T355" i="8"/>
  <c r="S355" i="8"/>
  <c r="Q355" i="8"/>
  <c r="R355" i="8"/>
  <c r="P355" i="8"/>
  <c r="O355" i="8"/>
  <c r="M355" i="8"/>
  <c r="N355" i="8"/>
  <c r="A356" i="8"/>
  <c r="G355" i="8"/>
  <c r="H355" i="8"/>
  <c r="F355" i="8"/>
  <c r="AG354" i="8" s="1"/>
  <c r="B355" i="8"/>
  <c r="C355" i="8"/>
  <c r="D355" i="8"/>
  <c r="E355" i="8" s="1"/>
  <c r="L405" i="14" l="1"/>
  <c r="N404" i="14"/>
  <c r="O404" i="14"/>
  <c r="A401" i="14"/>
  <c r="D400" i="14"/>
  <c r="E400" i="14" s="1"/>
  <c r="C400" i="14"/>
  <c r="C145" i="14"/>
  <c r="Q367" i="14"/>
  <c r="M367" i="14"/>
  <c r="P367" i="14"/>
  <c r="H367" i="14"/>
  <c r="B367" i="14"/>
  <c r="G367" i="14"/>
  <c r="F367" i="14"/>
  <c r="A357" i="12"/>
  <c r="G357" i="12" s="1"/>
  <c r="F356" i="12"/>
  <c r="C356" i="12"/>
  <c r="D356" i="12"/>
  <c r="E356" i="12" s="1"/>
  <c r="M357" i="12"/>
  <c r="N357" i="12" s="1"/>
  <c r="J358" i="12"/>
  <c r="L358" i="12" s="1"/>
  <c r="K357" i="12"/>
  <c r="P357" i="12"/>
  <c r="O357" i="12"/>
  <c r="L357" i="8"/>
  <c r="T356" i="8"/>
  <c r="S356" i="8"/>
  <c r="R356" i="8"/>
  <c r="Q356" i="8"/>
  <c r="P356" i="8"/>
  <c r="O356" i="8"/>
  <c r="M356" i="8"/>
  <c r="N356" i="8"/>
  <c r="A357" i="8"/>
  <c r="G356" i="8"/>
  <c r="H356" i="8"/>
  <c r="F356" i="8"/>
  <c r="AG355" i="8" s="1"/>
  <c r="C356" i="8"/>
  <c r="D356" i="8"/>
  <c r="E356" i="8" s="1"/>
  <c r="B356" i="8"/>
  <c r="B357" i="12" l="1"/>
  <c r="L406" i="14"/>
  <c r="N405" i="14"/>
  <c r="O405" i="14"/>
  <c r="A402" i="14"/>
  <c r="D401" i="14"/>
  <c r="E401" i="14" s="1"/>
  <c r="C401" i="14"/>
  <c r="E145" i="14"/>
  <c r="G145" i="14"/>
  <c r="P368" i="14"/>
  <c r="M368" i="14"/>
  <c r="Q368" i="14"/>
  <c r="G368" i="14"/>
  <c r="F368" i="14"/>
  <c r="B368" i="14"/>
  <c r="H368" i="14"/>
  <c r="A358" i="12"/>
  <c r="B358" i="12" s="1"/>
  <c r="F357" i="12"/>
  <c r="C357" i="12"/>
  <c r="D357" i="12"/>
  <c r="E357" i="12" s="1"/>
  <c r="M358" i="12"/>
  <c r="N358" i="12" s="1"/>
  <c r="J359" i="12"/>
  <c r="L359" i="12" s="1"/>
  <c r="O358" i="12"/>
  <c r="P358" i="12"/>
  <c r="K358" i="12"/>
  <c r="L358" i="8"/>
  <c r="T357" i="8"/>
  <c r="S357" i="8"/>
  <c r="R357" i="8"/>
  <c r="Q357" i="8"/>
  <c r="P357" i="8"/>
  <c r="O357" i="8"/>
  <c r="M357" i="8"/>
  <c r="N357" i="8"/>
  <c r="A358" i="8"/>
  <c r="G357" i="8"/>
  <c r="H357" i="8"/>
  <c r="F357" i="8"/>
  <c r="AG356" i="8" s="1"/>
  <c r="D357" i="8"/>
  <c r="E357" i="8" s="1"/>
  <c r="C357" i="8"/>
  <c r="B357" i="8"/>
  <c r="G358" i="12" l="1"/>
  <c r="L407" i="14"/>
  <c r="N406" i="14"/>
  <c r="O406" i="14"/>
  <c r="A403" i="14"/>
  <c r="D402" i="14"/>
  <c r="E402" i="14" s="1"/>
  <c r="C402" i="14"/>
  <c r="H145" i="14"/>
  <c r="F145" i="14"/>
  <c r="B146" i="14" s="1"/>
  <c r="P369" i="14"/>
  <c r="M369" i="14"/>
  <c r="Q369" i="14"/>
  <c r="B369" i="14"/>
  <c r="H369" i="14"/>
  <c r="G369" i="14"/>
  <c r="F369" i="14"/>
  <c r="A359" i="12"/>
  <c r="F358" i="12"/>
  <c r="C358" i="12"/>
  <c r="D358" i="12"/>
  <c r="E358" i="12" s="1"/>
  <c r="J360" i="12"/>
  <c r="L360" i="12" s="1"/>
  <c r="K359" i="12"/>
  <c r="M359" i="12"/>
  <c r="N359" i="12" s="1"/>
  <c r="P359" i="12"/>
  <c r="O359" i="12"/>
  <c r="G359" i="12"/>
  <c r="B359" i="12"/>
  <c r="L359" i="8"/>
  <c r="T358" i="8"/>
  <c r="S358" i="8"/>
  <c r="R358" i="8"/>
  <c r="Q358" i="8"/>
  <c r="P358" i="8"/>
  <c r="O358" i="8"/>
  <c r="N358" i="8"/>
  <c r="M358" i="8"/>
  <c r="A359" i="8"/>
  <c r="G358" i="8"/>
  <c r="H358" i="8"/>
  <c r="F358" i="8"/>
  <c r="AG357" i="8" s="1"/>
  <c r="C358" i="8"/>
  <c r="D358" i="8"/>
  <c r="E358" i="8" s="1"/>
  <c r="B358" i="8"/>
  <c r="L408" i="14" l="1"/>
  <c r="N407" i="14"/>
  <c r="O407" i="14"/>
  <c r="A404" i="14"/>
  <c r="D403" i="14"/>
  <c r="E403" i="14" s="1"/>
  <c r="C403" i="14"/>
  <c r="C146" i="14"/>
  <c r="Q370" i="14"/>
  <c r="P370" i="14"/>
  <c r="M370" i="14"/>
  <c r="H370" i="14"/>
  <c r="B370" i="14"/>
  <c r="G370" i="14"/>
  <c r="F370" i="14"/>
  <c r="A360" i="12"/>
  <c r="G360" i="12" s="1"/>
  <c r="F359" i="12"/>
  <c r="C359" i="12"/>
  <c r="D359" i="12"/>
  <c r="E359" i="12" s="1"/>
  <c r="P360" i="12"/>
  <c r="M360" i="12"/>
  <c r="N360" i="12" s="1"/>
  <c r="K360" i="12"/>
  <c r="J361" i="12"/>
  <c r="L361" i="12" s="1"/>
  <c r="O360" i="12"/>
  <c r="B360" i="12"/>
  <c r="L360" i="8"/>
  <c r="T359" i="8"/>
  <c r="R359" i="8"/>
  <c r="S359" i="8"/>
  <c r="Q359" i="8"/>
  <c r="P359" i="8"/>
  <c r="M359" i="8"/>
  <c r="N359" i="8"/>
  <c r="O359" i="8"/>
  <c r="A360" i="8"/>
  <c r="H359" i="8"/>
  <c r="G359" i="8"/>
  <c r="F359" i="8"/>
  <c r="AG358" i="8" s="1"/>
  <c r="D359" i="8"/>
  <c r="E359" i="8" s="1"/>
  <c r="C359" i="8"/>
  <c r="B359" i="8"/>
  <c r="L409" i="14" l="1"/>
  <c r="N408" i="14"/>
  <c r="O408" i="14"/>
  <c r="A405" i="14"/>
  <c r="D404" i="14"/>
  <c r="E404" i="14" s="1"/>
  <c r="C404" i="14"/>
  <c r="E146" i="14"/>
  <c r="G146" i="14"/>
  <c r="Q371" i="14"/>
  <c r="P371" i="14"/>
  <c r="M371" i="14"/>
  <c r="G371" i="14"/>
  <c r="F371" i="14"/>
  <c r="B371" i="14"/>
  <c r="H371" i="14"/>
  <c r="A361" i="12"/>
  <c r="B361" i="12" s="1"/>
  <c r="F360" i="12"/>
  <c r="C360" i="12"/>
  <c r="D360" i="12"/>
  <c r="E360" i="12" s="1"/>
  <c r="O361" i="12"/>
  <c r="M361" i="12"/>
  <c r="N361" i="12" s="1"/>
  <c r="K361" i="12"/>
  <c r="P361" i="12"/>
  <c r="J362" i="12"/>
  <c r="L362" i="12" s="1"/>
  <c r="L361" i="8"/>
  <c r="T360" i="8"/>
  <c r="S360" i="8"/>
  <c r="Q360" i="8"/>
  <c r="R360" i="8"/>
  <c r="P360" i="8"/>
  <c r="M360" i="8"/>
  <c r="N360" i="8"/>
  <c r="O360" i="8"/>
  <c r="A361" i="8"/>
  <c r="G360" i="8"/>
  <c r="H360" i="8"/>
  <c r="F360" i="8"/>
  <c r="AG359" i="8" s="1"/>
  <c r="D360" i="8"/>
  <c r="E360" i="8" s="1"/>
  <c r="C360" i="8"/>
  <c r="B360" i="8"/>
  <c r="G361" i="12" l="1"/>
  <c r="L410" i="14"/>
  <c r="N409" i="14"/>
  <c r="O409" i="14"/>
  <c r="A406" i="14"/>
  <c r="D405" i="14"/>
  <c r="E405" i="14" s="1"/>
  <c r="C405" i="14"/>
  <c r="F146" i="14"/>
  <c r="B147" i="14" s="1"/>
  <c r="H146" i="14"/>
  <c r="M372" i="14"/>
  <c r="Q372" i="14"/>
  <c r="P372" i="14"/>
  <c r="G372" i="14"/>
  <c r="F372" i="14"/>
  <c r="B372" i="14"/>
  <c r="H372" i="14"/>
  <c r="A362" i="12"/>
  <c r="F361" i="12"/>
  <c r="C361" i="12"/>
  <c r="D361" i="12"/>
  <c r="E361" i="12" s="1"/>
  <c r="M362" i="12"/>
  <c r="N362" i="12" s="1"/>
  <c r="K362" i="12"/>
  <c r="J363" i="12"/>
  <c r="L363" i="12" s="1"/>
  <c r="O362" i="12"/>
  <c r="P362" i="12"/>
  <c r="G362" i="12"/>
  <c r="B362" i="12"/>
  <c r="L362" i="8"/>
  <c r="T361" i="8"/>
  <c r="S361" i="8"/>
  <c r="Q361" i="8"/>
  <c r="R361" i="8"/>
  <c r="P361" i="8"/>
  <c r="O361" i="8"/>
  <c r="M361" i="8"/>
  <c r="N361" i="8"/>
  <c r="A362" i="8"/>
  <c r="G361" i="8"/>
  <c r="H361" i="8"/>
  <c r="F361" i="8"/>
  <c r="AG360" i="8" s="1"/>
  <c r="D361" i="8"/>
  <c r="E361" i="8" s="1"/>
  <c r="B361" i="8"/>
  <c r="C361" i="8"/>
  <c r="L411" i="14" l="1"/>
  <c r="N410" i="14"/>
  <c r="O410" i="14"/>
  <c r="A407" i="14"/>
  <c r="D406" i="14"/>
  <c r="E406" i="14" s="1"/>
  <c r="C406" i="14"/>
  <c r="C147" i="14"/>
  <c r="Q373" i="14"/>
  <c r="M373" i="14"/>
  <c r="P373" i="14"/>
  <c r="H373" i="14"/>
  <c r="B373" i="14"/>
  <c r="G373" i="14"/>
  <c r="F373" i="14"/>
  <c r="A363" i="12"/>
  <c r="B363" i="12" s="1"/>
  <c r="F362" i="12"/>
  <c r="C362" i="12"/>
  <c r="D362" i="12"/>
  <c r="E362" i="12" s="1"/>
  <c r="M363" i="12"/>
  <c r="N363" i="12" s="1"/>
  <c r="K363" i="12"/>
  <c r="J364" i="12"/>
  <c r="L364" i="12" s="1"/>
  <c r="P363" i="12"/>
  <c r="O363" i="12"/>
  <c r="G363" i="12"/>
  <c r="L363" i="8"/>
  <c r="T362" i="8"/>
  <c r="S362" i="8"/>
  <c r="R362" i="8"/>
  <c r="Q362" i="8"/>
  <c r="P362" i="8"/>
  <c r="O362" i="8"/>
  <c r="M362" i="8"/>
  <c r="N362" i="8"/>
  <c r="A363" i="8"/>
  <c r="G362" i="8"/>
  <c r="F362" i="8"/>
  <c r="AG361" i="8" s="1"/>
  <c r="H362" i="8"/>
  <c r="D362" i="8"/>
  <c r="E362" i="8" s="1"/>
  <c r="B362" i="8"/>
  <c r="C362" i="8"/>
  <c r="L412" i="14" l="1"/>
  <c r="N411" i="14"/>
  <c r="O411" i="14"/>
  <c r="A408" i="14"/>
  <c r="D407" i="14"/>
  <c r="E407" i="14" s="1"/>
  <c r="C407" i="14"/>
  <c r="E147" i="14"/>
  <c r="G147" i="14"/>
  <c r="P374" i="14"/>
  <c r="M374" i="14"/>
  <c r="Q374" i="14"/>
  <c r="G374" i="14"/>
  <c r="F374" i="14"/>
  <c r="H374" i="14"/>
  <c r="B374" i="14"/>
  <c r="A364" i="12"/>
  <c r="B364" i="12" s="1"/>
  <c r="F363" i="12"/>
  <c r="C363" i="12"/>
  <c r="D363" i="12"/>
  <c r="E363" i="12" s="1"/>
  <c r="K364" i="12"/>
  <c r="P364" i="12"/>
  <c r="O364" i="12"/>
  <c r="J365" i="12"/>
  <c r="L365" i="12" s="1"/>
  <c r="M364" i="12"/>
  <c r="N364" i="12" s="1"/>
  <c r="L364" i="8"/>
  <c r="T363" i="8"/>
  <c r="S363" i="8"/>
  <c r="R363" i="8"/>
  <c r="P363" i="8"/>
  <c r="Q363" i="8"/>
  <c r="O363" i="8"/>
  <c r="M363" i="8"/>
  <c r="N363" i="8"/>
  <c r="A364" i="8"/>
  <c r="H363" i="8"/>
  <c r="G363" i="8"/>
  <c r="F363" i="8"/>
  <c r="AG362" i="8" s="1"/>
  <c r="D363" i="8"/>
  <c r="E363" i="8" s="1"/>
  <c r="C363" i="8"/>
  <c r="B363" i="8"/>
  <c r="G364" i="12" l="1"/>
  <c r="L413" i="14"/>
  <c r="N412" i="14"/>
  <c r="O412" i="14"/>
  <c r="A409" i="14"/>
  <c r="D408" i="14"/>
  <c r="E408" i="14" s="1"/>
  <c r="C408" i="14"/>
  <c r="H147" i="14"/>
  <c r="F147" i="14"/>
  <c r="B148" i="14" s="1"/>
  <c r="P375" i="14"/>
  <c r="Q375" i="14"/>
  <c r="M375" i="14"/>
  <c r="H375" i="14"/>
  <c r="G375" i="14"/>
  <c r="F375" i="14"/>
  <c r="B375" i="14"/>
  <c r="A365" i="12"/>
  <c r="F364" i="12"/>
  <c r="C364" i="12"/>
  <c r="D364" i="12"/>
  <c r="E364" i="12" s="1"/>
  <c r="J366" i="12"/>
  <c r="L366" i="12" s="1"/>
  <c r="K365" i="12"/>
  <c r="O365" i="12"/>
  <c r="M365" i="12"/>
  <c r="N365" i="12" s="1"/>
  <c r="P365" i="12"/>
  <c r="B365" i="12"/>
  <c r="G365" i="12"/>
  <c r="L365" i="8"/>
  <c r="T364" i="8"/>
  <c r="S364" i="8"/>
  <c r="R364" i="8"/>
  <c r="Q364" i="8"/>
  <c r="P364" i="8"/>
  <c r="O364" i="8"/>
  <c r="M364" i="8"/>
  <c r="N364" i="8"/>
  <c r="A365" i="8"/>
  <c r="G364" i="8"/>
  <c r="H364" i="8"/>
  <c r="F364" i="8"/>
  <c r="AG363" i="8" s="1"/>
  <c r="D364" i="8"/>
  <c r="E364" i="8" s="1"/>
  <c r="C364" i="8"/>
  <c r="B364" i="8"/>
  <c r="L414" i="14" l="1"/>
  <c r="N413" i="14"/>
  <c r="O413" i="14"/>
  <c r="A410" i="14"/>
  <c r="D409" i="14"/>
  <c r="E409" i="14" s="1"/>
  <c r="C409" i="14"/>
  <c r="C148" i="14"/>
  <c r="P376" i="14"/>
  <c r="Q376" i="14"/>
  <c r="M376" i="14"/>
  <c r="G376" i="14"/>
  <c r="H376" i="14"/>
  <c r="B376" i="14"/>
  <c r="F376" i="14"/>
  <c r="A366" i="12"/>
  <c r="G366" i="12" s="1"/>
  <c r="F365" i="12"/>
  <c r="C365" i="12"/>
  <c r="D365" i="12"/>
  <c r="E365" i="12" s="1"/>
  <c r="P366" i="12"/>
  <c r="O366" i="12"/>
  <c r="M366" i="12"/>
  <c r="N366" i="12" s="1"/>
  <c r="K366" i="12"/>
  <c r="J367" i="12"/>
  <c r="L367" i="12" s="1"/>
  <c r="L366" i="8"/>
  <c r="T365" i="8"/>
  <c r="S365" i="8"/>
  <c r="R365" i="8"/>
  <c r="Q365" i="8"/>
  <c r="P365" i="8"/>
  <c r="O365" i="8"/>
  <c r="M365" i="8"/>
  <c r="N365" i="8"/>
  <c r="A366" i="8"/>
  <c r="G365" i="8"/>
  <c r="H365" i="8"/>
  <c r="F365" i="8"/>
  <c r="AG364" i="8" s="1"/>
  <c r="C365" i="8"/>
  <c r="D365" i="8"/>
  <c r="E365" i="8" s="1"/>
  <c r="B365" i="8"/>
  <c r="B366" i="12" l="1"/>
  <c r="L415" i="14"/>
  <c r="N414" i="14"/>
  <c r="O414" i="14"/>
  <c r="A411" i="14"/>
  <c r="D410" i="14"/>
  <c r="E410" i="14" s="1"/>
  <c r="C410" i="14"/>
  <c r="E148" i="14"/>
  <c r="G148" i="14"/>
  <c r="P377" i="14"/>
  <c r="Q377" i="14"/>
  <c r="M377" i="14"/>
  <c r="F377" i="14"/>
  <c r="H377" i="14"/>
  <c r="G377" i="14"/>
  <c r="B377" i="14"/>
  <c r="A367" i="12"/>
  <c r="B367" i="12" s="1"/>
  <c r="F366" i="12"/>
  <c r="C366" i="12"/>
  <c r="D366" i="12"/>
  <c r="E366" i="12" s="1"/>
  <c r="J368" i="12"/>
  <c r="L368" i="12" s="1"/>
  <c r="K367" i="12"/>
  <c r="O367" i="12"/>
  <c r="M367" i="12"/>
  <c r="N367" i="12" s="1"/>
  <c r="P367" i="12"/>
  <c r="L367" i="8"/>
  <c r="T366" i="8"/>
  <c r="S366" i="8"/>
  <c r="R366" i="8"/>
  <c r="Q366" i="8"/>
  <c r="P366" i="8"/>
  <c r="O366" i="8"/>
  <c r="N366" i="8"/>
  <c r="M366" i="8"/>
  <c r="A367" i="8"/>
  <c r="G366" i="8"/>
  <c r="H366" i="8"/>
  <c r="F366" i="8"/>
  <c r="AG365" i="8" s="1"/>
  <c r="C366" i="8"/>
  <c r="D366" i="8"/>
  <c r="E366" i="8" s="1"/>
  <c r="B366" i="8"/>
  <c r="G367" i="12" l="1"/>
  <c r="L416" i="14"/>
  <c r="N415" i="14"/>
  <c r="O415" i="14"/>
  <c r="A412" i="14"/>
  <c r="D411" i="14"/>
  <c r="E411" i="14" s="1"/>
  <c r="C411" i="14"/>
  <c r="F148" i="14"/>
  <c r="B149" i="14" s="1"/>
  <c r="H148" i="14"/>
  <c r="M378" i="14"/>
  <c r="P378" i="14"/>
  <c r="Q378" i="14"/>
  <c r="G378" i="14"/>
  <c r="F378" i="14"/>
  <c r="B378" i="14"/>
  <c r="H378" i="14"/>
  <c r="A368" i="12"/>
  <c r="B368" i="12" s="1"/>
  <c r="F367" i="12"/>
  <c r="C367" i="12"/>
  <c r="D367" i="12"/>
  <c r="E367" i="12" s="1"/>
  <c r="P368" i="12"/>
  <c r="K368" i="12"/>
  <c r="J369" i="12"/>
  <c r="L369" i="12" s="1"/>
  <c r="M368" i="12"/>
  <c r="N368" i="12" s="1"/>
  <c r="O368" i="12"/>
  <c r="G368" i="12"/>
  <c r="L368" i="8"/>
  <c r="T367" i="8"/>
  <c r="S367" i="8"/>
  <c r="R367" i="8"/>
  <c r="Q367" i="8"/>
  <c r="P367" i="8"/>
  <c r="N367" i="8"/>
  <c r="O367" i="8"/>
  <c r="M367" i="8"/>
  <c r="A368" i="8"/>
  <c r="G367" i="8"/>
  <c r="H367" i="8"/>
  <c r="F367" i="8"/>
  <c r="AG366" i="8" s="1"/>
  <c r="C367" i="8"/>
  <c r="D367" i="8"/>
  <c r="E367" i="8" s="1"/>
  <c r="B367" i="8"/>
  <c r="L417" i="14" l="1"/>
  <c r="N416" i="14"/>
  <c r="O416" i="14"/>
  <c r="A413" i="14"/>
  <c r="D412" i="14"/>
  <c r="E412" i="14" s="1"/>
  <c r="C412" i="14"/>
  <c r="C149" i="14"/>
  <c r="M379" i="14"/>
  <c r="Q379" i="14"/>
  <c r="P379" i="14"/>
  <c r="G379" i="14"/>
  <c r="F379" i="14"/>
  <c r="H379" i="14"/>
  <c r="B379" i="14"/>
  <c r="A369" i="12"/>
  <c r="B369" i="12" s="1"/>
  <c r="F368" i="12"/>
  <c r="C368" i="12"/>
  <c r="D368" i="12"/>
  <c r="E368" i="12" s="1"/>
  <c r="O369" i="12"/>
  <c r="M369" i="12"/>
  <c r="N369" i="12" s="1"/>
  <c r="J370" i="12"/>
  <c r="L370" i="12" s="1"/>
  <c r="K369" i="12"/>
  <c r="P369" i="12"/>
  <c r="G369" i="12"/>
  <c r="L369" i="8"/>
  <c r="T368" i="8"/>
  <c r="S368" i="8"/>
  <c r="R368" i="8"/>
  <c r="Q368" i="8"/>
  <c r="P368" i="8"/>
  <c r="M368" i="8"/>
  <c r="N368" i="8"/>
  <c r="O368" i="8"/>
  <c r="A369" i="8"/>
  <c r="G368" i="8"/>
  <c r="H368" i="8"/>
  <c r="F368" i="8"/>
  <c r="AG367" i="8" s="1"/>
  <c r="D368" i="8"/>
  <c r="E368" i="8" s="1"/>
  <c r="C368" i="8"/>
  <c r="B368" i="8"/>
  <c r="L418" i="14" l="1"/>
  <c r="N417" i="14"/>
  <c r="O417" i="14"/>
  <c r="A414" i="14"/>
  <c r="D413" i="14"/>
  <c r="E413" i="14" s="1"/>
  <c r="C413" i="14"/>
  <c r="E149" i="14"/>
  <c r="G149" i="14"/>
  <c r="Q380" i="14"/>
  <c r="M380" i="14"/>
  <c r="P380" i="14"/>
  <c r="F380" i="14"/>
  <c r="H380" i="14"/>
  <c r="G380" i="14"/>
  <c r="B380" i="14"/>
  <c r="A370" i="12"/>
  <c r="B370" i="12" s="1"/>
  <c r="F369" i="12"/>
  <c r="C369" i="12"/>
  <c r="D369" i="12"/>
  <c r="E369" i="12" s="1"/>
  <c r="O370" i="12"/>
  <c r="K370" i="12"/>
  <c r="M370" i="12"/>
  <c r="N370" i="12" s="1"/>
  <c r="J371" i="12"/>
  <c r="L371" i="12" s="1"/>
  <c r="P370" i="12"/>
  <c r="L370" i="8"/>
  <c r="T369" i="8"/>
  <c r="S369" i="8"/>
  <c r="R369" i="8"/>
  <c r="Q369" i="8"/>
  <c r="O369" i="8"/>
  <c r="P369" i="8"/>
  <c r="M369" i="8"/>
  <c r="N369" i="8"/>
  <c r="A370" i="8"/>
  <c r="G369" i="8"/>
  <c r="H369" i="8"/>
  <c r="F369" i="8"/>
  <c r="AG368" i="8" s="1"/>
  <c r="D369" i="8"/>
  <c r="E369" i="8" s="1"/>
  <c r="B369" i="8"/>
  <c r="C369" i="8"/>
  <c r="G370" i="12" l="1"/>
  <c r="L419" i="14"/>
  <c r="N418" i="14"/>
  <c r="O418" i="14"/>
  <c r="A415" i="14"/>
  <c r="D414" i="14"/>
  <c r="E414" i="14" s="1"/>
  <c r="C414" i="14"/>
  <c r="H149" i="14"/>
  <c r="F149" i="14"/>
  <c r="B150" i="14" s="1"/>
  <c r="P381" i="14"/>
  <c r="M381" i="14"/>
  <c r="Q381" i="14"/>
  <c r="B381" i="14"/>
  <c r="G381" i="14"/>
  <c r="F381" i="14"/>
  <c r="H381" i="14"/>
  <c r="A371" i="12"/>
  <c r="F370" i="12"/>
  <c r="C370" i="12"/>
  <c r="D370" i="12"/>
  <c r="E370" i="12" s="1"/>
  <c r="M371" i="12"/>
  <c r="N371" i="12" s="1"/>
  <c r="J372" i="12"/>
  <c r="L372" i="12" s="1"/>
  <c r="K371" i="12"/>
  <c r="P371" i="12"/>
  <c r="O371" i="12"/>
  <c r="G371" i="12"/>
  <c r="B371" i="12"/>
  <c r="L371" i="8"/>
  <c r="T370" i="8"/>
  <c r="S370" i="8"/>
  <c r="R370" i="8"/>
  <c r="Q370" i="8"/>
  <c r="O370" i="8"/>
  <c r="P370" i="8"/>
  <c r="M370" i="8"/>
  <c r="N370" i="8"/>
  <c r="A371" i="8"/>
  <c r="G370" i="8"/>
  <c r="H370" i="8"/>
  <c r="F370" i="8"/>
  <c r="AG369" i="8" s="1"/>
  <c r="D370" i="8"/>
  <c r="E370" i="8" s="1"/>
  <c r="B370" i="8"/>
  <c r="C370" i="8"/>
  <c r="L420" i="14" l="1"/>
  <c r="N419" i="14"/>
  <c r="O419" i="14"/>
  <c r="A416" i="14"/>
  <c r="D415" i="14"/>
  <c r="E415" i="14" s="1"/>
  <c r="C415" i="14"/>
  <c r="C150" i="14"/>
  <c r="M382" i="14"/>
  <c r="P382" i="14"/>
  <c r="Q382" i="14"/>
  <c r="G382" i="14"/>
  <c r="B382" i="14"/>
  <c r="H382" i="14"/>
  <c r="F382" i="14"/>
  <c r="A372" i="12"/>
  <c r="B372" i="12" s="1"/>
  <c r="F371" i="12"/>
  <c r="C371" i="12"/>
  <c r="D371" i="12"/>
  <c r="E371" i="12" s="1"/>
  <c r="P372" i="12"/>
  <c r="O372" i="12"/>
  <c r="M372" i="12"/>
  <c r="N372" i="12" s="1"/>
  <c r="K372" i="12"/>
  <c r="J373" i="12"/>
  <c r="L373" i="12" s="1"/>
  <c r="G372" i="12"/>
  <c r="L372" i="8"/>
  <c r="T371" i="8"/>
  <c r="S371" i="8"/>
  <c r="R371" i="8"/>
  <c r="Q371" i="8"/>
  <c r="P371" i="8"/>
  <c r="O371" i="8"/>
  <c r="M371" i="8"/>
  <c r="N371" i="8"/>
  <c r="A372" i="8"/>
  <c r="G371" i="8"/>
  <c r="H371" i="8"/>
  <c r="F371" i="8"/>
  <c r="AG370" i="8" s="1"/>
  <c r="D371" i="8"/>
  <c r="E371" i="8" s="1"/>
  <c r="B371" i="8"/>
  <c r="C371" i="8"/>
  <c r="L421" i="14" l="1"/>
  <c r="N420" i="14"/>
  <c r="O420" i="14"/>
  <c r="A417" i="14"/>
  <c r="D416" i="14"/>
  <c r="E416" i="14" s="1"/>
  <c r="C416" i="14"/>
  <c r="E150" i="14"/>
  <c r="G150" i="14"/>
  <c r="M383" i="14"/>
  <c r="P383" i="14"/>
  <c r="Q383" i="14"/>
  <c r="H383" i="14"/>
  <c r="B383" i="14"/>
  <c r="F383" i="14"/>
  <c r="G383" i="14"/>
  <c r="A373" i="12"/>
  <c r="B373" i="12" s="1"/>
  <c r="F372" i="12"/>
  <c r="C372" i="12"/>
  <c r="D372" i="12"/>
  <c r="E372" i="12" s="1"/>
  <c r="J374" i="12"/>
  <c r="L374" i="12" s="1"/>
  <c r="K373" i="12"/>
  <c r="O373" i="12"/>
  <c r="P373" i="12"/>
  <c r="M373" i="12"/>
  <c r="N373" i="12" s="1"/>
  <c r="L373" i="8"/>
  <c r="T372" i="8"/>
  <c r="S372" i="8"/>
  <c r="R372" i="8"/>
  <c r="Q372" i="8"/>
  <c r="P372" i="8"/>
  <c r="O372" i="8"/>
  <c r="M372" i="8"/>
  <c r="N372" i="8"/>
  <c r="A373" i="8"/>
  <c r="G372" i="8"/>
  <c r="H372" i="8"/>
  <c r="F372" i="8"/>
  <c r="AG371" i="8" s="1"/>
  <c r="D372" i="8"/>
  <c r="E372" i="8" s="1"/>
  <c r="C372" i="8"/>
  <c r="B372" i="8"/>
  <c r="G373" i="12" l="1"/>
  <c r="L422" i="14"/>
  <c r="N421" i="14"/>
  <c r="O421" i="14"/>
  <c r="A418" i="14"/>
  <c r="D417" i="14"/>
  <c r="E417" i="14" s="1"/>
  <c r="C417" i="14"/>
  <c r="F150" i="14"/>
  <c r="B151" i="14" s="1"/>
  <c r="H150" i="14"/>
  <c r="M384" i="14"/>
  <c r="Q384" i="14"/>
  <c r="P384" i="14"/>
  <c r="G384" i="14"/>
  <c r="B384" i="14"/>
  <c r="H384" i="14"/>
  <c r="F384" i="14"/>
  <c r="A374" i="12"/>
  <c r="F373" i="12"/>
  <c r="C373" i="12"/>
  <c r="D373" i="12"/>
  <c r="E373" i="12" s="1"/>
  <c r="P374" i="12"/>
  <c r="M374" i="12"/>
  <c r="N374" i="12" s="1"/>
  <c r="K374" i="12"/>
  <c r="J375" i="12"/>
  <c r="L375" i="12" s="1"/>
  <c r="O374" i="12"/>
  <c r="G374" i="12"/>
  <c r="B374" i="12"/>
  <c r="L374" i="8"/>
  <c r="T373" i="8"/>
  <c r="S373" i="8"/>
  <c r="R373" i="8"/>
  <c r="Q373" i="8"/>
  <c r="P373" i="8"/>
  <c r="O373" i="8"/>
  <c r="M373" i="8"/>
  <c r="N373" i="8"/>
  <c r="A374" i="8"/>
  <c r="G373" i="8"/>
  <c r="H373" i="8"/>
  <c r="F373" i="8"/>
  <c r="AG372" i="8" s="1"/>
  <c r="D373" i="8"/>
  <c r="E373" i="8" s="1"/>
  <c r="B373" i="8"/>
  <c r="C373" i="8"/>
  <c r="L423" i="14" l="1"/>
  <c r="N422" i="14"/>
  <c r="O422" i="14"/>
  <c r="A419" i="14"/>
  <c r="D418" i="14"/>
  <c r="E418" i="14" s="1"/>
  <c r="C418" i="14"/>
  <c r="C151" i="14"/>
  <c r="M385" i="14"/>
  <c r="Q385" i="14"/>
  <c r="P385" i="14"/>
  <c r="G385" i="14"/>
  <c r="F385" i="14"/>
  <c r="B385" i="14"/>
  <c r="H385" i="14"/>
  <c r="A375" i="12"/>
  <c r="B375" i="12" s="1"/>
  <c r="F374" i="12"/>
  <c r="C374" i="12"/>
  <c r="D374" i="12"/>
  <c r="E374" i="12" s="1"/>
  <c r="O375" i="12"/>
  <c r="M375" i="12"/>
  <c r="N375" i="12" s="1"/>
  <c r="P375" i="12"/>
  <c r="J376" i="12"/>
  <c r="L376" i="12" s="1"/>
  <c r="K375" i="12"/>
  <c r="G375" i="12"/>
  <c r="L375" i="8"/>
  <c r="T374" i="8"/>
  <c r="S374" i="8"/>
  <c r="R374" i="8"/>
  <c r="Q374" i="8"/>
  <c r="P374" i="8"/>
  <c r="O374" i="8"/>
  <c r="N374" i="8"/>
  <c r="M374" i="8"/>
  <c r="A375" i="8"/>
  <c r="G374" i="8"/>
  <c r="H374" i="8"/>
  <c r="F374" i="8"/>
  <c r="AG373" i="8" s="1"/>
  <c r="C374" i="8"/>
  <c r="D374" i="8"/>
  <c r="E374" i="8" s="1"/>
  <c r="B374" i="8"/>
  <c r="L424" i="14" l="1"/>
  <c r="N423" i="14"/>
  <c r="O423" i="14"/>
  <c r="A420" i="14"/>
  <c r="D419" i="14"/>
  <c r="E419" i="14" s="1"/>
  <c r="C419" i="14"/>
  <c r="E151" i="14"/>
  <c r="G151" i="14"/>
  <c r="Q386" i="14"/>
  <c r="M386" i="14"/>
  <c r="P386" i="14"/>
  <c r="F386" i="14"/>
  <c r="H386" i="14"/>
  <c r="G386" i="14"/>
  <c r="B386" i="14"/>
  <c r="A376" i="12"/>
  <c r="B376" i="12" s="1"/>
  <c r="F375" i="12"/>
  <c r="C375" i="12"/>
  <c r="D375" i="12"/>
  <c r="E375" i="12" s="1"/>
  <c r="J377" i="12"/>
  <c r="L377" i="12" s="1"/>
  <c r="O376" i="12"/>
  <c r="K376" i="12"/>
  <c r="M376" i="12"/>
  <c r="N376" i="12" s="1"/>
  <c r="P376" i="12"/>
  <c r="L376" i="8"/>
  <c r="T375" i="8"/>
  <c r="R375" i="8"/>
  <c r="S375" i="8"/>
  <c r="Q375" i="8"/>
  <c r="P375" i="8"/>
  <c r="O375" i="8"/>
  <c r="N375" i="8"/>
  <c r="M375" i="8"/>
  <c r="A376" i="8"/>
  <c r="G375" i="8"/>
  <c r="H375" i="8"/>
  <c r="C375" i="8"/>
  <c r="D375" i="8"/>
  <c r="E375" i="8" s="1"/>
  <c r="F375" i="8"/>
  <c r="AG374" i="8" s="1"/>
  <c r="B375" i="8"/>
  <c r="G376" i="12" l="1"/>
  <c r="L425" i="14"/>
  <c r="N424" i="14"/>
  <c r="O424" i="14"/>
  <c r="A421" i="14"/>
  <c r="D420" i="14"/>
  <c r="E420" i="14" s="1"/>
  <c r="C420" i="14"/>
  <c r="F151" i="14"/>
  <c r="H151" i="14"/>
  <c r="P387" i="14"/>
  <c r="Q387" i="14"/>
  <c r="M387" i="14"/>
  <c r="G387" i="14"/>
  <c r="F387" i="14"/>
  <c r="B387" i="14"/>
  <c r="H387" i="14"/>
  <c r="A377" i="12"/>
  <c r="B377" i="12" s="1"/>
  <c r="F376" i="12"/>
  <c r="C376" i="12"/>
  <c r="D376" i="12"/>
  <c r="E376" i="12" s="1"/>
  <c r="M377" i="12"/>
  <c r="N377" i="12" s="1"/>
  <c r="J378" i="12"/>
  <c r="L378" i="12" s="1"/>
  <c r="K377" i="12"/>
  <c r="P377" i="12"/>
  <c r="O377" i="12"/>
  <c r="G377" i="12"/>
  <c r="L377" i="8"/>
  <c r="T376" i="8"/>
  <c r="Q376" i="8"/>
  <c r="R376" i="8"/>
  <c r="S376" i="8"/>
  <c r="P376" i="8"/>
  <c r="O376" i="8"/>
  <c r="N376" i="8"/>
  <c r="M376" i="8"/>
  <c r="A377" i="8"/>
  <c r="G376" i="8"/>
  <c r="F376" i="8"/>
  <c r="AG375" i="8" s="1"/>
  <c r="H376" i="8"/>
  <c r="D376" i="8"/>
  <c r="E376" i="8" s="1"/>
  <c r="C376" i="8"/>
  <c r="B376" i="8"/>
  <c r="L426" i="14" l="1"/>
  <c r="N425" i="14"/>
  <c r="O425" i="14"/>
  <c r="A422" i="14"/>
  <c r="D421" i="14"/>
  <c r="E421" i="14" s="1"/>
  <c r="C421" i="14"/>
  <c r="P388" i="14"/>
  <c r="M388" i="14"/>
  <c r="Q388" i="14"/>
  <c r="G388" i="14"/>
  <c r="F388" i="14"/>
  <c r="H388" i="14"/>
  <c r="B388" i="14"/>
  <c r="A378" i="12"/>
  <c r="G378" i="12" s="1"/>
  <c r="F377" i="12"/>
  <c r="C377" i="12"/>
  <c r="D377" i="12"/>
  <c r="E377" i="12" s="1"/>
  <c r="P378" i="12"/>
  <c r="M378" i="12"/>
  <c r="N378" i="12" s="1"/>
  <c r="O378" i="12"/>
  <c r="J379" i="12"/>
  <c r="L379" i="12" s="1"/>
  <c r="K378" i="12"/>
  <c r="B378" i="12"/>
  <c r="L378" i="8"/>
  <c r="T377" i="8"/>
  <c r="S377" i="8"/>
  <c r="Q377" i="8"/>
  <c r="R377" i="8"/>
  <c r="O377" i="8"/>
  <c r="P377" i="8"/>
  <c r="M377" i="8"/>
  <c r="N377" i="8"/>
  <c r="A378" i="8"/>
  <c r="G377" i="8"/>
  <c r="H377" i="8"/>
  <c r="F377" i="8"/>
  <c r="AG376" i="8" s="1"/>
  <c r="D377" i="8"/>
  <c r="E377" i="8" s="1"/>
  <c r="B377" i="8"/>
  <c r="C377" i="8"/>
  <c r="L427" i="14" l="1"/>
  <c r="N426" i="14"/>
  <c r="O426" i="14"/>
  <c r="A423" i="14"/>
  <c r="D422" i="14"/>
  <c r="E422" i="14" s="1"/>
  <c r="C422" i="14"/>
  <c r="Q389" i="14"/>
  <c r="P389" i="14"/>
  <c r="M389" i="14"/>
  <c r="F389" i="14"/>
  <c r="H389" i="14"/>
  <c r="G389" i="14"/>
  <c r="B389" i="14"/>
  <c r="A379" i="12"/>
  <c r="F378" i="12"/>
  <c r="C378" i="12"/>
  <c r="D378" i="12"/>
  <c r="E378" i="12" s="1"/>
  <c r="J380" i="12"/>
  <c r="L380" i="12" s="1"/>
  <c r="K379" i="12"/>
  <c r="O379" i="12"/>
  <c r="P379" i="12"/>
  <c r="M379" i="12"/>
  <c r="N379" i="12" s="1"/>
  <c r="B379" i="12"/>
  <c r="G379" i="12"/>
  <c r="L379" i="8"/>
  <c r="T378" i="8"/>
  <c r="S378" i="8"/>
  <c r="R378" i="8"/>
  <c r="Q378" i="8"/>
  <c r="O378" i="8"/>
  <c r="P378" i="8"/>
  <c r="M378" i="8"/>
  <c r="N378" i="8"/>
  <c r="A379" i="8"/>
  <c r="G378" i="8"/>
  <c r="H378" i="8"/>
  <c r="F378" i="8"/>
  <c r="AG377" i="8" s="1"/>
  <c r="D378" i="8"/>
  <c r="E378" i="8" s="1"/>
  <c r="C378" i="8"/>
  <c r="B378" i="8"/>
  <c r="L428" i="14" l="1"/>
  <c r="N427" i="14"/>
  <c r="O427" i="14"/>
  <c r="A424" i="14"/>
  <c r="D423" i="14"/>
  <c r="E423" i="14" s="1"/>
  <c r="C423" i="14"/>
  <c r="Q390" i="14"/>
  <c r="P390" i="14"/>
  <c r="M390" i="14"/>
  <c r="B390" i="14"/>
  <c r="G390" i="14"/>
  <c r="F390" i="14"/>
  <c r="H390" i="14"/>
  <c r="A380" i="12"/>
  <c r="G380" i="12" s="1"/>
  <c r="F379" i="12"/>
  <c r="C379" i="12"/>
  <c r="D379" i="12"/>
  <c r="E379" i="12" s="1"/>
  <c r="P380" i="12"/>
  <c r="J381" i="12"/>
  <c r="L381" i="12" s="1"/>
  <c r="M380" i="12"/>
  <c r="N380" i="12" s="1"/>
  <c r="K380" i="12"/>
  <c r="O380" i="12"/>
  <c r="B380" i="12"/>
  <c r="L380" i="8"/>
  <c r="T379" i="8"/>
  <c r="S379" i="8"/>
  <c r="R379" i="8"/>
  <c r="Q379" i="8"/>
  <c r="P379" i="8"/>
  <c r="O379" i="8"/>
  <c r="M379" i="8"/>
  <c r="N379" i="8"/>
  <c r="A380" i="8"/>
  <c r="G379" i="8"/>
  <c r="H379" i="8"/>
  <c r="C379" i="8"/>
  <c r="D379" i="8"/>
  <c r="E379" i="8" s="1"/>
  <c r="F379" i="8"/>
  <c r="AG378" i="8" s="1"/>
  <c r="B379" i="8"/>
  <c r="L429" i="14" l="1"/>
  <c r="N428" i="14"/>
  <c r="O428" i="14"/>
  <c r="A425" i="14"/>
  <c r="D424" i="14"/>
  <c r="E424" i="14" s="1"/>
  <c r="C424" i="14"/>
  <c r="M391" i="14"/>
  <c r="Q391" i="14"/>
  <c r="P391" i="14"/>
  <c r="H391" i="14"/>
  <c r="G391" i="14"/>
  <c r="B391" i="14"/>
  <c r="F391" i="14"/>
  <c r="A381" i="12"/>
  <c r="G381" i="12" s="1"/>
  <c r="F380" i="12"/>
  <c r="C380" i="12"/>
  <c r="D380" i="12"/>
  <c r="E380" i="12" s="1"/>
  <c r="O381" i="12"/>
  <c r="M381" i="12"/>
  <c r="N381" i="12" s="1"/>
  <c r="P381" i="12"/>
  <c r="K381" i="12"/>
  <c r="J382" i="12"/>
  <c r="L382" i="12" s="1"/>
  <c r="L381" i="8"/>
  <c r="T380" i="8"/>
  <c r="S380" i="8"/>
  <c r="R380" i="8"/>
  <c r="Q380" i="8"/>
  <c r="P380" i="8"/>
  <c r="O380" i="8"/>
  <c r="M380" i="8"/>
  <c r="N380" i="8"/>
  <c r="A381" i="8"/>
  <c r="G380" i="8"/>
  <c r="H380" i="8"/>
  <c r="F380" i="8"/>
  <c r="AG379" i="8" s="1"/>
  <c r="C380" i="8"/>
  <c r="D380" i="8"/>
  <c r="E380" i="8" s="1"/>
  <c r="B380" i="8"/>
  <c r="B381" i="12" l="1"/>
  <c r="L430" i="14"/>
  <c r="N429" i="14"/>
  <c r="O429" i="14"/>
  <c r="A426" i="14"/>
  <c r="D425" i="14"/>
  <c r="E425" i="14" s="1"/>
  <c r="C425" i="14"/>
  <c r="Q392" i="14"/>
  <c r="P392" i="14"/>
  <c r="M392" i="14"/>
  <c r="F392" i="14"/>
  <c r="B392" i="14"/>
  <c r="H392" i="14"/>
  <c r="G392" i="14"/>
  <c r="A382" i="12"/>
  <c r="G382" i="12" s="1"/>
  <c r="F381" i="12"/>
  <c r="C381" i="12"/>
  <c r="D381" i="12"/>
  <c r="E381" i="12" s="1"/>
  <c r="K382" i="12"/>
  <c r="J383" i="12"/>
  <c r="L383" i="12" s="1"/>
  <c r="O382" i="12"/>
  <c r="P382" i="12"/>
  <c r="M382" i="12"/>
  <c r="N382" i="12" s="1"/>
  <c r="L382" i="8"/>
  <c r="T381" i="8"/>
  <c r="S381" i="8"/>
  <c r="R381" i="8"/>
  <c r="Q381" i="8"/>
  <c r="P381" i="8"/>
  <c r="O381" i="8"/>
  <c r="M381" i="8"/>
  <c r="N381" i="8"/>
  <c r="A382" i="8"/>
  <c r="G381" i="8"/>
  <c r="H381" i="8"/>
  <c r="F381" i="8"/>
  <c r="AG380" i="8" s="1"/>
  <c r="D381" i="8"/>
  <c r="E381" i="8" s="1"/>
  <c r="C381" i="8"/>
  <c r="B381" i="8"/>
  <c r="B382" i="12" l="1"/>
  <c r="L431" i="14"/>
  <c r="N430" i="14"/>
  <c r="O430" i="14"/>
  <c r="A427" i="14"/>
  <c r="D426" i="14"/>
  <c r="E426" i="14" s="1"/>
  <c r="C426" i="14"/>
  <c r="P393" i="14"/>
  <c r="Q393" i="14"/>
  <c r="M393" i="14"/>
  <c r="B393" i="14"/>
  <c r="F393" i="14"/>
  <c r="H393" i="14"/>
  <c r="G393" i="14"/>
  <c r="A383" i="12"/>
  <c r="B383" i="12" s="1"/>
  <c r="F382" i="12"/>
  <c r="C382" i="12"/>
  <c r="D382" i="12"/>
  <c r="E382" i="12" s="1"/>
  <c r="M383" i="12"/>
  <c r="N383" i="12" s="1"/>
  <c r="J384" i="12"/>
  <c r="L384" i="12" s="1"/>
  <c r="K383" i="12"/>
  <c r="P383" i="12"/>
  <c r="O383" i="12"/>
  <c r="G383" i="12"/>
  <c r="L383" i="8"/>
  <c r="T382" i="8"/>
  <c r="S382" i="8"/>
  <c r="R382" i="8"/>
  <c r="Q382" i="8"/>
  <c r="P382" i="8"/>
  <c r="O382" i="8"/>
  <c r="N382" i="8"/>
  <c r="M382" i="8"/>
  <c r="A383" i="8"/>
  <c r="G382" i="8"/>
  <c r="H382" i="8"/>
  <c r="F382" i="8"/>
  <c r="AG381" i="8" s="1"/>
  <c r="C382" i="8"/>
  <c r="D382" i="8"/>
  <c r="E382" i="8" s="1"/>
  <c r="B382" i="8"/>
  <c r="L432" i="14" l="1"/>
  <c r="N431" i="14"/>
  <c r="O431" i="14"/>
  <c r="A428" i="14"/>
  <c r="D427" i="14"/>
  <c r="E427" i="14" s="1"/>
  <c r="C427" i="14"/>
  <c r="Q394" i="14"/>
  <c r="M394" i="14"/>
  <c r="P394" i="14"/>
  <c r="H394" i="14"/>
  <c r="B394" i="14"/>
  <c r="G394" i="14"/>
  <c r="F394" i="14"/>
  <c r="A384" i="12"/>
  <c r="B384" i="12" s="1"/>
  <c r="F383" i="12"/>
  <c r="C383" i="12"/>
  <c r="D383" i="12"/>
  <c r="E383" i="12" s="1"/>
  <c r="P384" i="12"/>
  <c r="O384" i="12"/>
  <c r="M384" i="12"/>
  <c r="N384" i="12" s="1"/>
  <c r="K384" i="12"/>
  <c r="J385" i="12"/>
  <c r="L385" i="12" s="1"/>
  <c r="L384" i="8"/>
  <c r="T383" i="8"/>
  <c r="R383" i="8"/>
  <c r="S383" i="8"/>
  <c r="Q383" i="8"/>
  <c r="P383" i="8"/>
  <c r="O383" i="8"/>
  <c r="N383" i="8"/>
  <c r="M383" i="8"/>
  <c r="A384" i="8"/>
  <c r="H383" i="8"/>
  <c r="G383" i="8"/>
  <c r="F383" i="8"/>
  <c r="AG382" i="8" s="1"/>
  <c r="C383" i="8"/>
  <c r="B383" i="8"/>
  <c r="D383" i="8"/>
  <c r="E383" i="8" s="1"/>
  <c r="L433" i="14" l="1"/>
  <c r="N432" i="14"/>
  <c r="O432" i="14"/>
  <c r="A429" i="14"/>
  <c r="D428" i="14"/>
  <c r="E428" i="14" s="1"/>
  <c r="C428" i="14"/>
  <c r="Q395" i="14"/>
  <c r="P395" i="14"/>
  <c r="M395" i="14"/>
  <c r="F395" i="14"/>
  <c r="H395" i="14"/>
  <c r="G395" i="14"/>
  <c r="B395" i="14"/>
  <c r="G384" i="12"/>
  <c r="A385" i="12"/>
  <c r="G385" i="12" s="1"/>
  <c r="F384" i="12"/>
  <c r="C384" i="12"/>
  <c r="D384" i="12"/>
  <c r="E384" i="12" s="1"/>
  <c r="J386" i="12"/>
  <c r="L386" i="12" s="1"/>
  <c r="K385" i="12"/>
  <c r="O385" i="12"/>
  <c r="M385" i="12"/>
  <c r="N385" i="12" s="1"/>
  <c r="P385" i="12"/>
  <c r="B385" i="12"/>
  <c r="L385" i="8"/>
  <c r="T384" i="8"/>
  <c r="S384" i="8"/>
  <c r="Q384" i="8"/>
  <c r="R384" i="8"/>
  <c r="P384" i="8"/>
  <c r="O384" i="8"/>
  <c r="N384" i="8"/>
  <c r="M384" i="8"/>
  <c r="A385" i="8"/>
  <c r="H384" i="8"/>
  <c r="G384" i="8"/>
  <c r="F384" i="8"/>
  <c r="AG383" i="8" s="1"/>
  <c r="D384" i="8"/>
  <c r="E384" i="8" s="1"/>
  <c r="C384" i="8"/>
  <c r="B384" i="8"/>
  <c r="L434" i="14" l="1"/>
  <c r="N433" i="14"/>
  <c r="O433" i="14"/>
  <c r="A430" i="14"/>
  <c r="D429" i="14"/>
  <c r="E429" i="14" s="1"/>
  <c r="C429" i="14"/>
  <c r="Q396" i="14"/>
  <c r="P396" i="14"/>
  <c r="M396" i="14"/>
  <c r="F396" i="14"/>
  <c r="H396" i="14"/>
  <c r="G396" i="14"/>
  <c r="B396" i="14"/>
  <c r="A386" i="12"/>
  <c r="F385" i="12"/>
  <c r="C385" i="12"/>
  <c r="D385" i="12"/>
  <c r="E385" i="12" s="1"/>
  <c r="P386" i="12"/>
  <c r="K386" i="12"/>
  <c r="J387" i="12"/>
  <c r="L387" i="12" s="1"/>
  <c r="M386" i="12"/>
  <c r="N386" i="12" s="1"/>
  <c r="O386" i="12"/>
  <c r="G386" i="12"/>
  <c r="B386" i="12"/>
  <c r="L386" i="8"/>
  <c r="T385" i="8"/>
  <c r="S385" i="8"/>
  <c r="Q385" i="8"/>
  <c r="R385" i="8"/>
  <c r="O385" i="8"/>
  <c r="P385" i="8"/>
  <c r="N385" i="8"/>
  <c r="M385" i="8"/>
  <c r="A386" i="8"/>
  <c r="G385" i="8"/>
  <c r="H385" i="8"/>
  <c r="F385" i="8"/>
  <c r="AG384" i="8" s="1"/>
  <c r="D385" i="8"/>
  <c r="E385" i="8" s="1"/>
  <c r="B385" i="8"/>
  <c r="C385" i="8"/>
  <c r="L435" i="14" l="1"/>
  <c r="N434" i="14"/>
  <c r="O434" i="14"/>
  <c r="A431" i="14"/>
  <c r="D430" i="14"/>
  <c r="E430" i="14" s="1"/>
  <c r="C430" i="14"/>
  <c r="M397" i="14"/>
  <c r="Q397" i="14"/>
  <c r="P397" i="14"/>
  <c r="H397" i="14"/>
  <c r="B397" i="14"/>
  <c r="G397" i="14"/>
  <c r="F397" i="14"/>
  <c r="A387" i="12"/>
  <c r="F386" i="12"/>
  <c r="C386" i="12"/>
  <c r="D386" i="12"/>
  <c r="E386" i="12" s="1"/>
  <c r="O387" i="12"/>
  <c r="M387" i="12"/>
  <c r="N387" i="12" s="1"/>
  <c r="P387" i="12"/>
  <c r="J388" i="12"/>
  <c r="L388" i="12" s="1"/>
  <c r="K387" i="12"/>
  <c r="B387" i="12"/>
  <c r="G387" i="12"/>
  <c r="L387" i="8"/>
  <c r="T386" i="8"/>
  <c r="S386" i="8"/>
  <c r="R386" i="8"/>
  <c r="Q386" i="8"/>
  <c r="P386" i="8"/>
  <c r="O386" i="8"/>
  <c r="M386" i="8"/>
  <c r="N386" i="8"/>
  <c r="A387" i="8"/>
  <c r="G386" i="8"/>
  <c r="H386" i="8"/>
  <c r="F386" i="8"/>
  <c r="AG385" i="8" s="1"/>
  <c r="D386" i="8"/>
  <c r="E386" i="8" s="1"/>
  <c r="B386" i="8"/>
  <c r="C386" i="8"/>
  <c r="L436" i="14" l="1"/>
  <c r="N435" i="14"/>
  <c r="O435" i="14"/>
  <c r="A432" i="14"/>
  <c r="D431" i="14"/>
  <c r="E431" i="14" s="1"/>
  <c r="C431" i="14"/>
  <c r="Q398" i="14"/>
  <c r="P398" i="14"/>
  <c r="M398" i="14"/>
  <c r="F398" i="14"/>
  <c r="H398" i="14"/>
  <c r="B398" i="14"/>
  <c r="G398" i="14"/>
  <c r="A388" i="12"/>
  <c r="F387" i="12"/>
  <c r="C387" i="12"/>
  <c r="D387" i="12"/>
  <c r="E387" i="12" s="1"/>
  <c r="O388" i="12"/>
  <c r="K388" i="12"/>
  <c r="J389" i="12"/>
  <c r="L389" i="12" s="1"/>
  <c r="P388" i="12"/>
  <c r="M388" i="12"/>
  <c r="N388" i="12" s="1"/>
  <c r="B388" i="12"/>
  <c r="G388" i="12"/>
  <c r="L388" i="8"/>
  <c r="T387" i="8"/>
  <c r="S387" i="8"/>
  <c r="Q387" i="8"/>
  <c r="R387" i="8"/>
  <c r="P387" i="8"/>
  <c r="O387" i="8"/>
  <c r="M387" i="8"/>
  <c r="N387" i="8"/>
  <c r="A388" i="8"/>
  <c r="G387" i="8"/>
  <c r="H387" i="8"/>
  <c r="F387" i="8"/>
  <c r="AG386" i="8" s="1"/>
  <c r="D387" i="8"/>
  <c r="E387" i="8" s="1"/>
  <c r="B387" i="8"/>
  <c r="C387" i="8"/>
  <c r="L437" i="14" l="1"/>
  <c r="N436" i="14"/>
  <c r="O436" i="14"/>
  <c r="A433" i="14"/>
  <c r="D432" i="14"/>
  <c r="E432" i="14" s="1"/>
  <c r="C432" i="14"/>
  <c r="P399" i="14"/>
  <c r="Q399" i="14"/>
  <c r="M399" i="14"/>
  <c r="H399" i="14"/>
  <c r="B399" i="14"/>
  <c r="F399" i="14"/>
  <c r="G399" i="14"/>
  <c r="A389" i="12"/>
  <c r="F388" i="12"/>
  <c r="C388" i="12"/>
  <c r="D388" i="12"/>
  <c r="E388" i="12" s="1"/>
  <c r="M389" i="12"/>
  <c r="N389" i="12" s="1"/>
  <c r="J390" i="12"/>
  <c r="L390" i="12" s="1"/>
  <c r="K389" i="12"/>
  <c r="P389" i="12"/>
  <c r="O389" i="12"/>
  <c r="G389" i="12"/>
  <c r="B389" i="12"/>
  <c r="L389" i="8"/>
  <c r="T388" i="8"/>
  <c r="S388" i="8"/>
  <c r="R388" i="8"/>
  <c r="Q388" i="8"/>
  <c r="P388" i="8"/>
  <c r="O388" i="8"/>
  <c r="M388" i="8"/>
  <c r="N388" i="8"/>
  <c r="A389" i="8"/>
  <c r="G388" i="8"/>
  <c r="H388" i="8"/>
  <c r="F388" i="8"/>
  <c r="AG387" i="8" s="1"/>
  <c r="D388" i="8"/>
  <c r="E388" i="8" s="1"/>
  <c r="C388" i="8"/>
  <c r="B388" i="8"/>
  <c r="L438" i="14" l="1"/>
  <c r="N437" i="14"/>
  <c r="O437" i="14"/>
  <c r="A434" i="14"/>
  <c r="D433" i="14"/>
  <c r="E433" i="14" s="1"/>
  <c r="C433" i="14"/>
  <c r="P400" i="14"/>
  <c r="M400" i="14"/>
  <c r="Q400" i="14"/>
  <c r="H400" i="14"/>
  <c r="B400" i="14"/>
  <c r="G400" i="14"/>
  <c r="F400" i="14"/>
  <c r="A390" i="12"/>
  <c r="B390" i="12" s="1"/>
  <c r="F389" i="12"/>
  <c r="C389" i="12"/>
  <c r="D389" i="12"/>
  <c r="E389" i="12" s="1"/>
  <c r="P390" i="12"/>
  <c r="O390" i="12"/>
  <c r="M390" i="12"/>
  <c r="N390" i="12" s="1"/>
  <c r="K390" i="12"/>
  <c r="J391" i="12"/>
  <c r="L391" i="12" s="1"/>
  <c r="G390" i="12"/>
  <c r="L390" i="8"/>
  <c r="T389" i="8"/>
  <c r="S389" i="8"/>
  <c r="R389" i="8"/>
  <c r="Q389" i="8"/>
  <c r="P389" i="8"/>
  <c r="O389" i="8"/>
  <c r="M389" i="8"/>
  <c r="N389" i="8"/>
  <c r="A390" i="8"/>
  <c r="G389" i="8"/>
  <c r="H389" i="8"/>
  <c r="F389" i="8"/>
  <c r="AG388" i="8" s="1"/>
  <c r="D389" i="8"/>
  <c r="E389" i="8" s="1"/>
  <c r="C389" i="8"/>
  <c r="B389" i="8"/>
  <c r="L439" i="14" l="1"/>
  <c r="N438" i="14"/>
  <c r="O438" i="14"/>
  <c r="A435" i="14"/>
  <c r="D434" i="14"/>
  <c r="E434" i="14" s="1"/>
  <c r="C434" i="14"/>
  <c r="P401" i="14"/>
  <c r="Q401" i="14"/>
  <c r="M401" i="14"/>
  <c r="F401" i="14"/>
  <c r="B401" i="14"/>
  <c r="H401" i="14"/>
  <c r="G401" i="14"/>
  <c r="A391" i="12"/>
  <c r="B391" i="12" s="1"/>
  <c r="F390" i="12"/>
  <c r="C390" i="12"/>
  <c r="D390" i="12"/>
  <c r="E390" i="12" s="1"/>
  <c r="J392" i="12"/>
  <c r="L392" i="12" s="1"/>
  <c r="K391" i="12"/>
  <c r="O391" i="12"/>
  <c r="P391" i="12"/>
  <c r="M391" i="12"/>
  <c r="N391" i="12" s="1"/>
  <c r="L391" i="8"/>
  <c r="T390" i="8"/>
  <c r="R390" i="8"/>
  <c r="S390" i="8"/>
  <c r="Q390" i="8"/>
  <c r="P390" i="8"/>
  <c r="O390" i="8"/>
  <c r="N390" i="8"/>
  <c r="M390" i="8"/>
  <c r="A391" i="8"/>
  <c r="H390" i="8"/>
  <c r="G390" i="8"/>
  <c r="F390" i="8"/>
  <c r="AG389" i="8" s="1"/>
  <c r="C390" i="8"/>
  <c r="D390" i="8"/>
  <c r="E390" i="8" s="1"/>
  <c r="B390" i="8"/>
  <c r="G391" i="12" l="1"/>
  <c r="L440" i="14"/>
  <c r="N439" i="14"/>
  <c r="O439" i="14"/>
  <c r="A436" i="14"/>
  <c r="D435" i="14"/>
  <c r="E435" i="14" s="1"/>
  <c r="C435" i="14"/>
  <c r="P402" i="14"/>
  <c r="M402" i="14"/>
  <c r="Q402" i="14"/>
  <c r="B402" i="14"/>
  <c r="F402" i="14"/>
  <c r="H402" i="14"/>
  <c r="G402" i="14"/>
  <c r="A392" i="12"/>
  <c r="G392" i="12" s="1"/>
  <c r="F391" i="12"/>
  <c r="C391" i="12"/>
  <c r="D391" i="12"/>
  <c r="E391" i="12" s="1"/>
  <c r="P392" i="12"/>
  <c r="M392" i="12"/>
  <c r="N392" i="12" s="1"/>
  <c r="K392" i="12"/>
  <c r="J393" i="12"/>
  <c r="L393" i="12" s="1"/>
  <c r="O392" i="12"/>
  <c r="B392" i="12"/>
  <c r="L392" i="8"/>
  <c r="T391" i="8"/>
  <c r="S391" i="8"/>
  <c r="R391" i="8"/>
  <c r="Q391" i="8"/>
  <c r="P391" i="8"/>
  <c r="N391" i="8"/>
  <c r="O391" i="8"/>
  <c r="M391" i="8"/>
  <c r="A392" i="8"/>
  <c r="G391" i="8"/>
  <c r="H391" i="8"/>
  <c r="F391" i="8"/>
  <c r="AG390" i="8" s="1"/>
  <c r="C391" i="8"/>
  <c r="D391" i="8"/>
  <c r="E391" i="8" s="1"/>
  <c r="B391" i="8"/>
  <c r="L441" i="14" l="1"/>
  <c r="N440" i="14"/>
  <c r="O440" i="14"/>
  <c r="A437" i="14"/>
  <c r="D436" i="14"/>
  <c r="E436" i="14" s="1"/>
  <c r="C436" i="14"/>
  <c r="M403" i="14"/>
  <c r="P403" i="14"/>
  <c r="Q403" i="14"/>
  <c r="H403" i="14"/>
  <c r="B403" i="14"/>
  <c r="G403" i="14"/>
  <c r="F403" i="14"/>
  <c r="A393" i="12"/>
  <c r="G393" i="12" s="1"/>
  <c r="F392" i="12"/>
  <c r="C392" i="12"/>
  <c r="D392" i="12"/>
  <c r="E392" i="12" s="1"/>
  <c r="O393" i="12"/>
  <c r="M393" i="12"/>
  <c r="N393" i="12" s="1"/>
  <c r="P393" i="12"/>
  <c r="J394" i="12"/>
  <c r="L394" i="12" s="1"/>
  <c r="K393" i="12"/>
  <c r="B393" i="12"/>
  <c r="L393" i="8"/>
  <c r="T392" i="8"/>
  <c r="S392" i="8"/>
  <c r="Q392" i="8"/>
  <c r="R392" i="8"/>
  <c r="P392" i="8"/>
  <c r="N392" i="8"/>
  <c r="O392" i="8"/>
  <c r="M392" i="8"/>
  <c r="A393" i="8"/>
  <c r="H392" i="8"/>
  <c r="F392" i="8"/>
  <c r="AG391" i="8" s="1"/>
  <c r="G392" i="8"/>
  <c r="D392" i="8"/>
  <c r="E392" i="8" s="1"/>
  <c r="C392" i="8"/>
  <c r="B392" i="8"/>
  <c r="L442" i="14" l="1"/>
  <c r="N441" i="14"/>
  <c r="O441" i="14"/>
  <c r="A438" i="14"/>
  <c r="D437" i="14"/>
  <c r="E437" i="14" s="1"/>
  <c r="C437" i="14"/>
  <c r="Q404" i="14"/>
  <c r="P404" i="14"/>
  <c r="M404" i="14"/>
  <c r="F404" i="14"/>
  <c r="H404" i="14"/>
  <c r="G404" i="14"/>
  <c r="B404" i="14"/>
  <c r="A394" i="12"/>
  <c r="F393" i="12"/>
  <c r="C393" i="12"/>
  <c r="D393" i="12"/>
  <c r="E393" i="12" s="1"/>
  <c r="J395" i="12"/>
  <c r="L395" i="12" s="1"/>
  <c r="O394" i="12"/>
  <c r="K394" i="12"/>
  <c r="M394" i="12"/>
  <c r="N394" i="12" s="1"/>
  <c r="P394" i="12"/>
  <c r="B394" i="12"/>
  <c r="G394" i="12"/>
  <c r="L394" i="8"/>
  <c r="T393" i="8"/>
  <c r="S393" i="8"/>
  <c r="Q393" i="8"/>
  <c r="R393" i="8"/>
  <c r="P393" i="8"/>
  <c r="O393" i="8"/>
  <c r="N393" i="8"/>
  <c r="M393" i="8"/>
  <c r="A394" i="8"/>
  <c r="G393" i="8"/>
  <c r="H393" i="8"/>
  <c r="F393" i="8"/>
  <c r="AG392" i="8" s="1"/>
  <c r="D393" i="8"/>
  <c r="E393" i="8" s="1"/>
  <c r="C393" i="8"/>
  <c r="B393" i="8"/>
  <c r="L443" i="14" l="1"/>
  <c r="N442" i="14"/>
  <c r="O442" i="14"/>
  <c r="A439" i="14"/>
  <c r="D438" i="14"/>
  <c r="E438" i="14" s="1"/>
  <c r="C438" i="14"/>
  <c r="P405" i="14"/>
  <c r="Q405" i="14"/>
  <c r="M405" i="14"/>
  <c r="F405" i="14"/>
  <c r="H405" i="14"/>
  <c r="G405" i="14"/>
  <c r="B405" i="14"/>
  <c r="A395" i="12"/>
  <c r="G395" i="12" s="1"/>
  <c r="F394" i="12"/>
  <c r="C394" i="12"/>
  <c r="D394" i="12"/>
  <c r="E394" i="12" s="1"/>
  <c r="J396" i="12"/>
  <c r="L396" i="12" s="1"/>
  <c r="K395" i="12"/>
  <c r="O395" i="12"/>
  <c r="P395" i="12"/>
  <c r="M395" i="12"/>
  <c r="N395" i="12" s="1"/>
  <c r="B395" i="12"/>
  <c r="L395" i="8"/>
  <c r="T394" i="8"/>
  <c r="S394" i="8"/>
  <c r="R394" i="8"/>
  <c r="Q394" i="8"/>
  <c r="P394" i="8"/>
  <c r="O394" i="8"/>
  <c r="M394" i="8"/>
  <c r="N394" i="8"/>
  <c r="A395" i="8"/>
  <c r="G394" i="8"/>
  <c r="H394" i="8"/>
  <c r="F394" i="8"/>
  <c r="AG393" i="8" s="1"/>
  <c r="D394" i="8"/>
  <c r="E394" i="8" s="1"/>
  <c r="C394" i="8"/>
  <c r="B394" i="8"/>
  <c r="L444" i="14" l="1"/>
  <c r="N443" i="14"/>
  <c r="O443" i="14"/>
  <c r="A440" i="14"/>
  <c r="D439" i="14"/>
  <c r="E439" i="14" s="1"/>
  <c r="C439" i="14"/>
  <c r="Q406" i="14"/>
  <c r="M406" i="14"/>
  <c r="P406" i="14"/>
  <c r="H406" i="14"/>
  <c r="B406" i="14"/>
  <c r="G406" i="14"/>
  <c r="F406" i="14"/>
  <c r="A396" i="12"/>
  <c r="F395" i="12"/>
  <c r="C395" i="12"/>
  <c r="D395" i="12"/>
  <c r="E395" i="12" s="1"/>
  <c r="P396" i="12"/>
  <c r="O396" i="12"/>
  <c r="K396" i="12"/>
  <c r="J397" i="12"/>
  <c r="L397" i="12" s="1"/>
  <c r="M396" i="12"/>
  <c r="N396" i="12" s="1"/>
  <c r="B396" i="12"/>
  <c r="G396" i="12"/>
  <c r="L396" i="8"/>
  <c r="T395" i="8"/>
  <c r="S395" i="8"/>
  <c r="R395" i="8"/>
  <c r="P395" i="8"/>
  <c r="Q395" i="8"/>
  <c r="O395" i="8"/>
  <c r="M395" i="8"/>
  <c r="N395" i="8"/>
  <c r="A396" i="8"/>
  <c r="H395" i="8"/>
  <c r="G395" i="8"/>
  <c r="F395" i="8"/>
  <c r="AG394" i="8" s="1"/>
  <c r="D395" i="8"/>
  <c r="E395" i="8" s="1"/>
  <c r="C395" i="8"/>
  <c r="B395" i="8"/>
  <c r="L445" i="14" l="1"/>
  <c r="N444" i="14"/>
  <c r="O444" i="14"/>
  <c r="A441" i="14"/>
  <c r="D440" i="14"/>
  <c r="E440" i="14" s="1"/>
  <c r="C440" i="14"/>
  <c r="Q407" i="14"/>
  <c r="M407" i="14"/>
  <c r="P407" i="14"/>
  <c r="F407" i="14"/>
  <c r="H407" i="14"/>
  <c r="B407" i="14"/>
  <c r="G407" i="14"/>
  <c r="A397" i="12"/>
  <c r="F396" i="12"/>
  <c r="C396" i="12"/>
  <c r="D396" i="12"/>
  <c r="E396" i="12" s="1"/>
  <c r="O397" i="12"/>
  <c r="P397" i="12"/>
  <c r="K397" i="12"/>
  <c r="M397" i="12"/>
  <c r="N397" i="12" s="1"/>
  <c r="J398" i="12"/>
  <c r="L398" i="12" s="1"/>
  <c r="B397" i="12"/>
  <c r="G397" i="12"/>
  <c r="L397" i="8"/>
  <c r="T396" i="8"/>
  <c r="S396" i="8"/>
  <c r="R396" i="8"/>
  <c r="Q396" i="8"/>
  <c r="P396" i="8"/>
  <c r="O396" i="8"/>
  <c r="M396" i="8"/>
  <c r="N396" i="8"/>
  <c r="A397" i="8"/>
  <c r="G396" i="8"/>
  <c r="H396" i="8"/>
  <c r="F396" i="8"/>
  <c r="AG395" i="8" s="1"/>
  <c r="D396" i="8"/>
  <c r="E396" i="8" s="1"/>
  <c r="C396" i="8"/>
  <c r="B396" i="8"/>
  <c r="L446" i="14" l="1"/>
  <c r="N445" i="14"/>
  <c r="O445" i="14"/>
  <c r="A442" i="14"/>
  <c r="D441" i="14"/>
  <c r="E441" i="14" s="1"/>
  <c r="C441" i="14"/>
  <c r="Q408" i="14"/>
  <c r="P408" i="14"/>
  <c r="M408" i="14"/>
  <c r="H408" i="14"/>
  <c r="B408" i="14"/>
  <c r="F408" i="14"/>
  <c r="G408" i="14"/>
  <c r="A398" i="12"/>
  <c r="F397" i="12"/>
  <c r="C397" i="12"/>
  <c r="D397" i="12"/>
  <c r="E397" i="12" s="1"/>
  <c r="O398" i="12"/>
  <c r="K398" i="12"/>
  <c r="P398" i="12"/>
  <c r="J399" i="12"/>
  <c r="L399" i="12" s="1"/>
  <c r="M398" i="12"/>
  <c r="N398" i="12" s="1"/>
  <c r="G398" i="12"/>
  <c r="B398" i="12"/>
  <c r="L398" i="8"/>
  <c r="T397" i="8"/>
  <c r="S397" i="8"/>
  <c r="Q397" i="8"/>
  <c r="R397" i="8"/>
  <c r="P397" i="8"/>
  <c r="O397" i="8"/>
  <c r="M397" i="8"/>
  <c r="N397" i="8"/>
  <c r="A398" i="8"/>
  <c r="G397" i="8"/>
  <c r="H397" i="8"/>
  <c r="F397" i="8"/>
  <c r="AG396" i="8" s="1"/>
  <c r="D397" i="8"/>
  <c r="E397" i="8" s="1"/>
  <c r="B397" i="8"/>
  <c r="C397" i="8"/>
  <c r="L447" i="14" l="1"/>
  <c r="N446" i="14"/>
  <c r="O446" i="14"/>
  <c r="A443" i="14"/>
  <c r="D442" i="14"/>
  <c r="E442" i="14" s="1"/>
  <c r="C442" i="14"/>
  <c r="M409" i="14"/>
  <c r="Q409" i="14"/>
  <c r="P409" i="14"/>
  <c r="H409" i="14"/>
  <c r="B409" i="14"/>
  <c r="G409" i="14"/>
  <c r="F409" i="14"/>
  <c r="A399" i="12"/>
  <c r="F398" i="12"/>
  <c r="C398" i="12"/>
  <c r="D398" i="12"/>
  <c r="E398" i="12" s="1"/>
  <c r="M399" i="12"/>
  <c r="N399" i="12" s="1"/>
  <c r="O399" i="12"/>
  <c r="P399" i="12"/>
  <c r="K399" i="12"/>
  <c r="J400" i="12"/>
  <c r="L400" i="12" s="1"/>
  <c r="G399" i="12"/>
  <c r="B399" i="12"/>
  <c r="L399" i="8"/>
  <c r="T398" i="8"/>
  <c r="R398" i="8"/>
  <c r="S398" i="8"/>
  <c r="Q398" i="8"/>
  <c r="P398" i="8"/>
  <c r="O398" i="8"/>
  <c r="M398" i="8"/>
  <c r="N398" i="8"/>
  <c r="A399" i="8"/>
  <c r="G398" i="8"/>
  <c r="H398" i="8"/>
  <c r="F398" i="8"/>
  <c r="AG397" i="8" s="1"/>
  <c r="D398" i="8"/>
  <c r="E398" i="8" s="1"/>
  <c r="C398" i="8"/>
  <c r="B398" i="8"/>
  <c r="L448" i="14" l="1"/>
  <c r="N447" i="14"/>
  <c r="O447" i="14"/>
  <c r="A444" i="14"/>
  <c r="D443" i="14"/>
  <c r="E443" i="14" s="1"/>
  <c r="C443" i="14"/>
  <c r="Q410" i="14"/>
  <c r="P410" i="14"/>
  <c r="M410" i="14"/>
  <c r="F410" i="14"/>
  <c r="B410" i="14"/>
  <c r="H410" i="14"/>
  <c r="G410" i="14"/>
  <c r="A400" i="12"/>
  <c r="G400" i="12" s="1"/>
  <c r="F399" i="12"/>
  <c r="C399" i="12"/>
  <c r="D399" i="12"/>
  <c r="E399" i="12" s="1"/>
  <c r="O400" i="12"/>
  <c r="M400" i="12"/>
  <c r="N400" i="12" s="1"/>
  <c r="J401" i="12"/>
  <c r="L401" i="12" s="1"/>
  <c r="P400" i="12"/>
  <c r="K400" i="12"/>
  <c r="B400" i="12"/>
  <c r="L400" i="8"/>
  <c r="T399" i="8"/>
  <c r="R399" i="8"/>
  <c r="S399" i="8"/>
  <c r="Q399" i="8"/>
  <c r="P399" i="8"/>
  <c r="M399" i="8"/>
  <c r="O399" i="8"/>
  <c r="N399" i="8"/>
  <c r="A400" i="8"/>
  <c r="G399" i="8"/>
  <c r="F399" i="8"/>
  <c r="AG398" i="8" s="1"/>
  <c r="H399" i="8"/>
  <c r="D399" i="8"/>
  <c r="E399" i="8" s="1"/>
  <c r="C399" i="8"/>
  <c r="B399" i="8"/>
  <c r="L449" i="14" l="1"/>
  <c r="N448" i="14"/>
  <c r="O448" i="14"/>
  <c r="A445" i="14"/>
  <c r="D444" i="14"/>
  <c r="E444" i="14" s="1"/>
  <c r="C444" i="14"/>
  <c r="P411" i="14"/>
  <c r="Q411" i="14"/>
  <c r="M411" i="14"/>
  <c r="B411" i="14"/>
  <c r="F411" i="14"/>
  <c r="H411" i="14"/>
  <c r="G411" i="14"/>
  <c r="A401" i="12"/>
  <c r="F400" i="12"/>
  <c r="C400" i="12"/>
  <c r="D400" i="12"/>
  <c r="E400" i="12" s="1"/>
  <c r="J402" i="12"/>
  <c r="L402" i="12" s="1"/>
  <c r="K401" i="12"/>
  <c r="O401" i="12"/>
  <c r="M401" i="12"/>
  <c r="N401" i="12" s="1"/>
  <c r="P401" i="12"/>
  <c r="G401" i="12"/>
  <c r="B401" i="12"/>
  <c r="L401" i="8"/>
  <c r="T400" i="8"/>
  <c r="R400" i="8"/>
  <c r="Q400" i="8"/>
  <c r="S400" i="8"/>
  <c r="P400" i="8"/>
  <c r="M400" i="8"/>
  <c r="N400" i="8"/>
  <c r="O400" i="8"/>
  <c r="A401" i="8"/>
  <c r="H400" i="8"/>
  <c r="G400" i="8"/>
  <c r="F400" i="8"/>
  <c r="AG399" i="8" s="1"/>
  <c r="D400" i="8"/>
  <c r="E400" i="8" s="1"/>
  <c r="C400" i="8"/>
  <c r="B400" i="8"/>
  <c r="L450" i="14" l="1"/>
  <c r="N449" i="14"/>
  <c r="O449" i="14"/>
  <c r="A446" i="14"/>
  <c r="D445" i="14"/>
  <c r="E445" i="14" s="1"/>
  <c r="C445" i="14"/>
  <c r="M412" i="14"/>
  <c r="Q412" i="14"/>
  <c r="P412" i="14"/>
  <c r="H412" i="14"/>
  <c r="B412" i="14"/>
  <c r="G412" i="14"/>
  <c r="F412" i="14"/>
  <c r="A402" i="12"/>
  <c r="G402" i="12" s="1"/>
  <c r="F401" i="12"/>
  <c r="C401" i="12"/>
  <c r="D401" i="12"/>
  <c r="E401" i="12" s="1"/>
  <c r="P402" i="12"/>
  <c r="O402" i="12"/>
  <c r="M402" i="12"/>
  <c r="N402" i="12" s="1"/>
  <c r="J403" i="12"/>
  <c r="L403" i="12" s="1"/>
  <c r="K402" i="12"/>
  <c r="L402" i="8"/>
  <c r="T401" i="8"/>
  <c r="S401" i="8"/>
  <c r="R401" i="8"/>
  <c r="Q401" i="8"/>
  <c r="O401" i="8"/>
  <c r="P401" i="8"/>
  <c r="M401" i="8"/>
  <c r="N401" i="8"/>
  <c r="A402" i="8"/>
  <c r="G401" i="8"/>
  <c r="H401" i="8"/>
  <c r="F401" i="8"/>
  <c r="AG400" i="8" s="1"/>
  <c r="D401" i="8"/>
  <c r="E401" i="8" s="1"/>
  <c r="B401" i="8"/>
  <c r="C401" i="8"/>
  <c r="B402" i="12" l="1"/>
  <c r="L451" i="14"/>
  <c r="N450" i="14"/>
  <c r="O450" i="14"/>
  <c r="A447" i="14"/>
  <c r="D446" i="14"/>
  <c r="E446" i="14" s="1"/>
  <c r="C446" i="14"/>
  <c r="P413" i="14"/>
  <c r="M413" i="14"/>
  <c r="Q413" i="14"/>
  <c r="F413" i="14"/>
  <c r="H413" i="14"/>
  <c r="G413" i="14"/>
  <c r="B413" i="14"/>
  <c r="A403" i="12"/>
  <c r="G403" i="12" s="1"/>
  <c r="F402" i="12"/>
  <c r="C402" i="12"/>
  <c r="D402" i="12"/>
  <c r="E402" i="12" s="1"/>
  <c r="O403" i="12"/>
  <c r="P403" i="12"/>
  <c r="M403" i="12"/>
  <c r="N403" i="12" s="1"/>
  <c r="J404" i="12"/>
  <c r="L404" i="12" s="1"/>
  <c r="K403" i="12"/>
  <c r="B403" i="12"/>
  <c r="L403" i="8"/>
  <c r="T402" i="8"/>
  <c r="S402" i="8"/>
  <c r="R402" i="8"/>
  <c r="Q402" i="8"/>
  <c r="O402" i="8"/>
  <c r="P402" i="8"/>
  <c r="M402" i="8"/>
  <c r="N402" i="8"/>
  <c r="A403" i="8"/>
  <c r="G402" i="8"/>
  <c r="H402" i="8"/>
  <c r="F402" i="8"/>
  <c r="AG401" i="8" s="1"/>
  <c r="D402" i="8"/>
  <c r="E402" i="8" s="1"/>
  <c r="B402" i="8"/>
  <c r="C402" i="8"/>
  <c r="L452" i="14" l="1"/>
  <c r="N451" i="14"/>
  <c r="O451" i="14"/>
  <c r="A448" i="14"/>
  <c r="D447" i="14"/>
  <c r="E447" i="14" s="1"/>
  <c r="C447" i="14"/>
  <c r="Q414" i="14"/>
  <c r="P414" i="14"/>
  <c r="M414" i="14"/>
  <c r="F414" i="14"/>
  <c r="H414" i="14"/>
  <c r="G414" i="14"/>
  <c r="B414" i="14"/>
  <c r="A404" i="12"/>
  <c r="F403" i="12"/>
  <c r="C403" i="12"/>
  <c r="D403" i="12"/>
  <c r="E403" i="12" s="1"/>
  <c r="P404" i="12"/>
  <c r="M404" i="12"/>
  <c r="N404" i="12" s="1"/>
  <c r="K404" i="12"/>
  <c r="J405" i="12"/>
  <c r="L405" i="12" s="1"/>
  <c r="O404" i="12"/>
  <c r="B404" i="12"/>
  <c r="G404" i="12"/>
  <c r="L404" i="8"/>
  <c r="T403" i="8"/>
  <c r="S403" i="8"/>
  <c r="R403" i="8"/>
  <c r="Q403" i="8"/>
  <c r="P403" i="8"/>
  <c r="O403" i="8"/>
  <c r="M403" i="8"/>
  <c r="N403" i="8"/>
  <c r="A404" i="8"/>
  <c r="G403" i="8"/>
  <c r="H403" i="8"/>
  <c r="D403" i="8"/>
  <c r="E403" i="8" s="1"/>
  <c r="F403" i="8"/>
  <c r="AG402" i="8" s="1"/>
  <c r="C403" i="8"/>
  <c r="B403" i="8"/>
  <c r="L453" i="14" l="1"/>
  <c r="N452" i="14"/>
  <c r="O452" i="14"/>
  <c r="A449" i="14"/>
  <c r="D448" i="14"/>
  <c r="E448" i="14" s="1"/>
  <c r="C448" i="14"/>
  <c r="M415" i="14"/>
  <c r="P415" i="14"/>
  <c r="Q415" i="14"/>
  <c r="H415" i="14"/>
  <c r="B415" i="14"/>
  <c r="G415" i="14"/>
  <c r="F415" i="14"/>
  <c r="A405" i="12"/>
  <c r="G405" i="12" s="1"/>
  <c r="F404" i="12"/>
  <c r="C404" i="12"/>
  <c r="D404" i="12"/>
  <c r="E404" i="12" s="1"/>
  <c r="M405" i="12"/>
  <c r="N405" i="12" s="1"/>
  <c r="P405" i="12"/>
  <c r="J406" i="12"/>
  <c r="L406" i="12" s="1"/>
  <c r="O405" i="12"/>
  <c r="K405" i="12"/>
  <c r="B405" i="12"/>
  <c r="L405" i="8"/>
  <c r="T404" i="8"/>
  <c r="S404" i="8"/>
  <c r="R404" i="8"/>
  <c r="P404" i="8"/>
  <c r="Q404" i="8"/>
  <c r="O404" i="8"/>
  <c r="M404" i="8"/>
  <c r="N404" i="8"/>
  <c r="A405" i="8"/>
  <c r="H404" i="8"/>
  <c r="G404" i="8"/>
  <c r="C404" i="8"/>
  <c r="D404" i="8"/>
  <c r="E404" i="8" s="1"/>
  <c r="F404" i="8"/>
  <c r="AG403" i="8" s="1"/>
  <c r="B404" i="8"/>
  <c r="L454" i="14" l="1"/>
  <c r="N453" i="14"/>
  <c r="O453" i="14"/>
  <c r="A450" i="14"/>
  <c r="D449" i="14"/>
  <c r="E449" i="14" s="1"/>
  <c r="C449" i="14"/>
  <c r="Q416" i="14"/>
  <c r="M416" i="14"/>
  <c r="P416" i="14"/>
  <c r="F416" i="14"/>
  <c r="H416" i="14"/>
  <c r="B416" i="14"/>
  <c r="G416" i="14"/>
  <c r="A406" i="12"/>
  <c r="F405" i="12"/>
  <c r="C405" i="12"/>
  <c r="D405" i="12"/>
  <c r="E405" i="12" s="1"/>
  <c r="P406" i="12"/>
  <c r="J407" i="12"/>
  <c r="L407" i="12" s="1"/>
  <c r="O406" i="12"/>
  <c r="M406" i="12"/>
  <c r="N406" i="12" s="1"/>
  <c r="K406" i="12"/>
  <c r="B406" i="12"/>
  <c r="G406" i="12"/>
  <c r="L406" i="8"/>
  <c r="T405" i="8"/>
  <c r="S405" i="8"/>
  <c r="R405" i="8"/>
  <c r="Q405" i="8"/>
  <c r="O405" i="8"/>
  <c r="P405" i="8"/>
  <c r="M405" i="8"/>
  <c r="N405" i="8"/>
  <c r="A406" i="8"/>
  <c r="G405" i="8"/>
  <c r="H405" i="8"/>
  <c r="F405" i="8"/>
  <c r="AG404" i="8" s="1"/>
  <c r="C405" i="8"/>
  <c r="D405" i="8"/>
  <c r="E405" i="8" s="1"/>
  <c r="B405" i="8"/>
  <c r="L455" i="14" l="1"/>
  <c r="N454" i="14"/>
  <c r="O454" i="14"/>
  <c r="A451" i="14"/>
  <c r="D450" i="14"/>
  <c r="E450" i="14" s="1"/>
  <c r="C450" i="14"/>
  <c r="P417" i="14"/>
  <c r="M417" i="14"/>
  <c r="Q417" i="14"/>
  <c r="H417" i="14"/>
  <c r="B417" i="14"/>
  <c r="F417" i="14"/>
  <c r="G417" i="14"/>
  <c r="A407" i="12"/>
  <c r="B407" i="12" s="1"/>
  <c r="F406" i="12"/>
  <c r="C406" i="12"/>
  <c r="D406" i="12"/>
  <c r="E406" i="12" s="1"/>
  <c r="J408" i="12"/>
  <c r="L408" i="12" s="1"/>
  <c r="K407" i="12"/>
  <c r="P407" i="12"/>
  <c r="M407" i="12"/>
  <c r="N407" i="12" s="1"/>
  <c r="O407" i="12"/>
  <c r="L407" i="8"/>
  <c r="T406" i="8"/>
  <c r="R406" i="8"/>
  <c r="S406" i="8"/>
  <c r="Q406" i="8"/>
  <c r="P406" i="8"/>
  <c r="O406" i="8"/>
  <c r="M406" i="8"/>
  <c r="N406" i="8"/>
  <c r="A407" i="8"/>
  <c r="H406" i="8"/>
  <c r="G406" i="8"/>
  <c r="F406" i="8"/>
  <c r="AG405" i="8" s="1"/>
  <c r="C406" i="8"/>
  <c r="D406" i="8"/>
  <c r="E406" i="8" s="1"/>
  <c r="B406" i="8"/>
  <c r="G407" i="12" l="1"/>
  <c r="L456" i="14"/>
  <c r="N455" i="14"/>
  <c r="O455" i="14"/>
  <c r="A452" i="14"/>
  <c r="D451" i="14"/>
  <c r="E451" i="14" s="1"/>
  <c r="C451" i="14"/>
  <c r="M418" i="14"/>
  <c r="Q418" i="14"/>
  <c r="P418" i="14"/>
  <c r="H418" i="14"/>
  <c r="B418" i="14"/>
  <c r="G418" i="14"/>
  <c r="F418" i="14"/>
  <c r="A408" i="12"/>
  <c r="B408" i="12" s="1"/>
  <c r="F407" i="12"/>
  <c r="C407" i="12"/>
  <c r="D407" i="12"/>
  <c r="E407" i="12" s="1"/>
  <c r="P408" i="12"/>
  <c r="J409" i="12"/>
  <c r="L409" i="12" s="1"/>
  <c r="O408" i="12"/>
  <c r="M408" i="12"/>
  <c r="N408" i="12" s="1"/>
  <c r="K408" i="12"/>
  <c r="G408" i="12"/>
  <c r="L408" i="8"/>
  <c r="T407" i="8"/>
  <c r="R407" i="8"/>
  <c r="S407" i="8"/>
  <c r="Q407" i="8"/>
  <c r="P407" i="8"/>
  <c r="O407" i="8"/>
  <c r="M407" i="8"/>
  <c r="N407" i="8"/>
  <c r="A408" i="8"/>
  <c r="G407" i="8"/>
  <c r="H407" i="8"/>
  <c r="F407" i="8"/>
  <c r="AG406" i="8" s="1"/>
  <c r="C407" i="8"/>
  <c r="D407" i="8"/>
  <c r="E407" i="8" s="1"/>
  <c r="B407" i="8"/>
  <c r="L457" i="14" l="1"/>
  <c r="N456" i="14"/>
  <c r="O456" i="14"/>
  <c r="A453" i="14"/>
  <c r="D452" i="14"/>
  <c r="E452" i="14" s="1"/>
  <c r="C452" i="14"/>
  <c r="M419" i="14"/>
  <c r="P419" i="14"/>
  <c r="Q419" i="14"/>
  <c r="F419" i="14"/>
  <c r="B419" i="14"/>
  <c r="H419" i="14"/>
  <c r="G419" i="14"/>
  <c r="A409" i="12"/>
  <c r="F408" i="12"/>
  <c r="C408" i="12"/>
  <c r="D408" i="12"/>
  <c r="E408" i="12" s="1"/>
  <c r="O409" i="12"/>
  <c r="J410" i="12"/>
  <c r="L410" i="12" s="1"/>
  <c r="K409" i="12"/>
  <c r="P409" i="12"/>
  <c r="M409" i="12"/>
  <c r="N409" i="12" s="1"/>
  <c r="B409" i="12"/>
  <c r="G409" i="12"/>
  <c r="L409" i="8"/>
  <c r="T408" i="8"/>
  <c r="S408" i="8"/>
  <c r="Q408" i="8"/>
  <c r="R408" i="8"/>
  <c r="P408" i="8"/>
  <c r="O408" i="8"/>
  <c r="M408" i="8"/>
  <c r="N408" i="8"/>
  <c r="A409" i="8"/>
  <c r="H408" i="8"/>
  <c r="G408" i="8"/>
  <c r="F408" i="8"/>
  <c r="AG407" i="8" s="1"/>
  <c r="D408" i="8"/>
  <c r="E408" i="8" s="1"/>
  <c r="C408" i="8"/>
  <c r="B408" i="8"/>
  <c r="L458" i="14" l="1"/>
  <c r="N457" i="14"/>
  <c r="O457" i="14"/>
  <c r="A454" i="14"/>
  <c r="D453" i="14"/>
  <c r="E453" i="14" s="1"/>
  <c r="C453" i="14"/>
  <c r="M420" i="14"/>
  <c r="P420" i="14"/>
  <c r="Q420" i="14"/>
  <c r="B420" i="14"/>
  <c r="F420" i="14"/>
  <c r="H420" i="14"/>
  <c r="G420" i="14"/>
  <c r="A410" i="12"/>
  <c r="F409" i="12"/>
  <c r="C409" i="12"/>
  <c r="D409" i="12"/>
  <c r="E409" i="12" s="1"/>
  <c r="J411" i="12"/>
  <c r="L411" i="12" s="1"/>
  <c r="O410" i="12"/>
  <c r="M410" i="12"/>
  <c r="N410" i="12" s="1"/>
  <c r="K410" i="12"/>
  <c r="P410" i="12"/>
  <c r="G410" i="12"/>
  <c r="B410" i="12"/>
  <c r="L410" i="8"/>
  <c r="T409" i="8"/>
  <c r="S409" i="8"/>
  <c r="Q409" i="8"/>
  <c r="R409" i="8"/>
  <c r="P409" i="8"/>
  <c r="O409" i="8"/>
  <c r="M409" i="8"/>
  <c r="N409" i="8"/>
  <c r="A410" i="8"/>
  <c r="G409" i="8"/>
  <c r="H409" i="8"/>
  <c r="F409" i="8"/>
  <c r="AG408" i="8" s="1"/>
  <c r="D409" i="8"/>
  <c r="E409" i="8" s="1"/>
  <c r="B409" i="8"/>
  <c r="C409" i="8"/>
  <c r="L459" i="14" l="1"/>
  <c r="N458" i="14"/>
  <c r="O458" i="14"/>
  <c r="A455" i="14"/>
  <c r="D454" i="14"/>
  <c r="E454" i="14" s="1"/>
  <c r="C454" i="14"/>
  <c r="M421" i="14"/>
  <c r="Q421" i="14"/>
  <c r="P421" i="14"/>
  <c r="H421" i="14"/>
  <c r="B421" i="14"/>
  <c r="G421" i="14"/>
  <c r="F421" i="14"/>
  <c r="A411" i="12"/>
  <c r="B411" i="12" s="1"/>
  <c r="C410" i="12"/>
  <c r="F410" i="12"/>
  <c r="D410" i="12"/>
  <c r="E410" i="12" s="1"/>
  <c r="M411" i="12"/>
  <c r="N411" i="12" s="1"/>
  <c r="J412" i="12"/>
  <c r="L412" i="12" s="1"/>
  <c r="O411" i="12"/>
  <c r="P411" i="12"/>
  <c r="K411" i="12"/>
  <c r="L411" i="8"/>
  <c r="T410" i="8"/>
  <c r="S410" i="8"/>
  <c r="R410" i="8"/>
  <c r="Q410" i="8"/>
  <c r="P410" i="8"/>
  <c r="O410" i="8"/>
  <c r="M410" i="8"/>
  <c r="N410" i="8"/>
  <c r="A411" i="8"/>
  <c r="G410" i="8"/>
  <c r="H410" i="8"/>
  <c r="F410" i="8"/>
  <c r="AG409" i="8" s="1"/>
  <c r="D410" i="8"/>
  <c r="E410" i="8" s="1"/>
  <c r="B410" i="8"/>
  <c r="C410" i="8"/>
  <c r="G411" i="12" l="1"/>
  <c r="L460" i="14"/>
  <c r="N459" i="14"/>
  <c r="O459" i="14"/>
  <c r="A456" i="14"/>
  <c r="D455" i="14"/>
  <c r="E455" i="14" s="1"/>
  <c r="C455" i="14"/>
  <c r="Q422" i="14"/>
  <c r="M422" i="14"/>
  <c r="P422" i="14"/>
  <c r="F422" i="14"/>
  <c r="H422" i="14"/>
  <c r="G422" i="14"/>
  <c r="B422" i="14"/>
  <c r="A412" i="12"/>
  <c r="G412" i="12" s="1"/>
  <c r="F411" i="12"/>
  <c r="C411" i="12"/>
  <c r="D411" i="12"/>
  <c r="E411" i="12" s="1"/>
  <c r="J413" i="12"/>
  <c r="L413" i="12" s="1"/>
  <c r="O412" i="12"/>
  <c r="K412" i="12"/>
  <c r="P412" i="12"/>
  <c r="M412" i="12"/>
  <c r="N412" i="12" s="1"/>
  <c r="B412" i="12"/>
  <c r="L412" i="8"/>
  <c r="T411" i="8"/>
  <c r="R411" i="8"/>
  <c r="S411" i="8"/>
  <c r="Q411" i="8"/>
  <c r="P411" i="8"/>
  <c r="O411" i="8"/>
  <c r="M411" i="8"/>
  <c r="N411" i="8"/>
  <c r="A412" i="8"/>
  <c r="H411" i="8"/>
  <c r="G411" i="8"/>
  <c r="F411" i="8"/>
  <c r="AG410" i="8" s="1"/>
  <c r="B411" i="8"/>
  <c r="D411" i="8"/>
  <c r="E411" i="8" s="1"/>
  <c r="C411" i="8"/>
  <c r="L461" i="14" l="1"/>
  <c r="N460" i="14"/>
  <c r="O460" i="14"/>
  <c r="A457" i="14"/>
  <c r="D456" i="14"/>
  <c r="E456" i="14" s="1"/>
  <c r="C456" i="14"/>
  <c r="P423" i="14"/>
  <c r="M423" i="14"/>
  <c r="Q423" i="14"/>
  <c r="F423" i="14"/>
  <c r="H423" i="14"/>
  <c r="G423" i="14"/>
  <c r="B423" i="14"/>
  <c r="A413" i="12"/>
  <c r="C412" i="12"/>
  <c r="F412" i="12"/>
  <c r="D412" i="12"/>
  <c r="E412" i="12" s="1"/>
  <c r="J414" i="12"/>
  <c r="L414" i="12" s="1"/>
  <c r="K413" i="12"/>
  <c r="O413" i="12"/>
  <c r="M413" i="12"/>
  <c r="N413" i="12" s="1"/>
  <c r="P413" i="12"/>
  <c r="B413" i="12"/>
  <c r="G413" i="12"/>
  <c r="L413" i="8"/>
  <c r="T412" i="8"/>
  <c r="R412" i="8"/>
  <c r="S412" i="8"/>
  <c r="Q412" i="8"/>
  <c r="P412" i="8"/>
  <c r="O412" i="8"/>
  <c r="M412" i="8"/>
  <c r="N412" i="8"/>
  <c r="A413" i="8"/>
  <c r="G412" i="8"/>
  <c r="H412" i="8"/>
  <c r="F412" i="8"/>
  <c r="AG411" i="8" s="1"/>
  <c r="D412" i="8"/>
  <c r="E412" i="8" s="1"/>
  <c r="C412" i="8"/>
  <c r="B412" i="8"/>
  <c r="L462" i="14" l="1"/>
  <c r="N461" i="14"/>
  <c r="O461" i="14"/>
  <c r="A458" i="14"/>
  <c r="D457" i="14"/>
  <c r="E457" i="14" s="1"/>
  <c r="C457" i="14"/>
  <c r="Q424" i="14"/>
  <c r="P424" i="14"/>
  <c r="M424" i="14"/>
  <c r="H424" i="14"/>
  <c r="B424" i="14"/>
  <c r="G424" i="14"/>
  <c r="F424" i="14"/>
  <c r="A414" i="12"/>
  <c r="C413" i="12"/>
  <c r="F413" i="12"/>
  <c r="D413" i="12"/>
  <c r="E413" i="12" s="1"/>
  <c r="P414" i="12"/>
  <c r="K414" i="12"/>
  <c r="O414" i="12"/>
  <c r="J415" i="12"/>
  <c r="L415" i="12" s="1"/>
  <c r="M414" i="12"/>
  <c r="N414" i="12" s="1"/>
  <c r="B414" i="12"/>
  <c r="G414" i="12"/>
  <c r="L414" i="8"/>
  <c r="T413" i="8"/>
  <c r="S413" i="8"/>
  <c r="R413" i="8"/>
  <c r="Q413" i="8"/>
  <c r="P413" i="8"/>
  <c r="O413" i="8"/>
  <c r="M413" i="8"/>
  <c r="N413" i="8"/>
  <c r="A414" i="8"/>
  <c r="G413" i="8"/>
  <c r="H413" i="8"/>
  <c r="F413" i="8"/>
  <c r="AG412" i="8" s="1"/>
  <c r="D413" i="8"/>
  <c r="E413" i="8" s="1"/>
  <c r="C413" i="8"/>
  <c r="B413" i="8"/>
  <c r="L463" i="14" l="1"/>
  <c r="N462" i="14"/>
  <c r="O462" i="14"/>
  <c r="A459" i="14"/>
  <c r="D458" i="14"/>
  <c r="E458" i="14" s="1"/>
  <c r="C458" i="14"/>
  <c r="P425" i="14"/>
  <c r="M425" i="14"/>
  <c r="Q425" i="14"/>
  <c r="F425" i="14"/>
  <c r="H425" i="14"/>
  <c r="G425" i="14"/>
  <c r="B425" i="14"/>
  <c r="A415" i="12"/>
  <c r="G415" i="12" s="1"/>
  <c r="F414" i="12"/>
  <c r="C414" i="12"/>
  <c r="D414" i="12"/>
  <c r="E414" i="12" s="1"/>
  <c r="O415" i="12"/>
  <c r="K415" i="12"/>
  <c r="P415" i="12"/>
  <c r="J416" i="12"/>
  <c r="L416" i="12" s="1"/>
  <c r="M415" i="12"/>
  <c r="N415" i="12" s="1"/>
  <c r="L415" i="8"/>
  <c r="T414" i="8"/>
  <c r="R414" i="8"/>
  <c r="S414" i="8"/>
  <c r="Q414" i="8"/>
  <c r="P414" i="8"/>
  <c r="O414" i="8"/>
  <c r="M414" i="8"/>
  <c r="N414" i="8"/>
  <c r="A415" i="8"/>
  <c r="G414" i="8"/>
  <c r="H414" i="8"/>
  <c r="F414" i="8"/>
  <c r="AG413" i="8" s="1"/>
  <c r="C414" i="8"/>
  <c r="D414" i="8"/>
  <c r="E414" i="8" s="1"/>
  <c r="B414" i="8"/>
  <c r="B415" i="12" l="1"/>
  <c r="L464" i="14"/>
  <c r="N463" i="14"/>
  <c r="O463" i="14"/>
  <c r="A460" i="14"/>
  <c r="D459" i="14"/>
  <c r="E459" i="14" s="1"/>
  <c r="C459" i="14"/>
  <c r="Q426" i="14"/>
  <c r="P426" i="14"/>
  <c r="M426" i="14"/>
  <c r="H426" i="14"/>
  <c r="G426" i="14"/>
  <c r="B426" i="14"/>
  <c r="F426" i="14"/>
  <c r="A416" i="12"/>
  <c r="B416" i="12" s="1"/>
  <c r="F415" i="12"/>
  <c r="C415" i="12"/>
  <c r="D415" i="12"/>
  <c r="E415" i="12" s="1"/>
  <c r="K416" i="12"/>
  <c r="P416" i="12"/>
  <c r="O416" i="12"/>
  <c r="M416" i="12"/>
  <c r="N416" i="12" s="1"/>
  <c r="J417" i="12"/>
  <c r="L417" i="12" s="1"/>
  <c r="L416" i="8"/>
  <c r="T415" i="8"/>
  <c r="S415" i="8"/>
  <c r="R415" i="8"/>
  <c r="Q415" i="8"/>
  <c r="P415" i="8"/>
  <c r="M415" i="8"/>
  <c r="O415" i="8"/>
  <c r="N415" i="8"/>
  <c r="A416" i="8"/>
  <c r="G415" i="8"/>
  <c r="H415" i="8"/>
  <c r="F415" i="8"/>
  <c r="AG414" i="8" s="1"/>
  <c r="C415" i="8"/>
  <c r="B415" i="8"/>
  <c r="D415" i="8"/>
  <c r="E415" i="8" s="1"/>
  <c r="G416" i="12" l="1"/>
  <c r="L465" i="14"/>
  <c r="N464" i="14"/>
  <c r="O464" i="14"/>
  <c r="A461" i="14"/>
  <c r="D460" i="14"/>
  <c r="E460" i="14" s="1"/>
  <c r="C460" i="14"/>
  <c r="M427" i="14"/>
  <c r="Q427" i="14"/>
  <c r="P427" i="14"/>
  <c r="H427" i="14"/>
  <c r="B427" i="14"/>
  <c r="G427" i="14"/>
  <c r="F427" i="14"/>
  <c r="A417" i="12"/>
  <c r="G417" i="12" s="1"/>
  <c r="C416" i="12"/>
  <c r="F416" i="12"/>
  <c r="D416" i="12"/>
  <c r="E416" i="12" s="1"/>
  <c r="M417" i="12"/>
  <c r="N417" i="12" s="1"/>
  <c r="K417" i="12"/>
  <c r="P417" i="12"/>
  <c r="J418" i="12"/>
  <c r="L418" i="12" s="1"/>
  <c r="O417" i="12"/>
  <c r="B417" i="12"/>
  <c r="L417" i="8"/>
  <c r="T416" i="8"/>
  <c r="S416" i="8"/>
  <c r="Q416" i="8"/>
  <c r="R416" i="8"/>
  <c r="P416" i="8"/>
  <c r="M416" i="8"/>
  <c r="O416" i="8"/>
  <c r="N416" i="8"/>
  <c r="A417" i="8"/>
  <c r="H416" i="8"/>
  <c r="F416" i="8"/>
  <c r="AG415" i="8" s="1"/>
  <c r="G416" i="8"/>
  <c r="D416" i="8"/>
  <c r="E416" i="8" s="1"/>
  <c r="C416" i="8"/>
  <c r="B416" i="8"/>
  <c r="L466" i="14" l="1"/>
  <c r="N465" i="14"/>
  <c r="O465" i="14"/>
  <c r="A462" i="14"/>
  <c r="D461" i="14"/>
  <c r="E461" i="14" s="1"/>
  <c r="C461" i="14"/>
  <c r="Q428" i="14"/>
  <c r="M428" i="14"/>
  <c r="P428" i="14"/>
  <c r="F428" i="14"/>
  <c r="B428" i="14"/>
  <c r="G428" i="14"/>
  <c r="H428" i="14"/>
  <c r="A418" i="12"/>
  <c r="C417" i="12"/>
  <c r="F417" i="12"/>
  <c r="D417" i="12"/>
  <c r="E417" i="12" s="1"/>
  <c r="K418" i="12"/>
  <c r="P418" i="12"/>
  <c r="M418" i="12"/>
  <c r="N418" i="12" s="1"/>
  <c r="J419" i="12"/>
  <c r="L419" i="12" s="1"/>
  <c r="O418" i="12"/>
  <c r="B418" i="12"/>
  <c r="G418" i="12"/>
  <c r="L418" i="8"/>
  <c r="T417" i="8"/>
  <c r="S417" i="8"/>
  <c r="Q417" i="8"/>
  <c r="R417" i="8"/>
  <c r="O417" i="8"/>
  <c r="P417" i="8"/>
  <c r="M417" i="8"/>
  <c r="N417" i="8"/>
  <c r="A418" i="8"/>
  <c r="G417" i="8"/>
  <c r="H417" i="8"/>
  <c r="F417" i="8"/>
  <c r="AG416" i="8" s="1"/>
  <c r="D417" i="8"/>
  <c r="E417" i="8" s="1"/>
  <c r="C417" i="8"/>
  <c r="B417" i="8"/>
  <c r="L467" i="14" l="1"/>
  <c r="N466" i="14"/>
  <c r="O466" i="14"/>
  <c r="A463" i="14"/>
  <c r="D462" i="14"/>
  <c r="E462" i="14" s="1"/>
  <c r="C462" i="14"/>
  <c r="P429" i="14"/>
  <c r="Q429" i="14"/>
  <c r="M429" i="14"/>
  <c r="B429" i="14"/>
  <c r="F429" i="14"/>
  <c r="H429" i="14"/>
  <c r="G429" i="14"/>
  <c r="A419" i="12"/>
  <c r="C418" i="12"/>
  <c r="F418" i="12"/>
  <c r="D418" i="12"/>
  <c r="E418" i="12" s="1"/>
  <c r="J420" i="12"/>
  <c r="L420" i="12" s="1"/>
  <c r="K419" i="12"/>
  <c r="P419" i="12"/>
  <c r="O419" i="12"/>
  <c r="M419" i="12"/>
  <c r="N419" i="12" s="1"/>
  <c r="B419" i="12"/>
  <c r="G419" i="12"/>
  <c r="L419" i="8"/>
  <c r="T418" i="8"/>
  <c r="S418" i="8"/>
  <c r="R418" i="8"/>
  <c r="Q418" i="8"/>
  <c r="O418" i="8"/>
  <c r="P418" i="8"/>
  <c r="M418" i="8"/>
  <c r="N418" i="8"/>
  <c r="A419" i="8"/>
  <c r="G418" i="8"/>
  <c r="H418" i="8"/>
  <c r="F418" i="8"/>
  <c r="AG417" i="8" s="1"/>
  <c r="D418" i="8"/>
  <c r="E418" i="8" s="1"/>
  <c r="C418" i="8"/>
  <c r="B418" i="8"/>
  <c r="L468" i="14" l="1"/>
  <c r="N467" i="14"/>
  <c r="O467" i="14"/>
  <c r="A464" i="14"/>
  <c r="D463" i="14"/>
  <c r="E463" i="14" s="1"/>
  <c r="C463" i="14"/>
  <c r="P430" i="14"/>
  <c r="Q430" i="14"/>
  <c r="M430" i="14"/>
  <c r="H430" i="14"/>
  <c r="B430" i="14"/>
  <c r="G430" i="14"/>
  <c r="F430" i="14"/>
  <c r="A420" i="12"/>
  <c r="G420" i="12" s="1"/>
  <c r="C419" i="12"/>
  <c r="F419" i="12"/>
  <c r="D419" i="12"/>
  <c r="E419" i="12" s="1"/>
  <c r="P420" i="12"/>
  <c r="J421" i="12"/>
  <c r="L421" i="12" s="1"/>
  <c r="O420" i="12"/>
  <c r="M420" i="12"/>
  <c r="N420" i="12" s="1"/>
  <c r="K420" i="12"/>
  <c r="B420" i="12"/>
  <c r="L420" i="8"/>
  <c r="T419" i="8"/>
  <c r="S419" i="8"/>
  <c r="R419" i="8"/>
  <c r="Q419" i="8"/>
  <c r="P419" i="8"/>
  <c r="O419" i="8"/>
  <c r="M419" i="8"/>
  <c r="N419" i="8"/>
  <c r="A420" i="8"/>
  <c r="G419" i="8"/>
  <c r="H419" i="8"/>
  <c r="F419" i="8"/>
  <c r="AG418" i="8" s="1"/>
  <c r="B419" i="8"/>
  <c r="C419" i="8"/>
  <c r="D419" i="8"/>
  <c r="E419" i="8" s="1"/>
  <c r="L469" i="14" l="1"/>
  <c r="N468" i="14"/>
  <c r="O468" i="14"/>
  <c r="A465" i="14"/>
  <c r="D464" i="14"/>
  <c r="E464" i="14" s="1"/>
  <c r="C464" i="14"/>
  <c r="Q431" i="14"/>
  <c r="M431" i="14"/>
  <c r="P431" i="14"/>
  <c r="F431" i="14"/>
  <c r="H431" i="14"/>
  <c r="G431" i="14"/>
  <c r="B431" i="14"/>
  <c r="A421" i="12"/>
  <c r="F420" i="12"/>
  <c r="C420" i="12"/>
  <c r="D420" i="12"/>
  <c r="E420" i="12" s="1"/>
  <c r="O421" i="12"/>
  <c r="J422" i="12"/>
  <c r="L422" i="12" s="1"/>
  <c r="M421" i="12"/>
  <c r="N421" i="12" s="1"/>
  <c r="K421" i="12"/>
  <c r="P421" i="12"/>
  <c r="B421" i="12"/>
  <c r="G421" i="12"/>
  <c r="L421" i="8"/>
  <c r="T420" i="8"/>
  <c r="S420" i="8"/>
  <c r="R420" i="8"/>
  <c r="Q420" i="8"/>
  <c r="P420" i="8"/>
  <c r="O420" i="8"/>
  <c r="M420" i="8"/>
  <c r="N420" i="8"/>
  <c r="A421" i="8"/>
  <c r="G420" i="8"/>
  <c r="H420" i="8"/>
  <c r="F420" i="8"/>
  <c r="AG419" i="8" s="1"/>
  <c r="D420" i="8"/>
  <c r="E420" i="8" s="1"/>
  <c r="C420" i="8"/>
  <c r="B420" i="8"/>
  <c r="L470" i="14" l="1"/>
  <c r="N469" i="14"/>
  <c r="O469" i="14"/>
  <c r="A466" i="14"/>
  <c r="D465" i="14"/>
  <c r="E465" i="14" s="1"/>
  <c r="C465" i="14"/>
  <c r="Q432" i="14"/>
  <c r="P432" i="14"/>
  <c r="M432" i="14"/>
  <c r="F432" i="14"/>
  <c r="H432" i="14"/>
  <c r="G432" i="14"/>
  <c r="B432" i="14"/>
  <c r="A422" i="12"/>
  <c r="F421" i="12"/>
  <c r="C421" i="12"/>
  <c r="D421" i="12"/>
  <c r="E421" i="12" s="1"/>
  <c r="J423" i="12"/>
  <c r="L423" i="12" s="1"/>
  <c r="P422" i="12"/>
  <c r="O422" i="12"/>
  <c r="M422" i="12"/>
  <c r="N422" i="12" s="1"/>
  <c r="K422" i="12"/>
  <c r="B422" i="12"/>
  <c r="G422" i="12"/>
  <c r="L422" i="8"/>
  <c r="T421" i="8"/>
  <c r="R421" i="8"/>
  <c r="S421" i="8"/>
  <c r="Q421" i="8"/>
  <c r="O421" i="8"/>
  <c r="P421" i="8"/>
  <c r="M421" i="8"/>
  <c r="N421" i="8"/>
  <c r="A422" i="8"/>
  <c r="H421" i="8"/>
  <c r="G421" i="8"/>
  <c r="F421" i="8"/>
  <c r="AG420" i="8" s="1"/>
  <c r="D421" i="8"/>
  <c r="E421" i="8" s="1"/>
  <c r="C421" i="8"/>
  <c r="B421" i="8"/>
  <c r="L471" i="14" l="1"/>
  <c r="N470" i="14"/>
  <c r="O470" i="14"/>
  <c r="A467" i="14"/>
  <c r="D466" i="14"/>
  <c r="E466" i="14" s="1"/>
  <c r="C466" i="14"/>
  <c r="M433" i="14"/>
  <c r="Q433" i="14"/>
  <c r="P433" i="14"/>
  <c r="H433" i="14"/>
  <c r="B433" i="14"/>
  <c r="G433" i="14"/>
  <c r="F433" i="14"/>
  <c r="A423" i="12"/>
  <c r="B423" i="12" s="1"/>
  <c r="C422" i="12"/>
  <c r="F422" i="12"/>
  <c r="D422" i="12"/>
  <c r="E422" i="12" s="1"/>
  <c r="M423" i="12"/>
  <c r="N423" i="12" s="1"/>
  <c r="J424" i="12"/>
  <c r="L424" i="12" s="1"/>
  <c r="P423" i="12"/>
  <c r="O423" i="12"/>
  <c r="K423" i="12"/>
  <c r="G423" i="12"/>
  <c r="L423" i="8"/>
  <c r="T422" i="8"/>
  <c r="R422" i="8"/>
  <c r="S422" i="8"/>
  <c r="Q422" i="8"/>
  <c r="P422" i="8"/>
  <c r="O422" i="8"/>
  <c r="M422" i="8"/>
  <c r="N422" i="8"/>
  <c r="A423" i="8"/>
  <c r="G422" i="8"/>
  <c r="H422" i="8"/>
  <c r="F422" i="8"/>
  <c r="AG421" i="8" s="1"/>
  <c r="C422" i="8"/>
  <c r="D422" i="8"/>
  <c r="E422" i="8" s="1"/>
  <c r="B422" i="8"/>
  <c r="L472" i="14" l="1"/>
  <c r="N471" i="14"/>
  <c r="O471" i="14"/>
  <c r="A468" i="14"/>
  <c r="D467" i="14"/>
  <c r="E467" i="14" s="1"/>
  <c r="C467" i="14"/>
  <c r="Q434" i="14"/>
  <c r="M434" i="14"/>
  <c r="P434" i="14"/>
  <c r="F434" i="14"/>
  <c r="H434" i="14"/>
  <c r="G434" i="14"/>
  <c r="B434" i="14"/>
  <c r="A424" i="12"/>
  <c r="G424" i="12" s="1"/>
  <c r="C423" i="12"/>
  <c r="F423" i="12"/>
  <c r="D423" i="12"/>
  <c r="E423" i="12" s="1"/>
  <c r="M424" i="12"/>
  <c r="N424" i="12" s="1"/>
  <c r="J425" i="12"/>
  <c r="L425" i="12" s="1"/>
  <c r="K424" i="12"/>
  <c r="P424" i="12"/>
  <c r="O424" i="12"/>
  <c r="B424" i="12"/>
  <c r="L424" i="8"/>
  <c r="T423" i="8"/>
  <c r="S423" i="8"/>
  <c r="R423" i="8"/>
  <c r="Q423" i="8"/>
  <c r="P423" i="8"/>
  <c r="M423" i="8"/>
  <c r="O423" i="8"/>
  <c r="N423" i="8"/>
  <c r="A424" i="8"/>
  <c r="H423" i="8"/>
  <c r="G423" i="8"/>
  <c r="F423" i="8"/>
  <c r="AG422" i="8" s="1"/>
  <c r="D423" i="8"/>
  <c r="E423" i="8" s="1"/>
  <c r="C423" i="8"/>
  <c r="B423" i="8"/>
  <c r="L473" i="14" l="1"/>
  <c r="N472" i="14"/>
  <c r="O472" i="14"/>
  <c r="A469" i="14"/>
  <c r="D468" i="14"/>
  <c r="E468" i="14" s="1"/>
  <c r="C468" i="14"/>
  <c r="P435" i="14"/>
  <c r="Q435" i="14"/>
  <c r="M435" i="14"/>
  <c r="H435" i="14"/>
  <c r="G435" i="14"/>
  <c r="B435" i="14"/>
  <c r="F435" i="14"/>
  <c r="A425" i="12"/>
  <c r="C424" i="12"/>
  <c r="F424" i="12"/>
  <c r="D424" i="12"/>
  <c r="E424" i="12" s="1"/>
  <c r="J426" i="12"/>
  <c r="L426" i="12" s="1"/>
  <c r="K425" i="12"/>
  <c r="M425" i="12"/>
  <c r="N425" i="12" s="1"/>
  <c r="P425" i="12"/>
  <c r="O425" i="12"/>
  <c r="B425" i="12"/>
  <c r="G425" i="12"/>
  <c r="L425" i="8"/>
  <c r="T424" i="8"/>
  <c r="S424" i="8"/>
  <c r="Q424" i="8"/>
  <c r="R424" i="8"/>
  <c r="P424" i="8"/>
  <c r="M424" i="8"/>
  <c r="N424" i="8"/>
  <c r="O424" i="8"/>
  <c r="A425" i="8"/>
  <c r="G424" i="8"/>
  <c r="H424" i="8"/>
  <c r="F424" i="8"/>
  <c r="AG423" i="8" s="1"/>
  <c r="D424" i="8"/>
  <c r="E424" i="8" s="1"/>
  <c r="C424" i="8"/>
  <c r="B424" i="8"/>
  <c r="L474" i="14" l="1"/>
  <c r="N473" i="14"/>
  <c r="O473" i="14"/>
  <c r="A470" i="14"/>
  <c r="D469" i="14"/>
  <c r="E469" i="14" s="1"/>
  <c r="C469" i="14"/>
  <c r="P436" i="14"/>
  <c r="Q436" i="14"/>
  <c r="M436" i="14"/>
  <c r="H436" i="14"/>
  <c r="B436" i="14"/>
  <c r="G436" i="14"/>
  <c r="F436" i="14"/>
  <c r="A426" i="12"/>
  <c r="G426" i="12" s="1"/>
  <c r="C425" i="12"/>
  <c r="F425" i="12"/>
  <c r="D425" i="12"/>
  <c r="E425" i="12" s="1"/>
  <c r="P426" i="12"/>
  <c r="M426" i="12"/>
  <c r="N426" i="12" s="1"/>
  <c r="K426" i="12"/>
  <c r="J427" i="12"/>
  <c r="L427" i="12" s="1"/>
  <c r="O426" i="12"/>
  <c r="B426" i="12"/>
  <c r="L426" i="8"/>
  <c r="T425" i="8"/>
  <c r="S425" i="8"/>
  <c r="Q425" i="8"/>
  <c r="R425" i="8"/>
  <c r="P425" i="8"/>
  <c r="O425" i="8"/>
  <c r="M425" i="8"/>
  <c r="N425" i="8"/>
  <c r="A426" i="8"/>
  <c r="H425" i="8"/>
  <c r="F425" i="8"/>
  <c r="AG424" i="8" s="1"/>
  <c r="G425" i="8"/>
  <c r="D425" i="8"/>
  <c r="E425" i="8" s="1"/>
  <c r="B425" i="8"/>
  <c r="C425" i="8"/>
  <c r="L475" i="14" l="1"/>
  <c r="N474" i="14"/>
  <c r="O474" i="14"/>
  <c r="A471" i="14"/>
  <c r="D470" i="14"/>
  <c r="E470" i="14" s="1"/>
  <c r="C470" i="14"/>
  <c r="P437" i="14"/>
  <c r="M437" i="14"/>
  <c r="Q437" i="14"/>
  <c r="F437" i="14"/>
  <c r="B437" i="14"/>
  <c r="H437" i="14"/>
  <c r="G437" i="14"/>
  <c r="A427" i="12"/>
  <c r="F426" i="12"/>
  <c r="C426" i="12"/>
  <c r="D426" i="12"/>
  <c r="E426" i="12" s="1"/>
  <c r="O427" i="12"/>
  <c r="M427" i="12"/>
  <c r="N427" i="12" s="1"/>
  <c r="K427" i="12"/>
  <c r="J428" i="12"/>
  <c r="L428" i="12" s="1"/>
  <c r="P427" i="12"/>
  <c r="B427" i="12"/>
  <c r="G427" i="12"/>
  <c r="L427" i="8"/>
  <c r="T426" i="8"/>
  <c r="S426" i="8"/>
  <c r="R426" i="8"/>
  <c r="Q426" i="8"/>
  <c r="P426" i="8"/>
  <c r="O426" i="8"/>
  <c r="M426" i="8"/>
  <c r="N426" i="8"/>
  <c r="A427" i="8"/>
  <c r="F426" i="8"/>
  <c r="AG425" i="8" s="1"/>
  <c r="H426" i="8"/>
  <c r="G426" i="8"/>
  <c r="D426" i="8"/>
  <c r="E426" i="8" s="1"/>
  <c r="B426" i="8"/>
  <c r="C426" i="8"/>
  <c r="L476" i="14" l="1"/>
  <c r="N475" i="14"/>
  <c r="O475" i="14"/>
  <c r="A472" i="14"/>
  <c r="D471" i="14"/>
  <c r="E471" i="14" s="1"/>
  <c r="C471" i="14"/>
  <c r="P438" i="14"/>
  <c r="Q438" i="14"/>
  <c r="M438" i="14"/>
  <c r="B438" i="14"/>
  <c r="F438" i="14"/>
  <c r="G438" i="14"/>
  <c r="H438" i="14"/>
  <c r="A428" i="12"/>
  <c r="G428" i="12" s="1"/>
  <c r="F427" i="12"/>
  <c r="C427" i="12"/>
  <c r="D427" i="12"/>
  <c r="E427" i="12" s="1"/>
  <c r="M428" i="12"/>
  <c r="N428" i="12" s="1"/>
  <c r="K428" i="12"/>
  <c r="J429" i="12"/>
  <c r="L429" i="12" s="1"/>
  <c r="P428" i="12"/>
  <c r="O428" i="12"/>
  <c r="B428" i="12"/>
  <c r="L428" i="8"/>
  <c r="T427" i="8"/>
  <c r="S427" i="8"/>
  <c r="R427" i="8"/>
  <c r="P427" i="8"/>
  <c r="Q427" i="8"/>
  <c r="O427" i="8"/>
  <c r="M427" i="8"/>
  <c r="N427" i="8"/>
  <c r="A428" i="8"/>
  <c r="H427" i="8"/>
  <c r="G427" i="8"/>
  <c r="F427" i="8"/>
  <c r="AG426" i="8" s="1"/>
  <c r="D427" i="8"/>
  <c r="E427" i="8" s="1"/>
  <c r="C427" i="8"/>
  <c r="B427" i="8"/>
  <c r="L477" i="14" l="1"/>
  <c r="N476" i="14"/>
  <c r="O476" i="14"/>
  <c r="A473" i="14"/>
  <c r="D472" i="14"/>
  <c r="E472" i="14" s="1"/>
  <c r="C472" i="14"/>
  <c r="M439" i="14"/>
  <c r="P439" i="14"/>
  <c r="Q439" i="14"/>
  <c r="H439" i="14"/>
  <c r="B439" i="14"/>
  <c r="G439" i="14"/>
  <c r="F439" i="14"/>
  <c r="A429" i="12"/>
  <c r="C428" i="12"/>
  <c r="F428" i="12"/>
  <c r="D428" i="12"/>
  <c r="E428" i="12" s="1"/>
  <c r="J430" i="12"/>
  <c r="L430" i="12" s="1"/>
  <c r="M429" i="12"/>
  <c r="N429" i="12" s="1"/>
  <c r="K429" i="12"/>
  <c r="P429" i="12"/>
  <c r="O429" i="12"/>
  <c r="B429" i="12"/>
  <c r="G429" i="12"/>
  <c r="L429" i="8"/>
  <c r="T428" i="8"/>
  <c r="S428" i="8"/>
  <c r="R428" i="8"/>
  <c r="Q428" i="8"/>
  <c r="P428" i="8"/>
  <c r="O428" i="8"/>
  <c r="M428" i="8"/>
  <c r="N428" i="8"/>
  <c r="A429" i="8"/>
  <c r="G428" i="8"/>
  <c r="H428" i="8"/>
  <c r="F428" i="8"/>
  <c r="AG427" i="8" s="1"/>
  <c r="D428" i="8"/>
  <c r="E428" i="8" s="1"/>
  <c r="C428" i="8"/>
  <c r="B428" i="8"/>
  <c r="L478" i="14" l="1"/>
  <c r="N477" i="14"/>
  <c r="O477" i="14"/>
  <c r="A474" i="14"/>
  <c r="D473" i="14"/>
  <c r="E473" i="14" s="1"/>
  <c r="C473" i="14"/>
  <c r="Q440" i="14"/>
  <c r="P440" i="14"/>
  <c r="M440" i="14"/>
  <c r="F440" i="14"/>
  <c r="H440" i="14"/>
  <c r="G440" i="14"/>
  <c r="B440" i="14"/>
  <c r="A430" i="12"/>
  <c r="C429" i="12"/>
  <c r="F429" i="12"/>
  <c r="D429" i="12"/>
  <c r="E429" i="12" s="1"/>
  <c r="P430" i="12"/>
  <c r="O430" i="12"/>
  <c r="M430" i="12"/>
  <c r="N430" i="12" s="1"/>
  <c r="J431" i="12"/>
  <c r="L431" i="12" s="1"/>
  <c r="K430" i="12"/>
  <c r="G430" i="12"/>
  <c r="B430" i="12"/>
  <c r="L430" i="8"/>
  <c r="T429" i="8"/>
  <c r="S429" i="8"/>
  <c r="R429" i="8"/>
  <c r="Q429" i="8"/>
  <c r="P429" i="8"/>
  <c r="O429" i="8"/>
  <c r="M429" i="8"/>
  <c r="N429" i="8"/>
  <c r="A430" i="8"/>
  <c r="H429" i="8"/>
  <c r="G429" i="8"/>
  <c r="F429" i="8"/>
  <c r="AG428" i="8" s="1"/>
  <c r="C429" i="8"/>
  <c r="D429" i="8"/>
  <c r="E429" i="8" s="1"/>
  <c r="B429" i="8"/>
  <c r="L479" i="14" l="1"/>
  <c r="N478" i="14"/>
  <c r="O478" i="14"/>
  <c r="A475" i="14"/>
  <c r="D474" i="14"/>
  <c r="E474" i="14" s="1"/>
  <c r="C474" i="14"/>
  <c r="P441" i="14"/>
  <c r="Q441" i="14"/>
  <c r="M441" i="14"/>
  <c r="F441" i="14"/>
  <c r="H441" i="14"/>
  <c r="G441" i="14"/>
  <c r="B441" i="14"/>
  <c r="A431" i="12"/>
  <c r="C430" i="12"/>
  <c r="F430" i="12"/>
  <c r="D430" i="12"/>
  <c r="E430" i="12" s="1"/>
  <c r="O431" i="12"/>
  <c r="J432" i="12"/>
  <c r="L432" i="12" s="1"/>
  <c r="K431" i="12"/>
  <c r="P431" i="12"/>
  <c r="M431" i="12"/>
  <c r="N431" i="12" s="1"/>
  <c r="B431" i="12"/>
  <c r="G431" i="12"/>
  <c r="L431" i="8"/>
  <c r="T430" i="8"/>
  <c r="R430" i="8"/>
  <c r="S430" i="8"/>
  <c r="Q430" i="8"/>
  <c r="P430" i="8"/>
  <c r="O430" i="8"/>
  <c r="M430" i="8"/>
  <c r="N430" i="8"/>
  <c r="A431" i="8"/>
  <c r="G430" i="8"/>
  <c r="H430" i="8"/>
  <c r="F430" i="8"/>
  <c r="AG429" i="8" s="1"/>
  <c r="C430" i="8"/>
  <c r="D430" i="8"/>
  <c r="E430" i="8" s="1"/>
  <c r="B430" i="8"/>
  <c r="L480" i="14" l="1"/>
  <c r="N479" i="14"/>
  <c r="O479" i="14"/>
  <c r="A476" i="14"/>
  <c r="D475" i="14"/>
  <c r="E475" i="14" s="1"/>
  <c r="C475" i="14"/>
  <c r="Q442" i="14"/>
  <c r="P442" i="14"/>
  <c r="M442" i="14"/>
  <c r="H442" i="14"/>
  <c r="B442" i="14"/>
  <c r="G442" i="14"/>
  <c r="F442" i="14"/>
  <c r="A432" i="12"/>
  <c r="C431" i="12"/>
  <c r="F431" i="12"/>
  <c r="D431" i="12"/>
  <c r="E431" i="12" s="1"/>
  <c r="P432" i="12"/>
  <c r="K432" i="12"/>
  <c r="J433" i="12"/>
  <c r="L433" i="12" s="1"/>
  <c r="O432" i="12"/>
  <c r="M432" i="12"/>
  <c r="N432" i="12" s="1"/>
  <c r="B432" i="12"/>
  <c r="G432" i="12"/>
  <c r="L432" i="8"/>
  <c r="T431" i="8"/>
  <c r="S431" i="8"/>
  <c r="R431" i="8"/>
  <c r="Q431" i="8"/>
  <c r="P431" i="8"/>
  <c r="M431" i="8"/>
  <c r="O431" i="8"/>
  <c r="N431" i="8"/>
  <c r="A432" i="8"/>
  <c r="G431" i="8"/>
  <c r="H431" i="8"/>
  <c r="F431" i="8"/>
  <c r="AG430" i="8" s="1"/>
  <c r="C431" i="8"/>
  <c r="D431" i="8"/>
  <c r="E431" i="8" s="1"/>
  <c r="B431" i="8"/>
  <c r="L481" i="14" l="1"/>
  <c r="N480" i="14"/>
  <c r="O480" i="14"/>
  <c r="A477" i="14"/>
  <c r="D476" i="14"/>
  <c r="E476" i="14" s="1"/>
  <c r="C476" i="14"/>
  <c r="Q443" i="14"/>
  <c r="M443" i="14"/>
  <c r="P443" i="14"/>
  <c r="F443" i="14"/>
  <c r="H443" i="14"/>
  <c r="G443" i="14"/>
  <c r="B443" i="14"/>
  <c r="A433" i="12"/>
  <c r="F432" i="12"/>
  <c r="C432" i="12"/>
  <c r="D432" i="12"/>
  <c r="E432" i="12" s="1"/>
  <c r="M433" i="12"/>
  <c r="N433" i="12" s="1"/>
  <c r="O433" i="12"/>
  <c r="J434" i="12"/>
  <c r="L434" i="12" s="1"/>
  <c r="P433" i="12"/>
  <c r="K433" i="12"/>
  <c r="B433" i="12"/>
  <c r="G433" i="12"/>
  <c r="L433" i="8"/>
  <c r="T432" i="8"/>
  <c r="Q432" i="8"/>
  <c r="S432" i="8"/>
  <c r="R432" i="8"/>
  <c r="P432" i="8"/>
  <c r="M432" i="8"/>
  <c r="N432" i="8"/>
  <c r="O432" i="8"/>
  <c r="A433" i="8"/>
  <c r="H432" i="8"/>
  <c r="F432" i="8"/>
  <c r="AG431" i="8" s="1"/>
  <c r="G432" i="8"/>
  <c r="D432" i="8"/>
  <c r="E432" i="8" s="1"/>
  <c r="C432" i="8"/>
  <c r="B432" i="8"/>
  <c r="L482" i="14" l="1"/>
  <c r="N481" i="14"/>
  <c r="O481" i="14"/>
  <c r="A478" i="14"/>
  <c r="D477" i="14"/>
  <c r="E477" i="14" s="1"/>
  <c r="C477" i="14"/>
  <c r="Q444" i="14"/>
  <c r="M444" i="14"/>
  <c r="P444" i="14"/>
  <c r="H444" i="14"/>
  <c r="G444" i="14"/>
  <c r="F444" i="14"/>
  <c r="B444" i="14"/>
  <c r="A434" i="12"/>
  <c r="F433" i="12"/>
  <c r="C433" i="12"/>
  <c r="D433" i="12"/>
  <c r="E433" i="12" s="1"/>
  <c r="O434" i="12"/>
  <c r="K434" i="12"/>
  <c r="P434" i="12"/>
  <c r="M434" i="12"/>
  <c r="N434" i="12" s="1"/>
  <c r="J435" i="12"/>
  <c r="L435" i="12" s="1"/>
  <c r="B434" i="12"/>
  <c r="G434" i="12"/>
  <c r="L434" i="8"/>
  <c r="T433" i="8"/>
  <c r="S433" i="8"/>
  <c r="Q433" i="8"/>
  <c r="R433" i="8"/>
  <c r="O433" i="8"/>
  <c r="P433" i="8"/>
  <c r="M433" i="8"/>
  <c r="N433" i="8"/>
  <c r="A434" i="8"/>
  <c r="H433" i="8"/>
  <c r="G433" i="8"/>
  <c r="F433" i="8"/>
  <c r="AG432" i="8" s="1"/>
  <c r="D433" i="8"/>
  <c r="E433" i="8" s="1"/>
  <c r="B433" i="8"/>
  <c r="C433" i="8"/>
  <c r="L483" i="14" l="1"/>
  <c r="N482" i="14"/>
  <c r="O482" i="14"/>
  <c r="A479" i="14"/>
  <c r="D478" i="14"/>
  <c r="E478" i="14" s="1"/>
  <c r="C478" i="14"/>
  <c r="M445" i="14"/>
  <c r="Q445" i="14"/>
  <c r="P445" i="14"/>
  <c r="H445" i="14"/>
  <c r="B445" i="14"/>
  <c r="G445" i="14"/>
  <c r="F445" i="14"/>
  <c r="A435" i="12"/>
  <c r="C434" i="12"/>
  <c r="F434" i="12"/>
  <c r="D434" i="12"/>
  <c r="E434" i="12" s="1"/>
  <c r="J436" i="12"/>
  <c r="L436" i="12" s="1"/>
  <c r="K435" i="12"/>
  <c r="M435" i="12"/>
  <c r="N435" i="12" s="1"/>
  <c r="P435" i="12"/>
  <c r="O435" i="12"/>
  <c r="B435" i="12"/>
  <c r="G435" i="12"/>
  <c r="L435" i="8"/>
  <c r="T434" i="8"/>
  <c r="S434" i="8"/>
  <c r="R434" i="8"/>
  <c r="Q434" i="8"/>
  <c r="O434" i="8"/>
  <c r="P434" i="8"/>
  <c r="M434" i="8"/>
  <c r="N434" i="8"/>
  <c r="A435" i="8"/>
  <c r="G434" i="8"/>
  <c r="F434" i="8"/>
  <c r="AG433" i="8" s="1"/>
  <c r="H434" i="8"/>
  <c r="D434" i="8"/>
  <c r="E434" i="8" s="1"/>
  <c r="C434" i="8"/>
  <c r="B434" i="8"/>
  <c r="L484" i="14" l="1"/>
  <c r="N483" i="14"/>
  <c r="O483" i="14"/>
  <c r="A480" i="14"/>
  <c r="D479" i="14"/>
  <c r="E479" i="14" s="1"/>
  <c r="C479" i="14"/>
  <c r="Q446" i="14"/>
  <c r="M446" i="14"/>
  <c r="P446" i="14"/>
  <c r="F446" i="14"/>
  <c r="B446" i="14"/>
  <c r="H446" i="14"/>
  <c r="G446" i="14"/>
  <c r="A436" i="12"/>
  <c r="B436" i="12" s="1"/>
  <c r="C435" i="12"/>
  <c r="F435" i="12"/>
  <c r="D435" i="12"/>
  <c r="E435" i="12" s="1"/>
  <c r="P436" i="12"/>
  <c r="O436" i="12"/>
  <c r="M436" i="12"/>
  <c r="N436" i="12" s="1"/>
  <c r="K436" i="12"/>
  <c r="J437" i="12"/>
  <c r="L437" i="12" s="1"/>
  <c r="G436" i="12"/>
  <c r="L436" i="8"/>
  <c r="T435" i="8"/>
  <c r="S435" i="8"/>
  <c r="R435" i="8"/>
  <c r="Q435" i="8"/>
  <c r="P435" i="8"/>
  <c r="O435" i="8"/>
  <c r="M435" i="8"/>
  <c r="N435" i="8"/>
  <c r="A436" i="8"/>
  <c r="H435" i="8"/>
  <c r="G435" i="8"/>
  <c r="F435" i="8"/>
  <c r="AG434" i="8" s="1"/>
  <c r="D435" i="8"/>
  <c r="E435" i="8" s="1"/>
  <c r="B435" i="8"/>
  <c r="C435" i="8"/>
  <c r="L485" i="14" l="1"/>
  <c r="N484" i="14"/>
  <c r="O484" i="14"/>
  <c r="A481" i="14"/>
  <c r="D480" i="14"/>
  <c r="E480" i="14" s="1"/>
  <c r="C480" i="14"/>
  <c r="P447" i="14"/>
  <c r="Q447" i="14"/>
  <c r="M447" i="14"/>
  <c r="B447" i="14"/>
  <c r="H447" i="14"/>
  <c r="F447" i="14"/>
  <c r="G447" i="14"/>
  <c r="A437" i="12"/>
  <c r="B437" i="12" s="1"/>
  <c r="C436" i="12"/>
  <c r="F436" i="12"/>
  <c r="D436" i="12"/>
  <c r="E436" i="12" s="1"/>
  <c r="O437" i="12"/>
  <c r="J438" i="12"/>
  <c r="L438" i="12" s="1"/>
  <c r="K437" i="12"/>
  <c r="P437" i="12"/>
  <c r="M437" i="12"/>
  <c r="N437" i="12" s="1"/>
  <c r="L437" i="8"/>
  <c r="T436" i="8"/>
  <c r="S436" i="8"/>
  <c r="R436" i="8"/>
  <c r="P436" i="8"/>
  <c r="Q436" i="8"/>
  <c r="O436" i="8"/>
  <c r="M436" i="8"/>
  <c r="N436" i="8"/>
  <c r="A437" i="8"/>
  <c r="G436" i="8"/>
  <c r="H436" i="8"/>
  <c r="F436" i="8"/>
  <c r="AG435" i="8" s="1"/>
  <c r="D436" i="8"/>
  <c r="E436" i="8" s="1"/>
  <c r="B436" i="8"/>
  <c r="C436" i="8"/>
  <c r="G437" i="12" l="1"/>
  <c r="L486" i="14"/>
  <c r="N485" i="14"/>
  <c r="O485" i="14"/>
  <c r="A482" i="14"/>
  <c r="D481" i="14"/>
  <c r="E481" i="14" s="1"/>
  <c r="C481" i="14"/>
  <c r="Q448" i="14"/>
  <c r="P448" i="14"/>
  <c r="M448" i="14"/>
  <c r="H448" i="14"/>
  <c r="B448" i="14"/>
  <c r="G448" i="14"/>
  <c r="F448" i="14"/>
  <c r="A438" i="12"/>
  <c r="G438" i="12" s="1"/>
  <c r="C437" i="12"/>
  <c r="F437" i="12"/>
  <c r="D437" i="12"/>
  <c r="E437" i="12" s="1"/>
  <c r="P438" i="12"/>
  <c r="M438" i="12"/>
  <c r="N438" i="12" s="1"/>
  <c r="K438" i="12"/>
  <c r="O438" i="12"/>
  <c r="J439" i="12"/>
  <c r="L439" i="12" s="1"/>
  <c r="B438" i="12"/>
  <c r="L438" i="8"/>
  <c r="T437" i="8"/>
  <c r="S437" i="8"/>
  <c r="R437" i="8"/>
  <c r="Q437" i="8"/>
  <c r="O437" i="8"/>
  <c r="P437" i="8"/>
  <c r="M437" i="8"/>
  <c r="N437" i="8"/>
  <c r="A438" i="8"/>
  <c r="H437" i="8"/>
  <c r="G437" i="8"/>
  <c r="F437" i="8"/>
  <c r="AG436" i="8" s="1"/>
  <c r="D437" i="8"/>
  <c r="E437" i="8" s="1"/>
  <c r="B437" i="8"/>
  <c r="C437" i="8"/>
  <c r="L487" i="14" l="1"/>
  <c r="N486" i="14"/>
  <c r="O486" i="14"/>
  <c r="A483" i="14"/>
  <c r="D482" i="14"/>
  <c r="E482" i="14" s="1"/>
  <c r="C482" i="14"/>
  <c r="M449" i="14"/>
  <c r="Q449" i="14"/>
  <c r="P449" i="14"/>
  <c r="F449" i="14"/>
  <c r="B449" i="14"/>
  <c r="H449" i="14"/>
  <c r="G449" i="14"/>
  <c r="A439" i="12"/>
  <c r="F438" i="12"/>
  <c r="C438" i="12"/>
  <c r="D438" i="12"/>
  <c r="E438" i="12" s="1"/>
  <c r="M439" i="12"/>
  <c r="N439" i="12" s="1"/>
  <c r="O439" i="12"/>
  <c r="P439" i="12"/>
  <c r="J440" i="12"/>
  <c r="L440" i="12" s="1"/>
  <c r="K439" i="12"/>
  <c r="B439" i="12"/>
  <c r="G439" i="12"/>
  <c r="L439" i="8"/>
  <c r="T438" i="8"/>
  <c r="R438" i="8"/>
  <c r="S438" i="8"/>
  <c r="Q438" i="8"/>
  <c r="P438" i="8"/>
  <c r="O438" i="8"/>
  <c r="M438" i="8"/>
  <c r="N438" i="8"/>
  <c r="A439" i="8"/>
  <c r="G438" i="8"/>
  <c r="H438" i="8"/>
  <c r="F438" i="8"/>
  <c r="AG437" i="8" s="1"/>
  <c r="C438" i="8"/>
  <c r="D438" i="8"/>
  <c r="E438" i="8" s="1"/>
  <c r="B438" i="8"/>
  <c r="L488" i="14" l="1"/>
  <c r="N487" i="14"/>
  <c r="O487" i="14"/>
  <c r="A484" i="14"/>
  <c r="D483" i="14"/>
  <c r="E483" i="14" s="1"/>
  <c r="C483" i="14"/>
  <c r="P450" i="14"/>
  <c r="M450" i="14"/>
  <c r="Q450" i="14"/>
  <c r="F450" i="14"/>
  <c r="B450" i="14"/>
  <c r="H450" i="14"/>
  <c r="G450" i="14"/>
  <c r="A440" i="12"/>
  <c r="F439" i="12"/>
  <c r="C439" i="12"/>
  <c r="D439" i="12"/>
  <c r="E439" i="12" s="1"/>
  <c r="J441" i="12"/>
  <c r="L441" i="12" s="1"/>
  <c r="O440" i="12"/>
  <c r="M440" i="12"/>
  <c r="N440" i="12" s="1"/>
  <c r="K440" i="12"/>
  <c r="P440" i="12"/>
  <c r="B440" i="12"/>
  <c r="G440" i="12"/>
  <c r="L440" i="8"/>
  <c r="T439" i="8"/>
  <c r="S439" i="8"/>
  <c r="R439" i="8"/>
  <c r="Q439" i="8"/>
  <c r="P439" i="8"/>
  <c r="O439" i="8"/>
  <c r="M439" i="8"/>
  <c r="N439" i="8"/>
  <c r="A440" i="8"/>
  <c r="G439" i="8"/>
  <c r="F439" i="8"/>
  <c r="AG438" i="8" s="1"/>
  <c r="H439" i="8"/>
  <c r="C439" i="8"/>
  <c r="D439" i="8"/>
  <c r="E439" i="8" s="1"/>
  <c r="B439" i="8"/>
  <c r="L489" i="14" l="1"/>
  <c r="N488" i="14"/>
  <c r="O488" i="14"/>
  <c r="A485" i="14"/>
  <c r="D484" i="14"/>
  <c r="E484" i="14" s="1"/>
  <c r="C484" i="14"/>
  <c r="M451" i="14"/>
  <c r="Q451" i="14"/>
  <c r="P451" i="14"/>
  <c r="H451" i="14"/>
  <c r="B451" i="14"/>
  <c r="G451" i="14"/>
  <c r="F451" i="14"/>
  <c r="A441" i="12"/>
  <c r="C440" i="12"/>
  <c r="F440" i="12"/>
  <c r="D440" i="12"/>
  <c r="E440" i="12" s="1"/>
  <c r="J442" i="12"/>
  <c r="L442" i="12" s="1"/>
  <c r="K441" i="12"/>
  <c r="M441" i="12"/>
  <c r="N441" i="12" s="1"/>
  <c r="P441" i="12"/>
  <c r="O441" i="12"/>
  <c r="B441" i="12"/>
  <c r="G441" i="12"/>
  <c r="L441" i="8"/>
  <c r="T440" i="8"/>
  <c r="S440" i="8"/>
  <c r="Q440" i="8"/>
  <c r="R440" i="8"/>
  <c r="P440" i="8"/>
  <c r="O440" i="8"/>
  <c r="M440" i="8"/>
  <c r="N440" i="8"/>
  <c r="A441" i="8"/>
  <c r="F440" i="8"/>
  <c r="AG439" i="8" s="1"/>
  <c r="H440" i="8"/>
  <c r="G440" i="8"/>
  <c r="D440" i="8"/>
  <c r="E440" i="8" s="1"/>
  <c r="C440" i="8"/>
  <c r="B440" i="8"/>
  <c r="L490" i="14" l="1"/>
  <c r="N489" i="14"/>
  <c r="O489" i="14"/>
  <c r="A486" i="14"/>
  <c r="D485" i="14"/>
  <c r="E485" i="14" s="1"/>
  <c r="C485" i="14"/>
  <c r="Q452" i="14"/>
  <c r="M452" i="14"/>
  <c r="P452" i="14"/>
  <c r="F452" i="14"/>
  <c r="H452" i="14"/>
  <c r="G452" i="14"/>
  <c r="B452" i="14"/>
  <c r="A442" i="12"/>
  <c r="C441" i="12"/>
  <c r="F441" i="12"/>
  <c r="D441" i="12"/>
  <c r="E441" i="12" s="1"/>
  <c r="M442" i="12"/>
  <c r="N442" i="12" s="1"/>
  <c r="J443" i="12"/>
  <c r="L443" i="12" s="1"/>
  <c r="O442" i="12"/>
  <c r="K442" i="12"/>
  <c r="P442" i="12"/>
  <c r="L442" i="8"/>
  <c r="T441" i="8"/>
  <c r="S441" i="8"/>
  <c r="Q441" i="8"/>
  <c r="R441" i="8"/>
  <c r="P441" i="8"/>
  <c r="O441" i="8"/>
  <c r="M441" i="8"/>
  <c r="N441" i="8"/>
  <c r="A442" i="8"/>
  <c r="H441" i="8"/>
  <c r="G441" i="8"/>
  <c r="F441" i="8"/>
  <c r="AG440" i="8" s="1"/>
  <c r="D441" i="8"/>
  <c r="E441" i="8" s="1"/>
  <c r="B441" i="8"/>
  <c r="C441" i="8"/>
  <c r="L491" i="14" l="1"/>
  <c r="N490" i="14"/>
  <c r="O490" i="14"/>
  <c r="A487" i="14"/>
  <c r="D486" i="14"/>
  <c r="E486" i="14" s="1"/>
  <c r="C486" i="14"/>
  <c r="P453" i="14"/>
  <c r="M453" i="14"/>
  <c r="Q453" i="14"/>
  <c r="H453" i="14"/>
  <c r="G453" i="14"/>
  <c r="F453" i="14"/>
  <c r="B453" i="14"/>
  <c r="A443" i="12"/>
  <c r="B443" i="12" s="1"/>
  <c r="C442" i="12"/>
  <c r="F442" i="12"/>
  <c r="D442" i="12"/>
  <c r="E442" i="12" s="1"/>
  <c r="G442" i="12"/>
  <c r="B442" i="12"/>
  <c r="J444" i="12"/>
  <c r="L444" i="12" s="1"/>
  <c r="M443" i="12"/>
  <c r="N443" i="12" s="1"/>
  <c r="P443" i="12"/>
  <c r="O443" i="12"/>
  <c r="K443" i="12"/>
  <c r="L443" i="8"/>
  <c r="T442" i="8"/>
  <c r="S442" i="8"/>
  <c r="R442" i="8"/>
  <c r="Q442" i="8"/>
  <c r="P442" i="8"/>
  <c r="O442" i="8"/>
  <c r="M442" i="8"/>
  <c r="N442" i="8"/>
  <c r="A443" i="8"/>
  <c r="G442" i="8"/>
  <c r="H442" i="8"/>
  <c r="F442" i="8"/>
  <c r="AG441" i="8" s="1"/>
  <c r="D442" i="8"/>
  <c r="E442" i="8" s="1"/>
  <c r="C442" i="8"/>
  <c r="B442" i="8"/>
  <c r="G443" i="12" l="1"/>
  <c r="L492" i="14"/>
  <c r="N491" i="14"/>
  <c r="O491" i="14"/>
  <c r="A488" i="14"/>
  <c r="D487" i="14"/>
  <c r="E487" i="14" s="1"/>
  <c r="C487" i="14"/>
  <c r="M454" i="14"/>
  <c r="Q454" i="14"/>
  <c r="P454" i="14"/>
  <c r="H454" i="14"/>
  <c r="B454" i="14"/>
  <c r="G454" i="14"/>
  <c r="F454" i="14"/>
  <c r="A444" i="12"/>
  <c r="B444" i="12" s="1"/>
  <c r="C443" i="12"/>
  <c r="F443" i="12"/>
  <c r="D443" i="12"/>
  <c r="E443" i="12" s="1"/>
  <c r="J445" i="12"/>
  <c r="L445" i="12" s="1"/>
  <c r="K444" i="12"/>
  <c r="M444" i="12"/>
  <c r="N444" i="12" s="1"/>
  <c r="P444" i="12"/>
  <c r="O444" i="12"/>
  <c r="L444" i="8"/>
  <c r="T443" i="8"/>
  <c r="S443" i="8"/>
  <c r="Q443" i="8"/>
  <c r="R443" i="8"/>
  <c r="P443" i="8"/>
  <c r="O443" i="8"/>
  <c r="M443" i="8"/>
  <c r="N443" i="8"/>
  <c r="A444" i="8"/>
  <c r="G443" i="8"/>
  <c r="H443" i="8"/>
  <c r="F443" i="8"/>
  <c r="AG442" i="8" s="1"/>
  <c r="C443" i="8"/>
  <c r="B443" i="8"/>
  <c r="D443" i="8"/>
  <c r="E443" i="8" s="1"/>
  <c r="G444" i="12" l="1"/>
  <c r="L493" i="14"/>
  <c r="N492" i="14"/>
  <c r="O492" i="14"/>
  <c r="A489" i="14"/>
  <c r="D488" i="14"/>
  <c r="E488" i="14" s="1"/>
  <c r="C488" i="14"/>
  <c r="M455" i="14"/>
  <c r="Q455" i="14"/>
  <c r="P455" i="14"/>
  <c r="F455" i="14"/>
  <c r="B455" i="14"/>
  <c r="H455" i="14"/>
  <c r="G455" i="14"/>
  <c r="A445" i="12"/>
  <c r="G445" i="12" s="1"/>
  <c r="F444" i="12"/>
  <c r="C444" i="12"/>
  <c r="D444" i="12"/>
  <c r="E444" i="12" s="1"/>
  <c r="P445" i="12"/>
  <c r="K445" i="12"/>
  <c r="M445" i="12"/>
  <c r="N445" i="12" s="1"/>
  <c r="J446" i="12"/>
  <c r="L446" i="12" s="1"/>
  <c r="O445" i="12"/>
  <c r="L445" i="8"/>
  <c r="T444" i="8"/>
  <c r="S444" i="8"/>
  <c r="R444" i="8"/>
  <c r="Q444" i="8"/>
  <c r="P444" i="8"/>
  <c r="O444" i="8"/>
  <c r="M444" i="8"/>
  <c r="N444" i="8"/>
  <c r="A445" i="8"/>
  <c r="G444" i="8"/>
  <c r="H444" i="8"/>
  <c r="F444" i="8"/>
  <c r="AG443" i="8" s="1"/>
  <c r="C444" i="8"/>
  <c r="D444" i="8"/>
  <c r="E444" i="8" s="1"/>
  <c r="B444" i="8"/>
  <c r="B445" i="12" l="1"/>
  <c r="L494" i="14"/>
  <c r="N493" i="14"/>
  <c r="O493" i="14"/>
  <c r="A490" i="14"/>
  <c r="D489" i="14"/>
  <c r="E489" i="14" s="1"/>
  <c r="C489" i="14"/>
  <c r="M456" i="14"/>
  <c r="P456" i="14"/>
  <c r="Q456" i="14"/>
  <c r="B456" i="14"/>
  <c r="H456" i="14"/>
  <c r="G456" i="14"/>
  <c r="F456" i="14"/>
  <c r="A446" i="12"/>
  <c r="G446" i="12" s="1"/>
  <c r="F445" i="12"/>
  <c r="C445" i="12"/>
  <c r="D445" i="12"/>
  <c r="E445" i="12" s="1"/>
  <c r="O446" i="12"/>
  <c r="K446" i="12"/>
  <c r="M446" i="12"/>
  <c r="N446" i="12" s="1"/>
  <c r="J447" i="12"/>
  <c r="L447" i="12" s="1"/>
  <c r="P446" i="12"/>
  <c r="L446" i="8"/>
  <c r="T445" i="8"/>
  <c r="S445" i="8"/>
  <c r="R445" i="8"/>
  <c r="Q445" i="8"/>
  <c r="P445" i="8"/>
  <c r="O445" i="8"/>
  <c r="M445" i="8"/>
  <c r="N445" i="8"/>
  <c r="A446" i="8"/>
  <c r="H445" i="8"/>
  <c r="G445" i="8"/>
  <c r="F445" i="8"/>
  <c r="AG444" i="8" s="1"/>
  <c r="D445" i="8"/>
  <c r="E445" i="8" s="1"/>
  <c r="C445" i="8"/>
  <c r="B445" i="8"/>
  <c r="B446" i="12" l="1"/>
  <c r="L495" i="14"/>
  <c r="N494" i="14"/>
  <c r="O494" i="14"/>
  <c r="A491" i="14"/>
  <c r="D490" i="14"/>
  <c r="E490" i="14" s="1"/>
  <c r="C490" i="14"/>
  <c r="M457" i="14"/>
  <c r="P457" i="14"/>
  <c r="Q457" i="14"/>
  <c r="H457" i="14"/>
  <c r="B457" i="14"/>
  <c r="G457" i="14"/>
  <c r="F457" i="14"/>
  <c r="A447" i="12"/>
  <c r="B447" i="12" s="1"/>
  <c r="C446" i="12"/>
  <c r="F446" i="12"/>
  <c r="D446" i="12"/>
  <c r="E446" i="12" s="1"/>
  <c r="K447" i="12"/>
  <c r="M447" i="12"/>
  <c r="N447" i="12" s="1"/>
  <c r="J448" i="12"/>
  <c r="L448" i="12" s="1"/>
  <c r="P447" i="12"/>
  <c r="O447" i="12"/>
  <c r="G447" i="12"/>
  <c r="L447" i="8"/>
  <c r="T446" i="8"/>
  <c r="R446" i="8"/>
  <c r="S446" i="8"/>
  <c r="Q446" i="8"/>
  <c r="P446" i="8"/>
  <c r="O446" i="8"/>
  <c r="M446" i="8"/>
  <c r="N446" i="8"/>
  <c r="A447" i="8"/>
  <c r="H446" i="8"/>
  <c r="G446" i="8"/>
  <c r="F446" i="8"/>
  <c r="AG445" i="8" s="1"/>
  <c r="C446" i="8"/>
  <c r="D446" i="8"/>
  <c r="E446" i="8" s="1"/>
  <c r="B446" i="8"/>
  <c r="L496" i="14" l="1"/>
  <c r="N495" i="14"/>
  <c r="O495" i="14"/>
  <c r="A492" i="14"/>
  <c r="D491" i="14"/>
  <c r="E491" i="14" s="1"/>
  <c r="C491" i="14"/>
  <c r="Q458" i="14"/>
  <c r="M458" i="14"/>
  <c r="P458" i="14"/>
  <c r="F458" i="14"/>
  <c r="B458" i="14"/>
  <c r="H458" i="14"/>
  <c r="G458" i="14"/>
  <c r="A448" i="12"/>
  <c r="B448" i="12" s="1"/>
  <c r="C447" i="12"/>
  <c r="F447" i="12"/>
  <c r="D447" i="12"/>
  <c r="E447" i="12" s="1"/>
  <c r="M448" i="12"/>
  <c r="N448" i="12" s="1"/>
  <c r="K448" i="12"/>
  <c r="O448" i="12"/>
  <c r="J449" i="12"/>
  <c r="L449" i="12" s="1"/>
  <c r="P448" i="12"/>
  <c r="L448" i="8"/>
  <c r="T447" i="8"/>
  <c r="S447" i="8"/>
  <c r="R447" i="8"/>
  <c r="Q447" i="8"/>
  <c r="P447" i="8"/>
  <c r="M447" i="8"/>
  <c r="O447" i="8"/>
  <c r="N447" i="8"/>
  <c r="A448" i="8"/>
  <c r="G447" i="8"/>
  <c r="H447" i="8"/>
  <c r="F447" i="8"/>
  <c r="AG446" i="8" s="1"/>
  <c r="C447" i="8"/>
  <c r="D447" i="8"/>
  <c r="E447" i="8" s="1"/>
  <c r="B447" i="8"/>
  <c r="G448" i="12" l="1"/>
  <c r="L497" i="14"/>
  <c r="N496" i="14"/>
  <c r="O496" i="14"/>
  <c r="A493" i="14"/>
  <c r="D492" i="14"/>
  <c r="E492" i="14" s="1"/>
  <c r="C492" i="14"/>
  <c r="P459" i="14"/>
  <c r="M459" i="14"/>
  <c r="Q459" i="14"/>
  <c r="H459" i="14"/>
  <c r="B459" i="14"/>
  <c r="G459" i="14"/>
  <c r="F459" i="14"/>
  <c r="A449" i="12"/>
  <c r="B449" i="12" s="1"/>
  <c r="C448" i="12"/>
  <c r="F448" i="12"/>
  <c r="D448" i="12"/>
  <c r="E448" i="12" s="1"/>
  <c r="K449" i="12"/>
  <c r="J450" i="12"/>
  <c r="L450" i="12" s="1"/>
  <c r="O449" i="12"/>
  <c r="M449" i="12"/>
  <c r="N449" i="12" s="1"/>
  <c r="P449" i="12"/>
  <c r="L449" i="8"/>
  <c r="T448" i="8"/>
  <c r="S448" i="8"/>
  <c r="Q448" i="8"/>
  <c r="R448" i="8"/>
  <c r="P448" i="8"/>
  <c r="M448" i="8"/>
  <c r="O448" i="8"/>
  <c r="N448" i="8"/>
  <c r="A449" i="8"/>
  <c r="F448" i="8"/>
  <c r="AG447" i="8" s="1"/>
  <c r="G448" i="8"/>
  <c r="H448" i="8"/>
  <c r="D448" i="8"/>
  <c r="E448" i="8" s="1"/>
  <c r="C448" i="8"/>
  <c r="B448" i="8"/>
  <c r="L498" i="14" l="1"/>
  <c r="N497" i="14"/>
  <c r="O497" i="14"/>
  <c r="A494" i="14"/>
  <c r="D493" i="14"/>
  <c r="E493" i="14" s="1"/>
  <c r="C493" i="14"/>
  <c r="M460" i="14"/>
  <c r="Q460" i="14"/>
  <c r="P460" i="14"/>
  <c r="F460" i="14"/>
  <c r="H460" i="14"/>
  <c r="G460" i="14"/>
  <c r="B460" i="14"/>
  <c r="G449" i="12"/>
  <c r="A450" i="12"/>
  <c r="B450" i="12" s="1"/>
  <c r="F449" i="12"/>
  <c r="C449" i="12"/>
  <c r="D449" i="12"/>
  <c r="E449" i="12" s="1"/>
  <c r="J451" i="12"/>
  <c r="L451" i="12" s="1"/>
  <c r="K450" i="12"/>
  <c r="P450" i="12"/>
  <c r="O450" i="12"/>
  <c r="M450" i="12"/>
  <c r="N450" i="12" s="1"/>
  <c r="G450" i="12"/>
  <c r="L450" i="8"/>
  <c r="T449" i="8"/>
  <c r="S449" i="8"/>
  <c r="Q449" i="8"/>
  <c r="R449" i="8"/>
  <c r="O449" i="8"/>
  <c r="P449" i="8"/>
  <c r="M449" i="8"/>
  <c r="N449" i="8"/>
  <c r="A450" i="8"/>
  <c r="H449" i="8"/>
  <c r="F449" i="8"/>
  <c r="AG448" i="8" s="1"/>
  <c r="G449" i="8"/>
  <c r="D449" i="8"/>
  <c r="E449" i="8" s="1"/>
  <c r="B449" i="8"/>
  <c r="C449" i="8"/>
  <c r="L499" i="14" l="1"/>
  <c r="N498" i="14"/>
  <c r="O498" i="14"/>
  <c r="A495" i="14"/>
  <c r="D494" i="14"/>
  <c r="E494" i="14" s="1"/>
  <c r="C494" i="14"/>
  <c r="M461" i="14"/>
  <c r="P461" i="14"/>
  <c r="Q461" i="14"/>
  <c r="B461" i="14"/>
  <c r="H461" i="14"/>
  <c r="G461" i="14"/>
  <c r="F461" i="14"/>
  <c r="A451" i="12"/>
  <c r="G451" i="12" s="1"/>
  <c r="F450" i="12"/>
  <c r="C450" i="12"/>
  <c r="D450" i="12"/>
  <c r="E450" i="12" s="1"/>
  <c r="P451" i="12"/>
  <c r="O451" i="12"/>
  <c r="K451" i="12"/>
  <c r="J452" i="12"/>
  <c r="L452" i="12" s="1"/>
  <c r="M451" i="12"/>
  <c r="N451" i="12" s="1"/>
  <c r="L451" i="8"/>
  <c r="T450" i="8"/>
  <c r="S450" i="8"/>
  <c r="R450" i="8"/>
  <c r="Q450" i="8"/>
  <c r="O450" i="8"/>
  <c r="P450" i="8"/>
  <c r="M450" i="8"/>
  <c r="N450" i="8"/>
  <c r="A451" i="8"/>
  <c r="H450" i="8"/>
  <c r="G450" i="8"/>
  <c r="F450" i="8"/>
  <c r="AG449" i="8" s="1"/>
  <c r="D450" i="8"/>
  <c r="E450" i="8" s="1"/>
  <c r="B450" i="8"/>
  <c r="C450" i="8"/>
  <c r="B451" i="12" l="1"/>
  <c r="L500" i="14"/>
  <c r="N499" i="14"/>
  <c r="O499" i="14"/>
  <c r="A496" i="14"/>
  <c r="D495" i="14"/>
  <c r="E495" i="14" s="1"/>
  <c r="C495" i="14"/>
  <c r="M462" i="14"/>
  <c r="P462" i="14"/>
  <c r="Q462" i="14"/>
  <c r="H462" i="14"/>
  <c r="B462" i="14"/>
  <c r="G462" i="14"/>
  <c r="F462" i="14"/>
  <c r="A452" i="12"/>
  <c r="G452" i="12" s="1"/>
  <c r="F451" i="12"/>
  <c r="C451" i="12"/>
  <c r="D451" i="12"/>
  <c r="E451" i="12" s="1"/>
  <c r="O452" i="12"/>
  <c r="P452" i="12"/>
  <c r="J453" i="12"/>
  <c r="L453" i="12" s="1"/>
  <c r="M452" i="12"/>
  <c r="N452" i="12" s="1"/>
  <c r="K452" i="12"/>
  <c r="B452" i="12"/>
  <c r="L452" i="8"/>
  <c r="T451" i="8"/>
  <c r="S451" i="8"/>
  <c r="R451" i="8"/>
  <c r="Q451" i="8"/>
  <c r="P451" i="8"/>
  <c r="O451" i="8"/>
  <c r="M451" i="8"/>
  <c r="N451" i="8"/>
  <c r="A452" i="8"/>
  <c r="G451" i="8"/>
  <c r="H451" i="8"/>
  <c r="F451" i="8"/>
  <c r="AG450" i="8" s="1"/>
  <c r="D451" i="8"/>
  <c r="E451" i="8" s="1"/>
  <c r="B451" i="8"/>
  <c r="C451" i="8"/>
  <c r="L501" i="14" l="1"/>
  <c r="N500" i="14"/>
  <c r="O500" i="14"/>
  <c r="A497" i="14"/>
  <c r="D496" i="14"/>
  <c r="E496" i="14" s="1"/>
  <c r="C496" i="14"/>
  <c r="M463" i="14"/>
  <c r="P463" i="14"/>
  <c r="Q463" i="14"/>
  <c r="F463" i="14"/>
  <c r="B463" i="14"/>
  <c r="H463" i="14"/>
  <c r="G463" i="14"/>
  <c r="A453" i="12"/>
  <c r="G453" i="12" s="1"/>
  <c r="C452" i="12"/>
  <c r="F452" i="12"/>
  <c r="D452" i="12"/>
  <c r="E452" i="12" s="1"/>
  <c r="O453" i="12"/>
  <c r="K453" i="12"/>
  <c r="J454" i="12"/>
  <c r="L454" i="12" s="1"/>
  <c r="P453" i="12"/>
  <c r="M453" i="12"/>
  <c r="N453" i="12" s="1"/>
  <c r="B453" i="12"/>
  <c r="L453" i="8"/>
  <c r="T452" i="8"/>
  <c r="S452" i="8"/>
  <c r="R452" i="8"/>
  <c r="P452" i="8"/>
  <c r="Q452" i="8"/>
  <c r="O452" i="8"/>
  <c r="M452" i="8"/>
  <c r="N452" i="8"/>
  <c r="A453" i="8"/>
  <c r="G452" i="8"/>
  <c r="H452" i="8"/>
  <c r="F452" i="8"/>
  <c r="AG451" i="8" s="1"/>
  <c r="D452" i="8"/>
  <c r="E452" i="8" s="1"/>
  <c r="C452" i="8"/>
  <c r="B452" i="8"/>
  <c r="L502" i="14" l="1"/>
  <c r="N501" i="14"/>
  <c r="O501" i="14"/>
  <c r="A498" i="14"/>
  <c r="D497" i="14"/>
  <c r="E497" i="14" s="1"/>
  <c r="C497" i="14"/>
  <c r="Q464" i="14"/>
  <c r="P464" i="14"/>
  <c r="M464" i="14"/>
  <c r="H464" i="14"/>
  <c r="G464" i="14"/>
  <c r="F464" i="14"/>
  <c r="B464" i="14"/>
  <c r="A454" i="12"/>
  <c r="C453" i="12"/>
  <c r="F453" i="12"/>
  <c r="D453" i="12"/>
  <c r="E453" i="12" s="1"/>
  <c r="M454" i="12"/>
  <c r="N454" i="12" s="1"/>
  <c r="O454" i="12"/>
  <c r="P454" i="12"/>
  <c r="K454" i="12"/>
  <c r="J455" i="12"/>
  <c r="L455" i="12" s="1"/>
  <c r="B454" i="12"/>
  <c r="G454" i="12"/>
  <c r="L454" i="8"/>
  <c r="T453" i="8"/>
  <c r="S453" i="8"/>
  <c r="R453" i="8"/>
  <c r="Q453" i="8"/>
  <c r="O453" i="8"/>
  <c r="P453" i="8"/>
  <c r="M453" i="8"/>
  <c r="N453" i="8"/>
  <c r="A454" i="8"/>
  <c r="H453" i="8"/>
  <c r="G453" i="8"/>
  <c r="F453" i="8"/>
  <c r="AG452" i="8" s="1"/>
  <c r="D453" i="8"/>
  <c r="E453" i="8" s="1"/>
  <c r="C453" i="8"/>
  <c r="B453" i="8"/>
  <c r="L503" i="14" l="1"/>
  <c r="N502" i="14"/>
  <c r="O502" i="14"/>
  <c r="A499" i="14"/>
  <c r="D498" i="14"/>
  <c r="E498" i="14" s="1"/>
  <c r="C498" i="14"/>
  <c r="P465" i="14"/>
  <c r="Q465" i="14"/>
  <c r="M465" i="14"/>
  <c r="H465" i="14"/>
  <c r="B465" i="14"/>
  <c r="G465" i="14"/>
  <c r="F465" i="14"/>
  <c r="A455" i="12"/>
  <c r="C454" i="12"/>
  <c r="F454" i="12"/>
  <c r="D454" i="12"/>
  <c r="E454" i="12" s="1"/>
  <c r="J456" i="12"/>
  <c r="L456" i="12" s="1"/>
  <c r="M455" i="12"/>
  <c r="N455" i="12" s="1"/>
  <c r="O455" i="12"/>
  <c r="P455" i="12"/>
  <c r="K455" i="12"/>
  <c r="B455" i="12"/>
  <c r="G455" i="12"/>
  <c r="L455" i="8"/>
  <c r="T454" i="8"/>
  <c r="R454" i="8"/>
  <c r="S454" i="8"/>
  <c r="Q454" i="8"/>
  <c r="P454" i="8"/>
  <c r="O454" i="8"/>
  <c r="M454" i="8"/>
  <c r="N454" i="8"/>
  <c r="A455" i="8"/>
  <c r="G454" i="8"/>
  <c r="H454" i="8"/>
  <c r="C454" i="8"/>
  <c r="F454" i="8"/>
  <c r="AG453" i="8" s="1"/>
  <c r="D454" i="8"/>
  <c r="E454" i="8" s="1"/>
  <c r="B454" i="8"/>
  <c r="L504" i="14" l="1"/>
  <c r="N503" i="14"/>
  <c r="O503" i="14"/>
  <c r="A500" i="14"/>
  <c r="D499" i="14"/>
  <c r="E499" i="14" s="1"/>
  <c r="C499" i="14"/>
  <c r="M466" i="14"/>
  <c r="Q466" i="14"/>
  <c r="P466" i="14"/>
  <c r="F466" i="14"/>
  <c r="G466" i="14"/>
  <c r="B466" i="14"/>
  <c r="H466" i="14"/>
  <c r="A456" i="12"/>
  <c r="B456" i="12" s="1"/>
  <c r="F455" i="12"/>
  <c r="C455" i="12"/>
  <c r="D455" i="12"/>
  <c r="E455" i="12" s="1"/>
  <c r="J457" i="12"/>
  <c r="L457" i="12" s="1"/>
  <c r="K456" i="12"/>
  <c r="P456" i="12"/>
  <c r="M456" i="12"/>
  <c r="N456" i="12" s="1"/>
  <c r="O456" i="12"/>
  <c r="G456" i="12"/>
  <c r="L456" i="8"/>
  <c r="T455" i="8"/>
  <c r="S455" i="8"/>
  <c r="R455" i="8"/>
  <c r="Q455" i="8"/>
  <c r="P455" i="8"/>
  <c r="M455" i="8"/>
  <c r="O455" i="8"/>
  <c r="N455" i="8"/>
  <c r="A456" i="8"/>
  <c r="H455" i="8"/>
  <c r="G455" i="8"/>
  <c r="F455" i="8"/>
  <c r="AG454" i="8" s="1"/>
  <c r="C455" i="8"/>
  <c r="D455" i="8"/>
  <c r="E455" i="8" s="1"/>
  <c r="B455" i="8"/>
  <c r="L505" i="14" l="1"/>
  <c r="N504" i="14"/>
  <c r="O504" i="14"/>
  <c r="A501" i="14"/>
  <c r="D500" i="14"/>
  <c r="E500" i="14" s="1"/>
  <c r="C500" i="14"/>
  <c r="M467" i="14"/>
  <c r="P467" i="14"/>
  <c r="Q467" i="14"/>
  <c r="F467" i="14"/>
  <c r="H467" i="14"/>
  <c r="G467" i="14"/>
  <c r="B467" i="14"/>
  <c r="A457" i="12"/>
  <c r="B457" i="12" s="1"/>
  <c r="F456" i="12"/>
  <c r="C456" i="12"/>
  <c r="D456" i="12"/>
  <c r="E456" i="12" s="1"/>
  <c r="P457" i="12"/>
  <c r="K457" i="12"/>
  <c r="O457" i="12"/>
  <c r="J458" i="12"/>
  <c r="L458" i="12" s="1"/>
  <c r="M457" i="12"/>
  <c r="N457" i="12" s="1"/>
  <c r="L457" i="8"/>
  <c r="T456" i="8"/>
  <c r="S456" i="8"/>
  <c r="R456" i="8"/>
  <c r="Q456" i="8"/>
  <c r="P456" i="8"/>
  <c r="M456" i="8"/>
  <c r="N456" i="8"/>
  <c r="O456" i="8"/>
  <c r="A457" i="8"/>
  <c r="G456" i="8"/>
  <c r="H456" i="8"/>
  <c r="F456" i="8"/>
  <c r="AG455" i="8" s="1"/>
  <c r="D456" i="8"/>
  <c r="E456" i="8" s="1"/>
  <c r="C456" i="8"/>
  <c r="B456" i="8"/>
  <c r="L506" i="14" l="1"/>
  <c r="N505" i="14"/>
  <c r="O505" i="14"/>
  <c r="A502" i="14"/>
  <c r="D501" i="14"/>
  <c r="E501" i="14" s="1"/>
  <c r="C501" i="14"/>
  <c r="P468" i="14"/>
  <c r="M468" i="14"/>
  <c r="Q468" i="14"/>
  <c r="H468" i="14"/>
  <c r="B468" i="14"/>
  <c r="G468" i="14"/>
  <c r="F468" i="14"/>
  <c r="G457" i="12"/>
  <c r="A458" i="12"/>
  <c r="G458" i="12" s="1"/>
  <c r="F457" i="12"/>
  <c r="C457" i="12"/>
  <c r="D457" i="12"/>
  <c r="E457" i="12" s="1"/>
  <c r="O458" i="12"/>
  <c r="K458" i="12"/>
  <c r="J459" i="12"/>
  <c r="L459" i="12" s="1"/>
  <c r="M458" i="12"/>
  <c r="N458" i="12" s="1"/>
  <c r="P458" i="12"/>
  <c r="L458" i="8"/>
  <c r="T457" i="8"/>
  <c r="S457" i="8"/>
  <c r="R457" i="8"/>
  <c r="Q457" i="8"/>
  <c r="P457" i="8"/>
  <c r="O457" i="8"/>
  <c r="M457" i="8"/>
  <c r="N457" i="8"/>
  <c r="A458" i="8"/>
  <c r="H457" i="8"/>
  <c r="G457" i="8"/>
  <c r="F457" i="8"/>
  <c r="AG456" i="8" s="1"/>
  <c r="D457" i="8"/>
  <c r="E457" i="8" s="1"/>
  <c r="C457" i="8"/>
  <c r="B457" i="8"/>
  <c r="B458" i="12" l="1"/>
  <c r="L507" i="14"/>
  <c r="N506" i="14"/>
  <c r="O506" i="14"/>
  <c r="A503" i="14"/>
  <c r="D502" i="14"/>
  <c r="E502" i="14" s="1"/>
  <c r="C502" i="14"/>
  <c r="M469" i="14"/>
  <c r="Q469" i="14"/>
  <c r="P469" i="14"/>
  <c r="F469" i="14"/>
  <c r="B469" i="14"/>
  <c r="H469" i="14"/>
  <c r="G469" i="14"/>
  <c r="A459" i="12"/>
  <c r="G459" i="12" s="1"/>
  <c r="C458" i="12"/>
  <c r="F458" i="12"/>
  <c r="D458" i="12"/>
  <c r="E458" i="12" s="1"/>
  <c r="K459" i="12"/>
  <c r="M459" i="12"/>
  <c r="N459" i="12" s="1"/>
  <c r="J460" i="12"/>
  <c r="L460" i="12" s="1"/>
  <c r="O459" i="12"/>
  <c r="P459" i="12"/>
  <c r="L459" i="8"/>
  <c r="T458" i="8"/>
  <c r="S458" i="8"/>
  <c r="R458" i="8"/>
  <c r="Q458" i="8"/>
  <c r="P458" i="8"/>
  <c r="O458" i="8"/>
  <c r="M458" i="8"/>
  <c r="N458" i="8"/>
  <c r="A459" i="8"/>
  <c r="H458" i="8"/>
  <c r="G458" i="8"/>
  <c r="F458" i="8"/>
  <c r="AG457" i="8" s="1"/>
  <c r="D458" i="8"/>
  <c r="E458" i="8" s="1"/>
  <c r="C458" i="8"/>
  <c r="B458" i="8"/>
  <c r="B459" i="12" l="1"/>
  <c r="L508" i="14"/>
  <c r="N507" i="14"/>
  <c r="O507" i="14"/>
  <c r="A504" i="14"/>
  <c r="D503" i="14"/>
  <c r="E503" i="14" s="1"/>
  <c r="C503" i="14"/>
  <c r="Q470" i="14"/>
  <c r="P470" i="14"/>
  <c r="M470" i="14"/>
  <c r="B470" i="14"/>
  <c r="F470" i="14"/>
  <c r="H470" i="14"/>
  <c r="G470" i="14"/>
  <c r="A460" i="12"/>
  <c r="B460" i="12" s="1"/>
  <c r="C459" i="12"/>
  <c r="F459" i="12"/>
  <c r="D459" i="12"/>
  <c r="E459" i="12" s="1"/>
  <c r="M460" i="12"/>
  <c r="N460" i="12" s="1"/>
  <c r="K460" i="12"/>
  <c r="O460" i="12"/>
  <c r="J461" i="12"/>
  <c r="L461" i="12" s="1"/>
  <c r="P460" i="12"/>
  <c r="L460" i="8"/>
  <c r="T459" i="8"/>
  <c r="S459" i="8"/>
  <c r="R459" i="8"/>
  <c r="Q459" i="8"/>
  <c r="P459" i="8"/>
  <c r="O459" i="8"/>
  <c r="M459" i="8"/>
  <c r="N459" i="8"/>
  <c r="A460" i="8"/>
  <c r="G459" i="8"/>
  <c r="H459" i="8"/>
  <c r="F459" i="8"/>
  <c r="AG458" i="8" s="1"/>
  <c r="D459" i="8"/>
  <c r="E459" i="8" s="1"/>
  <c r="C459" i="8"/>
  <c r="B459" i="8"/>
  <c r="G460" i="12" l="1"/>
  <c r="L509" i="14"/>
  <c r="N508" i="14"/>
  <c r="O508" i="14"/>
  <c r="A505" i="14"/>
  <c r="D504" i="14"/>
  <c r="E504" i="14" s="1"/>
  <c r="C504" i="14"/>
  <c r="P471" i="14"/>
  <c r="M471" i="14"/>
  <c r="Q471" i="14"/>
  <c r="H471" i="14"/>
  <c r="B471" i="14"/>
  <c r="G471" i="14"/>
  <c r="F471" i="14"/>
  <c r="A461" i="12"/>
  <c r="B461" i="12" s="1"/>
  <c r="C460" i="12"/>
  <c r="F460" i="12"/>
  <c r="D460" i="12"/>
  <c r="E460" i="12" s="1"/>
  <c r="K461" i="12"/>
  <c r="P461" i="12"/>
  <c r="J462" i="12"/>
  <c r="L462" i="12" s="1"/>
  <c r="M461" i="12"/>
  <c r="N461" i="12" s="1"/>
  <c r="O461" i="12"/>
  <c r="L461" i="8"/>
  <c r="T460" i="8"/>
  <c r="S460" i="8"/>
  <c r="R460" i="8"/>
  <c r="Q460" i="8"/>
  <c r="P460" i="8"/>
  <c r="O460" i="8"/>
  <c r="M460" i="8"/>
  <c r="N460" i="8"/>
  <c r="A461" i="8"/>
  <c r="G460" i="8"/>
  <c r="H460" i="8"/>
  <c r="F460" i="8"/>
  <c r="AG459" i="8" s="1"/>
  <c r="D460" i="8"/>
  <c r="E460" i="8" s="1"/>
  <c r="C460" i="8"/>
  <c r="B460" i="8"/>
  <c r="L510" i="14" l="1"/>
  <c r="N509" i="14"/>
  <c r="O509" i="14"/>
  <c r="A506" i="14"/>
  <c r="D505" i="14"/>
  <c r="E505" i="14" s="1"/>
  <c r="C505" i="14"/>
  <c r="P472" i="14"/>
  <c r="M472" i="14"/>
  <c r="Q472" i="14"/>
  <c r="F472" i="14"/>
  <c r="B472" i="14"/>
  <c r="H472" i="14"/>
  <c r="G472" i="14"/>
  <c r="G461" i="12"/>
  <c r="A462" i="12"/>
  <c r="B462" i="12" s="1"/>
  <c r="F461" i="12"/>
  <c r="C461" i="12"/>
  <c r="D461" i="12"/>
  <c r="E461" i="12" s="1"/>
  <c r="J463" i="12"/>
  <c r="L463" i="12" s="1"/>
  <c r="K462" i="12"/>
  <c r="O462" i="12"/>
  <c r="M462" i="12"/>
  <c r="N462" i="12" s="1"/>
  <c r="P462" i="12"/>
  <c r="G462" i="12"/>
  <c r="L462" i="8"/>
  <c r="T461" i="8"/>
  <c r="S461" i="8"/>
  <c r="R461" i="8"/>
  <c r="Q461" i="8"/>
  <c r="P461" i="8"/>
  <c r="O461" i="8"/>
  <c r="M461" i="8"/>
  <c r="N461" i="8"/>
  <c r="A462" i="8"/>
  <c r="H461" i="8"/>
  <c r="G461" i="8"/>
  <c r="F461" i="8"/>
  <c r="AG460" i="8" s="1"/>
  <c r="D461" i="8"/>
  <c r="E461" i="8" s="1"/>
  <c r="C461" i="8"/>
  <c r="B461" i="8"/>
  <c r="L511" i="14" l="1"/>
  <c r="N510" i="14"/>
  <c r="O510" i="14"/>
  <c r="A507" i="14"/>
  <c r="D506" i="14"/>
  <c r="E506" i="14" s="1"/>
  <c r="C506" i="14"/>
  <c r="P473" i="14"/>
  <c r="M473" i="14"/>
  <c r="Q473" i="14"/>
  <c r="H473" i="14"/>
  <c r="G473" i="14"/>
  <c r="B473" i="14"/>
  <c r="F473" i="14"/>
  <c r="A463" i="12"/>
  <c r="F462" i="12"/>
  <c r="C462" i="12"/>
  <c r="D462" i="12"/>
  <c r="E462" i="12" s="1"/>
  <c r="P463" i="12"/>
  <c r="J464" i="12"/>
  <c r="L464" i="12" s="1"/>
  <c r="K463" i="12"/>
  <c r="O463" i="12"/>
  <c r="M463" i="12"/>
  <c r="N463" i="12" s="1"/>
  <c r="G463" i="12"/>
  <c r="B463" i="12"/>
  <c r="L463" i="8"/>
  <c r="T462" i="8"/>
  <c r="R462" i="8"/>
  <c r="S462" i="8"/>
  <c r="Q462" i="8"/>
  <c r="P462" i="8"/>
  <c r="O462" i="8"/>
  <c r="M462" i="8"/>
  <c r="N462" i="8"/>
  <c r="A463" i="8"/>
  <c r="G462" i="8"/>
  <c r="H462" i="8"/>
  <c r="F462" i="8"/>
  <c r="AG461" i="8" s="1"/>
  <c r="D462" i="8"/>
  <c r="E462" i="8" s="1"/>
  <c r="C462" i="8"/>
  <c r="B462" i="8"/>
  <c r="L512" i="14" l="1"/>
  <c r="N511" i="14"/>
  <c r="O511" i="14"/>
  <c r="A508" i="14"/>
  <c r="D507" i="14"/>
  <c r="E507" i="14" s="1"/>
  <c r="C507" i="14"/>
  <c r="P474" i="14"/>
  <c r="Q474" i="14"/>
  <c r="M474" i="14"/>
  <c r="H474" i="14"/>
  <c r="B474" i="14"/>
  <c r="G474" i="14"/>
  <c r="F474" i="14"/>
  <c r="A464" i="12"/>
  <c r="F463" i="12"/>
  <c r="C463" i="12"/>
  <c r="D463" i="12"/>
  <c r="E463" i="12" s="1"/>
  <c r="O464" i="12"/>
  <c r="M464" i="12"/>
  <c r="N464" i="12" s="1"/>
  <c r="J465" i="12"/>
  <c r="L465" i="12" s="1"/>
  <c r="P464" i="12"/>
  <c r="K464" i="12"/>
  <c r="B464" i="12"/>
  <c r="G464" i="12"/>
  <c r="L464" i="8"/>
  <c r="T463" i="8"/>
  <c r="R463" i="8"/>
  <c r="S463" i="8"/>
  <c r="Q463" i="8"/>
  <c r="P463" i="8"/>
  <c r="M463" i="8"/>
  <c r="O463" i="8"/>
  <c r="N463" i="8"/>
  <c r="A464" i="8"/>
  <c r="F463" i="8"/>
  <c r="AG462" i="8" s="1"/>
  <c r="G463" i="8"/>
  <c r="H463" i="8"/>
  <c r="D463" i="8"/>
  <c r="E463" i="8" s="1"/>
  <c r="C463" i="8"/>
  <c r="B463" i="8"/>
  <c r="L513" i="14" l="1"/>
  <c r="N512" i="14"/>
  <c r="O512" i="14"/>
  <c r="A509" i="14"/>
  <c r="D508" i="14"/>
  <c r="E508" i="14" s="1"/>
  <c r="C508" i="14"/>
  <c r="M475" i="14"/>
  <c r="P475" i="14"/>
  <c r="Q475" i="14"/>
  <c r="H475" i="14"/>
  <c r="B475" i="14"/>
  <c r="G475" i="14"/>
  <c r="F475" i="14"/>
  <c r="A465" i="12"/>
  <c r="C464" i="12"/>
  <c r="F464" i="12"/>
  <c r="D464" i="12"/>
  <c r="E464" i="12" s="1"/>
  <c r="K465" i="12"/>
  <c r="O465" i="12"/>
  <c r="P465" i="12"/>
  <c r="J466" i="12"/>
  <c r="L466" i="12" s="1"/>
  <c r="M465" i="12"/>
  <c r="N465" i="12" s="1"/>
  <c r="G465" i="12"/>
  <c r="B465" i="12"/>
  <c r="L465" i="8"/>
  <c r="T464" i="8"/>
  <c r="S464" i="8"/>
  <c r="Q464" i="8"/>
  <c r="R464" i="8"/>
  <c r="P464" i="8"/>
  <c r="M464" i="8"/>
  <c r="N464" i="8"/>
  <c r="O464" i="8"/>
  <c r="A465" i="8"/>
  <c r="H464" i="8"/>
  <c r="G464" i="8"/>
  <c r="F464" i="8"/>
  <c r="AG463" i="8" s="1"/>
  <c r="D464" i="8"/>
  <c r="E464" i="8" s="1"/>
  <c r="C464" i="8"/>
  <c r="B464" i="8"/>
  <c r="L514" i="14" l="1"/>
  <c r="N513" i="14"/>
  <c r="O513" i="14"/>
  <c r="A510" i="14"/>
  <c r="D509" i="14"/>
  <c r="E509" i="14" s="1"/>
  <c r="C509" i="14"/>
  <c r="Q476" i="14"/>
  <c r="P476" i="14"/>
  <c r="M476" i="14"/>
  <c r="F476" i="14"/>
  <c r="G476" i="14"/>
  <c r="H476" i="14"/>
  <c r="B476" i="14"/>
  <c r="A466" i="12"/>
  <c r="C465" i="12"/>
  <c r="F465" i="12"/>
  <c r="D465" i="12"/>
  <c r="E465" i="12" s="1"/>
  <c r="M466" i="12"/>
  <c r="N466" i="12" s="1"/>
  <c r="P466" i="12"/>
  <c r="J467" i="12"/>
  <c r="L467" i="12" s="1"/>
  <c r="O466" i="12"/>
  <c r="K466" i="12"/>
  <c r="B466" i="12"/>
  <c r="G466" i="12"/>
  <c r="L466" i="8"/>
  <c r="T465" i="8"/>
  <c r="S465" i="8"/>
  <c r="R465" i="8"/>
  <c r="Q465" i="8"/>
  <c r="O465" i="8"/>
  <c r="P465" i="8"/>
  <c r="M465" i="8"/>
  <c r="N465" i="8"/>
  <c r="A466" i="8"/>
  <c r="H465" i="8"/>
  <c r="G465" i="8"/>
  <c r="F465" i="8"/>
  <c r="AG464" i="8" s="1"/>
  <c r="D465" i="8"/>
  <c r="E465" i="8" s="1"/>
  <c r="B465" i="8"/>
  <c r="C465" i="8"/>
  <c r="L515" i="14" l="1"/>
  <c r="N514" i="14"/>
  <c r="O514" i="14"/>
  <c r="A511" i="14"/>
  <c r="D510" i="14"/>
  <c r="E510" i="14" s="1"/>
  <c r="C510" i="14"/>
  <c r="P477" i="14"/>
  <c r="Q477" i="14"/>
  <c r="M477" i="14"/>
  <c r="F477" i="14"/>
  <c r="H477" i="14"/>
  <c r="G477" i="14"/>
  <c r="B477" i="14"/>
  <c r="A467" i="12"/>
  <c r="G467" i="12" s="1"/>
  <c r="C466" i="12"/>
  <c r="F466" i="12"/>
  <c r="D466" i="12"/>
  <c r="E466" i="12" s="1"/>
  <c r="M467" i="12"/>
  <c r="N467" i="12" s="1"/>
  <c r="O467" i="12"/>
  <c r="J468" i="12"/>
  <c r="L468" i="12" s="1"/>
  <c r="P467" i="12"/>
  <c r="K467" i="12"/>
  <c r="B467" i="12"/>
  <c r="L467" i="8"/>
  <c r="T466" i="8"/>
  <c r="S466" i="8"/>
  <c r="R466" i="8"/>
  <c r="Q466" i="8"/>
  <c r="P466" i="8"/>
  <c r="O466" i="8"/>
  <c r="M466" i="8"/>
  <c r="N466" i="8"/>
  <c r="A467" i="8"/>
  <c r="G466" i="8"/>
  <c r="H466" i="8"/>
  <c r="F466" i="8"/>
  <c r="AG465" i="8" s="1"/>
  <c r="D466" i="8"/>
  <c r="E466" i="8" s="1"/>
  <c r="B466" i="8"/>
  <c r="C466" i="8"/>
  <c r="L516" i="14" l="1"/>
  <c r="N515" i="14"/>
  <c r="O515" i="14"/>
  <c r="A512" i="14"/>
  <c r="D511" i="14"/>
  <c r="E511" i="14" s="1"/>
  <c r="C511" i="14"/>
  <c r="Q478" i="14"/>
  <c r="M478" i="14"/>
  <c r="P478" i="14"/>
  <c r="H478" i="14"/>
  <c r="B478" i="14"/>
  <c r="G478" i="14"/>
  <c r="F478" i="14"/>
  <c r="A468" i="12"/>
  <c r="F467" i="12"/>
  <c r="C467" i="12"/>
  <c r="D467" i="12"/>
  <c r="E467" i="12" s="1"/>
  <c r="J469" i="12"/>
  <c r="L469" i="12" s="1"/>
  <c r="K468" i="12"/>
  <c r="M468" i="12"/>
  <c r="N468" i="12" s="1"/>
  <c r="P468" i="12"/>
  <c r="O468" i="12"/>
  <c r="B468" i="12"/>
  <c r="G468" i="12"/>
  <c r="L468" i="8"/>
  <c r="T467" i="8"/>
  <c r="S467" i="8"/>
  <c r="R467" i="8"/>
  <c r="Q467" i="8"/>
  <c r="P467" i="8"/>
  <c r="O467" i="8"/>
  <c r="M467" i="8"/>
  <c r="N467" i="8"/>
  <c r="A468" i="8"/>
  <c r="G467" i="8"/>
  <c r="H467" i="8"/>
  <c r="F467" i="8"/>
  <c r="AG466" i="8" s="1"/>
  <c r="D467" i="8"/>
  <c r="E467" i="8" s="1"/>
  <c r="C467" i="8"/>
  <c r="B467" i="8"/>
  <c r="L517" i="14" l="1"/>
  <c r="N516" i="14"/>
  <c r="O516" i="14"/>
  <c r="A513" i="14"/>
  <c r="D512" i="14"/>
  <c r="E512" i="14" s="1"/>
  <c r="C512" i="14"/>
  <c r="Q479" i="14"/>
  <c r="P479" i="14"/>
  <c r="M479" i="14"/>
  <c r="F479" i="14"/>
  <c r="B479" i="14"/>
  <c r="H479" i="14"/>
  <c r="G479" i="14"/>
  <c r="A469" i="12"/>
  <c r="F468" i="12"/>
  <c r="C468" i="12"/>
  <c r="D468" i="12"/>
  <c r="E468" i="12" s="1"/>
  <c r="P469" i="12"/>
  <c r="M469" i="12"/>
  <c r="N469" i="12" s="1"/>
  <c r="J470" i="12"/>
  <c r="L470" i="12" s="1"/>
  <c r="O469" i="12"/>
  <c r="K469" i="12"/>
  <c r="G469" i="12"/>
  <c r="B469" i="12"/>
  <c r="L469" i="8"/>
  <c r="T468" i="8"/>
  <c r="S468" i="8"/>
  <c r="R468" i="8"/>
  <c r="P468" i="8"/>
  <c r="Q468" i="8"/>
  <c r="O468" i="8"/>
  <c r="M468" i="8"/>
  <c r="N468" i="8"/>
  <c r="A469" i="8"/>
  <c r="H468" i="8"/>
  <c r="F468" i="8"/>
  <c r="AG467" i="8" s="1"/>
  <c r="G468" i="8"/>
  <c r="C468" i="8"/>
  <c r="B468" i="8"/>
  <c r="D468" i="8"/>
  <c r="E468" i="8" s="1"/>
  <c r="L518" i="14" l="1"/>
  <c r="N517" i="14"/>
  <c r="O517" i="14"/>
  <c r="A514" i="14"/>
  <c r="D513" i="14"/>
  <c r="E513" i="14" s="1"/>
  <c r="C513" i="14"/>
  <c r="Q480" i="14"/>
  <c r="M480" i="14"/>
  <c r="P480" i="14"/>
  <c r="B480" i="14"/>
  <c r="H480" i="14"/>
  <c r="G480" i="14"/>
  <c r="F480" i="14"/>
  <c r="A470" i="12"/>
  <c r="F469" i="12"/>
  <c r="C469" i="12"/>
  <c r="D469" i="12"/>
  <c r="E469" i="12" s="1"/>
  <c r="O470" i="12"/>
  <c r="M470" i="12"/>
  <c r="N470" i="12" s="1"/>
  <c r="K470" i="12"/>
  <c r="P470" i="12"/>
  <c r="J471" i="12"/>
  <c r="L471" i="12" s="1"/>
  <c r="B470" i="12"/>
  <c r="G470" i="12"/>
  <c r="L470" i="8"/>
  <c r="S469" i="8"/>
  <c r="T469" i="8"/>
  <c r="R469" i="8"/>
  <c r="Q469" i="8"/>
  <c r="P469" i="8"/>
  <c r="O469" i="8"/>
  <c r="M469" i="8"/>
  <c r="N469" i="8"/>
  <c r="A470" i="8"/>
  <c r="H469" i="8"/>
  <c r="G469" i="8"/>
  <c r="F469" i="8"/>
  <c r="AG468" i="8" s="1"/>
  <c r="C469" i="8"/>
  <c r="D469" i="8"/>
  <c r="E469" i="8" s="1"/>
  <c r="B469" i="8"/>
  <c r="L519" i="14" l="1"/>
  <c r="N518" i="14"/>
  <c r="O518" i="14"/>
  <c r="A515" i="14"/>
  <c r="D514" i="14"/>
  <c r="E514" i="14" s="1"/>
  <c r="C514" i="14"/>
  <c r="M481" i="14"/>
  <c r="P481" i="14"/>
  <c r="Q481" i="14"/>
  <c r="H481" i="14"/>
  <c r="B481" i="14"/>
  <c r="G481" i="14"/>
  <c r="F481" i="14"/>
  <c r="A471" i="12"/>
  <c r="C470" i="12"/>
  <c r="F470" i="12"/>
  <c r="D470" i="12"/>
  <c r="E470" i="12" s="1"/>
  <c r="M471" i="12"/>
  <c r="N471" i="12" s="1"/>
  <c r="P471" i="12"/>
  <c r="K471" i="12"/>
  <c r="J472" i="12"/>
  <c r="L472" i="12" s="1"/>
  <c r="O471" i="12"/>
  <c r="G471" i="12"/>
  <c r="B471" i="12"/>
  <c r="L471" i="8"/>
  <c r="T470" i="8"/>
  <c r="R470" i="8"/>
  <c r="S470" i="8"/>
  <c r="Q470" i="8"/>
  <c r="P470" i="8"/>
  <c r="O470" i="8"/>
  <c r="M470" i="8"/>
  <c r="N470" i="8"/>
  <c r="A471" i="8"/>
  <c r="G470" i="8"/>
  <c r="H470" i="8"/>
  <c r="F470" i="8"/>
  <c r="AG469" i="8" s="1"/>
  <c r="C470" i="8"/>
  <c r="D470" i="8"/>
  <c r="E470" i="8" s="1"/>
  <c r="B470" i="8"/>
  <c r="L520" i="14" l="1"/>
  <c r="N519" i="14"/>
  <c r="O519" i="14"/>
  <c r="A516" i="14"/>
  <c r="D515" i="14"/>
  <c r="E515" i="14" s="1"/>
  <c r="C515" i="14"/>
  <c r="Q482" i="14"/>
  <c r="P482" i="14"/>
  <c r="M482" i="14"/>
  <c r="F482" i="14"/>
  <c r="B482" i="14"/>
  <c r="G482" i="14"/>
  <c r="H482" i="14"/>
  <c r="A472" i="12"/>
  <c r="G472" i="12" s="1"/>
  <c r="C471" i="12"/>
  <c r="F471" i="12"/>
  <c r="D471" i="12"/>
  <c r="E471" i="12" s="1"/>
  <c r="M472" i="12"/>
  <c r="N472" i="12" s="1"/>
  <c r="O472" i="12"/>
  <c r="J473" i="12"/>
  <c r="L473" i="12" s="1"/>
  <c r="P472" i="12"/>
  <c r="K472" i="12"/>
  <c r="B472" i="12"/>
  <c r="L472" i="8"/>
  <c r="T471" i="8"/>
  <c r="S471" i="8"/>
  <c r="Q471" i="8"/>
  <c r="R471" i="8"/>
  <c r="P471" i="8"/>
  <c r="O471" i="8"/>
  <c r="M471" i="8"/>
  <c r="N471" i="8"/>
  <c r="A472" i="8"/>
  <c r="H471" i="8"/>
  <c r="G471" i="8"/>
  <c r="F471" i="8"/>
  <c r="AG470" i="8" s="1"/>
  <c r="C471" i="8"/>
  <c r="D471" i="8"/>
  <c r="E471" i="8" s="1"/>
  <c r="B471" i="8"/>
  <c r="L521" i="14" l="1"/>
  <c r="N520" i="14"/>
  <c r="O520" i="14"/>
  <c r="A517" i="14"/>
  <c r="D516" i="14"/>
  <c r="E516" i="14" s="1"/>
  <c r="C516" i="14"/>
  <c r="P483" i="14"/>
  <c r="Q483" i="14"/>
  <c r="M483" i="14"/>
  <c r="H483" i="14"/>
  <c r="G483" i="14"/>
  <c r="F483" i="14"/>
  <c r="B483" i="14"/>
  <c r="A473" i="12"/>
  <c r="G473" i="12" s="1"/>
  <c r="C472" i="12"/>
  <c r="F472" i="12"/>
  <c r="D472" i="12"/>
  <c r="E472" i="12" s="1"/>
  <c r="P473" i="12"/>
  <c r="K473" i="12"/>
  <c r="M473" i="12"/>
  <c r="N473" i="12" s="1"/>
  <c r="J474" i="12"/>
  <c r="L474" i="12" s="1"/>
  <c r="O473" i="12"/>
  <c r="L473" i="8"/>
  <c r="T472" i="8"/>
  <c r="S472" i="8"/>
  <c r="Q472" i="8"/>
  <c r="R472" i="8"/>
  <c r="P472" i="8"/>
  <c r="O472" i="8"/>
  <c r="M472" i="8"/>
  <c r="N472" i="8"/>
  <c r="A473" i="8"/>
  <c r="H472" i="8"/>
  <c r="G472" i="8"/>
  <c r="F472" i="8"/>
  <c r="AG471" i="8" s="1"/>
  <c r="D472" i="8"/>
  <c r="E472" i="8" s="1"/>
  <c r="C472" i="8"/>
  <c r="B472" i="8"/>
  <c r="B473" i="12" l="1"/>
  <c r="L522" i="14"/>
  <c r="N521" i="14"/>
  <c r="O521" i="14"/>
  <c r="A518" i="14"/>
  <c r="D517" i="14"/>
  <c r="E517" i="14" s="1"/>
  <c r="C517" i="14"/>
  <c r="P484" i="14"/>
  <c r="M484" i="14"/>
  <c r="Q484" i="14"/>
  <c r="H484" i="14"/>
  <c r="B484" i="14"/>
  <c r="G484" i="14"/>
  <c r="F484" i="14"/>
  <c r="A474" i="12"/>
  <c r="G474" i="12" s="1"/>
  <c r="F473" i="12"/>
  <c r="C473" i="12"/>
  <c r="D473" i="12"/>
  <c r="E473" i="12" s="1"/>
  <c r="J475" i="12"/>
  <c r="L475" i="12" s="1"/>
  <c r="K474" i="12"/>
  <c r="P474" i="12"/>
  <c r="M474" i="12"/>
  <c r="N474" i="12" s="1"/>
  <c r="O474" i="12"/>
  <c r="L474" i="8"/>
  <c r="T473" i="8"/>
  <c r="S473" i="8"/>
  <c r="Q473" i="8"/>
  <c r="R473" i="8"/>
  <c r="O473" i="8"/>
  <c r="P473" i="8"/>
  <c r="M473" i="8"/>
  <c r="N473" i="8"/>
  <c r="A474" i="8"/>
  <c r="H473" i="8"/>
  <c r="G473" i="8"/>
  <c r="F473" i="8"/>
  <c r="AG472" i="8" s="1"/>
  <c r="D473" i="8"/>
  <c r="E473" i="8" s="1"/>
  <c r="B473" i="8"/>
  <c r="C473" i="8"/>
  <c r="B474" i="12" l="1"/>
  <c r="L523" i="14"/>
  <c r="N522" i="14"/>
  <c r="O522" i="14"/>
  <c r="A519" i="14"/>
  <c r="D518" i="14"/>
  <c r="E518" i="14" s="1"/>
  <c r="C518" i="14"/>
  <c r="P485" i="14"/>
  <c r="Q485" i="14"/>
  <c r="M485" i="14"/>
  <c r="F485" i="14"/>
  <c r="G485" i="14"/>
  <c r="H485" i="14"/>
  <c r="B485" i="14"/>
  <c r="A475" i="12"/>
  <c r="G475" i="12" s="1"/>
  <c r="F474" i="12"/>
  <c r="C474" i="12"/>
  <c r="D474" i="12"/>
  <c r="E474" i="12" s="1"/>
  <c r="P475" i="12"/>
  <c r="K475" i="12"/>
  <c r="M475" i="12"/>
  <c r="N475" i="12" s="1"/>
  <c r="J476" i="12"/>
  <c r="L476" i="12" s="1"/>
  <c r="O475" i="12"/>
  <c r="L475" i="8"/>
  <c r="T474" i="8"/>
  <c r="S474" i="8"/>
  <c r="R474" i="8"/>
  <c r="Q474" i="8"/>
  <c r="O474" i="8"/>
  <c r="P474" i="8"/>
  <c r="M474" i="8"/>
  <c r="N474" i="8"/>
  <c r="A475" i="8"/>
  <c r="G474" i="8"/>
  <c r="H474" i="8"/>
  <c r="F474" i="8"/>
  <c r="AG473" i="8" s="1"/>
  <c r="D474" i="8"/>
  <c r="E474" i="8" s="1"/>
  <c r="B474" i="8"/>
  <c r="C474" i="8"/>
  <c r="B475" i="12" l="1"/>
  <c r="L524" i="14"/>
  <c r="N523" i="14"/>
  <c r="O523" i="14"/>
  <c r="A520" i="14"/>
  <c r="D519" i="14"/>
  <c r="E519" i="14" s="1"/>
  <c r="C519" i="14"/>
  <c r="P486" i="14"/>
  <c r="M486" i="14"/>
  <c r="Q486" i="14"/>
  <c r="G486" i="14"/>
  <c r="F486" i="14"/>
  <c r="H486" i="14"/>
  <c r="B486" i="14"/>
  <c r="A476" i="12"/>
  <c r="G476" i="12" s="1"/>
  <c r="F475" i="12"/>
  <c r="C475" i="12"/>
  <c r="D475" i="12"/>
  <c r="E475" i="12" s="1"/>
  <c r="O476" i="12"/>
  <c r="P476" i="12"/>
  <c r="J477" i="12"/>
  <c r="L477" i="12" s="1"/>
  <c r="K476" i="12"/>
  <c r="M476" i="12"/>
  <c r="N476" i="12" s="1"/>
  <c r="B476" i="12"/>
  <c r="L476" i="8"/>
  <c r="T475" i="8"/>
  <c r="S475" i="8"/>
  <c r="R475" i="8"/>
  <c r="Q475" i="8"/>
  <c r="P475" i="8"/>
  <c r="O475" i="8"/>
  <c r="M475" i="8"/>
  <c r="N475" i="8"/>
  <c r="A476" i="8"/>
  <c r="G475" i="8"/>
  <c r="H475" i="8"/>
  <c r="F475" i="8"/>
  <c r="AG474" i="8" s="1"/>
  <c r="D475" i="8"/>
  <c r="E475" i="8" s="1"/>
  <c r="B475" i="8"/>
  <c r="C475" i="8"/>
  <c r="L525" i="14" l="1"/>
  <c r="N524" i="14"/>
  <c r="O524" i="14"/>
  <c r="A521" i="14"/>
  <c r="D520" i="14"/>
  <c r="E520" i="14" s="1"/>
  <c r="C520" i="14"/>
  <c r="M487" i="14"/>
  <c r="P487" i="14"/>
  <c r="Q487" i="14"/>
  <c r="H487" i="14"/>
  <c r="B487" i="14"/>
  <c r="F487" i="14"/>
  <c r="G487" i="14"/>
  <c r="A477" i="12"/>
  <c r="C476" i="12"/>
  <c r="F476" i="12"/>
  <c r="D476" i="12"/>
  <c r="E476" i="12" s="1"/>
  <c r="O477" i="12"/>
  <c r="M477" i="12"/>
  <c r="N477" i="12" s="1"/>
  <c r="J478" i="12"/>
  <c r="L478" i="12" s="1"/>
  <c r="P477" i="12"/>
  <c r="K477" i="12"/>
  <c r="B477" i="12"/>
  <c r="G477" i="12"/>
  <c r="L477" i="8"/>
  <c r="T476" i="8"/>
  <c r="S476" i="8"/>
  <c r="R476" i="8"/>
  <c r="Q476" i="8"/>
  <c r="P476" i="8"/>
  <c r="O476" i="8"/>
  <c r="M476" i="8"/>
  <c r="N476" i="8"/>
  <c r="A477" i="8"/>
  <c r="G476" i="8"/>
  <c r="H476" i="8"/>
  <c r="F476" i="8"/>
  <c r="AG475" i="8" s="1"/>
  <c r="D476" i="8"/>
  <c r="E476" i="8" s="1"/>
  <c r="C476" i="8"/>
  <c r="B476" i="8"/>
  <c r="L526" i="14" l="1"/>
  <c r="N525" i="14"/>
  <c r="O525" i="14"/>
  <c r="A522" i="14"/>
  <c r="D521" i="14"/>
  <c r="E521" i="14" s="1"/>
  <c r="C521" i="14"/>
  <c r="Q488" i="14"/>
  <c r="P488" i="14"/>
  <c r="M488" i="14"/>
  <c r="F488" i="14"/>
  <c r="B488" i="14"/>
  <c r="H488" i="14"/>
  <c r="G488" i="14"/>
  <c r="A478" i="12"/>
  <c r="B478" i="12" s="1"/>
  <c r="C477" i="12"/>
  <c r="F477" i="12"/>
  <c r="D477" i="12"/>
  <c r="E477" i="12" s="1"/>
  <c r="M478" i="12"/>
  <c r="N478" i="12" s="1"/>
  <c r="O478" i="12"/>
  <c r="P478" i="12"/>
  <c r="K478" i="12"/>
  <c r="J479" i="12"/>
  <c r="L479" i="12" s="1"/>
  <c r="G478" i="12"/>
  <c r="L478" i="8"/>
  <c r="T477" i="8"/>
  <c r="S477" i="8"/>
  <c r="R477" i="8"/>
  <c r="Q477" i="8"/>
  <c r="P477" i="8"/>
  <c r="O477" i="8"/>
  <c r="M477" i="8"/>
  <c r="N477" i="8"/>
  <c r="A478" i="8"/>
  <c r="H477" i="8"/>
  <c r="G477" i="8"/>
  <c r="F477" i="8"/>
  <c r="AG476" i="8" s="1"/>
  <c r="D477" i="8"/>
  <c r="E477" i="8" s="1"/>
  <c r="C477" i="8"/>
  <c r="B477" i="8"/>
  <c r="L527" i="14" l="1"/>
  <c r="N526" i="14"/>
  <c r="O526" i="14"/>
  <c r="A523" i="14"/>
  <c r="D522" i="14"/>
  <c r="E522" i="14" s="1"/>
  <c r="C522" i="14"/>
  <c r="P489" i="14"/>
  <c r="Q489" i="14"/>
  <c r="M489" i="14"/>
  <c r="F489" i="14"/>
  <c r="B489" i="14"/>
  <c r="H489" i="14"/>
  <c r="G489" i="14"/>
  <c r="A479" i="12"/>
  <c r="F478" i="12"/>
  <c r="C478" i="12"/>
  <c r="D478" i="12"/>
  <c r="E478" i="12" s="1"/>
  <c r="O479" i="12"/>
  <c r="J480" i="12"/>
  <c r="L480" i="12" s="1"/>
  <c r="K479" i="12"/>
  <c r="P479" i="12"/>
  <c r="M479" i="12"/>
  <c r="N479" i="12" s="1"/>
  <c r="B479" i="12"/>
  <c r="G479" i="12"/>
  <c r="L479" i="8"/>
  <c r="T478" i="8"/>
  <c r="R478" i="8"/>
  <c r="S478" i="8"/>
  <c r="Q478" i="8"/>
  <c r="P478" i="8"/>
  <c r="O478" i="8"/>
  <c r="M478" i="8"/>
  <c r="N478" i="8"/>
  <c r="A479" i="8"/>
  <c r="H478" i="8"/>
  <c r="G478" i="8"/>
  <c r="C478" i="8"/>
  <c r="D478" i="8"/>
  <c r="E478" i="8" s="1"/>
  <c r="F478" i="8"/>
  <c r="AG477" i="8" s="1"/>
  <c r="B478" i="8"/>
  <c r="L528" i="14" l="1"/>
  <c r="N527" i="14"/>
  <c r="O527" i="14"/>
  <c r="A524" i="14"/>
  <c r="D523" i="14"/>
  <c r="E523" i="14" s="1"/>
  <c r="C523" i="14"/>
  <c r="Q490" i="14"/>
  <c r="M490" i="14"/>
  <c r="P490" i="14"/>
  <c r="B490" i="14"/>
  <c r="H490" i="14"/>
  <c r="G490" i="14"/>
  <c r="F490" i="14"/>
  <c r="A480" i="12"/>
  <c r="F479" i="12"/>
  <c r="C479" i="12"/>
  <c r="D479" i="12"/>
  <c r="E479" i="12" s="1"/>
  <c r="J481" i="12"/>
  <c r="L481" i="12" s="1"/>
  <c r="K480" i="12"/>
  <c r="O480" i="12"/>
  <c r="M480" i="12"/>
  <c r="N480" i="12" s="1"/>
  <c r="P480" i="12"/>
  <c r="G480" i="12"/>
  <c r="B480" i="12"/>
  <c r="L480" i="8"/>
  <c r="T479" i="8"/>
  <c r="S479" i="8"/>
  <c r="R479" i="8"/>
  <c r="Q479" i="8"/>
  <c r="P479" i="8"/>
  <c r="M479" i="8"/>
  <c r="O479" i="8"/>
  <c r="N479" i="8"/>
  <c r="A480" i="8"/>
  <c r="G479" i="8"/>
  <c r="H479" i="8"/>
  <c r="C479" i="8"/>
  <c r="F479" i="8"/>
  <c r="AG478" i="8" s="1"/>
  <c r="D479" i="8"/>
  <c r="E479" i="8" s="1"/>
  <c r="B479" i="8"/>
  <c r="L529" i="14" l="1"/>
  <c r="N528" i="14"/>
  <c r="O528" i="14"/>
  <c r="A525" i="14"/>
  <c r="D524" i="14"/>
  <c r="E524" i="14" s="1"/>
  <c r="C524" i="14"/>
  <c r="Q491" i="14"/>
  <c r="M491" i="14"/>
  <c r="P491" i="14"/>
  <c r="G491" i="14"/>
  <c r="B491" i="14"/>
  <c r="H491" i="14"/>
  <c r="F491" i="14"/>
  <c r="A481" i="12"/>
  <c r="B481" i="12" s="1"/>
  <c r="F480" i="12"/>
  <c r="C480" i="12"/>
  <c r="D480" i="12"/>
  <c r="E480" i="12" s="1"/>
  <c r="P481" i="12"/>
  <c r="O481" i="12"/>
  <c r="J482" i="12"/>
  <c r="L482" i="12" s="1"/>
  <c r="M481" i="12"/>
  <c r="N481" i="12" s="1"/>
  <c r="K481" i="12"/>
  <c r="G481" i="12"/>
  <c r="L481" i="8"/>
  <c r="T480" i="8"/>
  <c r="S480" i="8"/>
  <c r="Q480" i="8"/>
  <c r="R480" i="8"/>
  <c r="P480" i="8"/>
  <c r="M480" i="8"/>
  <c r="O480" i="8"/>
  <c r="N480" i="8"/>
  <c r="A481" i="8"/>
  <c r="H480" i="8"/>
  <c r="G480" i="8"/>
  <c r="F480" i="8"/>
  <c r="AG479" i="8" s="1"/>
  <c r="D480" i="8"/>
  <c r="E480" i="8" s="1"/>
  <c r="C480" i="8"/>
  <c r="B480" i="8"/>
  <c r="L530" i="14" l="1"/>
  <c r="N529" i="14"/>
  <c r="O529" i="14"/>
  <c r="A526" i="14"/>
  <c r="D525" i="14"/>
  <c r="E525" i="14" s="1"/>
  <c r="C525" i="14"/>
  <c r="Q492" i="14"/>
  <c r="P492" i="14"/>
  <c r="M492" i="14"/>
  <c r="H492" i="14"/>
  <c r="F492" i="14"/>
  <c r="G492" i="14"/>
  <c r="B492" i="14"/>
  <c r="A482" i="12"/>
  <c r="F481" i="12"/>
  <c r="C481" i="12"/>
  <c r="D481" i="12"/>
  <c r="E481" i="12" s="1"/>
  <c r="O482" i="12"/>
  <c r="P482" i="12"/>
  <c r="M482" i="12"/>
  <c r="N482" i="12" s="1"/>
  <c r="J483" i="12"/>
  <c r="L483" i="12" s="1"/>
  <c r="K482" i="12"/>
  <c r="B482" i="12"/>
  <c r="G482" i="12"/>
  <c r="L482" i="8"/>
  <c r="T481" i="8"/>
  <c r="S481" i="8"/>
  <c r="Q481" i="8"/>
  <c r="R481" i="8"/>
  <c r="P481" i="8"/>
  <c r="O481" i="8"/>
  <c r="M481" i="8"/>
  <c r="N481" i="8"/>
  <c r="A482" i="8"/>
  <c r="H481" i="8"/>
  <c r="G481" i="8"/>
  <c r="F481" i="8"/>
  <c r="AG480" i="8" s="1"/>
  <c r="D481" i="8"/>
  <c r="E481" i="8" s="1"/>
  <c r="C481" i="8"/>
  <c r="B481" i="8"/>
  <c r="L531" i="14" l="1"/>
  <c r="N530" i="14"/>
  <c r="O530" i="14"/>
  <c r="A527" i="14"/>
  <c r="D526" i="14"/>
  <c r="E526" i="14" s="1"/>
  <c r="C526" i="14"/>
  <c r="M493" i="14"/>
  <c r="Q493" i="14"/>
  <c r="P493" i="14"/>
  <c r="G493" i="14"/>
  <c r="F493" i="14"/>
  <c r="H493" i="14"/>
  <c r="B493" i="14"/>
  <c r="A483" i="12"/>
  <c r="F482" i="12"/>
  <c r="C482" i="12"/>
  <c r="D482" i="12"/>
  <c r="E482" i="12" s="1"/>
  <c r="P483" i="12"/>
  <c r="O483" i="12"/>
  <c r="M483" i="12"/>
  <c r="N483" i="12" s="1"/>
  <c r="J484" i="12"/>
  <c r="L484" i="12" s="1"/>
  <c r="K483" i="12"/>
  <c r="B483" i="12"/>
  <c r="G483" i="12"/>
  <c r="L483" i="8"/>
  <c r="T482" i="8"/>
  <c r="S482" i="8"/>
  <c r="R482" i="8"/>
  <c r="Q482" i="8"/>
  <c r="P482" i="8"/>
  <c r="O482" i="8"/>
  <c r="M482" i="8"/>
  <c r="N482" i="8"/>
  <c r="A483" i="8"/>
  <c r="G482" i="8"/>
  <c r="F482" i="8"/>
  <c r="AG481" i="8" s="1"/>
  <c r="H482" i="8"/>
  <c r="D482" i="8"/>
  <c r="E482" i="8" s="1"/>
  <c r="C482" i="8"/>
  <c r="B482" i="8"/>
  <c r="L532" i="14" l="1"/>
  <c r="N531" i="14"/>
  <c r="O531" i="14"/>
  <c r="A528" i="14"/>
  <c r="D527" i="14"/>
  <c r="E527" i="14" s="1"/>
  <c r="C527" i="14"/>
  <c r="Q494" i="14"/>
  <c r="P494" i="14"/>
  <c r="M494" i="14"/>
  <c r="G494" i="14"/>
  <c r="F494" i="14"/>
  <c r="H494" i="14"/>
  <c r="B494" i="14"/>
  <c r="A484" i="12"/>
  <c r="B484" i="12" s="1"/>
  <c r="F483" i="12"/>
  <c r="C483" i="12"/>
  <c r="D483" i="12"/>
  <c r="E483" i="12" s="1"/>
  <c r="M484" i="12"/>
  <c r="N484" i="12" s="1"/>
  <c r="P484" i="12"/>
  <c r="J485" i="12"/>
  <c r="L485" i="12" s="1"/>
  <c r="K484" i="12"/>
  <c r="O484" i="12"/>
  <c r="G484" i="12"/>
  <c r="L484" i="8"/>
  <c r="T483" i="8"/>
  <c r="S483" i="8"/>
  <c r="R483" i="8"/>
  <c r="Q483" i="8"/>
  <c r="P483" i="8"/>
  <c r="O483" i="8"/>
  <c r="M483" i="8"/>
  <c r="N483" i="8"/>
  <c r="A484" i="8"/>
  <c r="G483" i="8"/>
  <c r="H483" i="8"/>
  <c r="F483" i="8"/>
  <c r="AG482" i="8" s="1"/>
  <c r="D483" i="8"/>
  <c r="E483" i="8" s="1"/>
  <c r="B483" i="8"/>
  <c r="C483" i="8"/>
  <c r="L533" i="14" l="1"/>
  <c r="N532" i="14"/>
  <c r="O532" i="14"/>
  <c r="A529" i="14"/>
  <c r="D528" i="14"/>
  <c r="E528" i="14" s="1"/>
  <c r="C528" i="14"/>
  <c r="P495" i="14"/>
  <c r="Q495" i="14"/>
  <c r="M495" i="14"/>
  <c r="F495" i="14"/>
  <c r="H495" i="14"/>
  <c r="G495" i="14"/>
  <c r="B495" i="14"/>
  <c r="A485" i="12"/>
  <c r="F484" i="12"/>
  <c r="C484" i="12"/>
  <c r="D484" i="12"/>
  <c r="E484" i="12" s="1"/>
  <c r="P485" i="12"/>
  <c r="M485" i="12"/>
  <c r="N485" i="12" s="1"/>
  <c r="J486" i="12"/>
  <c r="L486" i="12" s="1"/>
  <c r="O485" i="12"/>
  <c r="K485" i="12"/>
  <c r="B485" i="12"/>
  <c r="G485" i="12"/>
  <c r="L485" i="8"/>
  <c r="T484" i="8"/>
  <c r="S484" i="8"/>
  <c r="R484" i="8"/>
  <c r="P484" i="8"/>
  <c r="Q484" i="8"/>
  <c r="O484" i="8"/>
  <c r="M484" i="8"/>
  <c r="N484" i="8"/>
  <c r="A485" i="8"/>
  <c r="G484" i="8"/>
  <c r="H484" i="8"/>
  <c r="F484" i="8"/>
  <c r="AG483" i="8" s="1"/>
  <c r="D484" i="8"/>
  <c r="E484" i="8" s="1"/>
  <c r="C484" i="8"/>
  <c r="B484" i="8"/>
  <c r="L534" i="14" l="1"/>
  <c r="N533" i="14"/>
  <c r="O533" i="14"/>
  <c r="A530" i="14"/>
  <c r="D529" i="14"/>
  <c r="E529" i="14" s="1"/>
  <c r="C529" i="14"/>
  <c r="M496" i="14"/>
  <c r="P496" i="14"/>
  <c r="Q496" i="14"/>
  <c r="H496" i="14"/>
  <c r="G496" i="14"/>
  <c r="F496" i="14"/>
  <c r="B496" i="14"/>
  <c r="A486" i="12"/>
  <c r="F485" i="12"/>
  <c r="C485" i="12"/>
  <c r="D485" i="12"/>
  <c r="E485" i="12" s="1"/>
  <c r="J487" i="12"/>
  <c r="L487" i="12" s="1"/>
  <c r="K486" i="12"/>
  <c r="P486" i="12"/>
  <c r="O486" i="12"/>
  <c r="M486" i="12"/>
  <c r="N486" i="12" s="1"/>
  <c r="B486" i="12"/>
  <c r="G486" i="12"/>
  <c r="L486" i="8"/>
  <c r="T485" i="8"/>
  <c r="R485" i="8"/>
  <c r="S485" i="8"/>
  <c r="Q485" i="8"/>
  <c r="P485" i="8"/>
  <c r="O485" i="8"/>
  <c r="M485" i="8"/>
  <c r="N485" i="8"/>
  <c r="A486" i="8"/>
  <c r="H485" i="8"/>
  <c r="G485" i="8"/>
  <c r="F485" i="8"/>
  <c r="AG484" i="8" s="1"/>
  <c r="D485" i="8"/>
  <c r="E485" i="8" s="1"/>
  <c r="C485" i="8"/>
  <c r="B485" i="8"/>
  <c r="L535" i="14" l="1"/>
  <c r="N534" i="14"/>
  <c r="O534" i="14"/>
  <c r="A531" i="14"/>
  <c r="D530" i="14"/>
  <c r="E530" i="14" s="1"/>
  <c r="C530" i="14"/>
  <c r="P497" i="14"/>
  <c r="M497" i="14"/>
  <c r="Q497" i="14"/>
  <c r="G497" i="14"/>
  <c r="H497" i="14"/>
  <c r="B497" i="14"/>
  <c r="F497" i="14"/>
  <c r="A487" i="12"/>
  <c r="F486" i="12"/>
  <c r="C486" i="12"/>
  <c r="D486" i="12"/>
  <c r="E486" i="12" s="1"/>
  <c r="P487" i="12"/>
  <c r="J488" i="12"/>
  <c r="L488" i="12" s="1"/>
  <c r="M487" i="12"/>
  <c r="N487" i="12" s="1"/>
  <c r="O487" i="12"/>
  <c r="K487" i="12"/>
  <c r="G487" i="12"/>
  <c r="B487" i="12"/>
  <c r="L487" i="8"/>
  <c r="T486" i="8"/>
  <c r="R486" i="8"/>
  <c r="S486" i="8"/>
  <c r="Q486" i="8"/>
  <c r="P486" i="8"/>
  <c r="O486" i="8"/>
  <c r="M486" i="8"/>
  <c r="N486" i="8"/>
  <c r="A487" i="8"/>
  <c r="H486" i="8"/>
  <c r="G486" i="8"/>
  <c r="F486" i="8"/>
  <c r="AG485" i="8" s="1"/>
  <c r="C486" i="8"/>
  <c r="B486" i="8"/>
  <c r="D486" i="8"/>
  <c r="E486" i="8" s="1"/>
  <c r="L536" i="14" l="1"/>
  <c r="N535" i="14"/>
  <c r="O535" i="14"/>
  <c r="A532" i="14"/>
  <c r="D531" i="14"/>
  <c r="E531" i="14" s="1"/>
  <c r="C531" i="14"/>
  <c r="Q498" i="14"/>
  <c r="P498" i="14"/>
  <c r="M498" i="14"/>
  <c r="H498" i="14"/>
  <c r="G498" i="14"/>
  <c r="F498" i="14"/>
  <c r="B498" i="14"/>
  <c r="A488" i="12"/>
  <c r="F487" i="12"/>
  <c r="C487" i="12"/>
  <c r="D487" i="12"/>
  <c r="E487" i="12" s="1"/>
  <c r="O488" i="12"/>
  <c r="J489" i="12"/>
  <c r="L489" i="12" s="1"/>
  <c r="K488" i="12"/>
  <c r="P488" i="12"/>
  <c r="M488" i="12"/>
  <c r="N488" i="12" s="1"/>
  <c r="B488" i="12"/>
  <c r="G488" i="12"/>
  <c r="L488" i="8"/>
  <c r="S487" i="8"/>
  <c r="T487" i="8"/>
  <c r="R487" i="8"/>
  <c r="Q487" i="8"/>
  <c r="P487" i="8"/>
  <c r="M487" i="8"/>
  <c r="O487" i="8"/>
  <c r="N487" i="8"/>
  <c r="A488" i="8"/>
  <c r="H487" i="8"/>
  <c r="G487" i="8"/>
  <c r="F487" i="8"/>
  <c r="AG486" i="8" s="1"/>
  <c r="D487" i="8"/>
  <c r="E487" i="8" s="1"/>
  <c r="C487" i="8"/>
  <c r="B487" i="8"/>
  <c r="L537" i="14" l="1"/>
  <c r="N536" i="14"/>
  <c r="O536" i="14"/>
  <c r="A533" i="14"/>
  <c r="D532" i="14"/>
  <c r="E532" i="14" s="1"/>
  <c r="C532" i="14"/>
  <c r="M499" i="14"/>
  <c r="P499" i="14"/>
  <c r="Q499" i="14"/>
  <c r="B499" i="14"/>
  <c r="H499" i="14"/>
  <c r="F499" i="14"/>
  <c r="G499" i="14"/>
  <c r="A489" i="12"/>
  <c r="F488" i="12"/>
  <c r="C488" i="12"/>
  <c r="D488" i="12"/>
  <c r="E488" i="12" s="1"/>
  <c r="J490" i="12"/>
  <c r="L490" i="12" s="1"/>
  <c r="P489" i="12"/>
  <c r="K489" i="12"/>
  <c r="O489" i="12"/>
  <c r="M489" i="12"/>
  <c r="N489" i="12" s="1"/>
  <c r="G489" i="12"/>
  <c r="B489" i="12"/>
  <c r="L489" i="8"/>
  <c r="T488" i="8"/>
  <c r="S488" i="8"/>
  <c r="Q488" i="8"/>
  <c r="R488" i="8"/>
  <c r="P488" i="8"/>
  <c r="M488" i="8"/>
  <c r="N488" i="8"/>
  <c r="O488" i="8"/>
  <c r="A489" i="8"/>
  <c r="G488" i="8"/>
  <c r="H488" i="8"/>
  <c r="F488" i="8"/>
  <c r="AG487" i="8" s="1"/>
  <c r="D488" i="8"/>
  <c r="E488" i="8" s="1"/>
  <c r="C488" i="8"/>
  <c r="B488" i="8"/>
  <c r="L538" i="14" l="1"/>
  <c r="N537" i="14"/>
  <c r="O537" i="14"/>
  <c r="A534" i="14"/>
  <c r="D533" i="14"/>
  <c r="E533" i="14" s="1"/>
  <c r="C533" i="14"/>
  <c r="Q500" i="14"/>
  <c r="M500" i="14"/>
  <c r="P500" i="14"/>
  <c r="G500" i="14"/>
  <c r="B500" i="14"/>
  <c r="F500" i="14"/>
  <c r="H500" i="14"/>
  <c r="A490" i="12"/>
  <c r="F489" i="12"/>
  <c r="C489" i="12"/>
  <c r="D489" i="12"/>
  <c r="E489" i="12" s="1"/>
  <c r="M490" i="12"/>
  <c r="N490" i="12" s="1"/>
  <c r="J491" i="12"/>
  <c r="L491" i="12" s="1"/>
  <c r="P490" i="12"/>
  <c r="K490" i="12"/>
  <c r="O490" i="12"/>
  <c r="B490" i="12"/>
  <c r="G490" i="12"/>
  <c r="L490" i="8"/>
  <c r="T489" i="8"/>
  <c r="S489" i="8"/>
  <c r="R489" i="8"/>
  <c r="Q489" i="8"/>
  <c r="O489" i="8"/>
  <c r="P489" i="8"/>
  <c r="M489" i="8"/>
  <c r="N489" i="8"/>
  <c r="A490" i="8"/>
  <c r="H489" i="8"/>
  <c r="G489" i="8"/>
  <c r="F489" i="8"/>
  <c r="AG488" i="8" s="1"/>
  <c r="D489" i="8"/>
  <c r="E489" i="8" s="1"/>
  <c r="B489" i="8"/>
  <c r="C489" i="8"/>
  <c r="L539" i="14" l="1"/>
  <c r="N538" i="14"/>
  <c r="O538" i="14"/>
  <c r="A535" i="14"/>
  <c r="D534" i="14"/>
  <c r="E534" i="14" s="1"/>
  <c r="C534" i="14"/>
  <c r="P501" i="14"/>
  <c r="M501" i="14"/>
  <c r="Q501" i="14"/>
  <c r="H501" i="14"/>
  <c r="B501" i="14"/>
  <c r="G501" i="14"/>
  <c r="F501" i="14"/>
  <c r="A491" i="12"/>
  <c r="F490" i="12"/>
  <c r="C490" i="12"/>
  <c r="D490" i="12"/>
  <c r="E490" i="12" s="1"/>
  <c r="J492" i="12"/>
  <c r="L492" i="12" s="1"/>
  <c r="K491" i="12"/>
  <c r="O491" i="12"/>
  <c r="P491" i="12"/>
  <c r="M491" i="12"/>
  <c r="N491" i="12" s="1"/>
  <c r="B491" i="12"/>
  <c r="G491" i="12"/>
  <c r="L491" i="8"/>
  <c r="T490" i="8"/>
  <c r="S490" i="8"/>
  <c r="R490" i="8"/>
  <c r="Q490" i="8"/>
  <c r="O490" i="8"/>
  <c r="P490" i="8"/>
  <c r="M490" i="8"/>
  <c r="N490" i="8"/>
  <c r="A491" i="8"/>
  <c r="G490" i="8"/>
  <c r="H490" i="8"/>
  <c r="F490" i="8"/>
  <c r="AG489" i="8" s="1"/>
  <c r="D490" i="8"/>
  <c r="E490" i="8" s="1"/>
  <c r="B490" i="8"/>
  <c r="C490" i="8"/>
  <c r="L540" i="14" l="1"/>
  <c r="N539" i="14"/>
  <c r="O539" i="14"/>
  <c r="A536" i="14"/>
  <c r="D535" i="14"/>
  <c r="E535" i="14" s="1"/>
  <c r="C535" i="14"/>
  <c r="M502" i="14"/>
  <c r="Q502" i="14"/>
  <c r="P502" i="14"/>
  <c r="G502" i="14"/>
  <c r="B502" i="14"/>
  <c r="F502" i="14"/>
  <c r="H502" i="14"/>
  <c r="A492" i="12"/>
  <c r="F491" i="12"/>
  <c r="C491" i="12"/>
  <c r="D491" i="12"/>
  <c r="E491" i="12" s="1"/>
  <c r="J493" i="12"/>
  <c r="L493" i="12" s="1"/>
  <c r="K492" i="12"/>
  <c r="M492" i="12"/>
  <c r="N492" i="12" s="1"/>
  <c r="O492" i="12"/>
  <c r="P492" i="12"/>
  <c r="B492" i="12"/>
  <c r="G492" i="12"/>
  <c r="L492" i="8"/>
  <c r="T491" i="8"/>
  <c r="S491" i="8"/>
  <c r="R491" i="8"/>
  <c r="Q491" i="8"/>
  <c r="P491" i="8"/>
  <c r="O491" i="8"/>
  <c r="M491" i="8"/>
  <c r="N491" i="8"/>
  <c r="A492" i="8"/>
  <c r="G491" i="8"/>
  <c r="F491" i="8"/>
  <c r="AG490" i="8" s="1"/>
  <c r="H491" i="8"/>
  <c r="D491" i="8"/>
  <c r="E491" i="8" s="1"/>
  <c r="C491" i="8"/>
  <c r="B491" i="8"/>
  <c r="L541" i="14" l="1"/>
  <c r="N540" i="14"/>
  <c r="O540" i="14"/>
  <c r="A537" i="14"/>
  <c r="D536" i="14"/>
  <c r="E536" i="14" s="1"/>
  <c r="C536" i="14"/>
  <c r="M503" i="14"/>
  <c r="P503" i="14"/>
  <c r="Q503" i="14"/>
  <c r="G503" i="14"/>
  <c r="F503" i="14"/>
  <c r="B503" i="14"/>
  <c r="H503" i="14"/>
  <c r="A493" i="12"/>
  <c r="F492" i="12"/>
  <c r="C492" i="12"/>
  <c r="D492" i="12"/>
  <c r="E492" i="12" s="1"/>
  <c r="P493" i="12"/>
  <c r="K493" i="12"/>
  <c r="J494" i="12"/>
  <c r="L494" i="12" s="1"/>
  <c r="M493" i="12"/>
  <c r="N493" i="12" s="1"/>
  <c r="O493" i="12"/>
  <c r="G493" i="12"/>
  <c r="B493" i="12"/>
  <c r="L493" i="8"/>
  <c r="T492" i="8"/>
  <c r="S492" i="8"/>
  <c r="R492" i="8"/>
  <c r="Q492" i="8"/>
  <c r="P492" i="8"/>
  <c r="O492" i="8"/>
  <c r="M492" i="8"/>
  <c r="N492" i="8"/>
  <c r="A493" i="8"/>
  <c r="G492" i="8"/>
  <c r="H492" i="8"/>
  <c r="F492" i="8"/>
  <c r="AG491" i="8" s="1"/>
  <c r="D492" i="8"/>
  <c r="E492" i="8" s="1"/>
  <c r="C492" i="8"/>
  <c r="B492" i="8"/>
  <c r="L542" i="14" l="1"/>
  <c r="N541" i="14"/>
  <c r="O541" i="14"/>
  <c r="A538" i="14"/>
  <c r="D537" i="14"/>
  <c r="E537" i="14" s="1"/>
  <c r="C537" i="14"/>
  <c r="M504" i="14"/>
  <c r="P504" i="14"/>
  <c r="Q504" i="14"/>
  <c r="F504" i="14"/>
  <c r="B504" i="14"/>
  <c r="H504" i="14"/>
  <c r="G504" i="14"/>
  <c r="A494" i="12"/>
  <c r="F493" i="12"/>
  <c r="C493" i="12"/>
  <c r="D493" i="12"/>
  <c r="E493" i="12" s="1"/>
  <c r="O494" i="12"/>
  <c r="K494" i="12"/>
  <c r="P494" i="12"/>
  <c r="J495" i="12"/>
  <c r="L495" i="12" s="1"/>
  <c r="M494" i="12"/>
  <c r="N494" i="12" s="1"/>
  <c r="B494" i="12"/>
  <c r="G494" i="12"/>
  <c r="L494" i="8"/>
  <c r="T493" i="8"/>
  <c r="S493" i="8"/>
  <c r="R493" i="8"/>
  <c r="Q493" i="8"/>
  <c r="P493" i="8"/>
  <c r="O493" i="8"/>
  <c r="M493" i="8"/>
  <c r="N493" i="8"/>
  <c r="A494" i="8"/>
  <c r="H493" i="8"/>
  <c r="G493" i="8"/>
  <c r="F493" i="8"/>
  <c r="AG492" i="8" s="1"/>
  <c r="C493" i="8"/>
  <c r="B493" i="8"/>
  <c r="D493" i="8"/>
  <c r="E493" i="8" s="1"/>
  <c r="L543" i="14" l="1"/>
  <c r="N542" i="14"/>
  <c r="O542" i="14"/>
  <c r="A539" i="14"/>
  <c r="D538" i="14"/>
  <c r="E538" i="14" s="1"/>
  <c r="C538" i="14"/>
  <c r="M505" i="14"/>
  <c r="Q505" i="14"/>
  <c r="P505" i="14"/>
  <c r="B505" i="14"/>
  <c r="F505" i="14"/>
  <c r="G505" i="14"/>
  <c r="H505" i="14"/>
  <c r="A495" i="12"/>
  <c r="F494" i="12"/>
  <c r="C494" i="12"/>
  <c r="D494" i="12"/>
  <c r="E494" i="12" s="1"/>
  <c r="K495" i="12"/>
  <c r="J496" i="12"/>
  <c r="L496" i="12" s="1"/>
  <c r="M495" i="12"/>
  <c r="N495" i="12" s="1"/>
  <c r="O495" i="12"/>
  <c r="P495" i="12"/>
  <c r="B495" i="12"/>
  <c r="G495" i="12"/>
  <c r="L495" i="8"/>
  <c r="T494" i="8"/>
  <c r="R494" i="8"/>
  <c r="S494" i="8"/>
  <c r="Q494" i="8"/>
  <c r="P494" i="8"/>
  <c r="O494" i="8"/>
  <c r="M494" i="8"/>
  <c r="N494" i="8"/>
  <c r="A495" i="8"/>
  <c r="H494" i="8"/>
  <c r="G494" i="8"/>
  <c r="F494" i="8"/>
  <c r="AG493" i="8" s="1"/>
  <c r="C494" i="8"/>
  <c r="D494" i="8"/>
  <c r="E494" i="8" s="1"/>
  <c r="B494" i="8"/>
  <c r="L544" i="14" l="1"/>
  <c r="N543" i="14"/>
  <c r="O543" i="14"/>
  <c r="A540" i="14"/>
  <c r="D539" i="14"/>
  <c r="E539" i="14" s="1"/>
  <c r="C539" i="14"/>
  <c r="Q506" i="14"/>
  <c r="M506" i="14"/>
  <c r="P506" i="14"/>
  <c r="G506" i="14"/>
  <c r="F506" i="14"/>
  <c r="H506" i="14"/>
  <c r="B506" i="14"/>
  <c r="A496" i="12"/>
  <c r="B496" i="12" s="1"/>
  <c r="F495" i="12"/>
  <c r="C495" i="12"/>
  <c r="D495" i="12"/>
  <c r="E495" i="12" s="1"/>
  <c r="M496" i="12"/>
  <c r="N496" i="12" s="1"/>
  <c r="K496" i="12"/>
  <c r="J497" i="12"/>
  <c r="L497" i="12" s="1"/>
  <c r="O496" i="12"/>
  <c r="P496" i="12"/>
  <c r="G496" i="12"/>
  <c r="L496" i="8"/>
  <c r="T495" i="8"/>
  <c r="R495" i="8"/>
  <c r="S495" i="8"/>
  <c r="Q495" i="8"/>
  <c r="P495" i="8"/>
  <c r="M495" i="8"/>
  <c r="O495" i="8"/>
  <c r="N495" i="8"/>
  <c r="A496" i="8"/>
  <c r="G495" i="8"/>
  <c r="H495" i="8"/>
  <c r="F495" i="8"/>
  <c r="AG494" i="8" s="1"/>
  <c r="C495" i="8"/>
  <c r="D495" i="8"/>
  <c r="E495" i="8" s="1"/>
  <c r="B495" i="8"/>
  <c r="L545" i="14" l="1"/>
  <c r="N544" i="14"/>
  <c r="O544" i="14"/>
  <c r="A541" i="14"/>
  <c r="D540" i="14"/>
  <c r="E540" i="14" s="1"/>
  <c r="C540" i="14"/>
  <c r="P507" i="14"/>
  <c r="M507" i="14"/>
  <c r="Q507" i="14"/>
  <c r="G507" i="14"/>
  <c r="F507" i="14"/>
  <c r="H507" i="14"/>
  <c r="B507" i="14"/>
  <c r="A497" i="12"/>
  <c r="F496" i="12"/>
  <c r="C496" i="12"/>
  <c r="D496" i="12"/>
  <c r="E496" i="12" s="1"/>
  <c r="K497" i="12"/>
  <c r="M497" i="12"/>
  <c r="N497" i="12" s="1"/>
  <c r="O497" i="12"/>
  <c r="J498" i="12"/>
  <c r="L498" i="12" s="1"/>
  <c r="P497" i="12"/>
  <c r="B497" i="12"/>
  <c r="G497" i="12"/>
  <c r="L497" i="8"/>
  <c r="T496" i="8"/>
  <c r="Q496" i="8"/>
  <c r="R496" i="8"/>
  <c r="S496" i="8"/>
  <c r="P496" i="8"/>
  <c r="M496" i="8"/>
  <c r="N496" i="8"/>
  <c r="O496" i="8"/>
  <c r="A497" i="8"/>
  <c r="H496" i="8"/>
  <c r="G496" i="8"/>
  <c r="F496" i="8"/>
  <c r="AG495" i="8" s="1"/>
  <c r="D496" i="8"/>
  <c r="E496" i="8" s="1"/>
  <c r="C496" i="8"/>
  <c r="B496" i="8"/>
  <c r="L546" i="14" l="1"/>
  <c r="N545" i="14"/>
  <c r="O545" i="14"/>
  <c r="A542" i="14"/>
  <c r="D541" i="14"/>
  <c r="E541" i="14" s="1"/>
  <c r="C541" i="14"/>
  <c r="Q508" i="14"/>
  <c r="P508" i="14"/>
  <c r="M508" i="14"/>
  <c r="B508" i="14"/>
  <c r="G508" i="14"/>
  <c r="F508" i="14"/>
  <c r="H508" i="14"/>
  <c r="A498" i="12"/>
  <c r="B498" i="12" s="1"/>
  <c r="F497" i="12"/>
  <c r="C497" i="12"/>
  <c r="D497" i="12"/>
  <c r="E497" i="12" s="1"/>
  <c r="J499" i="12"/>
  <c r="L499" i="12" s="1"/>
  <c r="K498" i="12"/>
  <c r="P498" i="12"/>
  <c r="M498" i="12"/>
  <c r="N498" i="12" s="1"/>
  <c r="O498" i="12"/>
  <c r="G498" i="12"/>
  <c r="L498" i="8"/>
  <c r="T497" i="8"/>
  <c r="S497" i="8"/>
  <c r="R497" i="8"/>
  <c r="Q497" i="8"/>
  <c r="O497" i="8"/>
  <c r="P497" i="8"/>
  <c r="M497" i="8"/>
  <c r="N497" i="8"/>
  <c r="A498" i="8"/>
  <c r="H497" i="8"/>
  <c r="G497" i="8"/>
  <c r="F497" i="8"/>
  <c r="AG496" i="8" s="1"/>
  <c r="D497" i="8"/>
  <c r="E497" i="8" s="1"/>
  <c r="B497" i="8"/>
  <c r="C497" i="8"/>
  <c r="L547" i="14" l="1"/>
  <c r="N546" i="14"/>
  <c r="O546" i="14"/>
  <c r="A543" i="14"/>
  <c r="D542" i="14"/>
  <c r="E542" i="14" s="1"/>
  <c r="C542" i="14"/>
  <c r="P509" i="14"/>
  <c r="M509" i="14"/>
  <c r="Q509" i="14"/>
  <c r="G509" i="14"/>
  <c r="B509" i="14"/>
  <c r="H509" i="14"/>
  <c r="F509" i="14"/>
  <c r="A499" i="12"/>
  <c r="B499" i="12" s="1"/>
  <c r="F498" i="12"/>
  <c r="C498" i="12"/>
  <c r="D498" i="12"/>
  <c r="E498" i="12" s="1"/>
  <c r="P499" i="12"/>
  <c r="O499" i="12"/>
  <c r="K499" i="12"/>
  <c r="J500" i="12"/>
  <c r="L500" i="12" s="1"/>
  <c r="M499" i="12"/>
  <c r="N499" i="12" s="1"/>
  <c r="L499" i="8"/>
  <c r="T498" i="8"/>
  <c r="S498" i="8"/>
  <c r="R498" i="8"/>
  <c r="Q498" i="8"/>
  <c r="O498" i="8"/>
  <c r="P498" i="8"/>
  <c r="M498" i="8"/>
  <c r="N498" i="8"/>
  <c r="A499" i="8"/>
  <c r="G498" i="8"/>
  <c r="F498" i="8"/>
  <c r="AG497" i="8" s="1"/>
  <c r="D498" i="8"/>
  <c r="E498" i="8" s="1"/>
  <c r="H498" i="8"/>
  <c r="B498" i="8"/>
  <c r="C498" i="8"/>
  <c r="G499" i="12" l="1"/>
  <c r="L548" i="14"/>
  <c r="N547" i="14"/>
  <c r="O547" i="14"/>
  <c r="A544" i="14"/>
  <c r="D543" i="14"/>
  <c r="E543" i="14" s="1"/>
  <c r="C543" i="14"/>
  <c r="Q510" i="14"/>
  <c r="P510" i="14"/>
  <c r="M510" i="14"/>
  <c r="H510" i="14"/>
  <c r="F510" i="14"/>
  <c r="G510" i="14"/>
  <c r="B510" i="14"/>
  <c r="A500" i="12"/>
  <c r="G500" i="12" s="1"/>
  <c r="F499" i="12"/>
  <c r="C499" i="12"/>
  <c r="D499" i="12"/>
  <c r="E499" i="12" s="1"/>
  <c r="O500" i="12"/>
  <c r="J501" i="12"/>
  <c r="L501" i="12" s="1"/>
  <c r="K500" i="12"/>
  <c r="P500" i="12"/>
  <c r="M500" i="12"/>
  <c r="N500" i="12" s="1"/>
  <c r="L500" i="8"/>
  <c r="T499" i="8"/>
  <c r="S499" i="8"/>
  <c r="R499" i="8"/>
  <c r="P499" i="8"/>
  <c r="Q499" i="8"/>
  <c r="O499" i="8"/>
  <c r="M499" i="8"/>
  <c r="N499" i="8"/>
  <c r="A500" i="8"/>
  <c r="H499" i="8"/>
  <c r="G499" i="8"/>
  <c r="F499" i="8"/>
  <c r="AG498" i="8" s="1"/>
  <c r="D499" i="8"/>
  <c r="E499" i="8" s="1"/>
  <c r="B499" i="8"/>
  <c r="C499" i="8"/>
  <c r="B500" i="12" l="1"/>
  <c r="L549" i="14"/>
  <c r="N548" i="14"/>
  <c r="O548" i="14"/>
  <c r="A545" i="14"/>
  <c r="D544" i="14"/>
  <c r="E544" i="14" s="1"/>
  <c r="C544" i="14"/>
  <c r="M511" i="14"/>
  <c r="Q511" i="14"/>
  <c r="P511" i="14"/>
  <c r="G511" i="14"/>
  <c r="F511" i="14"/>
  <c r="H511" i="14"/>
  <c r="B511" i="14"/>
  <c r="A501" i="12"/>
  <c r="G501" i="12" s="1"/>
  <c r="F500" i="12"/>
  <c r="C500" i="12"/>
  <c r="D500" i="12"/>
  <c r="E500" i="12" s="1"/>
  <c r="M501" i="12"/>
  <c r="N501" i="12" s="1"/>
  <c r="J502" i="12"/>
  <c r="L502" i="12" s="1"/>
  <c r="K501" i="12"/>
  <c r="P501" i="12"/>
  <c r="O501" i="12"/>
  <c r="B501" i="12"/>
  <c r="L501" i="8"/>
  <c r="T500" i="8"/>
  <c r="S500" i="8"/>
  <c r="Q500" i="8"/>
  <c r="R500" i="8"/>
  <c r="O500" i="8"/>
  <c r="P500" i="8"/>
  <c r="M500" i="8"/>
  <c r="N500" i="8"/>
  <c r="A501" i="8"/>
  <c r="H500" i="8"/>
  <c r="G500" i="8"/>
  <c r="F500" i="8"/>
  <c r="AG499" i="8" s="1"/>
  <c r="D500" i="8"/>
  <c r="E500" i="8" s="1"/>
  <c r="C500" i="8"/>
  <c r="B500" i="8"/>
  <c r="L550" i="14" l="1"/>
  <c r="N549" i="14"/>
  <c r="O549" i="14"/>
  <c r="A546" i="14"/>
  <c r="D545" i="14"/>
  <c r="E545" i="14" s="1"/>
  <c r="C545" i="14"/>
  <c r="Q512" i="14"/>
  <c r="M512" i="14"/>
  <c r="P512" i="14"/>
  <c r="G512" i="14"/>
  <c r="F512" i="14"/>
  <c r="H512" i="14"/>
  <c r="B512" i="14"/>
  <c r="A502" i="12"/>
  <c r="F501" i="12"/>
  <c r="C501" i="12"/>
  <c r="D501" i="12"/>
  <c r="E501" i="12" s="1"/>
  <c r="M502" i="12"/>
  <c r="N502" i="12" s="1"/>
  <c r="K502" i="12"/>
  <c r="O502" i="12"/>
  <c r="P502" i="12"/>
  <c r="J503" i="12"/>
  <c r="L503" i="12" s="1"/>
  <c r="G502" i="12"/>
  <c r="B502" i="12"/>
  <c r="L502" i="8"/>
  <c r="T501" i="8"/>
  <c r="S501" i="8"/>
  <c r="R501" i="8"/>
  <c r="Q501" i="8"/>
  <c r="O501" i="8"/>
  <c r="P501" i="8"/>
  <c r="M501" i="8"/>
  <c r="N501" i="8"/>
  <c r="A502" i="8"/>
  <c r="H501" i="8"/>
  <c r="G501" i="8"/>
  <c r="F501" i="8"/>
  <c r="AG500" i="8" s="1"/>
  <c r="D501" i="8"/>
  <c r="E501" i="8" s="1"/>
  <c r="C501" i="8"/>
  <c r="B501" i="8"/>
  <c r="L551" i="14" l="1"/>
  <c r="N550" i="14"/>
  <c r="O550" i="14"/>
  <c r="A547" i="14"/>
  <c r="D546" i="14"/>
  <c r="E546" i="14" s="1"/>
  <c r="C546" i="14"/>
  <c r="P513" i="14"/>
  <c r="Q513" i="14"/>
  <c r="M513" i="14"/>
  <c r="F513" i="14"/>
  <c r="H513" i="14"/>
  <c r="B513" i="14"/>
  <c r="G513" i="14"/>
  <c r="A503" i="12"/>
  <c r="F502" i="12"/>
  <c r="C502" i="12"/>
  <c r="D502" i="12"/>
  <c r="E502" i="12" s="1"/>
  <c r="M503" i="12"/>
  <c r="N503" i="12" s="1"/>
  <c r="P503" i="12"/>
  <c r="J504" i="12"/>
  <c r="L504" i="12" s="1"/>
  <c r="O503" i="12"/>
  <c r="K503" i="12"/>
  <c r="B503" i="12"/>
  <c r="G503" i="12"/>
  <c r="L503" i="8"/>
  <c r="R502" i="8"/>
  <c r="S502" i="8"/>
  <c r="T502" i="8"/>
  <c r="Q502" i="8"/>
  <c r="P502" i="8"/>
  <c r="O502" i="8"/>
  <c r="M502" i="8"/>
  <c r="N502" i="8"/>
  <c r="A503" i="8"/>
  <c r="G502" i="8"/>
  <c r="H502" i="8"/>
  <c r="F502" i="8"/>
  <c r="AG501" i="8" s="1"/>
  <c r="C502" i="8"/>
  <c r="D502" i="8"/>
  <c r="E502" i="8" s="1"/>
  <c r="B502" i="8"/>
  <c r="L552" i="14" l="1"/>
  <c r="N551" i="14"/>
  <c r="O551" i="14"/>
  <c r="A548" i="14"/>
  <c r="D547" i="14"/>
  <c r="E547" i="14" s="1"/>
  <c r="C547" i="14"/>
  <c r="P514" i="14"/>
  <c r="Q514" i="14"/>
  <c r="M514" i="14"/>
  <c r="H514" i="14"/>
  <c r="B514" i="14"/>
  <c r="G514" i="14"/>
  <c r="F514" i="14"/>
  <c r="A504" i="12"/>
  <c r="F503" i="12"/>
  <c r="C503" i="12"/>
  <c r="D503" i="12"/>
  <c r="E503" i="12" s="1"/>
  <c r="J505" i="12"/>
  <c r="L505" i="12" s="1"/>
  <c r="K504" i="12"/>
  <c r="M504" i="12"/>
  <c r="N504" i="12" s="1"/>
  <c r="O504" i="12"/>
  <c r="P504" i="12"/>
  <c r="B504" i="12"/>
  <c r="G504" i="12"/>
  <c r="L504" i="8"/>
  <c r="T503" i="8"/>
  <c r="S503" i="8"/>
  <c r="R503" i="8"/>
  <c r="Q503" i="8"/>
  <c r="P503" i="8"/>
  <c r="O503" i="8"/>
  <c r="M503" i="8"/>
  <c r="N503" i="8"/>
  <c r="A504" i="8"/>
  <c r="G503" i="8"/>
  <c r="H503" i="8"/>
  <c r="C503" i="8"/>
  <c r="D503" i="8"/>
  <c r="E503" i="8" s="1"/>
  <c r="F503" i="8"/>
  <c r="AG502" i="8" s="1"/>
  <c r="B503" i="8"/>
  <c r="L553" i="14" l="1"/>
  <c r="N552" i="14"/>
  <c r="O552" i="14"/>
  <c r="A549" i="14"/>
  <c r="D548" i="14"/>
  <c r="E548" i="14" s="1"/>
  <c r="C548" i="14"/>
  <c r="Q515" i="14"/>
  <c r="M515" i="14"/>
  <c r="P515" i="14"/>
  <c r="G515" i="14"/>
  <c r="B515" i="14"/>
  <c r="F515" i="14"/>
  <c r="H515" i="14"/>
  <c r="A505" i="12"/>
  <c r="B505" i="12" s="1"/>
  <c r="F504" i="12"/>
  <c r="C504" i="12"/>
  <c r="D504" i="12"/>
  <c r="E504" i="12" s="1"/>
  <c r="P505" i="12"/>
  <c r="M505" i="12"/>
  <c r="N505" i="12" s="1"/>
  <c r="J506" i="12"/>
  <c r="L506" i="12" s="1"/>
  <c r="K505" i="12"/>
  <c r="O505" i="12"/>
  <c r="G505" i="12"/>
  <c r="L505" i="8"/>
  <c r="T504" i="8"/>
  <c r="S504" i="8"/>
  <c r="Q504" i="8"/>
  <c r="R504" i="8"/>
  <c r="P504" i="8"/>
  <c r="O504" i="8"/>
  <c r="M504" i="8"/>
  <c r="N504" i="8"/>
  <c r="A505" i="8"/>
  <c r="G504" i="8"/>
  <c r="F504" i="8"/>
  <c r="AG503" i="8" s="1"/>
  <c r="H504" i="8"/>
  <c r="D504" i="8"/>
  <c r="E504" i="8" s="1"/>
  <c r="C504" i="8"/>
  <c r="B504" i="8"/>
  <c r="L554" i="14" l="1"/>
  <c r="N553" i="14"/>
  <c r="O553" i="14"/>
  <c r="A550" i="14"/>
  <c r="D549" i="14"/>
  <c r="E549" i="14" s="1"/>
  <c r="C549" i="14"/>
  <c r="Q516" i="14"/>
  <c r="P516" i="14"/>
  <c r="M516" i="14"/>
  <c r="B516" i="14"/>
  <c r="H516" i="14"/>
  <c r="G516" i="14"/>
  <c r="F516" i="14"/>
  <c r="A506" i="12"/>
  <c r="F505" i="12"/>
  <c r="C505" i="12"/>
  <c r="D505" i="12"/>
  <c r="E505" i="12" s="1"/>
  <c r="O506" i="12"/>
  <c r="M506" i="12"/>
  <c r="N506" i="12" s="1"/>
  <c r="P506" i="12"/>
  <c r="K506" i="12"/>
  <c r="J507" i="12"/>
  <c r="L507" i="12" s="1"/>
  <c r="B506" i="12"/>
  <c r="G506" i="12"/>
  <c r="L506" i="8"/>
  <c r="T505" i="8"/>
  <c r="S505" i="8"/>
  <c r="R505" i="8"/>
  <c r="Q505" i="8"/>
  <c r="P505" i="8"/>
  <c r="O505" i="8"/>
  <c r="M505" i="8"/>
  <c r="N505" i="8"/>
  <c r="A506" i="8"/>
  <c r="H505" i="8"/>
  <c r="F505" i="8"/>
  <c r="AG504" i="8" s="1"/>
  <c r="G505" i="8"/>
  <c r="D505" i="8"/>
  <c r="E505" i="8" s="1"/>
  <c r="B505" i="8"/>
  <c r="C505" i="8"/>
  <c r="L555" i="14" l="1"/>
  <c r="N554" i="14"/>
  <c r="O554" i="14"/>
  <c r="A551" i="14"/>
  <c r="D550" i="14"/>
  <c r="E550" i="14" s="1"/>
  <c r="C550" i="14"/>
  <c r="M517" i="14"/>
  <c r="Q517" i="14"/>
  <c r="P517" i="14"/>
  <c r="B517" i="14"/>
  <c r="G517" i="14"/>
  <c r="F517" i="14"/>
  <c r="H517" i="14"/>
  <c r="A507" i="12"/>
  <c r="F506" i="12"/>
  <c r="C506" i="12"/>
  <c r="D506" i="12"/>
  <c r="E506" i="12" s="1"/>
  <c r="M507" i="12"/>
  <c r="N507" i="12" s="1"/>
  <c r="K507" i="12"/>
  <c r="O507" i="12"/>
  <c r="P507" i="12"/>
  <c r="J508" i="12"/>
  <c r="L508" i="12" s="1"/>
  <c r="G507" i="12"/>
  <c r="B507" i="12"/>
  <c r="L507" i="8"/>
  <c r="T506" i="8"/>
  <c r="S506" i="8"/>
  <c r="R506" i="8"/>
  <c r="Q506" i="8"/>
  <c r="P506" i="8"/>
  <c r="O506" i="8"/>
  <c r="M506" i="8"/>
  <c r="N506" i="8"/>
  <c r="A507" i="8"/>
  <c r="G506" i="8"/>
  <c r="H506" i="8"/>
  <c r="F506" i="8"/>
  <c r="AG505" i="8" s="1"/>
  <c r="D506" i="8"/>
  <c r="E506" i="8" s="1"/>
  <c r="C506" i="8"/>
  <c r="B506" i="8"/>
  <c r="L556" i="14" l="1"/>
  <c r="N555" i="14"/>
  <c r="O555" i="14"/>
  <c r="A552" i="14"/>
  <c r="D551" i="14"/>
  <c r="E551" i="14" s="1"/>
  <c r="C551" i="14"/>
  <c r="Q518" i="14"/>
  <c r="M518" i="14"/>
  <c r="P518" i="14"/>
  <c r="G518" i="14"/>
  <c r="B518" i="14"/>
  <c r="F518" i="14"/>
  <c r="H518" i="14"/>
  <c r="A508" i="12"/>
  <c r="G508" i="12" s="1"/>
  <c r="F507" i="12"/>
  <c r="C507" i="12"/>
  <c r="D507" i="12"/>
  <c r="E507" i="12" s="1"/>
  <c r="M508" i="12"/>
  <c r="N508" i="12" s="1"/>
  <c r="P508" i="12"/>
  <c r="K508" i="12"/>
  <c r="J509" i="12"/>
  <c r="L509" i="12" s="1"/>
  <c r="O508" i="12"/>
  <c r="B508" i="12"/>
  <c r="L508" i="8"/>
  <c r="T507" i="8"/>
  <c r="S507" i="8"/>
  <c r="R507" i="8"/>
  <c r="Q507" i="8"/>
  <c r="P507" i="8"/>
  <c r="O507" i="8"/>
  <c r="M507" i="8"/>
  <c r="N507" i="8"/>
  <c r="A508" i="8"/>
  <c r="G507" i="8"/>
  <c r="H507" i="8"/>
  <c r="F507" i="8"/>
  <c r="AG506" i="8" s="1"/>
  <c r="C507" i="8"/>
  <c r="D507" i="8"/>
  <c r="E507" i="8" s="1"/>
  <c r="B507" i="8"/>
  <c r="L557" i="14" l="1"/>
  <c r="N556" i="14"/>
  <c r="O556" i="14"/>
  <c r="A553" i="14"/>
  <c r="D552" i="14"/>
  <c r="E552" i="14" s="1"/>
  <c r="C552" i="14"/>
  <c r="P519" i="14"/>
  <c r="Q519" i="14"/>
  <c r="M519" i="14"/>
  <c r="H519" i="14"/>
  <c r="F519" i="14"/>
  <c r="G519" i="14"/>
  <c r="B519" i="14"/>
  <c r="A509" i="12"/>
  <c r="B509" i="12" s="1"/>
  <c r="F508" i="12"/>
  <c r="C508" i="12"/>
  <c r="D508" i="12"/>
  <c r="E508" i="12" s="1"/>
  <c r="O509" i="12"/>
  <c r="J510" i="12"/>
  <c r="L510" i="12" s="1"/>
  <c r="M509" i="12"/>
  <c r="N509" i="12" s="1"/>
  <c r="K509" i="12"/>
  <c r="P509" i="12"/>
  <c r="L509" i="8"/>
  <c r="T508" i="8"/>
  <c r="S508" i="8"/>
  <c r="R508" i="8"/>
  <c r="Q508" i="8"/>
  <c r="P508" i="8"/>
  <c r="O508" i="8"/>
  <c r="M508" i="8"/>
  <c r="N508" i="8"/>
  <c r="A509" i="8"/>
  <c r="H508" i="8"/>
  <c r="G508" i="8"/>
  <c r="F508" i="8"/>
  <c r="AG507" i="8" s="1"/>
  <c r="C508" i="8"/>
  <c r="D508" i="8"/>
  <c r="E508" i="8" s="1"/>
  <c r="B508" i="8"/>
  <c r="L558" i="14" l="1"/>
  <c r="N557" i="14"/>
  <c r="O557" i="14"/>
  <c r="A554" i="14"/>
  <c r="D553" i="14"/>
  <c r="E553" i="14" s="1"/>
  <c r="C553" i="14"/>
  <c r="P520" i="14"/>
  <c r="Q520" i="14"/>
  <c r="M520" i="14"/>
  <c r="G520" i="14"/>
  <c r="F520" i="14"/>
  <c r="H520" i="14"/>
  <c r="B520" i="14"/>
  <c r="G509" i="12"/>
  <c r="A510" i="12"/>
  <c r="G510" i="12" s="1"/>
  <c r="F509" i="12"/>
  <c r="C509" i="12"/>
  <c r="D509" i="12"/>
  <c r="E509" i="12" s="1"/>
  <c r="J511" i="12"/>
  <c r="L511" i="12" s="1"/>
  <c r="K510" i="12"/>
  <c r="P510" i="12"/>
  <c r="O510" i="12"/>
  <c r="M510" i="12"/>
  <c r="N510" i="12" s="1"/>
  <c r="B510" i="12"/>
  <c r="L510" i="8"/>
  <c r="T509" i="8"/>
  <c r="S509" i="8"/>
  <c r="Q509" i="8"/>
  <c r="R509" i="8"/>
  <c r="P509" i="8"/>
  <c r="O509" i="8"/>
  <c r="M509" i="8"/>
  <c r="N509" i="8"/>
  <c r="A510" i="8"/>
  <c r="H509" i="8"/>
  <c r="G509" i="8"/>
  <c r="F509" i="8"/>
  <c r="AG508" i="8" s="1"/>
  <c r="C509" i="8"/>
  <c r="D509" i="8"/>
  <c r="E509" i="8" s="1"/>
  <c r="B509" i="8"/>
  <c r="L559" i="14" l="1"/>
  <c r="N558" i="14"/>
  <c r="O558" i="14"/>
  <c r="A555" i="14"/>
  <c r="D554" i="14"/>
  <c r="E554" i="14" s="1"/>
  <c r="C554" i="14"/>
  <c r="P521" i="14"/>
  <c r="M521" i="14"/>
  <c r="Q521" i="14"/>
  <c r="G521" i="14"/>
  <c r="F521" i="14"/>
  <c r="H521" i="14"/>
  <c r="B521" i="14"/>
  <c r="A511" i="12"/>
  <c r="B511" i="12" s="1"/>
  <c r="F510" i="12"/>
  <c r="C510" i="12"/>
  <c r="D510" i="12"/>
  <c r="E510" i="12" s="1"/>
  <c r="P511" i="12"/>
  <c r="J512" i="12"/>
  <c r="L512" i="12" s="1"/>
  <c r="M511" i="12"/>
  <c r="N511" i="12" s="1"/>
  <c r="O511" i="12"/>
  <c r="K511" i="12"/>
  <c r="G511" i="12"/>
  <c r="L511" i="8"/>
  <c r="T510" i="8"/>
  <c r="R510" i="8"/>
  <c r="S510" i="8"/>
  <c r="Q510" i="8"/>
  <c r="P510" i="8"/>
  <c r="O510" i="8"/>
  <c r="M510" i="8"/>
  <c r="N510" i="8"/>
  <c r="A511" i="8"/>
  <c r="H510" i="8"/>
  <c r="G510" i="8"/>
  <c r="F510" i="8"/>
  <c r="AG509" i="8" s="1"/>
  <c r="C510" i="8"/>
  <c r="D510" i="8"/>
  <c r="E510" i="8" s="1"/>
  <c r="B510" i="8"/>
  <c r="L560" i="14" l="1"/>
  <c r="N559" i="14"/>
  <c r="O559" i="14"/>
  <c r="A556" i="14"/>
  <c r="D555" i="14"/>
  <c r="E555" i="14" s="1"/>
  <c r="C555" i="14"/>
  <c r="P522" i="14"/>
  <c r="Q522" i="14"/>
  <c r="M522" i="14"/>
  <c r="F522" i="14"/>
  <c r="H522" i="14"/>
  <c r="G522" i="14"/>
  <c r="B522" i="14"/>
  <c r="A512" i="12"/>
  <c r="F511" i="12"/>
  <c r="C511" i="12"/>
  <c r="D511" i="12"/>
  <c r="E511" i="12" s="1"/>
  <c r="O512" i="12"/>
  <c r="K512" i="12"/>
  <c r="M512" i="12"/>
  <c r="N512" i="12" s="1"/>
  <c r="J513" i="12"/>
  <c r="L513" i="12" s="1"/>
  <c r="P512" i="12"/>
  <c r="B512" i="12"/>
  <c r="G512" i="12"/>
  <c r="L512" i="8"/>
  <c r="T511" i="8"/>
  <c r="S511" i="8"/>
  <c r="R511" i="8"/>
  <c r="Q511" i="8"/>
  <c r="P511" i="8"/>
  <c r="M511" i="8"/>
  <c r="O511" i="8"/>
  <c r="N511" i="8"/>
  <c r="A512" i="8"/>
  <c r="G511" i="8"/>
  <c r="H511" i="8"/>
  <c r="F511" i="8"/>
  <c r="AG510" i="8" s="1"/>
  <c r="C511" i="8"/>
  <c r="B511" i="8"/>
  <c r="D511" i="8"/>
  <c r="E511" i="8" s="1"/>
  <c r="L561" i="14" l="1"/>
  <c r="N560" i="14"/>
  <c r="O560" i="14"/>
  <c r="A557" i="14"/>
  <c r="D556" i="14"/>
  <c r="E556" i="14" s="1"/>
  <c r="C556" i="14"/>
  <c r="M523" i="14"/>
  <c r="P523" i="14"/>
  <c r="Q523" i="14"/>
  <c r="F523" i="14"/>
  <c r="H523" i="14"/>
  <c r="G523" i="14"/>
  <c r="B523" i="14"/>
  <c r="A513" i="12"/>
  <c r="F512" i="12"/>
  <c r="C512" i="12"/>
  <c r="D512" i="12"/>
  <c r="E512" i="12" s="1"/>
  <c r="O513" i="12"/>
  <c r="P513" i="12"/>
  <c r="J514" i="12"/>
  <c r="L514" i="12" s="1"/>
  <c r="K513" i="12"/>
  <c r="M513" i="12"/>
  <c r="N513" i="12" s="1"/>
  <c r="B513" i="12"/>
  <c r="G513" i="12"/>
  <c r="L513" i="8"/>
  <c r="T512" i="8"/>
  <c r="S512" i="8"/>
  <c r="Q512" i="8"/>
  <c r="R512" i="8"/>
  <c r="P512" i="8"/>
  <c r="M512" i="8"/>
  <c r="O512" i="8"/>
  <c r="N512" i="8"/>
  <c r="A513" i="8"/>
  <c r="G512" i="8"/>
  <c r="F512" i="8"/>
  <c r="AG511" i="8" s="1"/>
  <c r="H512" i="8"/>
  <c r="D512" i="8"/>
  <c r="E512" i="8" s="1"/>
  <c r="C512" i="8"/>
  <c r="B512" i="8"/>
  <c r="L562" i="14" l="1"/>
  <c r="N561" i="14"/>
  <c r="O561" i="14"/>
  <c r="A558" i="14"/>
  <c r="D557" i="14"/>
  <c r="E557" i="14" s="1"/>
  <c r="C557" i="14"/>
  <c r="Q524" i="14"/>
  <c r="P524" i="14"/>
  <c r="M524" i="14"/>
  <c r="G524" i="14"/>
  <c r="F524" i="14"/>
  <c r="H524" i="14"/>
  <c r="B524" i="14"/>
  <c r="A514" i="12"/>
  <c r="G514" i="12" s="1"/>
  <c r="F513" i="12"/>
  <c r="C513" i="12"/>
  <c r="D513" i="12"/>
  <c r="E513" i="12" s="1"/>
  <c r="M514" i="12"/>
  <c r="N514" i="12" s="1"/>
  <c r="O514" i="12"/>
  <c r="J515" i="12"/>
  <c r="L515" i="12" s="1"/>
  <c r="P514" i="12"/>
  <c r="K514" i="12"/>
  <c r="L514" i="8"/>
  <c r="T513" i="8"/>
  <c r="S513" i="8"/>
  <c r="R513" i="8"/>
  <c r="Q513" i="8"/>
  <c r="P513" i="8"/>
  <c r="O513" i="8"/>
  <c r="M513" i="8"/>
  <c r="N513" i="8"/>
  <c r="A514" i="8"/>
  <c r="H513" i="8"/>
  <c r="F513" i="8"/>
  <c r="AG512" i="8" s="1"/>
  <c r="G513" i="8"/>
  <c r="D513" i="8"/>
  <c r="E513" i="8" s="1"/>
  <c r="B513" i="8"/>
  <c r="C513" i="8"/>
  <c r="B514" i="12" l="1"/>
  <c r="L563" i="14"/>
  <c r="N562" i="14"/>
  <c r="O562" i="14"/>
  <c r="A559" i="14"/>
  <c r="D558" i="14"/>
  <c r="E558" i="14" s="1"/>
  <c r="C558" i="14"/>
  <c r="P525" i="14"/>
  <c r="Q525" i="14"/>
  <c r="M525" i="14"/>
  <c r="G525" i="14"/>
  <c r="H525" i="14"/>
  <c r="B525" i="14"/>
  <c r="F525" i="14"/>
  <c r="A515" i="12"/>
  <c r="G515" i="12" s="1"/>
  <c r="F514" i="12"/>
  <c r="C514" i="12"/>
  <c r="D514" i="12"/>
  <c r="E514" i="12" s="1"/>
  <c r="O515" i="12"/>
  <c r="P515" i="12"/>
  <c r="K515" i="12"/>
  <c r="J516" i="12"/>
  <c r="L516" i="12" s="1"/>
  <c r="M515" i="12"/>
  <c r="N515" i="12" s="1"/>
  <c r="L515" i="8"/>
  <c r="T514" i="8"/>
  <c r="S514" i="8"/>
  <c r="R514" i="8"/>
  <c r="Q514" i="8"/>
  <c r="P514" i="8"/>
  <c r="O514" i="8"/>
  <c r="M514" i="8"/>
  <c r="N514" i="8"/>
  <c r="A515" i="8"/>
  <c r="H514" i="8"/>
  <c r="F514" i="8"/>
  <c r="AG513" i="8" s="1"/>
  <c r="G514" i="8"/>
  <c r="D514" i="8"/>
  <c r="E514" i="8" s="1"/>
  <c r="B514" i="8"/>
  <c r="C514" i="8"/>
  <c r="B515" i="12" l="1"/>
  <c r="L564" i="14"/>
  <c r="N563" i="14"/>
  <c r="O563" i="14"/>
  <c r="A560" i="14"/>
  <c r="D559" i="14"/>
  <c r="E559" i="14" s="1"/>
  <c r="C559" i="14"/>
  <c r="Q526" i="14"/>
  <c r="P526" i="14"/>
  <c r="M526" i="14"/>
  <c r="B526" i="14"/>
  <c r="G526" i="14"/>
  <c r="H526" i="14"/>
  <c r="F526" i="14"/>
  <c r="A516" i="12"/>
  <c r="G516" i="12" s="1"/>
  <c r="F515" i="12"/>
  <c r="C515" i="12"/>
  <c r="D515" i="12"/>
  <c r="E515" i="12" s="1"/>
  <c r="J517" i="12"/>
  <c r="L517" i="12" s="1"/>
  <c r="K516" i="12"/>
  <c r="O516" i="12"/>
  <c r="P516" i="12"/>
  <c r="M516" i="12"/>
  <c r="N516" i="12" s="1"/>
  <c r="L516" i="8"/>
  <c r="T515" i="8"/>
  <c r="S515" i="8"/>
  <c r="R515" i="8"/>
  <c r="Q515" i="8"/>
  <c r="P515" i="8"/>
  <c r="O515" i="8"/>
  <c r="M515" i="8"/>
  <c r="N515" i="8"/>
  <c r="A516" i="8"/>
  <c r="G515" i="8"/>
  <c r="H515" i="8"/>
  <c r="F515" i="8"/>
  <c r="AG514" i="8" s="1"/>
  <c r="D515" i="8"/>
  <c r="E515" i="8" s="1"/>
  <c r="B515" i="8"/>
  <c r="C515" i="8"/>
  <c r="B516" i="12" l="1"/>
  <c r="L565" i="14"/>
  <c r="N564" i="14"/>
  <c r="O564" i="14"/>
  <c r="A561" i="14"/>
  <c r="D560" i="14"/>
  <c r="E560" i="14" s="1"/>
  <c r="C560" i="14"/>
  <c r="Q527" i="14"/>
  <c r="M527" i="14"/>
  <c r="P527" i="14"/>
  <c r="G527" i="14"/>
  <c r="B527" i="14"/>
  <c r="H527" i="14"/>
  <c r="F527" i="14"/>
  <c r="A517" i="12"/>
  <c r="B517" i="12" s="1"/>
  <c r="F516" i="12"/>
  <c r="C516" i="12"/>
  <c r="D516" i="12"/>
  <c r="E516" i="12" s="1"/>
  <c r="P517" i="12"/>
  <c r="J518" i="12"/>
  <c r="L518" i="12" s="1"/>
  <c r="O517" i="12"/>
  <c r="K517" i="12"/>
  <c r="M517" i="12"/>
  <c r="N517" i="12" s="1"/>
  <c r="L517" i="8"/>
  <c r="T516" i="8"/>
  <c r="S516" i="8"/>
  <c r="R516" i="8"/>
  <c r="Q516" i="8"/>
  <c r="P516" i="8"/>
  <c r="O516" i="8"/>
  <c r="M516" i="8"/>
  <c r="N516" i="8"/>
  <c r="A517" i="8"/>
  <c r="G516" i="8"/>
  <c r="H516" i="8"/>
  <c r="F516" i="8"/>
  <c r="AG515" i="8" s="1"/>
  <c r="D516" i="8"/>
  <c r="E516" i="8" s="1"/>
  <c r="C516" i="8"/>
  <c r="B516" i="8"/>
  <c r="L566" i="14" l="1"/>
  <c r="N565" i="14"/>
  <c r="O565" i="14"/>
  <c r="A562" i="14"/>
  <c r="D561" i="14"/>
  <c r="E561" i="14" s="1"/>
  <c r="C561" i="14"/>
  <c r="Q528" i="14"/>
  <c r="M528" i="14"/>
  <c r="P528" i="14"/>
  <c r="H528" i="14"/>
  <c r="B528" i="14"/>
  <c r="F528" i="14"/>
  <c r="G528" i="14"/>
  <c r="G517" i="12"/>
  <c r="A518" i="12"/>
  <c r="G518" i="12" s="1"/>
  <c r="F517" i="12"/>
  <c r="C517" i="12"/>
  <c r="D517" i="12"/>
  <c r="E517" i="12" s="1"/>
  <c r="O518" i="12"/>
  <c r="J519" i="12"/>
  <c r="L519" i="12" s="1"/>
  <c r="M518" i="12"/>
  <c r="N518" i="12" s="1"/>
  <c r="P518" i="12"/>
  <c r="K518" i="12"/>
  <c r="L518" i="8"/>
  <c r="T517" i="8"/>
  <c r="S517" i="8"/>
  <c r="R517" i="8"/>
  <c r="Q517" i="8"/>
  <c r="P517" i="8"/>
  <c r="O517" i="8"/>
  <c r="M517" i="8"/>
  <c r="N517" i="8"/>
  <c r="A518" i="8"/>
  <c r="H517" i="8"/>
  <c r="G517" i="8"/>
  <c r="F517" i="8"/>
  <c r="AG516" i="8" s="1"/>
  <c r="D517" i="8"/>
  <c r="E517" i="8" s="1"/>
  <c r="C517" i="8"/>
  <c r="B517" i="8"/>
  <c r="B518" i="12" l="1"/>
  <c r="L567" i="14"/>
  <c r="N566" i="14"/>
  <c r="O566" i="14"/>
  <c r="A563" i="14"/>
  <c r="D562" i="14"/>
  <c r="E562" i="14" s="1"/>
  <c r="C562" i="14"/>
  <c r="M529" i="14"/>
  <c r="Q529" i="14"/>
  <c r="P529" i="14"/>
  <c r="G529" i="14"/>
  <c r="B529" i="14"/>
  <c r="H529" i="14"/>
  <c r="F529" i="14"/>
  <c r="A519" i="12"/>
  <c r="B519" i="12" s="1"/>
  <c r="F518" i="12"/>
  <c r="C518" i="12"/>
  <c r="D518" i="12"/>
  <c r="E518" i="12" s="1"/>
  <c r="J520" i="12"/>
  <c r="L520" i="12" s="1"/>
  <c r="K519" i="12"/>
  <c r="P519" i="12"/>
  <c r="O519" i="12"/>
  <c r="M519" i="12"/>
  <c r="N519" i="12" s="1"/>
  <c r="L519" i="8"/>
  <c r="T518" i="8"/>
  <c r="R518" i="8"/>
  <c r="S518" i="8"/>
  <c r="Q518" i="8"/>
  <c r="P518" i="8"/>
  <c r="O518" i="8"/>
  <c r="M518" i="8"/>
  <c r="N518" i="8"/>
  <c r="A519" i="8"/>
  <c r="G518" i="8"/>
  <c r="H518" i="8"/>
  <c r="F518" i="8"/>
  <c r="AG517" i="8" s="1"/>
  <c r="C518" i="8"/>
  <c r="D518" i="8"/>
  <c r="E518" i="8" s="1"/>
  <c r="B518" i="8"/>
  <c r="L568" i="14" l="1"/>
  <c r="N567" i="14"/>
  <c r="O567" i="14"/>
  <c r="A564" i="14"/>
  <c r="D563" i="14"/>
  <c r="E563" i="14" s="1"/>
  <c r="C563" i="14"/>
  <c r="Q530" i="14"/>
  <c r="M530" i="14"/>
  <c r="P530" i="14"/>
  <c r="G530" i="14"/>
  <c r="F530" i="14"/>
  <c r="B530" i="14"/>
  <c r="H530" i="14"/>
  <c r="G519" i="12"/>
  <c r="A520" i="12"/>
  <c r="B520" i="12" s="1"/>
  <c r="F519" i="12"/>
  <c r="C519" i="12"/>
  <c r="D519" i="12"/>
  <c r="E519" i="12" s="1"/>
  <c r="M520" i="12"/>
  <c r="N520" i="12" s="1"/>
  <c r="J521" i="12"/>
  <c r="L521" i="12" s="1"/>
  <c r="P520" i="12"/>
  <c r="O520" i="12"/>
  <c r="K520" i="12"/>
  <c r="L520" i="8"/>
  <c r="T519" i="8"/>
  <c r="S519" i="8"/>
  <c r="R519" i="8"/>
  <c r="Q519" i="8"/>
  <c r="P519" i="8"/>
  <c r="M519" i="8"/>
  <c r="O519" i="8"/>
  <c r="N519" i="8"/>
  <c r="A520" i="8"/>
  <c r="H519" i="8"/>
  <c r="G519" i="8"/>
  <c r="F519" i="8"/>
  <c r="AG518" i="8" s="1"/>
  <c r="C519" i="8"/>
  <c r="D519" i="8"/>
  <c r="E519" i="8" s="1"/>
  <c r="B519" i="8"/>
  <c r="G520" i="12" l="1"/>
  <c r="L569" i="14"/>
  <c r="N568" i="14"/>
  <c r="O568" i="14"/>
  <c r="A565" i="14"/>
  <c r="D564" i="14"/>
  <c r="E564" i="14" s="1"/>
  <c r="C564" i="14"/>
  <c r="P531" i="14"/>
  <c r="Q531" i="14"/>
  <c r="M531" i="14"/>
  <c r="F531" i="14"/>
  <c r="B531" i="14"/>
  <c r="G531" i="14"/>
  <c r="H531" i="14"/>
  <c r="A521" i="12"/>
  <c r="G521" i="12" s="1"/>
  <c r="F520" i="12"/>
  <c r="C520" i="12"/>
  <c r="D520" i="12"/>
  <c r="E520" i="12" s="1"/>
  <c r="J522" i="12"/>
  <c r="L522" i="12" s="1"/>
  <c r="M521" i="12"/>
  <c r="N521" i="12" s="1"/>
  <c r="P521" i="12"/>
  <c r="K521" i="12"/>
  <c r="O521" i="12"/>
  <c r="L521" i="8"/>
  <c r="T520" i="8"/>
  <c r="S520" i="8"/>
  <c r="R520" i="8"/>
  <c r="Q520" i="8"/>
  <c r="P520" i="8"/>
  <c r="M520" i="8"/>
  <c r="N520" i="8"/>
  <c r="O520" i="8"/>
  <c r="A521" i="8"/>
  <c r="G520" i="8"/>
  <c r="H520" i="8"/>
  <c r="F520" i="8"/>
  <c r="AG519" i="8" s="1"/>
  <c r="D520" i="8"/>
  <c r="E520" i="8" s="1"/>
  <c r="C520" i="8"/>
  <c r="B520" i="8"/>
  <c r="B521" i="12" l="1"/>
  <c r="L570" i="14"/>
  <c r="N569" i="14"/>
  <c r="O569" i="14"/>
  <c r="A566" i="14"/>
  <c r="D565" i="14"/>
  <c r="E565" i="14" s="1"/>
  <c r="C565" i="14"/>
  <c r="Q532" i="14"/>
  <c r="P532" i="14"/>
  <c r="M532" i="14"/>
  <c r="B532" i="14"/>
  <c r="G532" i="14"/>
  <c r="F532" i="14"/>
  <c r="H532" i="14"/>
  <c r="A522" i="12"/>
  <c r="G522" i="12" s="1"/>
  <c r="F521" i="12"/>
  <c r="C521" i="12"/>
  <c r="D521" i="12"/>
  <c r="E521" i="12" s="1"/>
  <c r="J523" i="12"/>
  <c r="L523" i="12" s="1"/>
  <c r="K522" i="12"/>
  <c r="O522" i="12"/>
  <c r="P522" i="12"/>
  <c r="M522" i="12"/>
  <c r="N522" i="12" s="1"/>
  <c r="B522" i="12"/>
  <c r="L522" i="8"/>
  <c r="T521" i="8"/>
  <c r="S521" i="8"/>
  <c r="R521" i="8"/>
  <c r="Q521" i="8"/>
  <c r="O521" i="8"/>
  <c r="P521" i="8"/>
  <c r="M521" i="8"/>
  <c r="N521" i="8"/>
  <c r="A522" i="8"/>
  <c r="H521" i="8"/>
  <c r="F521" i="8"/>
  <c r="AG520" i="8" s="1"/>
  <c r="G521" i="8"/>
  <c r="D521" i="8"/>
  <c r="E521" i="8" s="1"/>
  <c r="C521" i="8"/>
  <c r="B521" i="8"/>
  <c r="L571" i="14" l="1"/>
  <c r="N570" i="14"/>
  <c r="O570" i="14"/>
  <c r="A567" i="14"/>
  <c r="D566" i="14"/>
  <c r="E566" i="14" s="1"/>
  <c r="C566" i="14"/>
  <c r="M533" i="14"/>
  <c r="Q533" i="14"/>
  <c r="P533" i="14"/>
  <c r="G533" i="14"/>
  <c r="B533" i="14"/>
  <c r="F533" i="14"/>
  <c r="H533" i="14"/>
  <c r="A523" i="12"/>
  <c r="B523" i="12" s="1"/>
  <c r="F522" i="12"/>
  <c r="C522" i="12"/>
  <c r="D522" i="12"/>
  <c r="E522" i="12" s="1"/>
  <c r="P523" i="12"/>
  <c r="K523" i="12"/>
  <c r="J524" i="12"/>
  <c r="L524" i="12" s="1"/>
  <c r="M523" i="12"/>
  <c r="N523" i="12" s="1"/>
  <c r="O523" i="12"/>
  <c r="G523" i="12"/>
  <c r="L523" i="8"/>
  <c r="T522" i="8"/>
  <c r="S522" i="8"/>
  <c r="R522" i="8"/>
  <c r="Q522" i="8"/>
  <c r="O522" i="8"/>
  <c r="P522" i="8"/>
  <c r="M522" i="8"/>
  <c r="N522" i="8"/>
  <c r="A523" i="8"/>
  <c r="F522" i="8"/>
  <c r="AG521" i="8" s="1"/>
  <c r="G522" i="8"/>
  <c r="H522" i="8"/>
  <c r="D522" i="8"/>
  <c r="E522" i="8" s="1"/>
  <c r="C522" i="8"/>
  <c r="B522" i="8"/>
  <c r="L572" i="14" l="1"/>
  <c r="N571" i="14"/>
  <c r="O571" i="14"/>
  <c r="A568" i="14"/>
  <c r="D567" i="14"/>
  <c r="E567" i="14" s="1"/>
  <c r="C567" i="14"/>
  <c r="P534" i="14"/>
  <c r="M534" i="14"/>
  <c r="Q534" i="14"/>
  <c r="H534" i="14"/>
  <c r="B534" i="14"/>
  <c r="G534" i="14"/>
  <c r="F534" i="14"/>
  <c r="A524" i="12"/>
  <c r="B524" i="12" s="1"/>
  <c r="F523" i="12"/>
  <c r="C523" i="12"/>
  <c r="D523" i="12"/>
  <c r="E523" i="12" s="1"/>
  <c r="O524" i="12"/>
  <c r="K524" i="12"/>
  <c r="M524" i="12"/>
  <c r="N524" i="12" s="1"/>
  <c r="P524" i="12"/>
  <c r="J525" i="12"/>
  <c r="L525" i="12" s="1"/>
  <c r="L524" i="8"/>
  <c r="T523" i="8"/>
  <c r="S523" i="8"/>
  <c r="R523" i="8"/>
  <c r="Q523" i="8"/>
  <c r="P523" i="8"/>
  <c r="O523" i="8"/>
  <c r="M523" i="8"/>
  <c r="N523" i="8"/>
  <c r="A524" i="8"/>
  <c r="H523" i="8"/>
  <c r="G523" i="8"/>
  <c r="F523" i="8"/>
  <c r="AG522" i="8" s="1"/>
  <c r="D523" i="8"/>
  <c r="E523" i="8" s="1"/>
  <c r="C523" i="8"/>
  <c r="B523" i="8"/>
  <c r="G524" i="12" l="1"/>
  <c r="L573" i="14"/>
  <c r="N572" i="14"/>
  <c r="O572" i="14"/>
  <c r="A569" i="14"/>
  <c r="D568" i="14"/>
  <c r="E568" i="14" s="1"/>
  <c r="C568" i="14"/>
  <c r="M535" i="14"/>
  <c r="Q535" i="14"/>
  <c r="P535" i="14"/>
  <c r="G535" i="14"/>
  <c r="B535" i="14"/>
  <c r="H535" i="14"/>
  <c r="F535" i="14"/>
  <c r="A525" i="12"/>
  <c r="B525" i="12" s="1"/>
  <c r="F524" i="12"/>
  <c r="C524" i="12"/>
  <c r="D524" i="12"/>
  <c r="E524" i="12" s="1"/>
  <c r="K525" i="12"/>
  <c r="P525" i="12"/>
  <c r="O525" i="12"/>
  <c r="J526" i="12"/>
  <c r="L526" i="12" s="1"/>
  <c r="M525" i="12"/>
  <c r="N525" i="12" s="1"/>
  <c r="L525" i="8"/>
  <c r="T524" i="8"/>
  <c r="S524" i="8"/>
  <c r="R524" i="8"/>
  <c r="Q524" i="8"/>
  <c r="P524" i="8"/>
  <c r="O524" i="8"/>
  <c r="M524" i="8"/>
  <c r="N524" i="8"/>
  <c r="A525" i="8"/>
  <c r="G524" i="8"/>
  <c r="H524" i="8"/>
  <c r="F524" i="8"/>
  <c r="AG523" i="8" s="1"/>
  <c r="D524" i="8"/>
  <c r="E524" i="8" s="1"/>
  <c r="C524" i="8"/>
  <c r="B524" i="8"/>
  <c r="G525" i="12" l="1"/>
  <c r="L574" i="14"/>
  <c r="N573" i="14"/>
  <c r="O573" i="14"/>
  <c r="A570" i="14"/>
  <c r="D569" i="14"/>
  <c r="E569" i="14" s="1"/>
  <c r="C569" i="14"/>
  <c r="Q536" i="14"/>
  <c r="M536" i="14"/>
  <c r="P536" i="14"/>
  <c r="G536" i="14"/>
  <c r="F536" i="14"/>
  <c r="B536" i="14"/>
  <c r="H536" i="14"/>
  <c r="A526" i="12"/>
  <c r="G526" i="12" s="1"/>
  <c r="F525" i="12"/>
  <c r="C525" i="12"/>
  <c r="D525" i="12"/>
  <c r="E525" i="12" s="1"/>
  <c r="M526" i="12"/>
  <c r="N526" i="12" s="1"/>
  <c r="K526" i="12"/>
  <c r="O526" i="12"/>
  <c r="J527" i="12"/>
  <c r="L527" i="12" s="1"/>
  <c r="P526" i="12"/>
  <c r="L526" i="8"/>
  <c r="T525" i="8"/>
  <c r="S525" i="8"/>
  <c r="R525" i="8"/>
  <c r="Q525" i="8"/>
  <c r="P525" i="8"/>
  <c r="O525" i="8"/>
  <c r="M525" i="8"/>
  <c r="N525" i="8"/>
  <c r="A526" i="8"/>
  <c r="H525" i="8"/>
  <c r="G525" i="8"/>
  <c r="F525" i="8"/>
  <c r="AG524" i="8" s="1"/>
  <c r="D525" i="8"/>
  <c r="E525" i="8" s="1"/>
  <c r="C525" i="8"/>
  <c r="B525" i="8"/>
  <c r="B526" i="12" l="1"/>
  <c r="L575" i="14"/>
  <c r="N574" i="14"/>
  <c r="O574" i="14"/>
  <c r="A571" i="14"/>
  <c r="D570" i="14"/>
  <c r="E570" i="14" s="1"/>
  <c r="C570" i="14"/>
  <c r="P537" i="14"/>
  <c r="M537" i="14"/>
  <c r="Q537" i="14"/>
  <c r="F537" i="14"/>
  <c r="H537" i="14"/>
  <c r="G537" i="14"/>
  <c r="B537" i="14"/>
  <c r="A527" i="12"/>
  <c r="G527" i="12" s="1"/>
  <c r="F526" i="12"/>
  <c r="C526" i="12"/>
  <c r="D526" i="12"/>
  <c r="E526" i="12" s="1"/>
  <c r="K527" i="12"/>
  <c r="O527" i="12"/>
  <c r="M527" i="12"/>
  <c r="N527" i="12" s="1"/>
  <c r="P527" i="12"/>
  <c r="J528" i="12"/>
  <c r="L528" i="12" s="1"/>
  <c r="L527" i="8"/>
  <c r="T526" i="8"/>
  <c r="R526" i="8"/>
  <c r="S526" i="8"/>
  <c r="Q526" i="8"/>
  <c r="P526" i="8"/>
  <c r="O526" i="8"/>
  <c r="M526" i="8"/>
  <c r="N526" i="8"/>
  <c r="A527" i="8"/>
  <c r="G526" i="8"/>
  <c r="H526" i="8"/>
  <c r="F526" i="8"/>
  <c r="AG525" i="8" s="1"/>
  <c r="D526" i="8"/>
  <c r="E526" i="8" s="1"/>
  <c r="C526" i="8"/>
  <c r="B526" i="8"/>
  <c r="B527" i="12" l="1"/>
  <c r="L576" i="14"/>
  <c r="N575" i="14"/>
  <c r="O575" i="14"/>
  <c r="A572" i="14"/>
  <c r="D571" i="14"/>
  <c r="E571" i="14" s="1"/>
  <c r="C571" i="14"/>
  <c r="M538" i="14"/>
  <c r="Q538" i="14"/>
  <c r="P538" i="14"/>
  <c r="G538" i="14"/>
  <c r="B538" i="14"/>
  <c r="F538" i="14"/>
  <c r="H538" i="14"/>
  <c r="A528" i="12"/>
  <c r="G528" i="12" s="1"/>
  <c r="F527" i="12"/>
  <c r="C527" i="12"/>
  <c r="D527" i="12"/>
  <c r="E527" i="12" s="1"/>
  <c r="J529" i="12"/>
  <c r="L529" i="12" s="1"/>
  <c r="K528" i="12"/>
  <c r="P528" i="12"/>
  <c r="O528" i="12"/>
  <c r="M528" i="12"/>
  <c r="N528" i="12" s="1"/>
  <c r="L528" i="8"/>
  <c r="T527" i="8"/>
  <c r="S527" i="8"/>
  <c r="R527" i="8"/>
  <c r="Q527" i="8"/>
  <c r="P527" i="8"/>
  <c r="M527" i="8"/>
  <c r="O527" i="8"/>
  <c r="N527" i="8"/>
  <c r="A528" i="8"/>
  <c r="F527" i="8"/>
  <c r="AG526" i="8" s="1"/>
  <c r="H527" i="8"/>
  <c r="G527" i="8"/>
  <c r="D527" i="8"/>
  <c r="E527" i="8" s="1"/>
  <c r="C527" i="8"/>
  <c r="B527" i="8"/>
  <c r="B528" i="12" l="1"/>
  <c r="L577" i="14"/>
  <c r="N576" i="14"/>
  <c r="O576" i="14"/>
  <c r="A573" i="14"/>
  <c r="D572" i="14"/>
  <c r="E572" i="14" s="1"/>
  <c r="C572" i="14"/>
  <c r="M539" i="14"/>
  <c r="Q539" i="14"/>
  <c r="P539" i="14"/>
  <c r="G539" i="14"/>
  <c r="F539" i="14"/>
  <c r="B539" i="14"/>
  <c r="H539" i="14"/>
  <c r="A529" i="12"/>
  <c r="B529" i="12" s="1"/>
  <c r="F528" i="12"/>
  <c r="C528" i="12"/>
  <c r="D528" i="12"/>
  <c r="E528" i="12" s="1"/>
  <c r="P529" i="12"/>
  <c r="M529" i="12"/>
  <c r="N529" i="12" s="1"/>
  <c r="J530" i="12"/>
  <c r="L530" i="12" s="1"/>
  <c r="O529" i="12"/>
  <c r="K529" i="12"/>
  <c r="L529" i="8"/>
  <c r="T528" i="8"/>
  <c r="Q528" i="8"/>
  <c r="S528" i="8"/>
  <c r="R528" i="8"/>
  <c r="P528" i="8"/>
  <c r="M528" i="8"/>
  <c r="N528" i="8"/>
  <c r="O528" i="8"/>
  <c r="A529" i="8"/>
  <c r="H528" i="8"/>
  <c r="F528" i="8"/>
  <c r="AG527" i="8" s="1"/>
  <c r="G528" i="8"/>
  <c r="D528" i="8"/>
  <c r="E528" i="8" s="1"/>
  <c r="C528" i="8"/>
  <c r="B528" i="8"/>
  <c r="G529" i="12" l="1"/>
  <c r="L578" i="14"/>
  <c r="N577" i="14"/>
  <c r="O577" i="14"/>
  <c r="A574" i="14"/>
  <c r="D573" i="14"/>
  <c r="E573" i="14" s="1"/>
  <c r="C573" i="14"/>
  <c r="M540" i="14"/>
  <c r="P540" i="14"/>
  <c r="Q540" i="14"/>
  <c r="F540" i="14"/>
  <c r="H540" i="14"/>
  <c r="G540" i="14"/>
  <c r="B540" i="14"/>
  <c r="A530" i="12"/>
  <c r="B530" i="12" s="1"/>
  <c r="F529" i="12"/>
  <c r="C529" i="12"/>
  <c r="D529" i="12"/>
  <c r="E529" i="12" s="1"/>
  <c r="O530" i="12"/>
  <c r="K530" i="12"/>
  <c r="M530" i="12"/>
  <c r="N530" i="12" s="1"/>
  <c r="P530" i="12"/>
  <c r="J531" i="12"/>
  <c r="L531" i="12" s="1"/>
  <c r="G530" i="12"/>
  <c r="L530" i="8"/>
  <c r="T529" i="8"/>
  <c r="S529" i="8"/>
  <c r="R529" i="8"/>
  <c r="Q529" i="8"/>
  <c r="O529" i="8"/>
  <c r="P529" i="8"/>
  <c r="M529" i="8"/>
  <c r="N529" i="8"/>
  <c r="A530" i="8"/>
  <c r="H529" i="8"/>
  <c r="G529" i="8"/>
  <c r="F529" i="8"/>
  <c r="AG528" i="8" s="1"/>
  <c r="D529" i="8"/>
  <c r="E529" i="8" s="1"/>
  <c r="B529" i="8"/>
  <c r="C529" i="8"/>
  <c r="L579" i="14" l="1"/>
  <c r="N578" i="14"/>
  <c r="O578" i="14"/>
  <c r="A575" i="14"/>
  <c r="D574" i="14"/>
  <c r="E574" i="14" s="1"/>
  <c r="C574" i="14"/>
  <c r="M541" i="14"/>
  <c r="P541" i="14"/>
  <c r="Q541" i="14"/>
  <c r="B541" i="14"/>
  <c r="G541" i="14"/>
  <c r="H541" i="14"/>
  <c r="F541" i="14"/>
  <c r="A531" i="12"/>
  <c r="G531" i="12" s="1"/>
  <c r="F530" i="12"/>
  <c r="C530" i="12"/>
  <c r="D530" i="12"/>
  <c r="E530" i="12" s="1"/>
  <c r="M531" i="12"/>
  <c r="N531" i="12" s="1"/>
  <c r="P531" i="12"/>
  <c r="K531" i="12"/>
  <c r="J532" i="12"/>
  <c r="L532" i="12" s="1"/>
  <c r="O531" i="12"/>
  <c r="B531" i="12"/>
  <c r="L531" i="8"/>
  <c r="T530" i="8"/>
  <c r="S530" i="8"/>
  <c r="R530" i="8"/>
  <c r="Q530" i="8"/>
  <c r="O530" i="8"/>
  <c r="P530" i="8"/>
  <c r="M530" i="8"/>
  <c r="N530" i="8"/>
  <c r="A531" i="8"/>
  <c r="G530" i="8"/>
  <c r="H530" i="8"/>
  <c r="F530" i="8"/>
  <c r="AG529" i="8" s="1"/>
  <c r="D530" i="8"/>
  <c r="E530" i="8" s="1"/>
  <c r="B530" i="8"/>
  <c r="C530" i="8"/>
  <c r="L580" i="14" l="1"/>
  <c r="N579" i="14"/>
  <c r="O579" i="14"/>
  <c r="A576" i="14"/>
  <c r="D575" i="14"/>
  <c r="E575" i="14" s="1"/>
  <c r="C575" i="14"/>
  <c r="Q542" i="14"/>
  <c r="M542" i="14"/>
  <c r="P542" i="14"/>
  <c r="G542" i="14"/>
  <c r="B542" i="14"/>
  <c r="H542" i="14"/>
  <c r="F542" i="14"/>
  <c r="A532" i="12"/>
  <c r="B532" i="12" s="1"/>
  <c r="F531" i="12"/>
  <c r="C531" i="12"/>
  <c r="D531" i="12"/>
  <c r="E531" i="12" s="1"/>
  <c r="M532" i="12"/>
  <c r="N532" i="12" s="1"/>
  <c r="O532" i="12"/>
  <c r="K532" i="12"/>
  <c r="J533" i="12"/>
  <c r="L533" i="12" s="1"/>
  <c r="P532" i="12"/>
  <c r="L532" i="8"/>
  <c r="T531" i="8"/>
  <c r="S531" i="8"/>
  <c r="R531" i="8"/>
  <c r="P531" i="8"/>
  <c r="Q531" i="8"/>
  <c r="O531" i="8"/>
  <c r="M531" i="8"/>
  <c r="N531" i="8"/>
  <c r="A532" i="8"/>
  <c r="H531" i="8"/>
  <c r="G531" i="8"/>
  <c r="F531" i="8"/>
  <c r="AG530" i="8" s="1"/>
  <c r="D531" i="8"/>
  <c r="E531" i="8" s="1"/>
  <c r="C531" i="8"/>
  <c r="B531" i="8"/>
  <c r="G532" i="12" l="1"/>
  <c r="L581" i="14"/>
  <c r="N580" i="14"/>
  <c r="O580" i="14"/>
  <c r="A577" i="14"/>
  <c r="D576" i="14"/>
  <c r="E576" i="14" s="1"/>
  <c r="C576" i="14"/>
  <c r="P543" i="14"/>
  <c r="M543" i="14"/>
  <c r="Q543" i="14"/>
  <c r="H543" i="14"/>
  <c r="B543" i="14"/>
  <c r="F543" i="14"/>
  <c r="G543" i="14"/>
  <c r="A533" i="12"/>
  <c r="B533" i="12" s="1"/>
  <c r="F532" i="12"/>
  <c r="C532" i="12"/>
  <c r="D532" i="12"/>
  <c r="E532" i="12" s="1"/>
  <c r="M533" i="12"/>
  <c r="N533" i="12" s="1"/>
  <c r="P533" i="12"/>
  <c r="K533" i="12"/>
  <c r="O533" i="12"/>
  <c r="J534" i="12"/>
  <c r="L534" i="12" s="1"/>
  <c r="G533" i="12"/>
  <c r="L533" i="8"/>
  <c r="T532" i="8"/>
  <c r="S532" i="8"/>
  <c r="R532" i="8"/>
  <c r="Q532" i="8"/>
  <c r="O532" i="8"/>
  <c r="P532" i="8"/>
  <c r="M532" i="8"/>
  <c r="N532" i="8"/>
  <c r="A533" i="8"/>
  <c r="G532" i="8"/>
  <c r="H532" i="8"/>
  <c r="F532" i="8"/>
  <c r="AG531" i="8" s="1"/>
  <c r="C532" i="8"/>
  <c r="D532" i="8"/>
  <c r="E532" i="8" s="1"/>
  <c r="B532" i="8"/>
  <c r="L582" i="14" l="1"/>
  <c r="N581" i="14"/>
  <c r="O581" i="14"/>
  <c r="A578" i="14"/>
  <c r="D577" i="14"/>
  <c r="E577" i="14" s="1"/>
  <c r="C577" i="14"/>
  <c r="M544" i="14"/>
  <c r="Q544" i="14"/>
  <c r="P544" i="14"/>
  <c r="G544" i="14"/>
  <c r="B544" i="14"/>
  <c r="H544" i="14"/>
  <c r="F544" i="14"/>
  <c r="A534" i="12"/>
  <c r="F533" i="12"/>
  <c r="C533" i="12"/>
  <c r="D533" i="12"/>
  <c r="E533" i="12" s="1"/>
  <c r="J535" i="12"/>
  <c r="L535" i="12" s="1"/>
  <c r="K534" i="12"/>
  <c r="M534" i="12"/>
  <c r="N534" i="12" s="1"/>
  <c r="O534" i="12"/>
  <c r="P534" i="12"/>
  <c r="G534" i="12"/>
  <c r="B534" i="12"/>
  <c r="L534" i="8"/>
  <c r="T533" i="8"/>
  <c r="S533" i="8"/>
  <c r="R533" i="8"/>
  <c r="Q533" i="8"/>
  <c r="O533" i="8"/>
  <c r="P533" i="8"/>
  <c r="M533" i="8"/>
  <c r="N533" i="8"/>
  <c r="A534" i="8"/>
  <c r="H533" i="8"/>
  <c r="G533" i="8"/>
  <c r="F533" i="8"/>
  <c r="AG532" i="8" s="1"/>
  <c r="D533" i="8"/>
  <c r="E533" i="8" s="1"/>
  <c r="C533" i="8"/>
  <c r="B533" i="8"/>
  <c r="L583" i="14" l="1"/>
  <c r="N582" i="14"/>
  <c r="O582" i="14"/>
  <c r="A579" i="14"/>
  <c r="D578" i="14"/>
  <c r="E578" i="14" s="1"/>
  <c r="C578" i="14"/>
  <c r="Q545" i="14"/>
  <c r="P545" i="14"/>
  <c r="M545" i="14"/>
  <c r="G545" i="14"/>
  <c r="F545" i="14"/>
  <c r="B545" i="14"/>
  <c r="H545" i="14"/>
  <c r="A535" i="12"/>
  <c r="F534" i="12"/>
  <c r="C534" i="12"/>
  <c r="D534" i="12"/>
  <c r="E534" i="12" s="1"/>
  <c r="P535" i="12"/>
  <c r="M535" i="12"/>
  <c r="N535" i="12" s="1"/>
  <c r="K535" i="12"/>
  <c r="J536" i="12"/>
  <c r="L536" i="12" s="1"/>
  <c r="O535" i="12"/>
  <c r="B535" i="12"/>
  <c r="G535" i="12"/>
  <c r="L535" i="8"/>
  <c r="T534" i="8"/>
  <c r="R534" i="8"/>
  <c r="S534" i="8"/>
  <c r="Q534" i="8"/>
  <c r="P534" i="8"/>
  <c r="O534" i="8"/>
  <c r="M534" i="8"/>
  <c r="N534" i="8"/>
  <c r="A535" i="8"/>
  <c r="G534" i="8"/>
  <c r="H534" i="8"/>
  <c r="F534" i="8"/>
  <c r="AG533" i="8" s="1"/>
  <c r="C534" i="8"/>
  <c r="D534" i="8"/>
  <c r="E534" i="8" s="1"/>
  <c r="B534" i="8"/>
  <c r="L584" i="14" l="1"/>
  <c r="N583" i="14"/>
  <c r="O583" i="14"/>
  <c r="A580" i="14"/>
  <c r="D579" i="14"/>
  <c r="E579" i="14" s="1"/>
  <c r="C579" i="14"/>
  <c r="P546" i="14"/>
  <c r="M546" i="14"/>
  <c r="Q546" i="14"/>
  <c r="F546" i="14"/>
  <c r="H546" i="14"/>
  <c r="B546" i="14"/>
  <c r="G546" i="14"/>
  <c r="A536" i="12"/>
  <c r="F535" i="12"/>
  <c r="C535" i="12"/>
  <c r="D535" i="12"/>
  <c r="E535" i="12" s="1"/>
  <c r="O536" i="12"/>
  <c r="M536" i="12"/>
  <c r="N536" i="12" s="1"/>
  <c r="K536" i="12"/>
  <c r="P536" i="12"/>
  <c r="J537" i="12"/>
  <c r="L537" i="12" s="1"/>
  <c r="G536" i="12"/>
  <c r="B536" i="12"/>
  <c r="L536" i="8"/>
  <c r="T535" i="8"/>
  <c r="S535" i="8"/>
  <c r="R535" i="8"/>
  <c r="Q535" i="8"/>
  <c r="P535" i="8"/>
  <c r="O535" i="8"/>
  <c r="M535" i="8"/>
  <c r="N535" i="8"/>
  <c r="A536" i="8"/>
  <c r="G535" i="8"/>
  <c r="H535" i="8"/>
  <c r="F535" i="8"/>
  <c r="AG534" i="8" s="1"/>
  <c r="C535" i="8"/>
  <c r="D535" i="8"/>
  <c r="E535" i="8" s="1"/>
  <c r="B535" i="8"/>
  <c r="L585" i="14" l="1"/>
  <c r="N584" i="14"/>
  <c r="O584" i="14"/>
  <c r="A581" i="14"/>
  <c r="D580" i="14"/>
  <c r="E580" i="14" s="1"/>
  <c r="C580" i="14"/>
  <c r="M547" i="14"/>
  <c r="Q547" i="14"/>
  <c r="P547" i="14"/>
  <c r="G547" i="14"/>
  <c r="B547" i="14"/>
  <c r="F547" i="14"/>
  <c r="H547" i="14"/>
  <c r="A537" i="12"/>
  <c r="F536" i="12"/>
  <c r="C536" i="12"/>
  <c r="D536" i="12"/>
  <c r="E536" i="12" s="1"/>
  <c r="M537" i="12"/>
  <c r="N537" i="12" s="1"/>
  <c r="O537" i="12"/>
  <c r="P537" i="12"/>
  <c r="J538" i="12"/>
  <c r="L538" i="12" s="1"/>
  <c r="K537" i="12"/>
  <c r="G537" i="12"/>
  <c r="B537" i="12"/>
  <c r="L537" i="8"/>
  <c r="T536" i="8"/>
  <c r="S536" i="8"/>
  <c r="Q536" i="8"/>
  <c r="R536" i="8"/>
  <c r="P536" i="8"/>
  <c r="O536" i="8"/>
  <c r="M536" i="8"/>
  <c r="N536" i="8"/>
  <c r="A537" i="8"/>
  <c r="F536" i="8"/>
  <c r="AG535" i="8" s="1"/>
  <c r="G536" i="8"/>
  <c r="H536" i="8"/>
  <c r="D536" i="8"/>
  <c r="E536" i="8" s="1"/>
  <c r="C536" i="8"/>
  <c r="B536" i="8"/>
  <c r="L586" i="14" l="1"/>
  <c r="N585" i="14"/>
  <c r="O585" i="14"/>
  <c r="A582" i="14"/>
  <c r="D581" i="14"/>
  <c r="E581" i="14" s="1"/>
  <c r="C581" i="14"/>
  <c r="Q548" i="14"/>
  <c r="M548" i="14"/>
  <c r="P548" i="14"/>
  <c r="G548" i="14"/>
  <c r="F548" i="14"/>
  <c r="H548" i="14"/>
  <c r="B548" i="14"/>
  <c r="A538" i="12"/>
  <c r="F537" i="12"/>
  <c r="C537" i="12"/>
  <c r="D537" i="12"/>
  <c r="E537" i="12" s="1"/>
  <c r="M538" i="12"/>
  <c r="N538" i="12" s="1"/>
  <c r="P538" i="12"/>
  <c r="K538" i="12"/>
  <c r="J539" i="12"/>
  <c r="L539" i="12" s="1"/>
  <c r="O538" i="12"/>
  <c r="G538" i="12"/>
  <c r="B538" i="12"/>
  <c r="L538" i="8"/>
  <c r="T537" i="8"/>
  <c r="S537" i="8"/>
  <c r="Q537" i="8"/>
  <c r="R537" i="8"/>
  <c r="P537" i="8"/>
  <c r="O537" i="8"/>
  <c r="M537" i="8"/>
  <c r="N537" i="8"/>
  <c r="A538" i="8"/>
  <c r="H537" i="8"/>
  <c r="G537" i="8"/>
  <c r="F537" i="8"/>
  <c r="AG536" i="8" s="1"/>
  <c r="D537" i="8"/>
  <c r="E537" i="8" s="1"/>
  <c r="B537" i="8"/>
  <c r="C537" i="8"/>
  <c r="L587" i="14" l="1"/>
  <c r="N586" i="14"/>
  <c r="O586" i="14"/>
  <c r="A583" i="14"/>
  <c r="D582" i="14"/>
  <c r="E582" i="14" s="1"/>
  <c r="C582" i="14"/>
  <c r="P549" i="14"/>
  <c r="M549" i="14"/>
  <c r="Q549" i="14"/>
  <c r="F549" i="14"/>
  <c r="H549" i="14"/>
  <c r="B549" i="14"/>
  <c r="G549" i="14"/>
  <c r="A539" i="12"/>
  <c r="F538" i="12"/>
  <c r="C538" i="12"/>
  <c r="D538" i="12"/>
  <c r="E538" i="12" s="1"/>
  <c r="J540" i="12"/>
  <c r="L540" i="12" s="1"/>
  <c r="K539" i="12"/>
  <c r="O539" i="12"/>
  <c r="P539" i="12"/>
  <c r="M539" i="12"/>
  <c r="N539" i="12" s="1"/>
  <c r="G539" i="12"/>
  <c r="B539" i="12"/>
  <c r="L539" i="8"/>
  <c r="T538" i="8"/>
  <c r="S538" i="8"/>
  <c r="R538" i="8"/>
  <c r="Q538" i="8"/>
  <c r="P538" i="8"/>
  <c r="O538" i="8"/>
  <c r="M538" i="8"/>
  <c r="N538" i="8"/>
  <c r="A539" i="8"/>
  <c r="G538" i="8"/>
  <c r="H538" i="8"/>
  <c r="F538" i="8"/>
  <c r="AG537" i="8" s="1"/>
  <c r="D538" i="8"/>
  <c r="E538" i="8" s="1"/>
  <c r="B538" i="8"/>
  <c r="C538" i="8"/>
  <c r="L588" i="14" l="1"/>
  <c r="N587" i="14"/>
  <c r="O587" i="14"/>
  <c r="A584" i="14"/>
  <c r="D583" i="14"/>
  <c r="E583" i="14" s="1"/>
  <c r="C583" i="14"/>
  <c r="Q550" i="14"/>
  <c r="P550" i="14"/>
  <c r="M550" i="14"/>
  <c r="B550" i="14"/>
  <c r="H550" i="14"/>
  <c r="G550" i="14"/>
  <c r="F550" i="14"/>
  <c r="A540" i="12"/>
  <c r="F539" i="12"/>
  <c r="C539" i="12"/>
  <c r="D539" i="12"/>
  <c r="E539" i="12" s="1"/>
  <c r="J541" i="12"/>
  <c r="L541" i="12" s="1"/>
  <c r="K540" i="12"/>
  <c r="O540" i="12"/>
  <c r="P540" i="12"/>
  <c r="M540" i="12"/>
  <c r="N540" i="12" s="1"/>
  <c r="B540" i="12"/>
  <c r="G540" i="12"/>
  <c r="L540" i="8"/>
  <c r="T539" i="8"/>
  <c r="R539" i="8"/>
  <c r="S539" i="8"/>
  <c r="Q539" i="8"/>
  <c r="P539" i="8"/>
  <c r="O539" i="8"/>
  <c r="M539" i="8"/>
  <c r="N539" i="8"/>
  <c r="A540" i="8"/>
  <c r="G539" i="8"/>
  <c r="H539" i="8"/>
  <c r="F539" i="8"/>
  <c r="AG538" i="8" s="1"/>
  <c r="B539" i="8"/>
  <c r="D539" i="8"/>
  <c r="E539" i="8" s="1"/>
  <c r="C539" i="8"/>
  <c r="L589" i="14" l="1"/>
  <c r="N588" i="14"/>
  <c r="O588" i="14"/>
  <c r="A585" i="14"/>
  <c r="D584" i="14"/>
  <c r="E584" i="14" s="1"/>
  <c r="C584" i="14"/>
  <c r="P551" i="14"/>
  <c r="Q551" i="14"/>
  <c r="M551" i="14"/>
  <c r="G551" i="14"/>
  <c r="B551" i="14"/>
  <c r="F551" i="14"/>
  <c r="H551" i="14"/>
  <c r="A541" i="12"/>
  <c r="F540" i="12"/>
  <c r="C540" i="12"/>
  <c r="D540" i="12"/>
  <c r="E540" i="12" s="1"/>
  <c r="P541" i="12"/>
  <c r="K541" i="12"/>
  <c r="J542" i="12"/>
  <c r="L542" i="12" s="1"/>
  <c r="M541" i="12"/>
  <c r="N541" i="12" s="1"/>
  <c r="O541" i="12"/>
  <c r="B541" i="12"/>
  <c r="G541" i="12"/>
  <c r="L541" i="8"/>
  <c r="T540" i="8"/>
  <c r="R540" i="8"/>
  <c r="S540" i="8"/>
  <c r="Q540" i="8"/>
  <c r="P540" i="8"/>
  <c r="O540" i="8"/>
  <c r="M540" i="8"/>
  <c r="N540" i="8"/>
  <c r="A541" i="8"/>
  <c r="G540" i="8"/>
  <c r="H540" i="8"/>
  <c r="F540" i="8"/>
  <c r="AG539" i="8" s="1"/>
  <c r="D540" i="8"/>
  <c r="E540" i="8" s="1"/>
  <c r="C540" i="8"/>
  <c r="B540" i="8"/>
  <c r="L590" i="14" l="1"/>
  <c r="N589" i="14"/>
  <c r="O589" i="14"/>
  <c r="A586" i="14"/>
  <c r="D585" i="14"/>
  <c r="E585" i="14" s="1"/>
  <c r="C585" i="14"/>
  <c r="Q552" i="14"/>
  <c r="M552" i="14"/>
  <c r="P552" i="14"/>
  <c r="H552" i="14"/>
  <c r="F552" i="14"/>
  <c r="G552" i="14"/>
  <c r="B552" i="14"/>
  <c r="A542" i="12"/>
  <c r="F541" i="12"/>
  <c r="C541" i="12"/>
  <c r="D541" i="12"/>
  <c r="E541" i="12" s="1"/>
  <c r="O542" i="12"/>
  <c r="M542" i="12"/>
  <c r="N542" i="12" s="1"/>
  <c r="K542" i="12"/>
  <c r="P542" i="12"/>
  <c r="J543" i="12"/>
  <c r="L543" i="12" s="1"/>
  <c r="G542" i="12"/>
  <c r="B542" i="12"/>
  <c r="L542" i="8"/>
  <c r="T541" i="8"/>
  <c r="S541" i="8"/>
  <c r="R541" i="8"/>
  <c r="Q541" i="8"/>
  <c r="P541" i="8"/>
  <c r="O541" i="8"/>
  <c r="M541" i="8"/>
  <c r="N541" i="8"/>
  <c r="A542" i="8"/>
  <c r="H541" i="8"/>
  <c r="G541" i="8"/>
  <c r="F541" i="8"/>
  <c r="AG540" i="8" s="1"/>
  <c r="D541" i="8"/>
  <c r="E541" i="8" s="1"/>
  <c r="C541" i="8"/>
  <c r="B541" i="8"/>
  <c r="L591" i="14" l="1"/>
  <c r="N590" i="14"/>
  <c r="O590" i="14"/>
  <c r="A587" i="14"/>
  <c r="D586" i="14"/>
  <c r="E586" i="14" s="1"/>
  <c r="C586" i="14"/>
  <c r="M553" i="14"/>
  <c r="Q553" i="14"/>
  <c r="P553" i="14"/>
  <c r="G553" i="14"/>
  <c r="B553" i="14"/>
  <c r="H553" i="14"/>
  <c r="F553" i="14"/>
  <c r="A543" i="12"/>
  <c r="F542" i="12"/>
  <c r="C542" i="12"/>
  <c r="D542" i="12"/>
  <c r="E542" i="12" s="1"/>
  <c r="O543" i="12"/>
  <c r="P543" i="12"/>
  <c r="M543" i="12"/>
  <c r="N543" i="12" s="1"/>
  <c r="J544" i="12"/>
  <c r="L544" i="12" s="1"/>
  <c r="K543" i="12"/>
  <c r="G543" i="12"/>
  <c r="B543" i="12"/>
  <c r="L543" i="8"/>
  <c r="T542" i="8"/>
  <c r="S542" i="8"/>
  <c r="R542" i="8"/>
  <c r="Q542" i="8"/>
  <c r="P542" i="8"/>
  <c r="O542" i="8"/>
  <c r="M542" i="8"/>
  <c r="N542" i="8"/>
  <c r="A543" i="8"/>
  <c r="H542" i="8"/>
  <c r="G542" i="8"/>
  <c r="F542" i="8"/>
  <c r="AG541" i="8" s="1"/>
  <c r="C542" i="8"/>
  <c r="D542" i="8"/>
  <c r="E542" i="8" s="1"/>
  <c r="B542" i="8"/>
  <c r="L592" i="14" l="1"/>
  <c r="N591" i="14"/>
  <c r="O591" i="14"/>
  <c r="A588" i="14"/>
  <c r="D587" i="14"/>
  <c r="E587" i="14" s="1"/>
  <c r="C587" i="14"/>
  <c r="Q554" i="14"/>
  <c r="M554" i="14"/>
  <c r="P554" i="14"/>
  <c r="G554" i="14"/>
  <c r="F554" i="14"/>
  <c r="B554" i="14"/>
  <c r="H554" i="14"/>
  <c r="A544" i="12"/>
  <c r="F543" i="12"/>
  <c r="C543" i="12"/>
  <c r="D543" i="12"/>
  <c r="E543" i="12" s="1"/>
  <c r="M544" i="12"/>
  <c r="N544" i="12" s="1"/>
  <c r="O544" i="12"/>
  <c r="J545" i="12"/>
  <c r="L545" i="12" s="1"/>
  <c r="K544" i="12"/>
  <c r="P544" i="12"/>
  <c r="B544" i="12"/>
  <c r="G544" i="12"/>
  <c r="L544" i="8"/>
  <c r="T543" i="8"/>
  <c r="S543" i="8"/>
  <c r="R543" i="8"/>
  <c r="Q543" i="8"/>
  <c r="P543" i="8"/>
  <c r="M543" i="8"/>
  <c r="O543" i="8"/>
  <c r="N543" i="8"/>
  <c r="A544" i="8"/>
  <c r="G543" i="8"/>
  <c r="H543" i="8"/>
  <c r="F543" i="8"/>
  <c r="AG542" i="8" s="1"/>
  <c r="C543" i="8"/>
  <c r="B543" i="8"/>
  <c r="D543" i="8"/>
  <c r="E543" i="8" s="1"/>
  <c r="L593" i="14" l="1"/>
  <c r="N592" i="14"/>
  <c r="O592" i="14"/>
  <c r="A589" i="14"/>
  <c r="D588" i="14"/>
  <c r="E588" i="14" s="1"/>
  <c r="C588" i="14"/>
  <c r="P555" i="14"/>
  <c r="M555" i="14"/>
  <c r="Q555" i="14"/>
  <c r="F555" i="14"/>
  <c r="H555" i="14"/>
  <c r="G555" i="14"/>
  <c r="B555" i="14"/>
  <c r="A545" i="12"/>
  <c r="F544" i="12"/>
  <c r="C544" i="12"/>
  <c r="D544" i="12"/>
  <c r="E544" i="12" s="1"/>
  <c r="O545" i="12"/>
  <c r="K545" i="12"/>
  <c r="P545" i="12"/>
  <c r="J546" i="12"/>
  <c r="L546" i="12" s="1"/>
  <c r="M545" i="12"/>
  <c r="N545" i="12" s="1"/>
  <c r="G545" i="12"/>
  <c r="B545" i="12"/>
  <c r="L545" i="8"/>
  <c r="T544" i="8"/>
  <c r="S544" i="8"/>
  <c r="Q544" i="8"/>
  <c r="R544" i="8"/>
  <c r="P544" i="8"/>
  <c r="M544" i="8"/>
  <c r="O544" i="8"/>
  <c r="N544" i="8"/>
  <c r="A545" i="8"/>
  <c r="H544" i="8"/>
  <c r="F544" i="8"/>
  <c r="AG543" i="8" s="1"/>
  <c r="G544" i="8"/>
  <c r="D544" i="8"/>
  <c r="E544" i="8" s="1"/>
  <c r="C544" i="8"/>
  <c r="B544" i="8"/>
  <c r="L594" i="14" l="1"/>
  <c r="N593" i="14"/>
  <c r="O593" i="14"/>
  <c r="A590" i="14"/>
  <c r="D589" i="14"/>
  <c r="E589" i="14" s="1"/>
  <c r="C589" i="14"/>
  <c r="P556" i="14"/>
  <c r="Q556" i="14"/>
  <c r="M556" i="14"/>
  <c r="G556" i="14"/>
  <c r="F556" i="14"/>
  <c r="H556" i="14"/>
  <c r="B556" i="14"/>
  <c r="A546" i="12"/>
  <c r="F545" i="12"/>
  <c r="C545" i="12"/>
  <c r="D545" i="12"/>
  <c r="E545" i="12" s="1"/>
  <c r="J547" i="12"/>
  <c r="L547" i="12" s="1"/>
  <c r="K546" i="12"/>
  <c r="O546" i="12"/>
  <c r="M546" i="12"/>
  <c r="N546" i="12" s="1"/>
  <c r="P546" i="12"/>
  <c r="B546" i="12"/>
  <c r="G546" i="12"/>
  <c r="L546" i="8"/>
  <c r="T545" i="8"/>
  <c r="S545" i="8"/>
  <c r="R545" i="8"/>
  <c r="Q545" i="8"/>
  <c r="P545" i="8"/>
  <c r="O545" i="8"/>
  <c r="M545" i="8"/>
  <c r="N545" i="8"/>
  <c r="A546" i="8"/>
  <c r="H545" i="8"/>
  <c r="G545" i="8"/>
  <c r="F545" i="8"/>
  <c r="AG544" i="8" s="1"/>
  <c r="D545" i="8"/>
  <c r="E545" i="8" s="1"/>
  <c r="C545" i="8"/>
  <c r="B545" i="8"/>
  <c r="L595" i="14" l="1"/>
  <c r="N594" i="14"/>
  <c r="O594" i="14"/>
  <c r="A591" i="14"/>
  <c r="D590" i="14"/>
  <c r="E590" i="14" s="1"/>
  <c r="C590" i="14"/>
  <c r="P557" i="14"/>
  <c r="Q557" i="14"/>
  <c r="M557" i="14"/>
  <c r="G557" i="14"/>
  <c r="F557" i="14"/>
  <c r="B557" i="14"/>
  <c r="H557" i="14"/>
  <c r="A547" i="12"/>
  <c r="G547" i="12" s="1"/>
  <c r="F546" i="12"/>
  <c r="C546" i="12"/>
  <c r="D546" i="12"/>
  <c r="E546" i="12" s="1"/>
  <c r="P547" i="12"/>
  <c r="O547" i="12"/>
  <c r="M547" i="12"/>
  <c r="N547" i="12" s="1"/>
  <c r="K547" i="12"/>
  <c r="J548" i="12"/>
  <c r="L548" i="12" s="1"/>
  <c r="L547" i="8"/>
  <c r="T546" i="8"/>
  <c r="S546" i="8"/>
  <c r="R546" i="8"/>
  <c r="Q546" i="8"/>
  <c r="P546" i="8"/>
  <c r="O546" i="8"/>
  <c r="M546" i="8"/>
  <c r="N546" i="8"/>
  <c r="A547" i="8"/>
  <c r="G546" i="8"/>
  <c r="H546" i="8"/>
  <c r="F546" i="8"/>
  <c r="AG545" i="8" s="1"/>
  <c r="D546" i="8"/>
  <c r="E546" i="8" s="1"/>
  <c r="C546" i="8"/>
  <c r="B546" i="8"/>
  <c r="B547" i="12" l="1"/>
  <c r="L596" i="14"/>
  <c r="N595" i="14"/>
  <c r="O595" i="14"/>
  <c r="A592" i="14"/>
  <c r="D591" i="14"/>
  <c r="E591" i="14" s="1"/>
  <c r="C591" i="14"/>
  <c r="P558" i="14"/>
  <c r="M558" i="14"/>
  <c r="Q558" i="14"/>
  <c r="F558" i="14"/>
  <c r="B558" i="14"/>
  <c r="H558" i="14"/>
  <c r="G558" i="14"/>
  <c r="A548" i="12"/>
  <c r="B548" i="12" s="1"/>
  <c r="F547" i="12"/>
  <c r="C547" i="12"/>
  <c r="D547" i="12"/>
  <c r="E547" i="12" s="1"/>
  <c r="O548" i="12"/>
  <c r="P548" i="12"/>
  <c r="K548" i="12"/>
  <c r="M548" i="12"/>
  <c r="N548" i="12" s="1"/>
  <c r="J549" i="12"/>
  <c r="L549" i="12" s="1"/>
  <c r="G548" i="12"/>
  <c r="L548" i="8"/>
  <c r="T547" i="8"/>
  <c r="S547" i="8"/>
  <c r="R547" i="8"/>
  <c r="Q547" i="8"/>
  <c r="P547" i="8"/>
  <c r="O547" i="8"/>
  <c r="M547" i="8"/>
  <c r="N547" i="8"/>
  <c r="A548" i="8"/>
  <c r="G547" i="8"/>
  <c r="H547" i="8"/>
  <c r="F547" i="8"/>
  <c r="AG546" i="8" s="1"/>
  <c r="B547" i="8"/>
  <c r="C547" i="8"/>
  <c r="D547" i="8"/>
  <c r="E547" i="8" s="1"/>
  <c r="L597" i="14" l="1"/>
  <c r="N596" i="14"/>
  <c r="O596" i="14"/>
  <c r="A593" i="14"/>
  <c r="D592" i="14"/>
  <c r="E592" i="14" s="1"/>
  <c r="C592" i="14"/>
  <c r="M559" i="14"/>
  <c r="P559" i="14"/>
  <c r="Q559" i="14"/>
  <c r="B559" i="14"/>
  <c r="G559" i="14"/>
  <c r="F559" i="14"/>
  <c r="H559" i="14"/>
  <c r="A549" i="12"/>
  <c r="F548" i="12"/>
  <c r="C548" i="12"/>
  <c r="D548" i="12"/>
  <c r="E548" i="12" s="1"/>
  <c r="P549" i="12"/>
  <c r="J550" i="12"/>
  <c r="L550" i="12" s="1"/>
  <c r="M549" i="12"/>
  <c r="N549" i="12" s="1"/>
  <c r="O549" i="12"/>
  <c r="K549" i="12"/>
  <c r="B549" i="12"/>
  <c r="G549" i="12"/>
  <c r="L549" i="8"/>
  <c r="T548" i="8"/>
  <c r="S548" i="8"/>
  <c r="R548" i="8"/>
  <c r="Q548" i="8"/>
  <c r="P548" i="8"/>
  <c r="O548" i="8"/>
  <c r="M548" i="8"/>
  <c r="N548" i="8"/>
  <c r="A549" i="8"/>
  <c r="G548" i="8"/>
  <c r="H548" i="8"/>
  <c r="D548" i="8"/>
  <c r="E548" i="8" s="1"/>
  <c r="C548" i="8"/>
  <c r="F548" i="8"/>
  <c r="AG547" i="8" s="1"/>
  <c r="B548" i="8"/>
  <c r="L598" i="14" l="1"/>
  <c r="N597" i="14"/>
  <c r="O597" i="14"/>
  <c r="A594" i="14"/>
  <c r="D593" i="14"/>
  <c r="E593" i="14" s="1"/>
  <c r="C593" i="14"/>
  <c r="Q560" i="14"/>
  <c r="P560" i="14"/>
  <c r="M560" i="14"/>
  <c r="G560" i="14"/>
  <c r="B560" i="14"/>
  <c r="F560" i="14"/>
  <c r="H560" i="14"/>
  <c r="A550" i="12"/>
  <c r="F549" i="12"/>
  <c r="C549" i="12"/>
  <c r="D549" i="12"/>
  <c r="E549" i="12" s="1"/>
  <c r="M550" i="12"/>
  <c r="N550" i="12" s="1"/>
  <c r="P550" i="12"/>
  <c r="J551" i="12"/>
  <c r="L551" i="12" s="1"/>
  <c r="K550" i="12"/>
  <c r="O550" i="12"/>
  <c r="G550" i="12"/>
  <c r="B550" i="12"/>
  <c r="L550" i="8"/>
  <c r="T549" i="8"/>
  <c r="R549" i="8"/>
  <c r="S549" i="8"/>
  <c r="Q549" i="8"/>
  <c r="P549" i="8"/>
  <c r="O549" i="8"/>
  <c r="M549" i="8"/>
  <c r="N549" i="8"/>
  <c r="A550" i="8"/>
  <c r="H549" i="8"/>
  <c r="G549" i="8"/>
  <c r="F549" i="8"/>
  <c r="AG548" i="8" s="1"/>
  <c r="D549" i="8"/>
  <c r="E549" i="8" s="1"/>
  <c r="C549" i="8"/>
  <c r="B549" i="8"/>
  <c r="L599" i="14" l="1"/>
  <c r="N598" i="14"/>
  <c r="O598" i="14"/>
  <c r="A595" i="14"/>
  <c r="D594" i="14"/>
  <c r="E594" i="14" s="1"/>
  <c r="C594" i="14"/>
  <c r="P561" i="14"/>
  <c r="M561" i="14"/>
  <c r="Q561" i="14"/>
  <c r="H561" i="14"/>
  <c r="B561" i="14"/>
  <c r="G561" i="14"/>
  <c r="F561" i="14"/>
  <c r="A551" i="12"/>
  <c r="F550" i="12"/>
  <c r="C550" i="12"/>
  <c r="D550" i="12"/>
  <c r="E550" i="12" s="1"/>
  <c r="P551" i="12"/>
  <c r="K551" i="12"/>
  <c r="M551" i="12"/>
  <c r="N551" i="12" s="1"/>
  <c r="J552" i="12"/>
  <c r="L552" i="12" s="1"/>
  <c r="O551" i="12"/>
  <c r="G551" i="12"/>
  <c r="B551" i="12"/>
  <c r="L551" i="8"/>
  <c r="T550" i="8"/>
  <c r="S550" i="8"/>
  <c r="R550" i="8"/>
  <c r="Q550" i="8"/>
  <c r="P550" i="8"/>
  <c r="O550" i="8"/>
  <c r="M550" i="8"/>
  <c r="N550" i="8"/>
  <c r="A551" i="8"/>
  <c r="G550" i="8"/>
  <c r="F550" i="8"/>
  <c r="AG549" i="8" s="1"/>
  <c r="H550" i="8"/>
  <c r="C550" i="8"/>
  <c r="D550" i="8"/>
  <c r="E550" i="8" s="1"/>
  <c r="B550" i="8"/>
  <c r="L600" i="14" l="1"/>
  <c r="N599" i="14"/>
  <c r="O599" i="14"/>
  <c r="A596" i="14"/>
  <c r="D595" i="14"/>
  <c r="E595" i="14" s="1"/>
  <c r="C595" i="14"/>
  <c r="M562" i="14"/>
  <c r="Q562" i="14"/>
  <c r="P562" i="14"/>
  <c r="G562" i="14"/>
  <c r="B562" i="14"/>
  <c r="H562" i="14"/>
  <c r="F562" i="14"/>
  <c r="A552" i="12"/>
  <c r="G552" i="12" s="1"/>
  <c r="F551" i="12"/>
  <c r="C551" i="12"/>
  <c r="D551" i="12"/>
  <c r="E551" i="12" s="1"/>
  <c r="J553" i="12"/>
  <c r="L553" i="12" s="1"/>
  <c r="K552" i="12"/>
  <c r="P552" i="12"/>
  <c r="M552" i="12"/>
  <c r="N552" i="12" s="1"/>
  <c r="O552" i="12"/>
  <c r="B552" i="12"/>
  <c r="L552" i="8"/>
  <c r="T551" i="8"/>
  <c r="S551" i="8"/>
  <c r="R551" i="8"/>
  <c r="Q551" i="8"/>
  <c r="P551" i="8"/>
  <c r="M551" i="8"/>
  <c r="O551" i="8"/>
  <c r="N551" i="8"/>
  <c r="A552" i="8"/>
  <c r="H551" i="8"/>
  <c r="F551" i="8"/>
  <c r="AG550" i="8" s="1"/>
  <c r="G551" i="8"/>
  <c r="D551" i="8"/>
  <c r="E551" i="8" s="1"/>
  <c r="C551" i="8"/>
  <c r="B551" i="8"/>
  <c r="L601" i="14" l="1"/>
  <c r="N600" i="14"/>
  <c r="O600" i="14"/>
  <c r="A597" i="14"/>
  <c r="D596" i="14"/>
  <c r="E596" i="14" s="1"/>
  <c r="C596" i="14"/>
  <c r="M563" i="14"/>
  <c r="Q563" i="14"/>
  <c r="P563" i="14"/>
  <c r="G563" i="14"/>
  <c r="F563" i="14"/>
  <c r="B563" i="14"/>
  <c r="H563" i="14"/>
  <c r="A553" i="12"/>
  <c r="F552" i="12"/>
  <c r="C552" i="12"/>
  <c r="D552" i="12"/>
  <c r="E552" i="12" s="1"/>
  <c r="P553" i="12"/>
  <c r="J554" i="12"/>
  <c r="L554" i="12" s="1"/>
  <c r="K553" i="12"/>
  <c r="O553" i="12"/>
  <c r="M553" i="12"/>
  <c r="N553" i="12" s="1"/>
  <c r="G553" i="12"/>
  <c r="B553" i="12"/>
  <c r="L553" i="8"/>
  <c r="T552" i="8"/>
  <c r="S552" i="8"/>
  <c r="Q552" i="8"/>
  <c r="R552" i="8"/>
  <c r="P552" i="8"/>
  <c r="M552" i="8"/>
  <c r="N552" i="8"/>
  <c r="O552" i="8"/>
  <c r="A553" i="8"/>
  <c r="G552" i="8"/>
  <c r="H552" i="8"/>
  <c r="F552" i="8"/>
  <c r="AG551" i="8" s="1"/>
  <c r="D552" i="8"/>
  <c r="E552" i="8" s="1"/>
  <c r="C552" i="8"/>
  <c r="B552" i="8"/>
  <c r="L602" i="14" l="1"/>
  <c r="N601" i="14"/>
  <c r="O601" i="14"/>
  <c r="A598" i="14"/>
  <c r="D597" i="14"/>
  <c r="E597" i="14" s="1"/>
  <c r="C597" i="14"/>
  <c r="Q564" i="14"/>
  <c r="P564" i="14"/>
  <c r="M564" i="14"/>
  <c r="F564" i="14"/>
  <c r="G564" i="14"/>
  <c r="H564" i="14"/>
  <c r="B564" i="14"/>
  <c r="A554" i="12"/>
  <c r="F553" i="12"/>
  <c r="C553" i="12"/>
  <c r="D553" i="12"/>
  <c r="E553" i="12" s="1"/>
  <c r="O554" i="12"/>
  <c r="J555" i="12"/>
  <c r="L555" i="12" s="1"/>
  <c r="P554" i="12"/>
  <c r="K554" i="12"/>
  <c r="M554" i="12"/>
  <c r="N554" i="12" s="1"/>
  <c r="G554" i="12"/>
  <c r="B554" i="12"/>
  <c r="L554" i="8"/>
  <c r="T553" i="8"/>
  <c r="S553" i="8"/>
  <c r="R553" i="8"/>
  <c r="Q553" i="8"/>
  <c r="O553" i="8"/>
  <c r="P553" i="8"/>
  <c r="M553" i="8"/>
  <c r="N553" i="8"/>
  <c r="A554" i="8"/>
  <c r="H553" i="8"/>
  <c r="G553" i="8"/>
  <c r="F553" i="8"/>
  <c r="AG552" i="8" s="1"/>
  <c r="D553" i="8"/>
  <c r="E553" i="8" s="1"/>
  <c r="B553" i="8"/>
  <c r="C553" i="8"/>
  <c r="L603" i="14" l="1"/>
  <c r="N602" i="14"/>
  <c r="O602" i="14"/>
  <c r="A599" i="14"/>
  <c r="D598" i="14"/>
  <c r="E598" i="14" s="1"/>
  <c r="C598" i="14"/>
  <c r="M565" i="14"/>
  <c r="Q565" i="14"/>
  <c r="P565" i="14"/>
  <c r="G565" i="14"/>
  <c r="B565" i="14"/>
  <c r="H565" i="14"/>
  <c r="F565" i="14"/>
  <c r="A555" i="12"/>
  <c r="F554" i="12"/>
  <c r="C554" i="12"/>
  <c r="D554" i="12"/>
  <c r="E554" i="12" s="1"/>
  <c r="J556" i="12"/>
  <c r="L556" i="12" s="1"/>
  <c r="M555" i="12"/>
  <c r="N555" i="12" s="1"/>
  <c r="P555" i="12"/>
  <c r="O555" i="12"/>
  <c r="K555" i="12"/>
  <c r="G555" i="12"/>
  <c r="B555" i="12"/>
  <c r="L555" i="8"/>
  <c r="T554" i="8"/>
  <c r="S554" i="8"/>
  <c r="R554" i="8"/>
  <c r="Q554" i="8"/>
  <c r="O554" i="8"/>
  <c r="P554" i="8"/>
  <c r="M554" i="8"/>
  <c r="N554" i="8"/>
  <c r="A555" i="8"/>
  <c r="G554" i="8"/>
  <c r="H554" i="8"/>
  <c r="F554" i="8"/>
  <c r="AG553" i="8" s="1"/>
  <c r="D554" i="8"/>
  <c r="E554" i="8" s="1"/>
  <c r="B554" i="8"/>
  <c r="C554" i="8"/>
  <c r="L604" i="14" l="1"/>
  <c r="N603" i="14"/>
  <c r="O603" i="14"/>
  <c r="A600" i="14"/>
  <c r="D599" i="14"/>
  <c r="E599" i="14" s="1"/>
  <c r="C599" i="14"/>
  <c r="Q566" i="14"/>
  <c r="M566" i="14"/>
  <c r="P566" i="14"/>
  <c r="H566" i="14"/>
  <c r="B566" i="14"/>
  <c r="G566" i="14"/>
  <c r="F566" i="14"/>
  <c r="A556" i="12"/>
  <c r="F555" i="12"/>
  <c r="C555" i="12"/>
  <c r="D555" i="12"/>
  <c r="E555" i="12" s="1"/>
  <c r="M556" i="12"/>
  <c r="N556" i="12" s="1"/>
  <c r="J557" i="12"/>
  <c r="L557" i="12" s="1"/>
  <c r="K556" i="12"/>
  <c r="P556" i="12"/>
  <c r="O556" i="12"/>
  <c r="B556" i="12"/>
  <c r="G556" i="12"/>
  <c r="L556" i="8"/>
  <c r="T555" i="8"/>
  <c r="S555" i="8"/>
  <c r="R555" i="8"/>
  <c r="Q555" i="8"/>
  <c r="P555" i="8"/>
  <c r="O555" i="8"/>
  <c r="M555" i="8"/>
  <c r="N555" i="8"/>
  <c r="A556" i="8"/>
  <c r="G555" i="8"/>
  <c r="F555" i="8"/>
  <c r="AG554" i="8" s="1"/>
  <c r="H555" i="8"/>
  <c r="D555" i="8"/>
  <c r="E555" i="8" s="1"/>
  <c r="C555" i="8"/>
  <c r="B555" i="8"/>
  <c r="L605" i="14" l="1"/>
  <c r="N604" i="14"/>
  <c r="O604" i="14"/>
  <c r="A601" i="14"/>
  <c r="D600" i="14"/>
  <c r="E600" i="14" s="1"/>
  <c r="C600" i="14"/>
  <c r="P567" i="14"/>
  <c r="M567" i="14"/>
  <c r="Q567" i="14"/>
  <c r="F567" i="14"/>
  <c r="H567" i="14"/>
  <c r="B567" i="14"/>
  <c r="G567" i="14"/>
  <c r="A557" i="12"/>
  <c r="G557" i="12" s="1"/>
  <c r="F556" i="12"/>
  <c r="C556" i="12"/>
  <c r="D556" i="12"/>
  <c r="E556" i="12" s="1"/>
  <c r="J558" i="12"/>
  <c r="L558" i="12" s="1"/>
  <c r="M557" i="12"/>
  <c r="N557" i="12" s="1"/>
  <c r="O557" i="12"/>
  <c r="P557" i="12"/>
  <c r="K557" i="12"/>
  <c r="L557" i="8"/>
  <c r="T556" i="8"/>
  <c r="S556" i="8"/>
  <c r="R556" i="8"/>
  <c r="Q556" i="8"/>
  <c r="P556" i="8"/>
  <c r="O556" i="8"/>
  <c r="M556" i="8"/>
  <c r="N556" i="8"/>
  <c r="A557" i="8"/>
  <c r="G556" i="8"/>
  <c r="H556" i="8"/>
  <c r="D556" i="8"/>
  <c r="E556" i="8" s="1"/>
  <c r="F556" i="8"/>
  <c r="AG555" i="8" s="1"/>
  <c r="C556" i="8"/>
  <c r="B556" i="8"/>
  <c r="B557" i="12" l="1"/>
  <c r="L606" i="14"/>
  <c r="N605" i="14"/>
  <c r="O605" i="14"/>
  <c r="A602" i="14"/>
  <c r="D601" i="14"/>
  <c r="E601" i="14" s="1"/>
  <c r="C601" i="14"/>
  <c r="M568" i="14"/>
  <c r="P568" i="14"/>
  <c r="Q568" i="14"/>
  <c r="B568" i="14"/>
  <c r="H568" i="14"/>
  <c r="F568" i="14"/>
  <c r="G568" i="14"/>
  <c r="A558" i="12"/>
  <c r="G558" i="12" s="1"/>
  <c r="F557" i="12"/>
  <c r="C557" i="12"/>
  <c r="D557" i="12"/>
  <c r="E557" i="12" s="1"/>
  <c r="J559" i="12"/>
  <c r="L559" i="12" s="1"/>
  <c r="K558" i="12"/>
  <c r="M558" i="12"/>
  <c r="N558" i="12" s="1"/>
  <c r="P558" i="12"/>
  <c r="O558" i="12"/>
  <c r="B558" i="12"/>
  <c r="L558" i="8"/>
  <c r="T557" i="8"/>
  <c r="S557" i="8"/>
  <c r="R557" i="8"/>
  <c r="Q557" i="8"/>
  <c r="P557" i="8"/>
  <c r="O557" i="8"/>
  <c r="M557" i="8"/>
  <c r="N557" i="8"/>
  <c r="A558" i="8"/>
  <c r="H557" i="8"/>
  <c r="G557" i="8"/>
  <c r="C557" i="8"/>
  <c r="D557" i="8"/>
  <c r="E557" i="8" s="1"/>
  <c r="F557" i="8"/>
  <c r="AG556" i="8" s="1"/>
  <c r="B557" i="8"/>
  <c r="L607" i="14" l="1"/>
  <c r="N606" i="14"/>
  <c r="O606" i="14"/>
  <c r="A603" i="14"/>
  <c r="D602" i="14"/>
  <c r="E602" i="14" s="1"/>
  <c r="C602" i="14"/>
  <c r="M569" i="14"/>
  <c r="Q569" i="14"/>
  <c r="P569" i="14"/>
  <c r="H569" i="14"/>
  <c r="B569" i="14"/>
  <c r="F569" i="14"/>
  <c r="G569" i="14"/>
  <c r="A559" i="12"/>
  <c r="F558" i="12"/>
  <c r="C558" i="12"/>
  <c r="D558" i="12"/>
  <c r="E558" i="12" s="1"/>
  <c r="P559" i="12"/>
  <c r="K559" i="12"/>
  <c r="O559" i="12"/>
  <c r="J560" i="12"/>
  <c r="L560" i="12" s="1"/>
  <c r="M559" i="12"/>
  <c r="N559" i="12" s="1"/>
  <c r="B559" i="12"/>
  <c r="G559" i="12"/>
  <c r="L559" i="8"/>
  <c r="T558" i="8"/>
  <c r="S558" i="8"/>
  <c r="R558" i="8"/>
  <c r="Q558" i="8"/>
  <c r="P558" i="8"/>
  <c r="O558" i="8"/>
  <c r="M558" i="8"/>
  <c r="N558" i="8"/>
  <c r="A559" i="8"/>
  <c r="H558" i="8"/>
  <c r="G558" i="8"/>
  <c r="F558" i="8"/>
  <c r="AG557" i="8" s="1"/>
  <c r="C558" i="8"/>
  <c r="D558" i="8"/>
  <c r="E558" i="8" s="1"/>
  <c r="B558" i="8"/>
  <c r="L608" i="14" l="1"/>
  <c r="N607" i="14"/>
  <c r="O607" i="14"/>
  <c r="A604" i="14"/>
  <c r="D603" i="14"/>
  <c r="E603" i="14" s="1"/>
  <c r="C603" i="14"/>
  <c r="M570" i="14"/>
  <c r="Q570" i="14"/>
  <c r="P570" i="14"/>
  <c r="F570" i="14"/>
  <c r="H570" i="14"/>
  <c r="B570" i="14"/>
  <c r="G570" i="14"/>
  <c r="A560" i="12"/>
  <c r="F559" i="12"/>
  <c r="C559" i="12"/>
  <c r="D559" i="12"/>
  <c r="E559" i="12" s="1"/>
  <c r="O560" i="12"/>
  <c r="K560" i="12"/>
  <c r="J561" i="12"/>
  <c r="L561" i="12" s="1"/>
  <c r="M560" i="12"/>
  <c r="N560" i="12" s="1"/>
  <c r="P560" i="12"/>
  <c r="G560" i="12"/>
  <c r="B560" i="12"/>
  <c r="L560" i="8"/>
  <c r="T559" i="8"/>
  <c r="S559" i="8"/>
  <c r="R559" i="8"/>
  <c r="Q559" i="8"/>
  <c r="P559" i="8"/>
  <c r="M559" i="8"/>
  <c r="O559" i="8"/>
  <c r="N559" i="8"/>
  <c r="A560" i="8"/>
  <c r="H559" i="8"/>
  <c r="G559" i="8"/>
  <c r="F559" i="8"/>
  <c r="AG558" i="8" s="1"/>
  <c r="C559" i="8"/>
  <c r="D559" i="8"/>
  <c r="E559" i="8" s="1"/>
  <c r="B559" i="8"/>
  <c r="L609" i="14" l="1"/>
  <c r="N608" i="14"/>
  <c r="O608" i="14"/>
  <c r="A605" i="14"/>
  <c r="D604" i="14"/>
  <c r="E604" i="14" s="1"/>
  <c r="C604" i="14"/>
  <c r="M571" i="14"/>
  <c r="Q571" i="14"/>
  <c r="P571" i="14"/>
  <c r="G571" i="14"/>
  <c r="H571" i="14"/>
  <c r="F571" i="14"/>
  <c r="B571" i="14"/>
  <c r="A561" i="12"/>
  <c r="G561" i="12" s="1"/>
  <c r="F560" i="12"/>
  <c r="C560" i="12"/>
  <c r="D560" i="12"/>
  <c r="E560" i="12" s="1"/>
  <c r="K561" i="12"/>
  <c r="M561" i="12"/>
  <c r="N561" i="12" s="1"/>
  <c r="P561" i="12"/>
  <c r="J562" i="12"/>
  <c r="L562" i="12" s="1"/>
  <c r="O561" i="12"/>
  <c r="B561" i="12"/>
  <c r="L561" i="8"/>
  <c r="T560" i="8"/>
  <c r="Q560" i="8"/>
  <c r="S560" i="8"/>
  <c r="R560" i="8"/>
  <c r="P560" i="8"/>
  <c r="M560" i="8"/>
  <c r="N560" i="8"/>
  <c r="O560" i="8"/>
  <c r="A561" i="8"/>
  <c r="H560" i="8"/>
  <c r="G560" i="8"/>
  <c r="F560" i="8"/>
  <c r="AG559" i="8" s="1"/>
  <c r="D560" i="8"/>
  <c r="E560" i="8" s="1"/>
  <c r="C560" i="8"/>
  <c r="B560" i="8"/>
  <c r="L610" i="14" l="1"/>
  <c r="N609" i="14"/>
  <c r="O609" i="14"/>
  <c r="A606" i="14"/>
  <c r="D605" i="14"/>
  <c r="E605" i="14" s="1"/>
  <c r="C605" i="14"/>
  <c r="Q572" i="14"/>
  <c r="P572" i="14"/>
  <c r="M572" i="14"/>
  <c r="H572" i="14"/>
  <c r="B572" i="14"/>
  <c r="F572" i="14"/>
  <c r="G572" i="14"/>
  <c r="A562" i="12"/>
  <c r="F561" i="12"/>
  <c r="C561" i="12"/>
  <c r="D561" i="12"/>
  <c r="E561" i="12" s="1"/>
  <c r="M562" i="12"/>
  <c r="N562" i="12" s="1"/>
  <c r="K562" i="12"/>
  <c r="P562" i="12"/>
  <c r="J563" i="12"/>
  <c r="L563" i="12" s="1"/>
  <c r="O562" i="12"/>
  <c r="G562" i="12"/>
  <c r="B562" i="12"/>
  <c r="L562" i="8"/>
  <c r="T561" i="8"/>
  <c r="S561" i="8"/>
  <c r="R561" i="8"/>
  <c r="Q561" i="8"/>
  <c r="O561" i="8"/>
  <c r="P561" i="8"/>
  <c r="M561" i="8"/>
  <c r="N561" i="8"/>
  <c r="A562" i="8"/>
  <c r="H561" i="8"/>
  <c r="G561" i="8"/>
  <c r="F561" i="8"/>
  <c r="AG560" i="8" s="1"/>
  <c r="D561" i="8"/>
  <c r="E561" i="8" s="1"/>
  <c r="B561" i="8"/>
  <c r="C561" i="8"/>
  <c r="L611" i="14" l="1"/>
  <c r="N610" i="14"/>
  <c r="O610" i="14"/>
  <c r="A607" i="14"/>
  <c r="D606" i="14"/>
  <c r="E606" i="14" s="1"/>
  <c r="C606" i="14"/>
  <c r="P573" i="14"/>
  <c r="Q573" i="14"/>
  <c r="M573" i="14"/>
  <c r="F573" i="14"/>
  <c r="B573" i="14"/>
  <c r="G573" i="14"/>
  <c r="H573" i="14"/>
  <c r="A563" i="12"/>
  <c r="F562" i="12"/>
  <c r="C562" i="12"/>
  <c r="D562" i="12"/>
  <c r="E562" i="12" s="1"/>
  <c r="K563" i="12"/>
  <c r="M563" i="12"/>
  <c r="N563" i="12" s="1"/>
  <c r="J564" i="12"/>
  <c r="L564" i="12" s="1"/>
  <c r="O563" i="12"/>
  <c r="P563" i="12"/>
  <c r="G563" i="12"/>
  <c r="B563" i="12"/>
  <c r="L563" i="8"/>
  <c r="T562" i="8"/>
  <c r="S562" i="8"/>
  <c r="R562" i="8"/>
  <c r="Q562" i="8"/>
  <c r="O562" i="8"/>
  <c r="P562" i="8"/>
  <c r="M562" i="8"/>
  <c r="N562" i="8"/>
  <c r="A563" i="8"/>
  <c r="G562" i="8"/>
  <c r="H562" i="8"/>
  <c r="F562" i="8"/>
  <c r="AG561" i="8" s="1"/>
  <c r="D562" i="8"/>
  <c r="E562" i="8" s="1"/>
  <c r="B562" i="8"/>
  <c r="C562" i="8"/>
  <c r="L612" i="14" l="1"/>
  <c r="N611" i="14"/>
  <c r="O611" i="14"/>
  <c r="A608" i="14"/>
  <c r="D607" i="14"/>
  <c r="E607" i="14" s="1"/>
  <c r="C607" i="14"/>
  <c r="Q574" i="14"/>
  <c r="P574" i="14"/>
  <c r="M574" i="14"/>
  <c r="B574" i="14"/>
  <c r="F574" i="14"/>
  <c r="G574" i="14"/>
  <c r="H574" i="14"/>
  <c r="A564" i="12"/>
  <c r="F563" i="12"/>
  <c r="C563" i="12"/>
  <c r="D563" i="12"/>
  <c r="E563" i="12" s="1"/>
  <c r="J565" i="12"/>
  <c r="L565" i="12" s="1"/>
  <c r="K564" i="12"/>
  <c r="O564" i="12"/>
  <c r="M564" i="12"/>
  <c r="N564" i="12" s="1"/>
  <c r="P564" i="12"/>
  <c r="G564" i="12"/>
  <c r="B564" i="12"/>
  <c r="L564" i="8"/>
  <c r="T563" i="8"/>
  <c r="S563" i="8"/>
  <c r="R563" i="8"/>
  <c r="Q563" i="8"/>
  <c r="O563" i="8"/>
  <c r="P563" i="8"/>
  <c r="M563" i="8"/>
  <c r="N563" i="8"/>
  <c r="A564" i="8"/>
  <c r="G563" i="8"/>
  <c r="H563" i="8"/>
  <c r="F563" i="8"/>
  <c r="AG562" i="8" s="1"/>
  <c r="D563" i="8"/>
  <c r="E563" i="8" s="1"/>
  <c r="B563" i="8"/>
  <c r="C563" i="8"/>
  <c r="L613" i="14" l="1"/>
  <c r="N612" i="14"/>
  <c r="O612" i="14"/>
  <c r="A609" i="14"/>
  <c r="D608" i="14"/>
  <c r="E608" i="14" s="1"/>
  <c r="C608" i="14"/>
  <c r="Q575" i="14"/>
  <c r="P575" i="14"/>
  <c r="M575" i="14"/>
  <c r="B575" i="14"/>
  <c r="F575" i="14"/>
  <c r="H575" i="14"/>
  <c r="G575" i="14"/>
  <c r="A565" i="12"/>
  <c r="B565" i="12" s="1"/>
  <c r="F564" i="12"/>
  <c r="C564" i="12"/>
  <c r="D564" i="12"/>
  <c r="E564" i="12" s="1"/>
  <c r="P565" i="12"/>
  <c r="J566" i="12"/>
  <c r="L566" i="12" s="1"/>
  <c r="O565" i="12"/>
  <c r="M565" i="12"/>
  <c r="N565" i="12" s="1"/>
  <c r="K565" i="12"/>
  <c r="L565" i="8"/>
  <c r="T564" i="8"/>
  <c r="S564" i="8"/>
  <c r="R564" i="8"/>
  <c r="Q564" i="8"/>
  <c r="P564" i="8"/>
  <c r="O564" i="8"/>
  <c r="M564" i="8"/>
  <c r="N564" i="8"/>
  <c r="A565" i="8"/>
  <c r="G564" i="8"/>
  <c r="H564" i="8"/>
  <c r="F564" i="8"/>
  <c r="AG563" i="8" s="1"/>
  <c r="D564" i="8"/>
  <c r="E564" i="8" s="1"/>
  <c r="C564" i="8"/>
  <c r="B564" i="8"/>
  <c r="G565" i="12" l="1"/>
  <c r="A566" i="12"/>
  <c r="D566" i="12" s="1"/>
  <c r="E566" i="12" s="1"/>
  <c r="L614" i="14"/>
  <c r="N613" i="14"/>
  <c r="O613" i="14"/>
  <c r="A610" i="14"/>
  <c r="D609" i="14"/>
  <c r="E609" i="14" s="1"/>
  <c r="C609" i="14"/>
  <c r="Q576" i="14"/>
  <c r="P576" i="14"/>
  <c r="M576" i="14"/>
  <c r="H576" i="14"/>
  <c r="B576" i="14"/>
  <c r="F576" i="14"/>
  <c r="G576" i="14"/>
  <c r="F565" i="12"/>
  <c r="C565" i="12"/>
  <c r="D565" i="12"/>
  <c r="E565" i="12" s="1"/>
  <c r="O566" i="12"/>
  <c r="K566" i="12"/>
  <c r="P566" i="12"/>
  <c r="J567" i="12"/>
  <c r="L567" i="12" s="1"/>
  <c r="M566" i="12"/>
  <c r="N566" i="12" s="1"/>
  <c r="F566" i="12"/>
  <c r="C566" i="12"/>
  <c r="G566" i="12"/>
  <c r="A567" i="12"/>
  <c r="B566" i="12"/>
  <c r="L566" i="8"/>
  <c r="T565" i="8"/>
  <c r="S565" i="8"/>
  <c r="R565" i="8"/>
  <c r="Q565" i="8"/>
  <c r="P565" i="8"/>
  <c r="O565" i="8"/>
  <c r="M565" i="8"/>
  <c r="N565" i="8"/>
  <c r="A566" i="8"/>
  <c r="H565" i="8"/>
  <c r="G565" i="8"/>
  <c r="F565" i="8"/>
  <c r="AG564" i="8" s="1"/>
  <c r="D565" i="8"/>
  <c r="E565" i="8" s="1"/>
  <c r="B565" i="8"/>
  <c r="C565" i="8"/>
  <c r="L615" i="14" l="1"/>
  <c r="N614" i="14"/>
  <c r="O614" i="14"/>
  <c r="A611" i="14"/>
  <c r="D610" i="14"/>
  <c r="E610" i="14" s="1"/>
  <c r="C610" i="14"/>
  <c r="M577" i="14"/>
  <c r="Q577" i="14"/>
  <c r="P577" i="14"/>
  <c r="F577" i="14"/>
  <c r="H577" i="14"/>
  <c r="B577" i="14"/>
  <c r="G577" i="14"/>
  <c r="M567" i="12"/>
  <c r="N567" i="12" s="1"/>
  <c r="O567" i="12"/>
  <c r="P567" i="12"/>
  <c r="J568" i="12"/>
  <c r="L568" i="12" s="1"/>
  <c r="K567" i="12"/>
  <c r="F567" i="12"/>
  <c r="D567" i="12"/>
  <c r="E567" i="12" s="1"/>
  <c r="C567" i="12"/>
  <c r="A568" i="12"/>
  <c r="B567" i="12"/>
  <c r="G567" i="12"/>
  <c r="L567" i="8"/>
  <c r="T566" i="8"/>
  <c r="S566" i="8"/>
  <c r="R566" i="8"/>
  <c r="Q566" i="8"/>
  <c r="P566" i="8"/>
  <c r="O566" i="8"/>
  <c r="M566" i="8"/>
  <c r="N566" i="8"/>
  <c r="A567" i="8"/>
  <c r="G566" i="8"/>
  <c r="H566" i="8"/>
  <c r="F566" i="8"/>
  <c r="AG565" i="8" s="1"/>
  <c r="C566" i="8"/>
  <c r="D566" i="8"/>
  <c r="E566" i="8" s="1"/>
  <c r="B566" i="8"/>
  <c r="G10" i="14" l="1"/>
  <c r="G11" i="14"/>
  <c r="L616" i="14"/>
  <c r="N615" i="14"/>
  <c r="O615" i="14"/>
  <c r="A612" i="14"/>
  <c r="D611" i="14"/>
  <c r="E611" i="14" s="1"/>
  <c r="C611" i="14"/>
  <c r="Q578" i="14"/>
  <c r="M578" i="14"/>
  <c r="P578" i="14"/>
  <c r="G578" i="14"/>
  <c r="F578" i="14"/>
  <c r="H578" i="14"/>
  <c r="B578" i="14"/>
  <c r="M568" i="12"/>
  <c r="N568" i="12" s="1"/>
  <c r="O568" i="12"/>
  <c r="J569" i="12"/>
  <c r="L569" i="12" s="1"/>
  <c r="K568" i="12"/>
  <c r="P568" i="12"/>
  <c r="F568" i="12"/>
  <c r="C568" i="12"/>
  <c r="D568" i="12"/>
  <c r="E568" i="12" s="1"/>
  <c r="A569" i="12"/>
  <c r="B568" i="12"/>
  <c r="G568" i="12"/>
  <c r="L568" i="8"/>
  <c r="T567" i="8"/>
  <c r="S567" i="8"/>
  <c r="R567" i="8"/>
  <c r="Q567" i="8"/>
  <c r="P567" i="8"/>
  <c r="O567" i="8"/>
  <c r="M567" i="8"/>
  <c r="N567" i="8"/>
  <c r="A568" i="8"/>
  <c r="H567" i="8"/>
  <c r="G567" i="8"/>
  <c r="F567" i="8"/>
  <c r="AG566" i="8" s="1"/>
  <c r="C567" i="8"/>
  <c r="D567" i="8"/>
  <c r="E567" i="8" s="1"/>
  <c r="B567" i="8"/>
  <c r="L617" i="14" l="1"/>
  <c r="N616" i="14"/>
  <c r="O616" i="14"/>
  <c r="A613" i="14"/>
  <c r="D612" i="14"/>
  <c r="E612" i="14" s="1"/>
  <c r="C612" i="14"/>
  <c r="P579" i="14"/>
  <c r="Q579" i="14"/>
  <c r="M579" i="14"/>
  <c r="H579" i="14"/>
  <c r="B579" i="14"/>
  <c r="F579" i="14"/>
  <c r="G579" i="14"/>
  <c r="M569" i="12"/>
  <c r="N569" i="12" s="1"/>
  <c r="P569" i="12"/>
  <c r="J570" i="12"/>
  <c r="L570" i="12" s="1"/>
  <c r="K569" i="12"/>
  <c r="O569" i="12"/>
  <c r="F569" i="12"/>
  <c r="D569" i="12"/>
  <c r="E569" i="12" s="1"/>
  <c r="C569" i="12"/>
  <c r="G569" i="12"/>
  <c r="B569" i="12"/>
  <c r="A570" i="12"/>
  <c r="L569" i="8"/>
  <c r="T568" i="8"/>
  <c r="S568" i="8"/>
  <c r="Q568" i="8"/>
  <c r="R568" i="8"/>
  <c r="P568" i="8"/>
  <c r="O568" i="8"/>
  <c r="M568" i="8"/>
  <c r="N568" i="8"/>
  <c r="A569" i="8"/>
  <c r="G568" i="8"/>
  <c r="H568" i="8"/>
  <c r="F568" i="8"/>
  <c r="AG567" i="8" s="1"/>
  <c r="D568" i="8"/>
  <c r="E568" i="8" s="1"/>
  <c r="C568" i="8"/>
  <c r="B568" i="8"/>
  <c r="L618" i="14" l="1"/>
  <c r="N617" i="14"/>
  <c r="O617" i="14"/>
  <c r="A614" i="14"/>
  <c r="D613" i="14"/>
  <c r="E613" i="14" s="1"/>
  <c r="C613" i="14"/>
  <c r="Q580" i="14"/>
  <c r="P580" i="14"/>
  <c r="M580" i="14"/>
  <c r="F580" i="14"/>
  <c r="H580" i="14"/>
  <c r="G580" i="14"/>
  <c r="B580" i="14"/>
  <c r="J571" i="12"/>
  <c r="L571" i="12" s="1"/>
  <c r="K570" i="12"/>
  <c r="M570" i="12"/>
  <c r="N570" i="12" s="1"/>
  <c r="P570" i="12"/>
  <c r="O570" i="12"/>
  <c r="F570" i="12"/>
  <c r="C570" i="12"/>
  <c r="D570" i="12"/>
  <c r="E570" i="12" s="1"/>
  <c r="G570" i="12"/>
  <c r="B570" i="12"/>
  <c r="A571" i="12"/>
  <c r="L570" i="8"/>
  <c r="T569" i="8"/>
  <c r="S569" i="8"/>
  <c r="R569" i="8"/>
  <c r="Q569" i="8"/>
  <c r="O569" i="8"/>
  <c r="P569" i="8"/>
  <c r="M569" i="8"/>
  <c r="N569" i="8"/>
  <c r="A570" i="8"/>
  <c r="H569" i="8"/>
  <c r="G569" i="8"/>
  <c r="F569" i="8"/>
  <c r="AG568" i="8" s="1"/>
  <c r="D569" i="8"/>
  <c r="E569" i="8" s="1"/>
  <c r="B569" i="8"/>
  <c r="C569" i="8"/>
  <c r="L619" i="14" l="1"/>
  <c r="N618" i="14"/>
  <c r="O618" i="14"/>
  <c r="A615" i="14"/>
  <c r="D614" i="14"/>
  <c r="E614" i="14" s="1"/>
  <c r="C614" i="14"/>
  <c r="Q581" i="14"/>
  <c r="P581" i="14"/>
  <c r="M581" i="14"/>
  <c r="F581" i="14"/>
  <c r="H581" i="14"/>
  <c r="B581" i="14"/>
  <c r="G581" i="14"/>
  <c r="P571" i="12"/>
  <c r="M571" i="12"/>
  <c r="N571" i="12" s="1"/>
  <c r="K571" i="12"/>
  <c r="J572" i="12"/>
  <c r="L572" i="12" s="1"/>
  <c r="O571" i="12"/>
  <c r="F571" i="12"/>
  <c r="C571" i="12"/>
  <c r="D571" i="12"/>
  <c r="E571" i="12" s="1"/>
  <c r="A572" i="12"/>
  <c r="G571" i="12"/>
  <c r="B571" i="12"/>
  <c r="L571" i="8"/>
  <c r="T570" i="8"/>
  <c r="S570" i="8"/>
  <c r="R570" i="8"/>
  <c r="Q570" i="8"/>
  <c r="O570" i="8"/>
  <c r="P570" i="8"/>
  <c r="M570" i="8"/>
  <c r="N570" i="8"/>
  <c r="A571" i="8"/>
  <c r="G570" i="8"/>
  <c r="H570" i="8"/>
  <c r="F570" i="8"/>
  <c r="AG569" i="8" s="1"/>
  <c r="D570" i="8"/>
  <c r="E570" i="8" s="1"/>
  <c r="C570" i="8"/>
  <c r="B570" i="8"/>
  <c r="L620" i="14" l="1"/>
  <c r="N619" i="14"/>
  <c r="O619" i="14"/>
  <c r="A616" i="14"/>
  <c r="D615" i="14"/>
  <c r="E615" i="14" s="1"/>
  <c r="C615" i="14"/>
  <c r="M582" i="14"/>
  <c r="P582" i="14"/>
  <c r="Q582" i="14"/>
  <c r="H582" i="14"/>
  <c r="B582" i="14"/>
  <c r="F582" i="14"/>
  <c r="G582" i="14"/>
  <c r="O572" i="12"/>
  <c r="M572" i="12"/>
  <c r="N572" i="12" s="1"/>
  <c r="J573" i="12"/>
  <c r="L573" i="12" s="1"/>
  <c r="K572" i="12"/>
  <c r="P572" i="12"/>
  <c r="F572" i="12"/>
  <c r="C572" i="12"/>
  <c r="D572" i="12"/>
  <c r="E572" i="12" s="1"/>
  <c r="G572" i="12"/>
  <c r="B572" i="12"/>
  <c r="A573" i="12"/>
  <c r="L572" i="8"/>
  <c r="T571" i="8"/>
  <c r="R571" i="8"/>
  <c r="S571" i="8"/>
  <c r="Q571" i="8"/>
  <c r="O571" i="8"/>
  <c r="P571" i="8"/>
  <c r="M571" i="8"/>
  <c r="N571" i="8"/>
  <c r="A572" i="8"/>
  <c r="G571" i="8"/>
  <c r="H571" i="8"/>
  <c r="F571" i="8"/>
  <c r="AG570" i="8" s="1"/>
  <c r="C571" i="8"/>
  <c r="B571" i="8"/>
  <c r="D571" i="8"/>
  <c r="E571" i="8" s="1"/>
  <c r="L621" i="14" l="1"/>
  <c r="N620" i="14"/>
  <c r="O620" i="14"/>
  <c r="A617" i="14"/>
  <c r="D616" i="14"/>
  <c r="E616" i="14" s="1"/>
  <c r="C616" i="14"/>
  <c r="M583" i="14"/>
  <c r="Q583" i="14"/>
  <c r="P583" i="14"/>
  <c r="F583" i="14"/>
  <c r="G583" i="14"/>
  <c r="B583" i="14"/>
  <c r="H583" i="14"/>
  <c r="M573" i="12"/>
  <c r="N573" i="12" s="1"/>
  <c r="O573" i="12"/>
  <c r="P573" i="12"/>
  <c r="J574" i="12"/>
  <c r="L574" i="12" s="1"/>
  <c r="K573" i="12"/>
  <c r="F573" i="12"/>
  <c r="D573" i="12"/>
  <c r="C573" i="12"/>
  <c r="E573" i="12"/>
  <c r="B573" i="12"/>
  <c r="A574" i="12"/>
  <c r="G573" i="12"/>
  <c r="L573" i="8"/>
  <c r="T572" i="8"/>
  <c r="R572" i="8"/>
  <c r="S572" i="8"/>
  <c r="Q572" i="8"/>
  <c r="O572" i="8"/>
  <c r="P572" i="8"/>
  <c r="M572" i="8"/>
  <c r="N572" i="8"/>
  <c r="A573" i="8"/>
  <c r="H572" i="8"/>
  <c r="G572" i="8"/>
  <c r="F572" i="8"/>
  <c r="AG571" i="8" s="1"/>
  <c r="C572" i="8"/>
  <c r="D572" i="8"/>
  <c r="E572" i="8" s="1"/>
  <c r="B572" i="8"/>
  <c r="L622" i="14" l="1"/>
  <c r="N621" i="14"/>
  <c r="O621" i="14"/>
  <c r="A618" i="14"/>
  <c r="D617" i="14"/>
  <c r="E617" i="14" s="1"/>
  <c r="C617" i="14"/>
  <c r="Q584" i="14"/>
  <c r="P584" i="14"/>
  <c r="M584" i="14"/>
  <c r="B584" i="14"/>
  <c r="G584" i="14"/>
  <c r="H584" i="14"/>
  <c r="F584" i="14"/>
  <c r="M574" i="12"/>
  <c r="N574" i="12" s="1"/>
  <c r="P574" i="12"/>
  <c r="J575" i="12"/>
  <c r="L575" i="12" s="1"/>
  <c r="O574" i="12"/>
  <c r="K574" i="12"/>
  <c r="F574" i="12"/>
  <c r="D574" i="12"/>
  <c r="E574" i="12" s="1"/>
  <c r="C574" i="12"/>
  <c r="A575" i="12"/>
  <c r="B574" i="12"/>
  <c r="G574" i="12"/>
  <c r="L574" i="8"/>
  <c r="S573" i="8"/>
  <c r="T573" i="8"/>
  <c r="R573" i="8"/>
  <c r="Q573" i="8"/>
  <c r="P573" i="8"/>
  <c r="O573" i="8"/>
  <c r="M573" i="8"/>
  <c r="N573" i="8"/>
  <c r="A574" i="8"/>
  <c r="H573" i="8"/>
  <c r="G573" i="8"/>
  <c r="F573" i="8"/>
  <c r="AG572" i="8" s="1"/>
  <c r="D573" i="8"/>
  <c r="E573" i="8" s="1"/>
  <c r="C573" i="8"/>
  <c r="B573" i="8"/>
  <c r="L623" i="14" l="1"/>
  <c r="N622" i="14"/>
  <c r="O622" i="14"/>
  <c r="A619" i="14"/>
  <c r="D618" i="14"/>
  <c r="E618" i="14" s="1"/>
  <c r="C618" i="14"/>
  <c r="P585" i="14"/>
  <c r="Q585" i="14"/>
  <c r="M585" i="14"/>
  <c r="H585" i="14"/>
  <c r="B585" i="14"/>
  <c r="G585" i="14"/>
  <c r="F585" i="14"/>
  <c r="J576" i="12"/>
  <c r="L576" i="12" s="1"/>
  <c r="M575" i="12"/>
  <c r="N575" i="12" s="1"/>
  <c r="P575" i="12"/>
  <c r="O575" i="12"/>
  <c r="K575" i="12"/>
  <c r="F575" i="12"/>
  <c r="D575" i="12"/>
  <c r="E575" i="12" s="1"/>
  <c r="C575" i="12"/>
  <c r="G575" i="12"/>
  <c r="B575" i="12"/>
  <c r="A576" i="12"/>
  <c r="L575" i="8"/>
  <c r="T574" i="8"/>
  <c r="S574" i="8"/>
  <c r="R574" i="8"/>
  <c r="Q574" i="8"/>
  <c r="P574" i="8"/>
  <c r="O574" i="8"/>
  <c r="M574" i="8"/>
  <c r="N574" i="8"/>
  <c r="A575" i="8"/>
  <c r="H574" i="8"/>
  <c r="G574" i="8"/>
  <c r="F574" i="8"/>
  <c r="AG573" i="8" s="1"/>
  <c r="C574" i="8"/>
  <c r="D574" i="8"/>
  <c r="E574" i="8" s="1"/>
  <c r="B574" i="8"/>
  <c r="L624" i="14" l="1"/>
  <c r="N623" i="14"/>
  <c r="O623" i="14"/>
  <c r="A620" i="14"/>
  <c r="D619" i="14"/>
  <c r="E619" i="14" s="1"/>
  <c r="C619" i="14"/>
  <c r="P586" i="14"/>
  <c r="Q586" i="14"/>
  <c r="M586" i="14"/>
  <c r="F586" i="14"/>
  <c r="H586" i="14"/>
  <c r="G586" i="14"/>
  <c r="B586" i="14"/>
  <c r="J577" i="12"/>
  <c r="L577" i="12" s="1"/>
  <c r="K576" i="12"/>
  <c r="M576" i="12"/>
  <c r="N576" i="12" s="1"/>
  <c r="O576" i="12"/>
  <c r="P576" i="12"/>
  <c r="F576" i="12"/>
  <c r="C576" i="12"/>
  <c r="D576" i="12"/>
  <c r="A577" i="12"/>
  <c r="B576" i="12"/>
  <c r="E576" i="12"/>
  <c r="G576" i="12"/>
  <c r="L576" i="8"/>
  <c r="T575" i="8"/>
  <c r="S575" i="8"/>
  <c r="R575" i="8"/>
  <c r="Q575" i="8"/>
  <c r="P575" i="8"/>
  <c r="M575" i="8"/>
  <c r="O575" i="8"/>
  <c r="N575" i="8"/>
  <c r="A576" i="8"/>
  <c r="G575" i="8"/>
  <c r="H575" i="8"/>
  <c r="F575" i="8"/>
  <c r="AG574" i="8" s="1"/>
  <c r="C575" i="8"/>
  <c r="D575" i="8"/>
  <c r="E575" i="8" s="1"/>
  <c r="B575" i="8"/>
  <c r="L625" i="14" l="1"/>
  <c r="N624" i="14"/>
  <c r="O624" i="14"/>
  <c r="A621" i="14"/>
  <c r="D620" i="14"/>
  <c r="E620" i="14" s="1"/>
  <c r="C620" i="14"/>
  <c r="P587" i="14"/>
  <c r="M587" i="14"/>
  <c r="Q587" i="14"/>
  <c r="G587" i="14"/>
  <c r="H587" i="14"/>
  <c r="B587" i="14"/>
  <c r="F587" i="14"/>
  <c r="P577" i="12"/>
  <c r="J578" i="12"/>
  <c r="L578" i="12" s="1"/>
  <c r="K577" i="12"/>
  <c r="M577" i="12"/>
  <c r="N577" i="12" s="1"/>
  <c r="O577" i="12"/>
  <c r="F577" i="12"/>
  <c r="C577" i="12"/>
  <c r="D577" i="12"/>
  <c r="A578" i="12"/>
  <c r="B577" i="12"/>
  <c r="E577" i="12"/>
  <c r="G577" i="12"/>
  <c r="L577" i="8"/>
  <c r="T576" i="8"/>
  <c r="S576" i="8"/>
  <c r="Q576" i="8"/>
  <c r="R576" i="8"/>
  <c r="P576" i="8"/>
  <c r="M576" i="8"/>
  <c r="O576" i="8"/>
  <c r="N576" i="8"/>
  <c r="A577" i="8"/>
  <c r="G576" i="8"/>
  <c r="H576" i="8"/>
  <c r="F576" i="8"/>
  <c r="AG575" i="8" s="1"/>
  <c r="D576" i="8"/>
  <c r="E576" i="8" s="1"/>
  <c r="C576" i="8"/>
  <c r="B576" i="8"/>
  <c r="L626" i="14" l="1"/>
  <c r="N625" i="14"/>
  <c r="O625" i="14"/>
  <c r="A622" i="14"/>
  <c r="D621" i="14"/>
  <c r="E621" i="14" s="1"/>
  <c r="C621" i="14"/>
  <c r="P588" i="14"/>
  <c r="M588" i="14"/>
  <c r="Q588" i="14"/>
  <c r="H588" i="14"/>
  <c r="B588" i="14"/>
  <c r="F588" i="14"/>
  <c r="G588" i="14"/>
  <c r="O578" i="12"/>
  <c r="M578" i="12"/>
  <c r="N578" i="12" s="1"/>
  <c r="J579" i="12"/>
  <c r="L579" i="12" s="1"/>
  <c r="P578" i="12"/>
  <c r="K578" i="12"/>
  <c r="F578" i="12"/>
  <c r="C578" i="12"/>
  <c r="D578" i="12"/>
  <c r="G578" i="12"/>
  <c r="E578" i="12"/>
  <c r="B578" i="12"/>
  <c r="A579" i="12"/>
  <c r="L578" i="8"/>
  <c r="T577" i="8"/>
  <c r="S577" i="8"/>
  <c r="R577" i="8"/>
  <c r="Q577" i="8"/>
  <c r="O577" i="8"/>
  <c r="P577" i="8"/>
  <c r="M577" i="8"/>
  <c r="N577" i="8"/>
  <c r="A578" i="8"/>
  <c r="G577" i="8"/>
  <c r="H577" i="8"/>
  <c r="F577" i="8"/>
  <c r="AG576" i="8" s="1"/>
  <c r="D577" i="8"/>
  <c r="E577" i="8" s="1"/>
  <c r="B577" i="8"/>
  <c r="C577" i="8"/>
  <c r="L627" i="14" l="1"/>
  <c r="N626" i="14"/>
  <c r="O626" i="14"/>
  <c r="A623" i="14"/>
  <c r="D622" i="14"/>
  <c r="E622" i="14" s="1"/>
  <c r="C622" i="14"/>
  <c r="M589" i="14"/>
  <c r="P589" i="14"/>
  <c r="Q589" i="14"/>
  <c r="F589" i="14"/>
  <c r="B589" i="14"/>
  <c r="H589" i="14"/>
  <c r="G589" i="14"/>
  <c r="O579" i="12"/>
  <c r="P579" i="12"/>
  <c r="J580" i="12"/>
  <c r="L580" i="12" s="1"/>
  <c r="K579" i="12"/>
  <c r="M579" i="12"/>
  <c r="N579" i="12" s="1"/>
  <c r="F579" i="12"/>
  <c r="C579" i="12"/>
  <c r="D579" i="12"/>
  <c r="E579" i="12" s="1"/>
  <c r="G579" i="12"/>
  <c r="B579" i="12"/>
  <c r="A580" i="12"/>
  <c r="L579" i="8"/>
  <c r="T578" i="8"/>
  <c r="S578" i="8"/>
  <c r="R578" i="8"/>
  <c r="Q578" i="8"/>
  <c r="O578" i="8"/>
  <c r="P578" i="8"/>
  <c r="M578" i="8"/>
  <c r="N578" i="8"/>
  <c r="A579" i="8"/>
  <c r="H578" i="8"/>
  <c r="G578" i="8"/>
  <c r="F578" i="8"/>
  <c r="AG577" i="8" s="1"/>
  <c r="D578" i="8"/>
  <c r="E578" i="8" s="1"/>
  <c r="B578" i="8"/>
  <c r="C578" i="8"/>
  <c r="L628" i="14" l="1"/>
  <c r="N627" i="14"/>
  <c r="O627" i="14"/>
  <c r="A624" i="14"/>
  <c r="D623" i="14"/>
  <c r="E623" i="14" s="1"/>
  <c r="C623" i="14"/>
  <c r="Q590" i="14"/>
  <c r="P590" i="14"/>
  <c r="M590" i="14"/>
  <c r="B590" i="14"/>
  <c r="F590" i="14"/>
  <c r="G590" i="14"/>
  <c r="H590" i="14"/>
  <c r="M580" i="12"/>
  <c r="N580" i="12" s="1"/>
  <c r="O580" i="12"/>
  <c r="J581" i="12"/>
  <c r="L581" i="12" s="1"/>
  <c r="P580" i="12"/>
  <c r="K580" i="12"/>
  <c r="F580" i="12"/>
  <c r="D580" i="12"/>
  <c r="C580" i="12"/>
  <c r="A581" i="12"/>
  <c r="E580" i="12"/>
  <c r="B580" i="12"/>
  <c r="G580" i="12"/>
  <c r="L580" i="8"/>
  <c r="T579" i="8"/>
  <c r="S579" i="8"/>
  <c r="R579" i="8"/>
  <c r="Q579" i="8"/>
  <c r="O579" i="8"/>
  <c r="P579" i="8"/>
  <c r="M579" i="8"/>
  <c r="N579" i="8"/>
  <c r="A580" i="8"/>
  <c r="G579" i="8"/>
  <c r="H579" i="8"/>
  <c r="F579" i="8"/>
  <c r="AG578" i="8" s="1"/>
  <c r="D579" i="8"/>
  <c r="E579" i="8" s="1"/>
  <c r="B579" i="8"/>
  <c r="C579" i="8"/>
  <c r="L629" i="14" l="1"/>
  <c r="N628" i="14"/>
  <c r="O628" i="14"/>
  <c r="A625" i="14"/>
  <c r="D624" i="14"/>
  <c r="E624" i="14" s="1"/>
  <c r="C624" i="14"/>
  <c r="P591" i="14"/>
  <c r="Q591" i="14"/>
  <c r="M591" i="14"/>
  <c r="H591" i="14"/>
  <c r="B591" i="14"/>
  <c r="F591" i="14"/>
  <c r="G591" i="14"/>
  <c r="O581" i="12"/>
  <c r="P581" i="12"/>
  <c r="J582" i="12"/>
  <c r="L582" i="12" s="1"/>
  <c r="M581" i="12"/>
  <c r="N581" i="12" s="1"/>
  <c r="K581" i="12"/>
  <c r="F581" i="12"/>
  <c r="D581" i="12"/>
  <c r="E581" i="12" s="1"/>
  <c r="C581" i="12"/>
  <c r="G581" i="12"/>
  <c r="B581" i="12"/>
  <c r="A582" i="12"/>
  <c r="L581" i="8"/>
  <c r="T580" i="8"/>
  <c r="R580" i="8"/>
  <c r="S580" i="8"/>
  <c r="Q580" i="8"/>
  <c r="O580" i="8"/>
  <c r="P580" i="8"/>
  <c r="M580" i="8"/>
  <c r="N580" i="8"/>
  <c r="A581" i="8"/>
  <c r="F580" i="8"/>
  <c r="AG579" i="8" s="1"/>
  <c r="G580" i="8"/>
  <c r="H580" i="8"/>
  <c r="D580" i="8"/>
  <c r="E580" i="8" s="1"/>
  <c r="C580" i="8"/>
  <c r="B580" i="8"/>
  <c r="L630" i="14" l="1"/>
  <c r="N629" i="14"/>
  <c r="O629" i="14"/>
  <c r="A626" i="14"/>
  <c r="D625" i="14"/>
  <c r="E625" i="14" s="1"/>
  <c r="C625" i="14"/>
  <c r="Q592" i="14"/>
  <c r="M592" i="14"/>
  <c r="P592" i="14"/>
  <c r="F592" i="14"/>
  <c r="G592" i="14"/>
  <c r="B592" i="14"/>
  <c r="H592" i="14"/>
  <c r="J583" i="12"/>
  <c r="L583" i="12" s="1"/>
  <c r="K582" i="12"/>
  <c r="O582" i="12"/>
  <c r="M582" i="12"/>
  <c r="N582" i="12" s="1"/>
  <c r="P582" i="12"/>
  <c r="F582" i="12"/>
  <c r="D582" i="12"/>
  <c r="C582" i="12"/>
  <c r="E582" i="12"/>
  <c r="G582" i="12"/>
  <c r="B582" i="12"/>
  <c r="A583" i="12"/>
  <c r="L582" i="8"/>
  <c r="T581" i="8"/>
  <c r="R581" i="8"/>
  <c r="S581" i="8"/>
  <c r="Q581" i="8"/>
  <c r="O581" i="8"/>
  <c r="P581" i="8"/>
  <c r="M581" i="8"/>
  <c r="N581" i="8"/>
  <c r="A582" i="8"/>
  <c r="H581" i="8"/>
  <c r="G581" i="8"/>
  <c r="F581" i="8"/>
  <c r="AG580" i="8" s="1"/>
  <c r="D581" i="8"/>
  <c r="E581" i="8" s="1"/>
  <c r="C581" i="8"/>
  <c r="B581" i="8"/>
  <c r="L631" i="14" l="1"/>
  <c r="N630" i="14"/>
  <c r="O630" i="14"/>
  <c r="A627" i="14"/>
  <c r="D626" i="14"/>
  <c r="E626" i="14" s="1"/>
  <c r="C626" i="14"/>
  <c r="Q593" i="14"/>
  <c r="M593" i="14"/>
  <c r="P593" i="14"/>
  <c r="B593" i="14"/>
  <c r="G593" i="14"/>
  <c r="H593" i="14"/>
  <c r="F593" i="14"/>
  <c r="P583" i="12"/>
  <c r="O583" i="12"/>
  <c r="M583" i="12"/>
  <c r="N583" i="12" s="1"/>
  <c r="J584" i="12"/>
  <c r="L584" i="12" s="1"/>
  <c r="K583" i="12"/>
  <c r="F583" i="12"/>
  <c r="C583" i="12"/>
  <c r="D583" i="12"/>
  <c r="E583" i="12" s="1"/>
  <c r="A584" i="12"/>
  <c r="G583" i="12"/>
  <c r="B583" i="12"/>
  <c r="L583" i="8"/>
  <c r="T582" i="8"/>
  <c r="S582" i="8"/>
  <c r="R582" i="8"/>
  <c r="Q582" i="8"/>
  <c r="P582" i="8"/>
  <c r="O582" i="8"/>
  <c r="M582" i="8"/>
  <c r="N582" i="8"/>
  <c r="A583" i="8"/>
  <c r="H582" i="8"/>
  <c r="G582" i="8"/>
  <c r="C582" i="8"/>
  <c r="F582" i="8"/>
  <c r="AG581" i="8" s="1"/>
  <c r="D582" i="8"/>
  <c r="E582" i="8" s="1"/>
  <c r="B582" i="8"/>
  <c r="L632" i="14" l="1"/>
  <c r="N631" i="14"/>
  <c r="O631" i="14"/>
  <c r="A628" i="14"/>
  <c r="D627" i="14"/>
  <c r="E627" i="14" s="1"/>
  <c r="C627" i="14"/>
  <c r="Q594" i="14"/>
  <c r="M594" i="14"/>
  <c r="P594" i="14"/>
  <c r="H594" i="14"/>
  <c r="B594" i="14"/>
  <c r="G594" i="14"/>
  <c r="F594" i="14"/>
  <c r="O584" i="12"/>
  <c r="P584" i="12"/>
  <c r="M584" i="12"/>
  <c r="N584" i="12" s="1"/>
  <c r="K584" i="12"/>
  <c r="J585" i="12"/>
  <c r="L585" i="12" s="1"/>
  <c r="F584" i="12"/>
  <c r="C584" i="12"/>
  <c r="D584" i="12"/>
  <c r="G584" i="12"/>
  <c r="E584" i="12"/>
  <c r="B584" i="12"/>
  <c r="A585" i="12"/>
  <c r="L584" i="8"/>
  <c r="T583" i="8"/>
  <c r="S583" i="8"/>
  <c r="R583" i="8"/>
  <c r="Q583" i="8"/>
  <c r="P583" i="8"/>
  <c r="M583" i="8"/>
  <c r="O583" i="8"/>
  <c r="N583" i="8"/>
  <c r="A584" i="8"/>
  <c r="G583" i="8"/>
  <c r="H583" i="8"/>
  <c r="F583" i="8"/>
  <c r="AG582" i="8" s="1"/>
  <c r="C583" i="8"/>
  <c r="D583" i="8"/>
  <c r="E583" i="8" s="1"/>
  <c r="B583" i="8"/>
  <c r="L633" i="14" l="1"/>
  <c r="N632" i="14"/>
  <c r="O632" i="14"/>
  <c r="A629" i="14"/>
  <c r="D628" i="14"/>
  <c r="E628" i="14" s="1"/>
  <c r="C628" i="14"/>
  <c r="M595" i="14"/>
  <c r="Q595" i="14"/>
  <c r="P595" i="14"/>
  <c r="F595" i="14"/>
  <c r="H595" i="14"/>
  <c r="B595" i="14"/>
  <c r="G595" i="14"/>
  <c r="P585" i="12"/>
  <c r="J586" i="12"/>
  <c r="L586" i="12" s="1"/>
  <c r="M585" i="12"/>
  <c r="N585" i="12" s="1"/>
  <c r="K585" i="12"/>
  <c r="O585" i="12"/>
  <c r="F585" i="12"/>
  <c r="C585" i="12"/>
  <c r="D585" i="12"/>
  <c r="E585" i="12" s="1"/>
  <c r="A586" i="12"/>
  <c r="G585" i="12"/>
  <c r="B585" i="12"/>
  <c r="L585" i="8"/>
  <c r="T584" i="8"/>
  <c r="S584" i="8"/>
  <c r="Q584" i="8"/>
  <c r="R584" i="8"/>
  <c r="P584" i="8"/>
  <c r="M584" i="8"/>
  <c r="O584" i="8"/>
  <c r="N584" i="8"/>
  <c r="A585" i="8"/>
  <c r="G584" i="8"/>
  <c r="F584" i="8"/>
  <c r="AG583" i="8" s="1"/>
  <c r="D584" i="8"/>
  <c r="E584" i="8" s="1"/>
  <c r="H584" i="8"/>
  <c r="C584" i="8"/>
  <c r="B584" i="8"/>
  <c r="L634" i="14" l="1"/>
  <c r="N633" i="14"/>
  <c r="O633" i="14"/>
  <c r="A630" i="14"/>
  <c r="D629" i="14"/>
  <c r="E629" i="14" s="1"/>
  <c r="C629" i="14"/>
  <c r="Q596" i="14"/>
  <c r="P596" i="14"/>
  <c r="M596" i="14"/>
  <c r="G596" i="14"/>
  <c r="F596" i="14"/>
  <c r="B596" i="14"/>
  <c r="H596" i="14"/>
  <c r="M586" i="12"/>
  <c r="N586" i="12" s="1"/>
  <c r="P586" i="12"/>
  <c r="O586" i="12"/>
  <c r="K586" i="12"/>
  <c r="J587" i="12"/>
  <c r="L587" i="12" s="1"/>
  <c r="F586" i="12"/>
  <c r="C586" i="12"/>
  <c r="D586" i="12"/>
  <c r="E586" i="12" s="1"/>
  <c r="G586" i="12"/>
  <c r="A587" i="12"/>
  <c r="B586" i="12"/>
  <c r="L586" i="8"/>
  <c r="T585" i="8"/>
  <c r="S585" i="8"/>
  <c r="R585" i="8"/>
  <c r="Q585" i="8"/>
  <c r="P585" i="8"/>
  <c r="O585" i="8"/>
  <c r="M585" i="8"/>
  <c r="N585" i="8"/>
  <c r="A586" i="8"/>
  <c r="F585" i="8"/>
  <c r="AG584" i="8" s="1"/>
  <c r="H585" i="8"/>
  <c r="G585" i="8"/>
  <c r="D585" i="8"/>
  <c r="E585" i="8" s="1"/>
  <c r="C585" i="8"/>
  <c r="B585" i="8"/>
  <c r="L635" i="14" l="1"/>
  <c r="N634" i="14"/>
  <c r="O634" i="14"/>
  <c r="A631" i="14"/>
  <c r="D630" i="14"/>
  <c r="E630" i="14" s="1"/>
  <c r="C630" i="14"/>
  <c r="P597" i="14"/>
  <c r="M597" i="14"/>
  <c r="Q597" i="14"/>
  <c r="H597" i="14"/>
  <c r="B597" i="14"/>
  <c r="F597" i="14"/>
  <c r="G597" i="14"/>
  <c r="P587" i="12"/>
  <c r="K587" i="12"/>
  <c r="M587" i="12"/>
  <c r="N587" i="12" s="1"/>
  <c r="O587" i="12"/>
  <c r="J588" i="12"/>
  <c r="L588" i="12" s="1"/>
  <c r="F587" i="12"/>
  <c r="D587" i="12"/>
  <c r="C587" i="12"/>
  <c r="E587" i="12"/>
  <c r="A588" i="12"/>
  <c r="G587" i="12"/>
  <c r="B587" i="12"/>
  <c r="L587" i="8"/>
  <c r="T586" i="8"/>
  <c r="S586" i="8"/>
  <c r="R586" i="8"/>
  <c r="Q586" i="8"/>
  <c r="P586" i="8"/>
  <c r="O586" i="8"/>
  <c r="M586" i="8"/>
  <c r="N586" i="8"/>
  <c r="A587" i="8"/>
  <c r="H586" i="8"/>
  <c r="G586" i="8"/>
  <c r="F586" i="8"/>
  <c r="AG585" i="8" s="1"/>
  <c r="D586" i="8"/>
  <c r="E586" i="8" s="1"/>
  <c r="C586" i="8"/>
  <c r="B586" i="8"/>
  <c r="L636" i="14" l="1"/>
  <c r="N635" i="14"/>
  <c r="O635" i="14"/>
  <c r="A632" i="14"/>
  <c r="D631" i="14"/>
  <c r="E631" i="14" s="1"/>
  <c r="C631" i="14"/>
  <c r="P598" i="14"/>
  <c r="M598" i="14"/>
  <c r="Q598" i="14"/>
  <c r="F598" i="14"/>
  <c r="H598" i="14"/>
  <c r="B598" i="14"/>
  <c r="G598" i="14"/>
  <c r="J589" i="12"/>
  <c r="L589" i="12" s="1"/>
  <c r="K588" i="12"/>
  <c r="P588" i="12"/>
  <c r="M588" i="12"/>
  <c r="N588" i="12" s="1"/>
  <c r="O588" i="12"/>
  <c r="F588" i="12"/>
  <c r="D588" i="12"/>
  <c r="E588" i="12" s="1"/>
  <c r="C588" i="12"/>
  <c r="A589" i="12"/>
  <c r="G588" i="12"/>
  <c r="B588" i="12"/>
  <c r="L588" i="8"/>
  <c r="T587" i="8"/>
  <c r="S587" i="8"/>
  <c r="R587" i="8"/>
  <c r="Q587" i="8"/>
  <c r="P587" i="8"/>
  <c r="O587" i="8"/>
  <c r="M587" i="8"/>
  <c r="N587" i="8"/>
  <c r="A588" i="8"/>
  <c r="G587" i="8"/>
  <c r="H587" i="8"/>
  <c r="F587" i="8"/>
  <c r="AG586" i="8" s="1"/>
  <c r="D587" i="8"/>
  <c r="E587" i="8" s="1"/>
  <c r="C587" i="8"/>
  <c r="B587" i="8"/>
  <c r="L637" i="14" l="1"/>
  <c r="N636" i="14"/>
  <c r="O636" i="14"/>
  <c r="A633" i="14"/>
  <c r="D632" i="14"/>
  <c r="E632" i="14" s="1"/>
  <c r="C632" i="14"/>
  <c r="Q599" i="14"/>
  <c r="P599" i="14"/>
  <c r="M599" i="14"/>
  <c r="H599" i="14"/>
  <c r="B599" i="14"/>
  <c r="G599" i="14"/>
  <c r="F599" i="14"/>
  <c r="P589" i="12"/>
  <c r="J590" i="12"/>
  <c r="L590" i="12" s="1"/>
  <c r="O589" i="12"/>
  <c r="K589" i="12"/>
  <c r="M589" i="12"/>
  <c r="N589" i="12" s="1"/>
  <c r="F589" i="12"/>
  <c r="C589" i="12"/>
  <c r="D589" i="12"/>
  <c r="E589" i="12" s="1"/>
  <c r="G589" i="12"/>
  <c r="A590" i="12"/>
  <c r="B589" i="12"/>
  <c r="L589" i="8"/>
  <c r="T588" i="8"/>
  <c r="S588" i="8"/>
  <c r="R588" i="8"/>
  <c r="Q588" i="8"/>
  <c r="P588" i="8"/>
  <c r="O588" i="8"/>
  <c r="M588" i="8"/>
  <c r="N588" i="8"/>
  <c r="A589" i="8"/>
  <c r="H588" i="8"/>
  <c r="G588" i="8"/>
  <c r="F588" i="8"/>
  <c r="AG587" i="8" s="1"/>
  <c r="D588" i="8"/>
  <c r="E588" i="8" s="1"/>
  <c r="B588" i="8"/>
  <c r="C588" i="8"/>
  <c r="L638" i="14" l="1"/>
  <c r="N637" i="14"/>
  <c r="O637" i="14"/>
  <c r="A634" i="14"/>
  <c r="D633" i="14"/>
  <c r="E633" i="14" s="1"/>
  <c r="C633" i="14"/>
  <c r="P600" i="14"/>
  <c r="M600" i="14"/>
  <c r="Q600" i="14"/>
  <c r="H600" i="14"/>
  <c r="B600" i="14"/>
  <c r="G600" i="14"/>
  <c r="F600" i="14"/>
  <c r="O590" i="12"/>
  <c r="J591" i="12"/>
  <c r="L591" i="12" s="1"/>
  <c r="P590" i="12"/>
  <c r="M590" i="12"/>
  <c r="N590" i="12" s="1"/>
  <c r="K590" i="12"/>
  <c r="F590" i="12"/>
  <c r="D590" i="12"/>
  <c r="E590" i="12" s="1"/>
  <c r="C590" i="12"/>
  <c r="A591" i="12"/>
  <c r="B590" i="12"/>
  <c r="G590" i="12"/>
  <c r="L590" i="8"/>
  <c r="T589" i="8"/>
  <c r="R589" i="8"/>
  <c r="S589" i="8"/>
  <c r="Q589" i="8"/>
  <c r="P589" i="8"/>
  <c r="O589" i="8"/>
  <c r="M589" i="8"/>
  <c r="N589" i="8"/>
  <c r="A590" i="8"/>
  <c r="G589" i="8"/>
  <c r="H589" i="8"/>
  <c r="F589" i="8"/>
  <c r="AG588" i="8" s="1"/>
  <c r="C589" i="8"/>
  <c r="D589" i="8"/>
  <c r="E589" i="8" s="1"/>
  <c r="B589" i="8"/>
  <c r="L639" i="14" l="1"/>
  <c r="N638" i="14"/>
  <c r="O638" i="14"/>
  <c r="A635" i="14"/>
  <c r="D634" i="14"/>
  <c r="E634" i="14" s="1"/>
  <c r="C634" i="14"/>
  <c r="M601" i="14"/>
  <c r="Q601" i="14"/>
  <c r="P601" i="14"/>
  <c r="F601" i="14"/>
  <c r="H601" i="14"/>
  <c r="G601" i="14"/>
  <c r="B601" i="14"/>
  <c r="J592" i="12"/>
  <c r="L592" i="12" s="1"/>
  <c r="M591" i="12"/>
  <c r="N591" i="12" s="1"/>
  <c r="P591" i="12"/>
  <c r="O591" i="12"/>
  <c r="K591" i="12"/>
  <c r="F591" i="12"/>
  <c r="C591" i="12"/>
  <c r="D591" i="12"/>
  <c r="A592" i="12"/>
  <c r="E591" i="12"/>
  <c r="G591" i="12"/>
  <c r="B591" i="12"/>
  <c r="L591" i="8"/>
  <c r="T590" i="8"/>
  <c r="S590" i="8"/>
  <c r="R590" i="8"/>
  <c r="Q590" i="8"/>
  <c r="P590" i="8"/>
  <c r="O590" i="8"/>
  <c r="M590" i="8"/>
  <c r="N590" i="8"/>
  <c r="A591" i="8"/>
  <c r="H590" i="8"/>
  <c r="G590" i="8"/>
  <c r="F590" i="8"/>
  <c r="AG589" i="8" s="1"/>
  <c r="D590" i="8"/>
  <c r="E590" i="8" s="1"/>
  <c r="C590" i="8"/>
  <c r="B590" i="8"/>
  <c r="L640" i="14" l="1"/>
  <c r="N639" i="14"/>
  <c r="O639" i="14"/>
  <c r="A636" i="14"/>
  <c r="D635" i="14"/>
  <c r="E635" i="14" s="1"/>
  <c r="C635" i="14"/>
  <c r="Q602" i="14"/>
  <c r="M602" i="14"/>
  <c r="P602" i="14"/>
  <c r="B602" i="14"/>
  <c r="H602" i="14"/>
  <c r="F602" i="14"/>
  <c r="G602" i="14"/>
  <c r="M592" i="12"/>
  <c r="N592" i="12" s="1"/>
  <c r="J593" i="12"/>
  <c r="L593" i="12" s="1"/>
  <c r="K592" i="12"/>
  <c r="O592" i="12"/>
  <c r="P592" i="12"/>
  <c r="F592" i="12"/>
  <c r="C592" i="12"/>
  <c r="D592" i="12"/>
  <c r="E592" i="12" s="1"/>
  <c r="G592" i="12"/>
  <c r="B592" i="12"/>
  <c r="A593" i="12"/>
  <c r="L592" i="8"/>
  <c r="S591" i="8"/>
  <c r="T591" i="8"/>
  <c r="R591" i="8"/>
  <c r="Q591" i="8"/>
  <c r="P591" i="8"/>
  <c r="M591" i="8"/>
  <c r="O591" i="8"/>
  <c r="N591" i="8"/>
  <c r="A592" i="8"/>
  <c r="G591" i="8"/>
  <c r="H591" i="8"/>
  <c r="F591" i="8"/>
  <c r="AG590" i="8" s="1"/>
  <c r="D591" i="8"/>
  <c r="E591" i="8" s="1"/>
  <c r="C591" i="8"/>
  <c r="B591" i="8"/>
  <c r="L641" i="14" l="1"/>
  <c r="N640" i="14"/>
  <c r="O640" i="14"/>
  <c r="A637" i="14"/>
  <c r="D636" i="14"/>
  <c r="E636" i="14" s="1"/>
  <c r="C636" i="14"/>
  <c r="P603" i="14"/>
  <c r="M603" i="14"/>
  <c r="Q603" i="14"/>
  <c r="H603" i="14"/>
  <c r="B603" i="14"/>
  <c r="F603" i="14"/>
  <c r="G603" i="14"/>
  <c r="J594" i="12"/>
  <c r="L594" i="12" s="1"/>
  <c r="M593" i="12"/>
  <c r="N593" i="12" s="1"/>
  <c r="K593" i="12"/>
  <c r="O593" i="12"/>
  <c r="P593" i="12"/>
  <c r="F593" i="12"/>
  <c r="D593" i="12"/>
  <c r="E593" i="12" s="1"/>
  <c r="C593" i="12"/>
  <c r="G593" i="12"/>
  <c r="A594" i="12"/>
  <c r="B593" i="12"/>
  <c r="L593" i="8"/>
  <c r="T592" i="8"/>
  <c r="S592" i="8"/>
  <c r="R592" i="8"/>
  <c r="Q592" i="8"/>
  <c r="P592" i="8"/>
  <c r="M592" i="8"/>
  <c r="O592" i="8"/>
  <c r="N592" i="8"/>
  <c r="A593" i="8"/>
  <c r="F592" i="8"/>
  <c r="AG591" i="8" s="1"/>
  <c r="G592" i="8"/>
  <c r="H592" i="8"/>
  <c r="D592" i="8"/>
  <c r="E592" i="8" s="1"/>
  <c r="C592" i="8"/>
  <c r="B592" i="8"/>
  <c r="L642" i="14" l="1"/>
  <c r="N641" i="14"/>
  <c r="O641" i="14"/>
  <c r="A638" i="14"/>
  <c r="D637" i="14"/>
  <c r="E637" i="14" s="1"/>
  <c r="C637" i="14"/>
  <c r="M604" i="14"/>
  <c r="P604" i="14"/>
  <c r="Q604" i="14"/>
  <c r="F604" i="14"/>
  <c r="H604" i="14"/>
  <c r="G604" i="14"/>
  <c r="B604" i="14"/>
  <c r="J595" i="12"/>
  <c r="L595" i="12" s="1"/>
  <c r="K594" i="12"/>
  <c r="M594" i="12"/>
  <c r="N594" i="12" s="1"/>
  <c r="P594" i="12"/>
  <c r="O594" i="12"/>
  <c r="F594" i="12"/>
  <c r="C594" i="12"/>
  <c r="D594" i="12"/>
  <c r="E594" i="12" s="1"/>
  <c r="A595" i="12"/>
  <c r="G594" i="12"/>
  <c r="B594" i="12"/>
  <c r="L594" i="8"/>
  <c r="T593" i="8"/>
  <c r="S593" i="8"/>
  <c r="R593" i="8"/>
  <c r="Q593" i="8"/>
  <c r="P593" i="8"/>
  <c r="O593" i="8"/>
  <c r="M593" i="8"/>
  <c r="N593" i="8"/>
  <c r="A594" i="8"/>
  <c r="H593" i="8"/>
  <c r="F593" i="8"/>
  <c r="AG592" i="8" s="1"/>
  <c r="G593" i="8"/>
  <c r="D593" i="8"/>
  <c r="E593" i="8" s="1"/>
  <c r="B593" i="8"/>
  <c r="C593" i="8"/>
  <c r="L643" i="14" l="1"/>
  <c r="N642" i="14"/>
  <c r="O642" i="14"/>
  <c r="D638" i="14"/>
  <c r="E638" i="14" s="1"/>
  <c r="C638" i="14"/>
  <c r="M605" i="14"/>
  <c r="P605" i="14"/>
  <c r="Q605" i="14"/>
  <c r="G605" i="14"/>
  <c r="F605" i="14"/>
  <c r="B605" i="14"/>
  <c r="H605" i="14"/>
  <c r="P595" i="12"/>
  <c r="K595" i="12"/>
  <c r="O595" i="12"/>
  <c r="J596" i="12"/>
  <c r="L596" i="12" s="1"/>
  <c r="M595" i="12"/>
  <c r="N595" i="12" s="1"/>
  <c r="F595" i="12"/>
  <c r="C595" i="12"/>
  <c r="D595" i="12"/>
  <c r="G595" i="12"/>
  <c r="A596" i="12"/>
  <c r="E595" i="12"/>
  <c r="B595" i="12"/>
  <c r="L595" i="8"/>
  <c r="T594" i="8"/>
  <c r="S594" i="8"/>
  <c r="R594" i="8"/>
  <c r="Q594" i="8"/>
  <c r="P594" i="8"/>
  <c r="O594" i="8"/>
  <c r="M594" i="8"/>
  <c r="N594" i="8"/>
  <c r="A595" i="8"/>
  <c r="H594" i="8"/>
  <c r="G594" i="8"/>
  <c r="F594" i="8"/>
  <c r="AG593" i="8" s="1"/>
  <c r="D594" i="8"/>
  <c r="E594" i="8" s="1"/>
  <c r="B594" i="8"/>
  <c r="C594" i="8"/>
  <c r="L644" i="14" l="1"/>
  <c r="N643" i="14"/>
  <c r="O643" i="14"/>
  <c r="M606" i="14"/>
  <c r="Q606" i="14"/>
  <c r="P606" i="14"/>
  <c r="H606" i="14"/>
  <c r="B606" i="14"/>
  <c r="F606" i="14"/>
  <c r="G606" i="14"/>
  <c r="O596" i="12"/>
  <c r="K596" i="12"/>
  <c r="J597" i="12"/>
  <c r="L597" i="12" s="1"/>
  <c r="M596" i="12"/>
  <c r="N596" i="12" s="1"/>
  <c r="P596" i="12"/>
  <c r="F596" i="12"/>
  <c r="D596" i="12"/>
  <c r="E596" i="12" s="1"/>
  <c r="C596" i="12"/>
  <c r="A597" i="12"/>
  <c r="B596" i="12"/>
  <c r="G596" i="12"/>
  <c r="L596" i="8"/>
  <c r="T595" i="8"/>
  <c r="S595" i="8"/>
  <c r="R595" i="8"/>
  <c r="Q595" i="8"/>
  <c r="P595" i="8"/>
  <c r="O595" i="8"/>
  <c r="M595" i="8"/>
  <c r="N595" i="8"/>
  <c r="A596" i="8"/>
  <c r="G595" i="8"/>
  <c r="H595" i="8"/>
  <c r="F595" i="8"/>
  <c r="AG594" i="8" s="1"/>
  <c r="D595" i="8"/>
  <c r="E595" i="8" s="1"/>
  <c r="C595" i="8"/>
  <c r="B595" i="8"/>
  <c r="L645" i="14" l="1"/>
  <c r="N644" i="14"/>
  <c r="O644" i="14"/>
  <c r="M607" i="14"/>
  <c r="Q607" i="14"/>
  <c r="P607" i="14"/>
  <c r="F607" i="14"/>
  <c r="H607" i="14"/>
  <c r="G607" i="14"/>
  <c r="B607" i="14"/>
  <c r="K597" i="12"/>
  <c r="J598" i="12"/>
  <c r="L598" i="12" s="1"/>
  <c r="P597" i="12"/>
  <c r="O597" i="12"/>
  <c r="M597" i="12"/>
  <c r="N597" i="12" s="1"/>
  <c r="F597" i="12"/>
  <c r="D597" i="12"/>
  <c r="E597" i="12" s="1"/>
  <c r="C597" i="12"/>
  <c r="A598" i="12"/>
  <c r="G597" i="12"/>
  <c r="B597" i="12"/>
  <c r="L597" i="8"/>
  <c r="T596" i="8"/>
  <c r="S596" i="8"/>
  <c r="R596" i="8"/>
  <c r="Q596" i="8"/>
  <c r="P596" i="8"/>
  <c r="O596" i="8"/>
  <c r="M596" i="8"/>
  <c r="N596" i="8"/>
  <c r="A597" i="8"/>
  <c r="G596" i="8"/>
  <c r="H596" i="8"/>
  <c r="F596" i="8"/>
  <c r="AG595" i="8" s="1"/>
  <c r="C596" i="8"/>
  <c r="B596" i="8"/>
  <c r="D596" i="8"/>
  <c r="E596" i="8" s="1"/>
  <c r="L646" i="14" l="1"/>
  <c r="N645" i="14"/>
  <c r="O645" i="14"/>
  <c r="Q608" i="14"/>
  <c r="M608" i="14"/>
  <c r="P608" i="14"/>
  <c r="F608" i="14"/>
  <c r="H608" i="14"/>
  <c r="B608" i="14"/>
  <c r="G608" i="14"/>
  <c r="M598" i="12"/>
  <c r="N598" i="12" s="1"/>
  <c r="K598" i="12"/>
  <c r="P598" i="12"/>
  <c r="O598" i="12"/>
  <c r="J599" i="12"/>
  <c r="L599" i="12" s="1"/>
  <c r="F598" i="12"/>
  <c r="C598" i="12"/>
  <c r="D598" i="12"/>
  <c r="E598" i="12" s="1"/>
  <c r="G598" i="12"/>
  <c r="B598" i="12"/>
  <c r="A599" i="12"/>
  <c r="L598" i="8"/>
  <c r="T597" i="8"/>
  <c r="S597" i="8"/>
  <c r="R597" i="8"/>
  <c r="Q597" i="8"/>
  <c r="P597" i="8"/>
  <c r="O597" i="8"/>
  <c r="M597" i="8"/>
  <c r="N597" i="8"/>
  <c r="A598" i="8"/>
  <c r="G597" i="8"/>
  <c r="H597" i="8"/>
  <c r="F597" i="8"/>
  <c r="AG596" i="8" s="1"/>
  <c r="C597" i="8"/>
  <c r="D597" i="8"/>
  <c r="E597" i="8" s="1"/>
  <c r="B597" i="8"/>
  <c r="L647" i="14" l="1"/>
  <c r="N646" i="14"/>
  <c r="O646" i="14"/>
  <c r="P609" i="14"/>
  <c r="M609" i="14"/>
  <c r="Q609" i="14"/>
  <c r="H609" i="14"/>
  <c r="B609" i="14"/>
  <c r="F609" i="14"/>
  <c r="G609" i="14"/>
  <c r="K599" i="12"/>
  <c r="M599" i="12"/>
  <c r="N599" i="12" s="1"/>
  <c r="P599" i="12"/>
  <c r="J600" i="12"/>
  <c r="L600" i="12" s="1"/>
  <c r="O599" i="12"/>
  <c r="F599" i="12"/>
  <c r="D599" i="12"/>
  <c r="C599" i="12"/>
  <c r="A600" i="12"/>
  <c r="B599" i="12"/>
  <c r="E599" i="12"/>
  <c r="G599" i="12"/>
  <c r="L599" i="8"/>
  <c r="T598" i="8"/>
  <c r="S598" i="8"/>
  <c r="R598" i="8"/>
  <c r="Q598" i="8"/>
  <c r="P598" i="8"/>
  <c r="O598" i="8"/>
  <c r="M598" i="8"/>
  <c r="N598" i="8"/>
  <c r="A599" i="8"/>
  <c r="H598" i="8"/>
  <c r="G598" i="8"/>
  <c r="C598" i="8"/>
  <c r="D598" i="8"/>
  <c r="E598" i="8" s="1"/>
  <c r="F598" i="8"/>
  <c r="AG597" i="8" s="1"/>
  <c r="B598" i="8"/>
  <c r="L648" i="14" l="1"/>
  <c r="N647" i="14"/>
  <c r="O647" i="14"/>
  <c r="P610" i="14"/>
  <c r="Q610" i="14"/>
  <c r="M610" i="14"/>
  <c r="F610" i="14"/>
  <c r="G610" i="14"/>
  <c r="B610" i="14"/>
  <c r="H610" i="14"/>
  <c r="J601" i="12"/>
  <c r="L601" i="12" s="1"/>
  <c r="K600" i="12"/>
  <c r="O600" i="12"/>
  <c r="M600" i="12"/>
  <c r="N600" i="12" s="1"/>
  <c r="P600" i="12"/>
  <c r="F600" i="12"/>
  <c r="C600" i="12"/>
  <c r="D600" i="12"/>
  <c r="E600" i="12" s="1"/>
  <c r="A601" i="12"/>
  <c r="G600" i="12"/>
  <c r="B600" i="12"/>
  <c r="L600" i="8"/>
  <c r="T599" i="8"/>
  <c r="S599" i="8"/>
  <c r="R599" i="8"/>
  <c r="Q599" i="8"/>
  <c r="P599" i="8"/>
  <c r="O599" i="8"/>
  <c r="M599" i="8"/>
  <c r="N599" i="8"/>
  <c r="A600" i="8"/>
  <c r="G599" i="8"/>
  <c r="H599" i="8"/>
  <c r="F599" i="8"/>
  <c r="AG598" i="8" s="1"/>
  <c r="C599" i="8"/>
  <c r="D599" i="8"/>
  <c r="E599" i="8" s="1"/>
  <c r="B599" i="8"/>
  <c r="L649" i="14" l="1"/>
  <c r="N648" i="14"/>
  <c r="O648" i="14"/>
  <c r="Q611" i="14"/>
  <c r="G23" i="14" s="1" a="1"/>
  <c r="G23" i="14" s="1"/>
  <c r="M611" i="14"/>
  <c r="P611" i="14"/>
  <c r="G24" i="14" s="1" a="1"/>
  <c r="G24" i="14" s="1"/>
  <c r="E9" i="13" s="1"/>
  <c r="E11" i="13" s="1"/>
  <c r="B611" i="14"/>
  <c r="G12" i="14" s="1" a="1"/>
  <c r="G12" i="14" s="1"/>
  <c r="G611" i="14"/>
  <c r="G13" i="14" s="1" a="1"/>
  <c r="G13" i="14" s="1"/>
  <c r="M9" i="13" s="1"/>
  <c r="F611" i="14"/>
  <c r="G15" i="14" s="1" a="1"/>
  <c r="G15" i="14" s="1"/>
  <c r="H611" i="14"/>
  <c r="G14" i="14" s="1" a="1"/>
  <c r="G14" i="14" s="1"/>
  <c r="P601" i="12"/>
  <c r="O601" i="12"/>
  <c r="M601" i="12"/>
  <c r="N601" i="12" s="1"/>
  <c r="J602" i="12"/>
  <c r="L602" i="12" s="1"/>
  <c r="K601" i="12"/>
  <c r="F601" i="12"/>
  <c r="C601" i="12"/>
  <c r="D601" i="12"/>
  <c r="E601" i="12" s="1"/>
  <c r="G601" i="12"/>
  <c r="B601" i="12"/>
  <c r="A602" i="12"/>
  <c r="L601" i="8"/>
  <c r="T600" i="8"/>
  <c r="S600" i="8"/>
  <c r="R600" i="8"/>
  <c r="Q600" i="8"/>
  <c r="P600" i="8"/>
  <c r="O600" i="8"/>
  <c r="M600" i="8"/>
  <c r="N600" i="8"/>
  <c r="A601" i="8"/>
  <c r="H600" i="8"/>
  <c r="G600" i="8"/>
  <c r="F600" i="8"/>
  <c r="AG599" i="8" s="1"/>
  <c r="D600" i="8"/>
  <c r="E600" i="8" s="1"/>
  <c r="C600" i="8"/>
  <c r="B600" i="8"/>
  <c r="L650" i="14" l="1"/>
  <c r="N649" i="14"/>
  <c r="O649" i="14"/>
  <c r="P612" i="14"/>
  <c r="Q612" i="14"/>
  <c r="M612" i="14"/>
  <c r="H612" i="14"/>
  <c r="B612" i="14"/>
  <c r="G612" i="14"/>
  <c r="F612" i="14"/>
  <c r="O602" i="12"/>
  <c r="J603" i="12"/>
  <c r="L603" i="12" s="1"/>
  <c r="P602" i="12"/>
  <c r="M602" i="12"/>
  <c r="N602" i="12" s="1"/>
  <c r="K602" i="12"/>
  <c r="F602" i="12"/>
  <c r="D602" i="12"/>
  <c r="E602" i="12" s="1"/>
  <c r="C602" i="12"/>
  <c r="G602" i="12"/>
  <c r="A603" i="12"/>
  <c r="B602" i="12"/>
  <c r="L602" i="8"/>
  <c r="T601" i="8"/>
  <c r="S601" i="8"/>
  <c r="R601" i="8"/>
  <c r="Q601" i="8"/>
  <c r="P601" i="8"/>
  <c r="O601" i="8"/>
  <c r="M601" i="8"/>
  <c r="N601" i="8"/>
  <c r="A602" i="8"/>
  <c r="G601" i="8"/>
  <c r="H601" i="8"/>
  <c r="F601" i="8"/>
  <c r="AG600" i="8" s="1"/>
  <c r="D601" i="8"/>
  <c r="E601" i="8" s="1"/>
  <c r="B601" i="8"/>
  <c r="C601" i="8"/>
  <c r="L651" i="14" l="1"/>
  <c r="N650" i="14"/>
  <c r="O650" i="14"/>
  <c r="M613" i="14"/>
  <c r="Q613" i="14"/>
  <c r="P613" i="14"/>
  <c r="F613" i="14"/>
  <c r="H613" i="14"/>
  <c r="B613" i="14"/>
  <c r="G613" i="14"/>
  <c r="J604" i="12"/>
  <c r="L604" i="12" s="1"/>
  <c r="K603" i="12"/>
  <c r="P603" i="12"/>
  <c r="M603" i="12"/>
  <c r="N603" i="12" s="1"/>
  <c r="O603" i="12"/>
  <c r="F603" i="12"/>
  <c r="D603" i="12"/>
  <c r="C603" i="12"/>
  <c r="A604" i="12"/>
  <c r="E603" i="12"/>
  <c r="B603" i="12"/>
  <c r="G603" i="12"/>
  <c r="L603" i="8"/>
  <c r="T602" i="8"/>
  <c r="S602" i="8"/>
  <c r="R602" i="8"/>
  <c r="Q602" i="8"/>
  <c r="P602" i="8"/>
  <c r="O602" i="8"/>
  <c r="M602" i="8"/>
  <c r="N602" i="8"/>
  <c r="A603" i="8"/>
  <c r="H602" i="8"/>
  <c r="G602" i="8"/>
  <c r="F602" i="8"/>
  <c r="AG601" i="8" s="1"/>
  <c r="D602" i="8"/>
  <c r="E602" i="8" s="1"/>
  <c r="B602" i="8"/>
  <c r="C602" i="8"/>
  <c r="L652" i="14" l="1"/>
  <c r="N651" i="14"/>
  <c r="O651" i="14"/>
  <c r="Q614" i="14"/>
  <c r="M614" i="14"/>
  <c r="P614" i="14"/>
  <c r="G614" i="14"/>
  <c r="H614" i="14"/>
  <c r="F614" i="14"/>
  <c r="B614" i="14"/>
  <c r="M604" i="12"/>
  <c r="N604" i="12" s="1"/>
  <c r="K604" i="12"/>
  <c r="P604" i="12"/>
  <c r="O604" i="12"/>
  <c r="J605" i="12"/>
  <c r="L605" i="12" s="1"/>
  <c r="F604" i="12"/>
  <c r="C604" i="12"/>
  <c r="D604" i="12"/>
  <c r="E604" i="12" s="1"/>
  <c r="G604" i="12"/>
  <c r="A605" i="12"/>
  <c r="B604" i="12"/>
  <c r="L604" i="8"/>
  <c r="T603" i="8"/>
  <c r="S603" i="8"/>
  <c r="R603" i="8"/>
  <c r="Q603" i="8"/>
  <c r="P603" i="8"/>
  <c r="O603" i="8"/>
  <c r="M603" i="8"/>
  <c r="N603" i="8"/>
  <c r="A604" i="8"/>
  <c r="G603" i="8"/>
  <c r="H603" i="8"/>
  <c r="F603" i="8"/>
  <c r="AG602" i="8" s="1"/>
  <c r="D603" i="8"/>
  <c r="E603" i="8" s="1"/>
  <c r="B603" i="8"/>
  <c r="C603" i="8"/>
  <c r="L653" i="14" l="1"/>
  <c r="N652" i="14"/>
  <c r="O652" i="14"/>
  <c r="P615" i="14"/>
  <c r="Q615" i="14"/>
  <c r="M615" i="14"/>
  <c r="H615" i="14"/>
  <c r="B615" i="14"/>
  <c r="F615" i="14"/>
  <c r="G615" i="14"/>
  <c r="M605" i="12"/>
  <c r="N605" i="12" s="1"/>
  <c r="P605" i="12"/>
  <c r="J606" i="12"/>
  <c r="L606" i="12" s="1"/>
  <c r="O605" i="12"/>
  <c r="K605" i="12"/>
  <c r="F605" i="12"/>
  <c r="D605" i="12"/>
  <c r="E605" i="12" s="1"/>
  <c r="C605" i="12"/>
  <c r="G605" i="12"/>
  <c r="B605" i="12"/>
  <c r="A606" i="12"/>
  <c r="L605" i="8"/>
  <c r="S604" i="8"/>
  <c r="T604" i="8"/>
  <c r="R604" i="8"/>
  <c r="Q604" i="8"/>
  <c r="P604" i="8"/>
  <c r="O604" i="8"/>
  <c r="M604" i="8"/>
  <c r="N604" i="8"/>
  <c r="A605" i="8"/>
  <c r="G604" i="8"/>
  <c r="H604" i="8"/>
  <c r="F604" i="8"/>
  <c r="AG603" i="8" s="1"/>
  <c r="D604" i="8"/>
  <c r="E604" i="8" s="1"/>
  <c r="C604" i="8"/>
  <c r="B604" i="8"/>
  <c r="L654" i="14" l="1"/>
  <c r="N653" i="14"/>
  <c r="O653" i="14"/>
  <c r="Q616" i="14"/>
  <c r="M616" i="14"/>
  <c r="P616" i="14"/>
  <c r="F616" i="14"/>
  <c r="B616" i="14"/>
  <c r="G616" i="14"/>
  <c r="H616" i="14"/>
  <c r="J607" i="12"/>
  <c r="L607" i="12" s="1"/>
  <c r="K606" i="12"/>
  <c r="M606" i="12"/>
  <c r="N606" i="12" s="1"/>
  <c r="O606" i="12"/>
  <c r="P606" i="12"/>
  <c r="F606" i="12"/>
  <c r="C606" i="12"/>
  <c r="D606" i="12"/>
  <c r="A607" i="12"/>
  <c r="G606" i="12"/>
  <c r="E606" i="12"/>
  <c r="B606" i="12"/>
  <c r="L606" i="8"/>
  <c r="S605" i="8"/>
  <c r="T605" i="8"/>
  <c r="R605" i="8"/>
  <c r="Q605" i="8"/>
  <c r="P605" i="8"/>
  <c r="O605" i="8"/>
  <c r="M605" i="8"/>
  <c r="N605" i="8"/>
  <c r="A606" i="8"/>
  <c r="F605" i="8"/>
  <c r="AG604" i="8" s="1"/>
  <c r="G605" i="8"/>
  <c r="H605" i="8"/>
  <c r="D605" i="8"/>
  <c r="E605" i="8" s="1"/>
  <c r="C605" i="8"/>
  <c r="B605" i="8"/>
  <c r="L655" i="14" l="1"/>
  <c r="N654" i="14"/>
  <c r="O654" i="14"/>
  <c r="Q617" i="14"/>
  <c r="P617" i="14"/>
  <c r="M617" i="14"/>
  <c r="B617" i="14"/>
  <c r="F617" i="14"/>
  <c r="G617" i="14"/>
  <c r="H617" i="14"/>
  <c r="P607" i="12"/>
  <c r="J17" i="12" s="1" a="1"/>
  <c r="J17" i="12" s="1"/>
  <c r="M607" i="12"/>
  <c r="N607" i="12" s="1"/>
  <c r="J608" i="12"/>
  <c r="L608" i="12" s="1"/>
  <c r="O607" i="12"/>
  <c r="J18" i="12" s="1" a="1"/>
  <c r="J18" i="12" s="1"/>
  <c r="J16" i="12" s="1"/>
  <c r="K607" i="12"/>
  <c r="F607" i="12"/>
  <c r="I18" i="12" s="1" a="1"/>
  <c r="I18" i="12" s="1"/>
  <c r="C607" i="12"/>
  <c r="D607" i="12"/>
  <c r="E607" i="12" s="1"/>
  <c r="G607" i="12"/>
  <c r="I17" i="12" s="1" a="1"/>
  <c r="I17" i="12" s="1"/>
  <c r="B607" i="12"/>
  <c r="A608" i="12"/>
  <c r="L607" i="8"/>
  <c r="T606" i="8"/>
  <c r="S606" i="8"/>
  <c r="R606" i="8"/>
  <c r="Q606" i="8"/>
  <c r="P606" i="8"/>
  <c r="O606" i="8"/>
  <c r="M606" i="8"/>
  <c r="N606" i="8"/>
  <c r="A607" i="8"/>
  <c r="H606" i="8"/>
  <c r="G606" i="8"/>
  <c r="C606" i="8"/>
  <c r="D606" i="8"/>
  <c r="E606" i="8" s="1"/>
  <c r="F606" i="8"/>
  <c r="AG605" i="8" s="1"/>
  <c r="B606" i="8"/>
  <c r="I16" i="12" l="1"/>
  <c r="I8" i="11"/>
  <c r="I11" i="11" s="1"/>
  <c r="L656" i="14"/>
  <c r="N655" i="14"/>
  <c r="O655" i="14"/>
  <c r="M618" i="14"/>
  <c r="Q618" i="14"/>
  <c r="P618" i="14"/>
  <c r="H618" i="14"/>
  <c r="B618" i="14"/>
  <c r="F618" i="14"/>
  <c r="G618" i="14"/>
  <c r="O608" i="12"/>
  <c r="M608" i="12"/>
  <c r="N608" i="12" s="1"/>
  <c r="P608" i="12"/>
  <c r="J609" i="12"/>
  <c r="L609" i="12" s="1"/>
  <c r="K608" i="12"/>
  <c r="F608" i="12"/>
  <c r="C608" i="12"/>
  <c r="D608" i="12"/>
  <c r="E608" i="12" s="1"/>
  <c r="A609" i="12"/>
  <c r="B608" i="12"/>
  <c r="G608" i="12"/>
  <c r="L608" i="8"/>
  <c r="T607" i="8"/>
  <c r="S607" i="8"/>
  <c r="R607" i="8"/>
  <c r="Q607" i="8"/>
  <c r="P607" i="8"/>
  <c r="M607" i="8"/>
  <c r="O607" i="8"/>
  <c r="N607" i="8"/>
  <c r="A608" i="8"/>
  <c r="G607" i="8"/>
  <c r="H607" i="8"/>
  <c r="C607" i="8"/>
  <c r="D607" i="8"/>
  <c r="E607" i="8" s="1"/>
  <c r="B607" i="8"/>
  <c r="F607" i="8"/>
  <c r="AG606" i="8" s="1"/>
  <c r="L657" i="14" l="1"/>
  <c r="N656" i="14"/>
  <c r="O656" i="14"/>
  <c r="M619" i="14"/>
  <c r="P619" i="14"/>
  <c r="Q619" i="14"/>
  <c r="F619" i="14"/>
  <c r="G619" i="14"/>
  <c r="B619" i="14"/>
  <c r="H619" i="14"/>
  <c r="M609" i="12"/>
  <c r="N609" i="12" s="1"/>
  <c r="K609" i="12"/>
  <c r="O609" i="12"/>
  <c r="P609" i="12"/>
  <c r="J610" i="12"/>
  <c r="L610" i="12" s="1"/>
  <c r="F609" i="12"/>
  <c r="D609" i="12"/>
  <c r="C609" i="12"/>
  <c r="A610" i="12"/>
  <c r="B609" i="12"/>
  <c r="E609" i="12"/>
  <c r="G609" i="12"/>
  <c r="L609" i="8"/>
  <c r="T608" i="8"/>
  <c r="S608" i="8"/>
  <c r="R608" i="8"/>
  <c r="Q608" i="8"/>
  <c r="P608" i="8"/>
  <c r="M608" i="8"/>
  <c r="O608" i="8"/>
  <c r="N608" i="8"/>
  <c r="A609" i="8"/>
  <c r="G608" i="8"/>
  <c r="H608" i="8"/>
  <c r="F608" i="8"/>
  <c r="AG607" i="8" s="1"/>
  <c r="D608" i="8"/>
  <c r="E608" i="8" s="1"/>
  <c r="C608" i="8"/>
  <c r="B608" i="8"/>
  <c r="L658" i="14" l="1"/>
  <c r="N657" i="14"/>
  <c r="O657" i="14"/>
  <c r="Q620" i="14"/>
  <c r="P620" i="14"/>
  <c r="M620" i="14"/>
  <c r="B620" i="14"/>
  <c r="G620" i="14"/>
  <c r="H620" i="14"/>
  <c r="F620" i="14"/>
  <c r="M610" i="12"/>
  <c r="N610" i="12" s="1"/>
  <c r="K610" i="12"/>
  <c r="J611" i="12"/>
  <c r="L611" i="12" s="1"/>
  <c r="P610" i="12"/>
  <c r="O610" i="12"/>
  <c r="F610" i="12"/>
  <c r="D610" i="12"/>
  <c r="C610" i="12"/>
  <c r="G610" i="12"/>
  <c r="B610" i="12"/>
  <c r="E610" i="12"/>
  <c r="A611" i="12"/>
  <c r="L610" i="8"/>
  <c r="T609" i="8"/>
  <c r="S609" i="8"/>
  <c r="R609" i="8"/>
  <c r="Q609" i="8"/>
  <c r="O609" i="8"/>
  <c r="P609" i="8"/>
  <c r="M609" i="8"/>
  <c r="N609" i="8"/>
  <c r="A610" i="8"/>
  <c r="G609" i="8"/>
  <c r="F609" i="8"/>
  <c r="AG608" i="8" s="1"/>
  <c r="H609" i="8"/>
  <c r="D609" i="8"/>
  <c r="E609" i="8" s="1"/>
  <c r="C609" i="8"/>
  <c r="B609" i="8"/>
  <c r="L659" i="14" l="1"/>
  <c r="N658" i="14"/>
  <c r="O658" i="14"/>
  <c r="P621" i="14"/>
  <c r="Q621" i="14"/>
  <c r="M621" i="14"/>
  <c r="H621" i="14"/>
  <c r="B621" i="14"/>
  <c r="G621" i="14"/>
  <c r="F621" i="14"/>
  <c r="O611" i="12"/>
  <c r="P611" i="12"/>
  <c r="K611" i="12"/>
  <c r="M611" i="12"/>
  <c r="N611" i="12" s="1"/>
  <c r="J612" i="12"/>
  <c r="L612" i="12" s="1"/>
  <c r="F611" i="12"/>
  <c r="D611" i="12"/>
  <c r="E611" i="12" s="1"/>
  <c r="C611" i="12"/>
  <c r="G611" i="12"/>
  <c r="B611" i="12"/>
  <c r="A612" i="12"/>
  <c r="L611" i="8"/>
  <c r="T610" i="8"/>
  <c r="S610" i="8"/>
  <c r="R610" i="8"/>
  <c r="Q610" i="8"/>
  <c r="P610" i="8"/>
  <c r="O610" i="8"/>
  <c r="M610" i="8"/>
  <c r="N610" i="8"/>
  <c r="A611" i="8"/>
  <c r="H610" i="8"/>
  <c r="F610" i="8"/>
  <c r="AG609" i="8" s="1"/>
  <c r="G610" i="8"/>
  <c r="D610" i="8"/>
  <c r="E610" i="8" s="1"/>
  <c r="C610" i="8"/>
  <c r="B610" i="8"/>
  <c r="L660" i="14" l="1"/>
  <c r="N659" i="14"/>
  <c r="O659" i="14"/>
  <c r="P622" i="14"/>
  <c r="M622" i="14"/>
  <c r="Q622" i="14"/>
  <c r="F622" i="14"/>
  <c r="H622" i="14"/>
  <c r="B622" i="14"/>
  <c r="G622" i="14"/>
  <c r="J613" i="12"/>
  <c r="L613" i="12" s="1"/>
  <c r="K612" i="12"/>
  <c r="P612" i="12"/>
  <c r="O612" i="12"/>
  <c r="M612" i="12"/>
  <c r="N612" i="12" s="1"/>
  <c r="F612" i="12"/>
  <c r="C612" i="12"/>
  <c r="D612" i="12"/>
  <c r="E612" i="12" s="1"/>
  <c r="A613" i="12"/>
  <c r="B612" i="12"/>
  <c r="G612" i="12"/>
  <c r="L612" i="8"/>
  <c r="T611" i="8"/>
  <c r="S611" i="8"/>
  <c r="R611" i="8"/>
  <c r="Q611" i="8"/>
  <c r="P611" i="8"/>
  <c r="O611" i="8"/>
  <c r="M611" i="8"/>
  <c r="N611" i="8"/>
  <c r="A612" i="8"/>
  <c r="G611" i="8"/>
  <c r="H611" i="8"/>
  <c r="F611" i="8"/>
  <c r="AG610" i="8" s="1"/>
  <c r="D611" i="8"/>
  <c r="E611" i="8" s="1"/>
  <c r="B611" i="8"/>
  <c r="C611" i="8"/>
  <c r="L661" i="14" l="1"/>
  <c r="N660" i="14"/>
  <c r="O660" i="14"/>
  <c r="P623" i="14"/>
  <c r="Q623" i="14"/>
  <c r="M623" i="14"/>
  <c r="G623" i="14"/>
  <c r="F623" i="14"/>
  <c r="B623" i="14"/>
  <c r="H623" i="14"/>
  <c r="P613" i="12"/>
  <c r="K613" i="12"/>
  <c r="M613" i="12"/>
  <c r="N613" i="12" s="1"/>
  <c r="O613" i="12"/>
  <c r="J614" i="12"/>
  <c r="L614" i="12" s="1"/>
  <c r="F613" i="12"/>
  <c r="C613" i="12"/>
  <c r="D613" i="12"/>
  <c r="E613" i="12" s="1"/>
  <c r="G613" i="12"/>
  <c r="B613" i="12"/>
  <c r="A614" i="12"/>
  <c r="L613" i="8"/>
  <c r="T612" i="8"/>
  <c r="S612" i="8"/>
  <c r="R612" i="8"/>
  <c r="Q612" i="8"/>
  <c r="P612" i="8"/>
  <c r="O612" i="8"/>
  <c r="M612" i="8"/>
  <c r="N612" i="8"/>
  <c r="A613" i="8"/>
  <c r="H612" i="8"/>
  <c r="G612" i="8"/>
  <c r="F612" i="8"/>
  <c r="AG611" i="8" s="1"/>
  <c r="C612" i="8"/>
  <c r="D612" i="8"/>
  <c r="E612" i="8" s="1"/>
  <c r="B612" i="8"/>
  <c r="L662" i="14" l="1"/>
  <c r="N661" i="14"/>
  <c r="O661" i="14"/>
  <c r="P624" i="14"/>
  <c r="M624" i="14"/>
  <c r="Q624" i="14"/>
  <c r="H624" i="14"/>
  <c r="B624" i="14"/>
  <c r="F624" i="14"/>
  <c r="G624" i="14"/>
  <c r="O614" i="12"/>
  <c r="K614" i="12"/>
  <c r="P614" i="12"/>
  <c r="J615" i="12"/>
  <c r="L615" i="12" s="1"/>
  <c r="M614" i="12"/>
  <c r="N614" i="12" s="1"/>
  <c r="F614" i="12"/>
  <c r="C614" i="12"/>
  <c r="D614" i="12"/>
  <c r="E614" i="12" s="1"/>
  <c r="G614" i="12"/>
  <c r="B614" i="12"/>
  <c r="A615" i="12"/>
  <c r="L614" i="8"/>
  <c r="T613" i="8"/>
  <c r="S613" i="8"/>
  <c r="R613" i="8"/>
  <c r="Q613" i="8"/>
  <c r="P613" i="8"/>
  <c r="O613" i="8"/>
  <c r="M613" i="8"/>
  <c r="N613" i="8"/>
  <c r="A614" i="8"/>
  <c r="H613" i="8"/>
  <c r="G613" i="8"/>
  <c r="F613" i="8"/>
  <c r="AG612" i="8" s="1"/>
  <c r="D613" i="8"/>
  <c r="E613" i="8" s="1"/>
  <c r="C613" i="8"/>
  <c r="B613" i="8"/>
  <c r="L663" i="14" l="1"/>
  <c r="N662" i="14"/>
  <c r="O662" i="14"/>
  <c r="M625" i="14"/>
  <c r="P625" i="14"/>
  <c r="Q625" i="14"/>
  <c r="F625" i="14"/>
  <c r="H625" i="14"/>
  <c r="B625" i="14"/>
  <c r="G625" i="14"/>
  <c r="O615" i="12"/>
  <c r="M615" i="12"/>
  <c r="N615" i="12" s="1"/>
  <c r="K615" i="12"/>
  <c r="P615" i="12"/>
  <c r="J616" i="12"/>
  <c r="L616" i="12" s="1"/>
  <c r="F615" i="12"/>
  <c r="C615" i="12"/>
  <c r="D615" i="12"/>
  <c r="E615" i="12" s="1"/>
  <c r="A616" i="12"/>
  <c r="B615" i="12"/>
  <c r="G615" i="12"/>
  <c r="L615" i="8"/>
  <c r="T614" i="8"/>
  <c r="S614" i="8"/>
  <c r="R614" i="8"/>
  <c r="Q614" i="8"/>
  <c r="P614" i="8"/>
  <c r="O614" i="8"/>
  <c r="M614" i="8"/>
  <c r="N614" i="8"/>
  <c r="A615" i="8"/>
  <c r="H614" i="8"/>
  <c r="G614" i="8"/>
  <c r="F614" i="8"/>
  <c r="AG613" i="8" s="1"/>
  <c r="C614" i="8"/>
  <c r="B614" i="8"/>
  <c r="D614" i="8"/>
  <c r="E614" i="8" s="1"/>
  <c r="L664" i="14" l="1"/>
  <c r="N663" i="14"/>
  <c r="O663" i="14"/>
  <c r="Q626" i="14"/>
  <c r="P626" i="14"/>
  <c r="M626" i="14"/>
  <c r="H626" i="14"/>
  <c r="B626" i="14"/>
  <c r="G626" i="14"/>
  <c r="F626" i="14"/>
  <c r="M616" i="12"/>
  <c r="N616" i="12" s="1"/>
  <c r="O616" i="12"/>
  <c r="K616" i="12"/>
  <c r="P616" i="12"/>
  <c r="J617" i="12"/>
  <c r="L617" i="12" s="1"/>
  <c r="F616" i="12"/>
  <c r="D616" i="12"/>
  <c r="C616" i="12"/>
  <c r="G616" i="12"/>
  <c r="E616" i="12"/>
  <c r="A617" i="12"/>
  <c r="B616" i="12"/>
  <c r="L616" i="8"/>
  <c r="T615" i="8"/>
  <c r="S615" i="8"/>
  <c r="R615" i="8"/>
  <c r="Q615" i="8"/>
  <c r="P615" i="8"/>
  <c r="M615" i="8"/>
  <c r="O615" i="8"/>
  <c r="N615" i="8"/>
  <c r="A616" i="8"/>
  <c r="G615" i="8"/>
  <c r="H615" i="8"/>
  <c r="F615" i="8"/>
  <c r="AG614" i="8" s="1"/>
  <c r="D615" i="8"/>
  <c r="E615" i="8" s="1"/>
  <c r="C615" i="8"/>
  <c r="B615" i="8"/>
  <c r="L665" i="14" l="1"/>
  <c r="N664" i="14"/>
  <c r="O664" i="14"/>
  <c r="P627" i="14"/>
  <c r="Q627" i="14"/>
  <c r="M627" i="14"/>
  <c r="H627" i="14"/>
  <c r="B627" i="14"/>
  <c r="G627" i="14"/>
  <c r="F627" i="14"/>
  <c r="O617" i="12"/>
  <c r="P617" i="12"/>
  <c r="M617" i="12"/>
  <c r="N617" i="12" s="1"/>
  <c r="K617" i="12"/>
  <c r="J618" i="12"/>
  <c r="L618" i="12" s="1"/>
  <c r="F617" i="12"/>
  <c r="D617" i="12"/>
  <c r="E617" i="12" s="1"/>
  <c r="C617" i="12"/>
  <c r="A618" i="12"/>
  <c r="B617" i="12"/>
  <c r="G617" i="12"/>
  <c r="L617" i="8"/>
  <c r="T616" i="8"/>
  <c r="S616" i="8"/>
  <c r="R616" i="8"/>
  <c r="Q616" i="8"/>
  <c r="P616" i="8"/>
  <c r="M616" i="8"/>
  <c r="O616" i="8"/>
  <c r="N616" i="8"/>
  <c r="A617" i="8"/>
  <c r="G616" i="8"/>
  <c r="F616" i="8"/>
  <c r="AG615" i="8" s="1"/>
  <c r="H616" i="8"/>
  <c r="D616" i="8"/>
  <c r="E616" i="8" s="1"/>
  <c r="C616" i="8"/>
  <c r="B616" i="8"/>
  <c r="L666" i="14" l="1"/>
  <c r="N665" i="14"/>
  <c r="O665" i="14"/>
  <c r="Q628" i="14"/>
  <c r="P628" i="14"/>
  <c r="M628" i="14"/>
  <c r="F628" i="14"/>
  <c r="H628" i="14"/>
  <c r="G628" i="14"/>
  <c r="B628" i="14"/>
  <c r="J619" i="12"/>
  <c r="L619" i="12" s="1"/>
  <c r="K618" i="12"/>
  <c r="O618" i="12"/>
  <c r="M618" i="12"/>
  <c r="N618" i="12" s="1"/>
  <c r="P618" i="12"/>
  <c r="F618" i="12"/>
  <c r="D618" i="12"/>
  <c r="C618" i="12"/>
  <c r="A619" i="12"/>
  <c r="E618" i="12"/>
  <c r="B618" i="12"/>
  <c r="G618" i="12"/>
  <c r="L618" i="8"/>
  <c r="T617" i="8"/>
  <c r="S617" i="8"/>
  <c r="R617" i="8"/>
  <c r="Q617" i="8"/>
  <c r="O617" i="8"/>
  <c r="P617" i="8"/>
  <c r="M617" i="8"/>
  <c r="N617" i="8"/>
  <c r="A618" i="8"/>
  <c r="F617" i="8"/>
  <c r="AG616" i="8" s="1"/>
  <c r="G617" i="8"/>
  <c r="H617" i="8"/>
  <c r="D617" i="8"/>
  <c r="E617" i="8" s="1"/>
  <c r="B617" i="8"/>
  <c r="C617" i="8"/>
  <c r="L667" i="14" l="1"/>
  <c r="N666" i="14"/>
  <c r="O666" i="14"/>
  <c r="Q629" i="14"/>
  <c r="M629" i="14"/>
  <c r="P629" i="14"/>
  <c r="B629" i="14"/>
  <c r="F629" i="14"/>
  <c r="H629" i="14"/>
  <c r="G629" i="14"/>
  <c r="P619" i="12"/>
  <c r="O619" i="12"/>
  <c r="K619" i="12"/>
  <c r="M619" i="12"/>
  <c r="N619" i="12" s="1"/>
  <c r="J620" i="12"/>
  <c r="L620" i="12" s="1"/>
  <c r="F619" i="12"/>
  <c r="C619" i="12"/>
  <c r="D619" i="12"/>
  <c r="G619" i="12"/>
  <c r="A620" i="12"/>
  <c r="E619" i="12"/>
  <c r="B619" i="12"/>
  <c r="L619" i="8"/>
  <c r="T618" i="8"/>
  <c r="R618" i="8"/>
  <c r="S618" i="8"/>
  <c r="Q618" i="8"/>
  <c r="O618" i="8"/>
  <c r="P618" i="8"/>
  <c r="M618" i="8"/>
  <c r="N618" i="8"/>
  <c r="A619" i="8"/>
  <c r="H618" i="8"/>
  <c r="F618" i="8"/>
  <c r="AG617" i="8" s="1"/>
  <c r="G618" i="8"/>
  <c r="D618" i="8"/>
  <c r="E618" i="8" s="1"/>
  <c r="B618" i="8"/>
  <c r="C618" i="8"/>
  <c r="L668" i="14" l="1"/>
  <c r="N667" i="14"/>
  <c r="O667" i="14"/>
  <c r="Q630" i="14"/>
  <c r="M630" i="14"/>
  <c r="P630" i="14"/>
  <c r="H630" i="14"/>
  <c r="B630" i="14"/>
  <c r="F630" i="14"/>
  <c r="G630" i="14"/>
  <c r="O620" i="12"/>
  <c r="P620" i="12"/>
  <c r="J621" i="12"/>
  <c r="L621" i="12" s="1"/>
  <c r="K620" i="12"/>
  <c r="M620" i="12"/>
  <c r="N620" i="12" s="1"/>
  <c r="F620" i="12"/>
  <c r="C620" i="12"/>
  <c r="D620" i="12"/>
  <c r="E620" i="12" s="1"/>
  <c r="G620" i="12"/>
  <c r="B620" i="12"/>
  <c r="A621" i="12"/>
  <c r="L620" i="8"/>
  <c r="T619" i="8"/>
  <c r="S619" i="8"/>
  <c r="R619" i="8"/>
  <c r="Q619" i="8"/>
  <c r="P619" i="8"/>
  <c r="O619" i="8"/>
  <c r="M619" i="8"/>
  <c r="N619" i="8"/>
  <c r="A620" i="8"/>
  <c r="G619" i="8"/>
  <c r="H619" i="8"/>
  <c r="F619" i="8"/>
  <c r="AG618" i="8" s="1"/>
  <c r="D619" i="8"/>
  <c r="E619" i="8" s="1"/>
  <c r="C619" i="8"/>
  <c r="B619" i="8"/>
  <c r="L669" i="14" l="1"/>
  <c r="N668" i="14"/>
  <c r="O668" i="14"/>
  <c r="M631" i="14"/>
  <c r="Q631" i="14"/>
  <c r="P631" i="14"/>
  <c r="F631" i="14"/>
  <c r="H631" i="14"/>
  <c r="B631" i="14"/>
  <c r="G631" i="14"/>
  <c r="P621" i="12"/>
  <c r="M621" i="12"/>
  <c r="N621" i="12" s="1"/>
  <c r="J622" i="12"/>
  <c r="L622" i="12" s="1"/>
  <c r="O621" i="12"/>
  <c r="K621" i="12"/>
  <c r="F621" i="12"/>
  <c r="C621" i="12"/>
  <c r="D621" i="12"/>
  <c r="E621" i="12" s="1"/>
  <c r="A622" i="12"/>
  <c r="G621" i="12"/>
  <c r="B621" i="12"/>
  <c r="L621" i="8"/>
  <c r="T620" i="8"/>
  <c r="S620" i="8"/>
  <c r="R620" i="8"/>
  <c r="Q620" i="8"/>
  <c r="P620" i="8"/>
  <c r="O620" i="8"/>
  <c r="M620" i="8"/>
  <c r="N620" i="8"/>
  <c r="A621" i="8"/>
  <c r="H620" i="8"/>
  <c r="G620" i="8"/>
  <c r="F620" i="8"/>
  <c r="AG619" i="8" s="1"/>
  <c r="D620" i="8"/>
  <c r="E620" i="8" s="1"/>
  <c r="C620" i="8"/>
  <c r="B620" i="8"/>
  <c r="L670" i="14" l="1"/>
  <c r="N669" i="14"/>
  <c r="O669" i="14"/>
  <c r="Q632" i="14"/>
  <c r="P632" i="14"/>
  <c r="M632" i="14"/>
  <c r="G632" i="14"/>
  <c r="F632" i="14"/>
  <c r="B632" i="14"/>
  <c r="H632" i="14"/>
  <c r="M622" i="12"/>
  <c r="N622" i="12" s="1"/>
  <c r="P622" i="12"/>
  <c r="O622" i="12"/>
  <c r="K622" i="12"/>
  <c r="J623" i="12"/>
  <c r="L623" i="12" s="1"/>
  <c r="F622" i="12"/>
  <c r="C622" i="12"/>
  <c r="D622" i="12"/>
  <c r="E622" i="12" s="1"/>
  <c r="G622" i="12"/>
  <c r="A623" i="12"/>
  <c r="B622" i="12"/>
  <c r="L622" i="8"/>
  <c r="T621" i="8"/>
  <c r="S621" i="8"/>
  <c r="R621" i="8"/>
  <c r="Q621" i="8"/>
  <c r="P621" i="8"/>
  <c r="O621" i="8"/>
  <c r="M621" i="8"/>
  <c r="N621" i="8"/>
  <c r="A622" i="8"/>
  <c r="G621" i="8"/>
  <c r="H621" i="8"/>
  <c r="F621" i="8"/>
  <c r="AG620" i="8" s="1"/>
  <c r="C621" i="8"/>
  <c r="B621" i="8"/>
  <c r="D621" i="8"/>
  <c r="E621" i="8" s="1"/>
  <c r="L671" i="14" l="1"/>
  <c r="N670" i="14"/>
  <c r="O670" i="14"/>
  <c r="P633" i="14"/>
  <c r="Q633" i="14"/>
  <c r="M633" i="14"/>
  <c r="H633" i="14"/>
  <c r="B633" i="14"/>
  <c r="F633" i="14"/>
  <c r="G633" i="14"/>
  <c r="P623" i="12"/>
  <c r="J624" i="12"/>
  <c r="L624" i="12" s="1"/>
  <c r="M623" i="12"/>
  <c r="N623" i="12" s="1"/>
  <c r="O623" i="12"/>
  <c r="K623" i="12"/>
  <c r="F623" i="12"/>
  <c r="D623" i="12"/>
  <c r="C623" i="12"/>
  <c r="E623" i="12"/>
  <c r="A624" i="12"/>
  <c r="G623" i="12"/>
  <c r="B623" i="12"/>
  <c r="L623" i="8"/>
  <c r="T622" i="8"/>
  <c r="R622" i="8"/>
  <c r="S622" i="8"/>
  <c r="Q622" i="8"/>
  <c r="P622" i="8"/>
  <c r="O622" i="8"/>
  <c r="M622" i="8"/>
  <c r="N622" i="8"/>
  <c r="A623" i="8"/>
  <c r="H622" i="8"/>
  <c r="G622" i="8"/>
  <c r="F622" i="8"/>
  <c r="AG621" i="8" s="1"/>
  <c r="C622" i="8"/>
  <c r="D622" i="8"/>
  <c r="E622" i="8" s="1"/>
  <c r="B622" i="8"/>
  <c r="L672" i="14" l="1"/>
  <c r="N671" i="14"/>
  <c r="O671" i="14"/>
  <c r="M634" i="14"/>
  <c r="Q634" i="14"/>
  <c r="P634" i="14"/>
  <c r="F634" i="14"/>
  <c r="H634" i="14"/>
  <c r="B634" i="14"/>
  <c r="G634" i="14"/>
  <c r="J625" i="12"/>
  <c r="L625" i="12" s="1"/>
  <c r="K624" i="12"/>
  <c r="P624" i="12"/>
  <c r="M624" i="12"/>
  <c r="N624" i="12" s="1"/>
  <c r="O624" i="12"/>
  <c r="F624" i="12"/>
  <c r="C624" i="12"/>
  <c r="D624" i="12"/>
  <c r="E624" i="12" s="1"/>
  <c r="A625" i="12"/>
  <c r="G624" i="12"/>
  <c r="B624" i="12"/>
  <c r="L624" i="8"/>
  <c r="T623" i="8"/>
  <c r="S623" i="8"/>
  <c r="R623" i="8"/>
  <c r="Q623" i="8"/>
  <c r="P623" i="8"/>
  <c r="M623" i="8"/>
  <c r="O623" i="8"/>
  <c r="N623" i="8"/>
  <c r="A624" i="8"/>
  <c r="G623" i="8"/>
  <c r="H623" i="8"/>
  <c r="F623" i="8"/>
  <c r="AG622" i="8" s="1"/>
  <c r="C623" i="8"/>
  <c r="D623" i="8"/>
  <c r="E623" i="8" s="1"/>
  <c r="B623" i="8"/>
  <c r="L673" i="14" l="1"/>
  <c r="N672" i="14"/>
  <c r="O672" i="14"/>
  <c r="P635" i="14"/>
  <c r="Q635" i="14"/>
  <c r="M635" i="14"/>
  <c r="F635" i="14"/>
  <c r="H635" i="14"/>
  <c r="G635" i="14"/>
  <c r="B635" i="14"/>
  <c r="P625" i="12"/>
  <c r="J626" i="12"/>
  <c r="L626" i="12" s="1"/>
  <c r="O625" i="12"/>
  <c r="K625" i="12"/>
  <c r="M625" i="12"/>
  <c r="N625" i="12" s="1"/>
  <c r="F625" i="12"/>
  <c r="C625" i="12"/>
  <c r="D625" i="12"/>
  <c r="E625" i="12" s="1"/>
  <c r="G625" i="12"/>
  <c r="B625" i="12"/>
  <c r="A626" i="12"/>
  <c r="L625" i="8"/>
  <c r="T624" i="8"/>
  <c r="S624" i="8"/>
  <c r="R624" i="8"/>
  <c r="Q624" i="8"/>
  <c r="P624" i="8"/>
  <c r="M624" i="8"/>
  <c r="O624" i="8"/>
  <c r="N624" i="8"/>
  <c r="A625" i="8"/>
  <c r="F624" i="8"/>
  <c r="AG623" i="8" s="1"/>
  <c r="H624" i="8"/>
  <c r="G624" i="8"/>
  <c r="D624" i="8"/>
  <c r="E624" i="8" s="1"/>
  <c r="C624" i="8"/>
  <c r="B624" i="8"/>
  <c r="L674" i="14" l="1"/>
  <c r="N673" i="14"/>
  <c r="O673" i="14"/>
  <c r="Q636" i="14"/>
  <c r="P636" i="14"/>
  <c r="M636" i="14"/>
  <c r="H636" i="14"/>
  <c r="B636" i="14"/>
  <c r="F636" i="14"/>
  <c r="G636" i="14"/>
  <c r="O626" i="12"/>
  <c r="J627" i="12"/>
  <c r="L627" i="12" s="1"/>
  <c r="M626" i="12"/>
  <c r="N626" i="12" s="1"/>
  <c r="P626" i="12"/>
  <c r="K626" i="12"/>
  <c r="F626" i="12"/>
  <c r="D626" i="12"/>
  <c r="C626" i="12"/>
  <c r="A627" i="12"/>
  <c r="B626" i="12"/>
  <c r="E626" i="12"/>
  <c r="G626" i="12"/>
  <c r="L626" i="8"/>
  <c r="T625" i="8"/>
  <c r="S625" i="8"/>
  <c r="R625" i="8"/>
  <c r="Q625" i="8"/>
  <c r="O625" i="8"/>
  <c r="P625" i="8"/>
  <c r="M625" i="8"/>
  <c r="N625" i="8"/>
  <c r="A626" i="8"/>
  <c r="H625" i="8"/>
  <c r="G625" i="8"/>
  <c r="F625" i="8"/>
  <c r="AG624" i="8" s="1"/>
  <c r="D625" i="8"/>
  <c r="E625" i="8" s="1"/>
  <c r="B625" i="8"/>
  <c r="C625" i="8"/>
  <c r="G8" i="14" l="1"/>
  <c r="G7" i="14"/>
  <c r="G9" i="14"/>
  <c r="L675" i="14"/>
  <c r="N674" i="14"/>
  <c r="O674" i="14"/>
  <c r="M637" i="14"/>
  <c r="P637" i="14"/>
  <c r="Q637" i="14"/>
  <c r="F637" i="14"/>
  <c r="G637" i="14"/>
  <c r="B637" i="14"/>
  <c r="H637" i="14"/>
  <c r="J628" i="12"/>
  <c r="L628" i="12" s="1"/>
  <c r="O627" i="12"/>
  <c r="K627" i="12"/>
  <c r="M627" i="12"/>
  <c r="N627" i="12" s="1"/>
  <c r="P627" i="12"/>
  <c r="F627" i="12"/>
  <c r="C627" i="12"/>
  <c r="D627" i="12"/>
  <c r="E627" i="12" s="1"/>
  <c r="A628" i="12"/>
  <c r="B627" i="12"/>
  <c r="G627" i="12"/>
  <c r="L627" i="8"/>
  <c r="T626" i="8"/>
  <c r="S626" i="8"/>
  <c r="R626" i="8"/>
  <c r="Q626" i="8"/>
  <c r="O626" i="8"/>
  <c r="P626" i="8"/>
  <c r="M626" i="8"/>
  <c r="N626" i="8"/>
  <c r="A627" i="8"/>
  <c r="H626" i="8"/>
  <c r="G626" i="8"/>
  <c r="F626" i="8"/>
  <c r="AG625" i="8" s="1"/>
  <c r="D626" i="8"/>
  <c r="E626" i="8" s="1"/>
  <c r="B626" i="8"/>
  <c r="C626" i="8"/>
  <c r="L676" i="14" l="1"/>
  <c r="N675" i="14"/>
  <c r="O675" i="14"/>
  <c r="Q638" i="14"/>
  <c r="M638" i="14"/>
  <c r="P638" i="14"/>
  <c r="B638" i="14"/>
  <c r="G638" i="14"/>
  <c r="F638" i="14"/>
  <c r="H638" i="14"/>
  <c r="M628" i="12"/>
  <c r="N628" i="12" s="1"/>
  <c r="J629" i="12"/>
  <c r="L629" i="12" s="1"/>
  <c r="P628" i="12"/>
  <c r="K628" i="12"/>
  <c r="O628" i="12"/>
  <c r="F628" i="12"/>
  <c r="C628" i="12"/>
  <c r="D628" i="12"/>
  <c r="G628" i="12"/>
  <c r="E628" i="12"/>
  <c r="B628" i="12"/>
  <c r="A629" i="12"/>
  <c r="L628" i="8"/>
  <c r="T627" i="8"/>
  <c r="S627" i="8"/>
  <c r="R627" i="8"/>
  <c r="Q627" i="8"/>
  <c r="O627" i="8"/>
  <c r="P627" i="8"/>
  <c r="M627" i="8"/>
  <c r="N627" i="8"/>
  <c r="A628" i="8"/>
  <c r="G627" i="8"/>
  <c r="H627" i="8"/>
  <c r="F627" i="8"/>
  <c r="AG626" i="8" s="1"/>
  <c r="D627" i="8"/>
  <c r="E627" i="8" s="1"/>
  <c r="B627" i="8"/>
  <c r="C627" i="8"/>
  <c r="L677" i="14" l="1"/>
  <c r="N676" i="14"/>
  <c r="O676" i="14"/>
  <c r="P639" i="14"/>
  <c r="M639" i="14"/>
  <c r="Q639" i="14"/>
  <c r="J630" i="12"/>
  <c r="L630" i="12" s="1"/>
  <c r="P629" i="12"/>
  <c r="K629" i="12"/>
  <c r="O629" i="12"/>
  <c r="M629" i="12"/>
  <c r="N629" i="12" s="1"/>
  <c r="F629" i="12"/>
  <c r="D629" i="12"/>
  <c r="E629" i="12" s="1"/>
  <c r="C629" i="12"/>
  <c r="G629" i="12"/>
  <c r="B629" i="12"/>
  <c r="A630" i="12"/>
  <c r="L629" i="8"/>
  <c r="T628" i="8"/>
  <c r="S628" i="8"/>
  <c r="R628" i="8"/>
  <c r="Q628" i="8"/>
  <c r="P628" i="8"/>
  <c r="O628" i="8"/>
  <c r="M628" i="8"/>
  <c r="N628" i="8"/>
  <c r="A629" i="8"/>
  <c r="G628" i="8"/>
  <c r="H628" i="8"/>
  <c r="F628" i="8"/>
  <c r="AG627" i="8" s="1"/>
  <c r="D628" i="8"/>
  <c r="E628" i="8" s="1"/>
  <c r="C628" i="8"/>
  <c r="B628" i="8"/>
  <c r="L678" i="14" l="1"/>
  <c r="N677" i="14"/>
  <c r="O677" i="14"/>
  <c r="M640" i="14"/>
  <c r="Q640" i="14"/>
  <c r="P640" i="14"/>
  <c r="J631" i="12"/>
  <c r="L631" i="12" s="1"/>
  <c r="K630" i="12"/>
  <c r="O630" i="12"/>
  <c r="M630" i="12"/>
  <c r="N630" i="12" s="1"/>
  <c r="P630" i="12"/>
  <c r="F630" i="12"/>
  <c r="C630" i="12"/>
  <c r="D630" i="12"/>
  <c r="E630" i="12" s="1"/>
  <c r="A631" i="12"/>
  <c r="G630" i="12"/>
  <c r="B630" i="12"/>
  <c r="L630" i="8"/>
  <c r="T629" i="8"/>
  <c r="S629" i="8"/>
  <c r="R629" i="8"/>
  <c r="Q629" i="8"/>
  <c r="P629" i="8"/>
  <c r="O629" i="8"/>
  <c r="M629" i="8"/>
  <c r="N629" i="8"/>
  <c r="A630" i="8"/>
  <c r="G629" i="8"/>
  <c r="H629" i="8"/>
  <c r="F629" i="8"/>
  <c r="AG628" i="8" s="1"/>
  <c r="D629" i="8"/>
  <c r="E629" i="8" s="1"/>
  <c r="C629" i="8"/>
  <c r="B629" i="8"/>
  <c r="L679" i="14" l="1"/>
  <c r="N678" i="14"/>
  <c r="O678" i="14"/>
  <c r="M641" i="14"/>
  <c r="P641" i="14"/>
  <c r="Q641" i="14"/>
  <c r="P631" i="12"/>
  <c r="K631" i="12"/>
  <c r="M631" i="12"/>
  <c r="N631" i="12" s="1"/>
  <c r="J632" i="12"/>
  <c r="L632" i="12" s="1"/>
  <c r="O631" i="12"/>
  <c r="F631" i="12"/>
  <c r="C631" i="12"/>
  <c r="D631" i="12"/>
  <c r="E631" i="12" s="1"/>
  <c r="G631" i="12"/>
  <c r="B631" i="12"/>
  <c r="A632" i="12"/>
  <c r="L631" i="8"/>
  <c r="T630" i="8"/>
  <c r="S630" i="8"/>
  <c r="R630" i="8"/>
  <c r="Q630" i="8"/>
  <c r="P630" i="8"/>
  <c r="O630" i="8"/>
  <c r="M630" i="8"/>
  <c r="N630" i="8"/>
  <c r="A631" i="8"/>
  <c r="H630" i="8"/>
  <c r="F630" i="8"/>
  <c r="AG629" i="8" s="1"/>
  <c r="G630" i="8"/>
  <c r="C630" i="8"/>
  <c r="D630" i="8"/>
  <c r="E630" i="8" s="1"/>
  <c r="B630" i="8"/>
  <c r="L680" i="14" l="1"/>
  <c r="N679" i="14"/>
  <c r="O679" i="14"/>
  <c r="M642" i="14"/>
  <c r="P642" i="14"/>
  <c r="Q642" i="14"/>
  <c r="O632" i="12"/>
  <c r="K632" i="12"/>
  <c r="P632" i="12"/>
  <c r="M632" i="12"/>
  <c r="N632" i="12" s="1"/>
  <c r="J633" i="12"/>
  <c r="L633" i="12" s="1"/>
  <c r="F632" i="12"/>
  <c r="D632" i="12"/>
  <c r="E632" i="12" s="1"/>
  <c r="C632" i="12"/>
  <c r="G632" i="12"/>
  <c r="B632" i="12"/>
  <c r="A633" i="12"/>
  <c r="L632" i="8"/>
  <c r="T631" i="8"/>
  <c r="S631" i="8"/>
  <c r="R631" i="8"/>
  <c r="Q631" i="8"/>
  <c r="P631" i="8"/>
  <c r="O631" i="8"/>
  <c r="M631" i="8"/>
  <c r="N631" i="8"/>
  <c r="A632" i="8"/>
  <c r="G631" i="8"/>
  <c r="H631" i="8"/>
  <c r="C631" i="8"/>
  <c r="F631" i="8"/>
  <c r="AG630" i="8" s="1"/>
  <c r="D631" i="8"/>
  <c r="E631" i="8" s="1"/>
  <c r="B631" i="8"/>
  <c r="L681" i="14" l="1"/>
  <c r="N680" i="14"/>
  <c r="O680" i="14"/>
  <c r="M643" i="14"/>
  <c r="Q643" i="14"/>
  <c r="P643" i="14"/>
  <c r="K633" i="12"/>
  <c r="P633" i="12"/>
  <c r="O633" i="12"/>
  <c r="M633" i="12"/>
  <c r="N633" i="12" s="1"/>
  <c r="J634" i="12"/>
  <c r="L634" i="12" s="1"/>
  <c r="F633" i="12"/>
  <c r="C633" i="12"/>
  <c r="D633" i="12"/>
  <c r="E633" i="12" s="1"/>
  <c r="A634" i="12"/>
  <c r="G633" i="12"/>
  <c r="B633" i="12"/>
  <c r="L633" i="8"/>
  <c r="T632" i="8"/>
  <c r="S632" i="8"/>
  <c r="R632" i="8"/>
  <c r="Q632" i="8"/>
  <c r="P632" i="8"/>
  <c r="O632" i="8"/>
  <c r="M632" i="8"/>
  <c r="N632" i="8"/>
  <c r="A633" i="8"/>
  <c r="H632" i="8"/>
  <c r="F632" i="8"/>
  <c r="AG631" i="8" s="1"/>
  <c r="G632" i="8"/>
  <c r="D632" i="8"/>
  <c r="E632" i="8" s="1"/>
  <c r="C632" i="8"/>
  <c r="B632" i="8"/>
  <c r="L682" i="14" l="1"/>
  <c r="N681" i="14"/>
  <c r="O681" i="14"/>
  <c r="Q644" i="14"/>
  <c r="P644" i="14"/>
  <c r="M644" i="14"/>
  <c r="M634" i="12"/>
  <c r="N634" i="12" s="1"/>
  <c r="K634" i="12"/>
  <c r="J635" i="12"/>
  <c r="L635" i="12" s="1"/>
  <c r="P634" i="12"/>
  <c r="O634" i="12"/>
  <c r="F634" i="12"/>
  <c r="C634" i="12"/>
  <c r="D634" i="12"/>
  <c r="E634" i="12" s="1"/>
  <c r="G634" i="12"/>
  <c r="B634" i="12"/>
  <c r="A635" i="12"/>
  <c r="L634" i="8"/>
  <c r="T633" i="8"/>
  <c r="S633" i="8"/>
  <c r="R633" i="8"/>
  <c r="Q633" i="8"/>
  <c r="O633" i="8"/>
  <c r="P633" i="8"/>
  <c r="M633" i="8"/>
  <c r="N633" i="8"/>
  <c r="A634" i="8"/>
  <c r="G633" i="8"/>
  <c r="H633" i="8"/>
  <c r="F633" i="8"/>
  <c r="AG632" i="8" s="1"/>
  <c r="D633" i="8"/>
  <c r="E633" i="8" s="1"/>
  <c r="B633" i="8"/>
  <c r="C633" i="8"/>
  <c r="L683" i="14" l="1"/>
  <c r="N682" i="14"/>
  <c r="O682" i="14"/>
  <c r="P645" i="14"/>
  <c r="M645" i="14"/>
  <c r="Q645" i="14"/>
  <c r="K635" i="12"/>
  <c r="O635" i="12"/>
  <c r="P635" i="12"/>
  <c r="M635" i="12"/>
  <c r="N635" i="12" s="1"/>
  <c r="J636" i="12"/>
  <c r="L636" i="12" s="1"/>
  <c r="F635" i="12"/>
  <c r="D635" i="12"/>
  <c r="E635" i="12" s="1"/>
  <c r="C635" i="12"/>
  <c r="A636" i="12"/>
  <c r="B635" i="12"/>
  <c r="G635" i="12"/>
  <c r="L635" i="8"/>
  <c r="T634" i="8"/>
  <c r="S634" i="8"/>
  <c r="R634" i="8"/>
  <c r="Q634" i="8"/>
  <c r="O634" i="8"/>
  <c r="P634" i="8"/>
  <c r="M634" i="8"/>
  <c r="N634" i="8"/>
  <c r="A635" i="8"/>
  <c r="H634" i="8"/>
  <c r="G634" i="8"/>
  <c r="F634" i="8"/>
  <c r="AG633" i="8" s="1"/>
  <c r="D634" i="8"/>
  <c r="E634" i="8" s="1"/>
  <c r="C634" i="8"/>
  <c r="B634" i="8"/>
  <c r="L684" i="14" l="1"/>
  <c r="N683" i="14"/>
  <c r="O683" i="14"/>
  <c r="M646" i="14"/>
  <c r="P646" i="14"/>
  <c r="Q646" i="14"/>
  <c r="J637" i="12"/>
  <c r="L637" i="12" s="1"/>
  <c r="K636" i="12"/>
  <c r="M636" i="12"/>
  <c r="N636" i="12" s="1"/>
  <c r="P636" i="12"/>
  <c r="O636" i="12"/>
  <c r="F636" i="12"/>
  <c r="C636" i="12"/>
  <c r="D636" i="12"/>
  <c r="A637" i="12"/>
  <c r="E636" i="12"/>
  <c r="B636" i="12"/>
  <c r="G636" i="12"/>
  <c r="L636" i="8"/>
  <c r="T635" i="8"/>
  <c r="R635" i="8"/>
  <c r="S635" i="8"/>
  <c r="Q635" i="8"/>
  <c r="O635" i="8"/>
  <c r="P635" i="8"/>
  <c r="M635" i="8"/>
  <c r="N635" i="8"/>
  <c r="A636" i="8"/>
  <c r="G635" i="8"/>
  <c r="H635" i="8"/>
  <c r="F635" i="8"/>
  <c r="AG634" i="8" s="1"/>
  <c r="C635" i="8"/>
  <c r="D635" i="8"/>
  <c r="E635" i="8" s="1"/>
  <c r="B635" i="8"/>
  <c r="L685" i="14" l="1"/>
  <c r="N684" i="14"/>
  <c r="O684" i="14"/>
  <c r="P647" i="14"/>
  <c r="Q647" i="14"/>
  <c r="M647" i="14"/>
  <c r="P637" i="12"/>
  <c r="M637" i="12"/>
  <c r="N637" i="12" s="1"/>
  <c r="J638" i="12"/>
  <c r="L638" i="12" s="1"/>
  <c r="O637" i="12"/>
  <c r="K637" i="12"/>
  <c r="F637" i="12"/>
  <c r="C637" i="12"/>
  <c r="D637" i="12"/>
  <c r="E637" i="12" s="1"/>
  <c r="G637" i="12"/>
  <c r="B637" i="12"/>
  <c r="A638" i="12"/>
  <c r="L637" i="8"/>
  <c r="T636" i="8"/>
  <c r="R636" i="8"/>
  <c r="S636" i="8"/>
  <c r="Q636" i="8"/>
  <c r="O636" i="8"/>
  <c r="P636" i="8"/>
  <c r="M636" i="8"/>
  <c r="N636" i="8"/>
  <c r="A637" i="8"/>
  <c r="H636" i="8"/>
  <c r="G636" i="8"/>
  <c r="F636" i="8"/>
  <c r="AG635" i="8" s="1"/>
  <c r="C636" i="8"/>
  <c r="D636" i="8"/>
  <c r="E636" i="8" s="1"/>
  <c r="B636" i="8"/>
  <c r="L686" i="14" l="1"/>
  <c r="N685" i="14"/>
  <c r="O685" i="14"/>
  <c r="Q648" i="14"/>
  <c r="M648" i="14"/>
  <c r="P648" i="14"/>
  <c r="O638" i="12"/>
  <c r="P638" i="12"/>
  <c r="K638" i="12"/>
  <c r="M638" i="12"/>
  <c r="N638" i="12" s="1"/>
  <c r="J639" i="12"/>
  <c r="L639" i="12" s="1"/>
  <c r="F638" i="12"/>
  <c r="D638" i="12"/>
  <c r="E638" i="12" s="1"/>
  <c r="C638" i="12"/>
  <c r="G638" i="12"/>
  <c r="B638" i="12"/>
  <c r="A639" i="12"/>
  <c r="L638" i="8"/>
  <c r="T637" i="8"/>
  <c r="S637" i="8"/>
  <c r="R637" i="8"/>
  <c r="Q637" i="8"/>
  <c r="P637" i="8"/>
  <c r="O637" i="8"/>
  <c r="M637" i="8"/>
  <c r="N637" i="8"/>
  <c r="A638" i="8"/>
  <c r="H637" i="8"/>
  <c r="G637" i="8"/>
  <c r="F637" i="8"/>
  <c r="AG636" i="8" s="1"/>
  <c r="C637" i="8"/>
  <c r="D637" i="8"/>
  <c r="E637" i="8" s="1"/>
  <c r="B637" i="8"/>
  <c r="L687" i="14" l="1"/>
  <c r="N686" i="14"/>
  <c r="O686" i="14"/>
  <c r="M649" i="14"/>
  <c r="P649" i="14"/>
  <c r="Q649" i="14"/>
  <c r="J640" i="12"/>
  <c r="L640" i="12" s="1"/>
  <c r="M639" i="12"/>
  <c r="N639" i="12" s="1"/>
  <c r="K639" i="12"/>
  <c r="P639" i="12"/>
  <c r="O639" i="12"/>
  <c r="F639" i="12"/>
  <c r="D639" i="12"/>
  <c r="E639" i="12" s="1"/>
  <c r="C639" i="12"/>
  <c r="A640" i="12"/>
  <c r="B639" i="12"/>
  <c r="G639" i="12"/>
  <c r="L639" i="8"/>
  <c r="T638" i="8"/>
  <c r="S638" i="8"/>
  <c r="R638" i="8"/>
  <c r="Q638" i="8"/>
  <c r="P638" i="8"/>
  <c r="O638" i="8"/>
  <c r="M638" i="8"/>
  <c r="N638" i="8"/>
  <c r="A639" i="8"/>
  <c r="H638" i="8"/>
  <c r="G638" i="8"/>
  <c r="F638" i="8"/>
  <c r="AG637" i="8" s="1"/>
  <c r="C638" i="8"/>
  <c r="D638" i="8"/>
  <c r="E638" i="8" s="1"/>
  <c r="B638" i="8"/>
  <c r="L688" i="14" l="1"/>
  <c r="N687" i="14"/>
  <c r="O687" i="14"/>
  <c r="Q650" i="14"/>
  <c r="M650" i="14"/>
  <c r="P650" i="14"/>
  <c r="M640" i="12"/>
  <c r="N640" i="12" s="1"/>
  <c r="O640" i="12"/>
  <c r="J641" i="12"/>
  <c r="L641" i="12" s="1"/>
  <c r="K640" i="12"/>
  <c r="P640" i="12"/>
  <c r="F640" i="12"/>
  <c r="D640" i="12"/>
  <c r="E640" i="12" s="1"/>
  <c r="C640" i="12"/>
  <c r="G640" i="12"/>
  <c r="B640" i="12"/>
  <c r="A641" i="12"/>
  <c r="L640" i="8"/>
  <c r="T639" i="8"/>
  <c r="S639" i="8"/>
  <c r="R639" i="8"/>
  <c r="Q639" i="8"/>
  <c r="P639" i="8"/>
  <c r="M639" i="8"/>
  <c r="O639" i="8"/>
  <c r="N639" i="8"/>
  <c r="A640" i="8"/>
  <c r="G639" i="8"/>
  <c r="H639" i="8"/>
  <c r="F639" i="8"/>
  <c r="AG638" i="8" s="1"/>
  <c r="C639" i="8"/>
  <c r="B639" i="8"/>
  <c r="D639" i="8"/>
  <c r="E639" i="8" s="1"/>
  <c r="L689" i="14" l="1"/>
  <c r="N688" i="14"/>
  <c r="O688" i="14"/>
  <c r="P651" i="14"/>
  <c r="Q651" i="14"/>
  <c r="M651" i="14"/>
  <c r="M641" i="12"/>
  <c r="N641" i="12" s="1"/>
  <c r="K641" i="12"/>
  <c r="P641" i="12"/>
  <c r="O641" i="12"/>
  <c r="J642" i="12"/>
  <c r="L642" i="12" s="1"/>
  <c r="F641" i="12"/>
  <c r="D641" i="12"/>
  <c r="E641" i="12" s="1"/>
  <c r="C641" i="12"/>
  <c r="A642" i="12"/>
  <c r="B641" i="12"/>
  <c r="G641" i="12"/>
  <c r="L641" i="8"/>
  <c r="T640" i="8"/>
  <c r="S640" i="8"/>
  <c r="R640" i="8"/>
  <c r="Q640" i="8"/>
  <c r="P640" i="8"/>
  <c r="M640" i="8"/>
  <c r="O640" i="8"/>
  <c r="N640" i="8"/>
  <c r="A641" i="8"/>
  <c r="G640" i="8"/>
  <c r="H640" i="8"/>
  <c r="F640" i="8"/>
  <c r="AG639" i="8" s="1"/>
  <c r="D640" i="8"/>
  <c r="E640" i="8" s="1"/>
  <c r="C640" i="8"/>
  <c r="B640" i="8"/>
  <c r="L690" i="14" l="1"/>
  <c r="N689" i="14"/>
  <c r="O689" i="14"/>
  <c r="P652" i="14"/>
  <c r="Q652" i="14"/>
  <c r="M652" i="14"/>
  <c r="J643" i="12"/>
  <c r="L643" i="12" s="1"/>
  <c r="K642" i="12"/>
  <c r="M642" i="12"/>
  <c r="N642" i="12" s="1"/>
  <c r="P642" i="12"/>
  <c r="O642" i="12"/>
  <c r="F642" i="12"/>
  <c r="C642" i="12"/>
  <c r="D642" i="12"/>
  <c r="E642" i="12" s="1"/>
  <c r="A643" i="12"/>
  <c r="B642" i="12"/>
  <c r="G642" i="12"/>
  <c r="L642" i="8"/>
  <c r="T641" i="8"/>
  <c r="S641" i="8"/>
  <c r="R641" i="8"/>
  <c r="Q641" i="8"/>
  <c r="O641" i="8"/>
  <c r="P641" i="8"/>
  <c r="M641" i="8"/>
  <c r="N641" i="8"/>
  <c r="A642" i="8"/>
  <c r="G641" i="8"/>
  <c r="H641" i="8"/>
  <c r="F641" i="8"/>
  <c r="AG640" i="8" s="1"/>
  <c r="D641" i="8"/>
  <c r="E641" i="8" s="1"/>
  <c r="B641" i="8"/>
  <c r="C641" i="8"/>
  <c r="L691" i="14" l="1"/>
  <c r="N690" i="14"/>
  <c r="O690" i="14"/>
  <c r="Q653" i="14"/>
  <c r="M653" i="14"/>
  <c r="P653" i="14"/>
  <c r="P643" i="12"/>
  <c r="M643" i="12"/>
  <c r="N643" i="12" s="1"/>
  <c r="O643" i="12"/>
  <c r="K643" i="12"/>
  <c r="J644" i="12"/>
  <c r="L644" i="12" s="1"/>
  <c r="F643" i="12"/>
  <c r="C643" i="12"/>
  <c r="D643" i="12"/>
  <c r="E643" i="12" s="1"/>
  <c r="G643" i="12"/>
  <c r="B643" i="12"/>
  <c r="A644" i="12"/>
  <c r="L643" i="8"/>
  <c r="T642" i="8"/>
  <c r="S642" i="8"/>
  <c r="R642" i="8"/>
  <c r="Q642" i="8"/>
  <c r="O642" i="8"/>
  <c r="P642" i="8"/>
  <c r="M642" i="8"/>
  <c r="N642" i="8"/>
  <c r="A643" i="8"/>
  <c r="H642" i="8"/>
  <c r="G642" i="8"/>
  <c r="F642" i="8"/>
  <c r="AG641" i="8" s="1"/>
  <c r="D642" i="8"/>
  <c r="E642" i="8" s="1"/>
  <c r="B642" i="8"/>
  <c r="C642" i="8"/>
  <c r="L692" i="14" l="1"/>
  <c r="N691" i="14"/>
  <c r="O691" i="14"/>
  <c r="Q654" i="14"/>
  <c r="M654" i="14"/>
  <c r="P654" i="14"/>
  <c r="O644" i="12"/>
  <c r="M644" i="12"/>
  <c r="N644" i="12" s="1"/>
  <c r="J645" i="12"/>
  <c r="L645" i="12" s="1"/>
  <c r="P644" i="12"/>
  <c r="K644" i="12"/>
  <c r="F644" i="12"/>
  <c r="C644" i="12"/>
  <c r="D644" i="12"/>
  <c r="E644" i="12" s="1"/>
  <c r="G644" i="12"/>
  <c r="A645" i="12"/>
  <c r="B644" i="12"/>
  <c r="L644" i="8"/>
  <c r="T643" i="8"/>
  <c r="S643" i="8"/>
  <c r="R643" i="8"/>
  <c r="Q643" i="8"/>
  <c r="O643" i="8"/>
  <c r="P643" i="8"/>
  <c r="M643" i="8"/>
  <c r="N643" i="8"/>
  <c r="A644" i="8"/>
  <c r="G643" i="8"/>
  <c r="H643" i="8"/>
  <c r="F643" i="8"/>
  <c r="AG642" i="8" s="1"/>
  <c r="D643" i="8"/>
  <c r="E643" i="8" s="1"/>
  <c r="B643" i="8"/>
  <c r="C643" i="8"/>
  <c r="L693" i="14" l="1"/>
  <c r="N692" i="14"/>
  <c r="O692" i="14"/>
  <c r="M655" i="14"/>
  <c r="Q655" i="14"/>
  <c r="P655" i="14"/>
  <c r="M645" i="12"/>
  <c r="N645" i="12" s="1"/>
  <c r="O645" i="12"/>
  <c r="J646" i="12"/>
  <c r="L646" i="12" s="1"/>
  <c r="P645" i="12"/>
  <c r="K645" i="12"/>
  <c r="F645" i="12"/>
  <c r="D645" i="12"/>
  <c r="E645" i="12" s="1"/>
  <c r="C645" i="12"/>
  <c r="A646" i="12"/>
  <c r="G645" i="12"/>
  <c r="B645" i="12"/>
  <c r="L645" i="8"/>
  <c r="T644" i="8"/>
  <c r="R644" i="8"/>
  <c r="S644" i="8"/>
  <c r="Q644" i="8"/>
  <c r="O644" i="8"/>
  <c r="P644" i="8"/>
  <c r="M644" i="8"/>
  <c r="N644" i="8"/>
  <c r="A645" i="8"/>
  <c r="G644" i="8"/>
  <c r="H644" i="8"/>
  <c r="F644" i="8"/>
  <c r="AG643" i="8" s="1"/>
  <c r="D644" i="8"/>
  <c r="E644" i="8" s="1"/>
  <c r="C644" i="8"/>
  <c r="B644" i="8"/>
  <c r="L694" i="14" l="1"/>
  <c r="N693" i="14"/>
  <c r="O693" i="14"/>
  <c r="Q656" i="14"/>
  <c r="P656" i="14"/>
  <c r="M656" i="14"/>
  <c r="M646" i="12"/>
  <c r="N646" i="12" s="1"/>
  <c r="K646" i="12"/>
  <c r="P646" i="12"/>
  <c r="O646" i="12"/>
  <c r="J647" i="12"/>
  <c r="L647" i="12" s="1"/>
  <c r="F646" i="12"/>
  <c r="D646" i="12"/>
  <c r="E646" i="12" s="1"/>
  <c r="C646" i="12"/>
  <c r="G646" i="12"/>
  <c r="B646" i="12"/>
  <c r="A647" i="12"/>
  <c r="L646" i="8"/>
  <c r="T645" i="8"/>
  <c r="R645" i="8"/>
  <c r="S645" i="8"/>
  <c r="Q645" i="8"/>
  <c r="O645" i="8"/>
  <c r="P645" i="8"/>
  <c r="M645" i="8"/>
  <c r="N645" i="8"/>
  <c r="A646" i="8"/>
  <c r="H645" i="8"/>
  <c r="G645" i="8"/>
  <c r="F645" i="8"/>
  <c r="AG644" i="8" s="1"/>
  <c r="D645" i="8"/>
  <c r="E645" i="8" s="1"/>
  <c r="C645" i="8"/>
  <c r="B645" i="8"/>
  <c r="L695" i="14" l="1"/>
  <c r="N694" i="14"/>
  <c r="O694" i="14"/>
  <c r="P657" i="14"/>
  <c r="M657" i="14"/>
  <c r="Q657" i="14"/>
  <c r="M647" i="12"/>
  <c r="N647" i="12" s="1"/>
  <c r="J648" i="12"/>
  <c r="L648" i="12" s="1"/>
  <c r="P647" i="12"/>
  <c r="K647" i="12"/>
  <c r="O647" i="12"/>
  <c r="F647" i="12"/>
  <c r="D647" i="12"/>
  <c r="E647" i="12" s="1"/>
  <c r="C647" i="12"/>
  <c r="G647" i="12"/>
  <c r="A648" i="12"/>
  <c r="B647" i="12"/>
  <c r="L647" i="8"/>
  <c r="T646" i="8"/>
  <c r="S646" i="8"/>
  <c r="R646" i="8"/>
  <c r="Q646" i="8"/>
  <c r="P646" i="8"/>
  <c r="O646" i="8"/>
  <c r="M646" i="8"/>
  <c r="N646" i="8"/>
  <c r="A647" i="8"/>
  <c r="H646" i="8"/>
  <c r="G646" i="8"/>
  <c r="F646" i="8"/>
  <c r="AG645" i="8" s="1"/>
  <c r="C646" i="8"/>
  <c r="D646" i="8"/>
  <c r="E646" i="8" s="1"/>
  <c r="B646" i="8"/>
  <c r="L696" i="14" l="1"/>
  <c r="N695" i="14"/>
  <c r="O695" i="14"/>
  <c r="P658" i="14"/>
  <c r="Q658" i="14"/>
  <c r="M658" i="14"/>
  <c r="J649" i="12"/>
  <c r="L649" i="12" s="1"/>
  <c r="K648" i="12"/>
  <c r="O648" i="12"/>
  <c r="M648" i="12"/>
  <c r="N648" i="12" s="1"/>
  <c r="P648" i="12"/>
  <c r="F648" i="12"/>
  <c r="C648" i="12"/>
  <c r="D648" i="12"/>
  <c r="E648" i="12" s="1"/>
  <c r="A649" i="12"/>
  <c r="B648" i="12"/>
  <c r="G648" i="12"/>
  <c r="L648" i="8"/>
  <c r="T647" i="8"/>
  <c r="S647" i="8"/>
  <c r="R647" i="8"/>
  <c r="Q647" i="8"/>
  <c r="P647" i="8"/>
  <c r="M647" i="8"/>
  <c r="O647" i="8"/>
  <c r="N647" i="8"/>
  <c r="A648" i="8"/>
  <c r="G647" i="8"/>
  <c r="H647" i="8"/>
  <c r="C647" i="8"/>
  <c r="F647" i="8"/>
  <c r="AG646" i="8" s="1"/>
  <c r="D647" i="8"/>
  <c r="E647" i="8" s="1"/>
  <c r="B647" i="8"/>
  <c r="L697" i="14" l="1"/>
  <c r="N696" i="14"/>
  <c r="O696" i="14"/>
  <c r="P659" i="14"/>
  <c r="M659" i="14"/>
  <c r="Q659" i="14"/>
  <c r="P649" i="12"/>
  <c r="J650" i="12"/>
  <c r="L650" i="12" s="1"/>
  <c r="K649" i="12"/>
  <c r="M649" i="12"/>
  <c r="N649" i="12" s="1"/>
  <c r="O649" i="12"/>
  <c r="F649" i="12"/>
  <c r="C649" i="12"/>
  <c r="D649" i="12"/>
  <c r="G649" i="12"/>
  <c r="E649" i="12"/>
  <c r="A650" i="12"/>
  <c r="B649" i="12"/>
  <c r="L649" i="8"/>
  <c r="T648" i="8"/>
  <c r="S648" i="8"/>
  <c r="R648" i="8"/>
  <c r="Q648" i="8"/>
  <c r="P648" i="8"/>
  <c r="M648" i="8"/>
  <c r="O648" i="8"/>
  <c r="N648" i="8"/>
  <c r="A649" i="8"/>
  <c r="G648" i="8"/>
  <c r="F648" i="8"/>
  <c r="AG647" i="8" s="1"/>
  <c r="H648" i="8"/>
  <c r="D648" i="8"/>
  <c r="E648" i="8" s="1"/>
  <c r="C648" i="8"/>
  <c r="B648" i="8"/>
  <c r="L698" i="14" l="1"/>
  <c r="N697" i="14"/>
  <c r="O697" i="14"/>
  <c r="P660" i="14"/>
  <c r="Q660" i="14"/>
  <c r="M660" i="14"/>
  <c r="O650" i="12"/>
  <c r="P650" i="12"/>
  <c r="M650" i="12"/>
  <c r="N650" i="12" s="1"/>
  <c r="J651" i="12"/>
  <c r="L651" i="12" s="1"/>
  <c r="K650" i="12"/>
  <c r="F650" i="12"/>
  <c r="C650" i="12"/>
  <c r="D650" i="12"/>
  <c r="E650" i="12" s="1"/>
  <c r="A651" i="12"/>
  <c r="B650" i="12"/>
  <c r="G650" i="12"/>
  <c r="L650" i="8"/>
  <c r="T649" i="8"/>
  <c r="S649" i="8"/>
  <c r="R649" i="8"/>
  <c r="Q649" i="8"/>
  <c r="P649" i="8"/>
  <c r="O649" i="8"/>
  <c r="M649" i="8"/>
  <c r="N649" i="8"/>
  <c r="A650" i="8"/>
  <c r="F649" i="8"/>
  <c r="AG648" i="8" s="1"/>
  <c r="H649" i="8"/>
  <c r="G649" i="8"/>
  <c r="D649" i="8"/>
  <c r="E649" i="8" s="1"/>
  <c r="C649" i="8"/>
  <c r="B649" i="8"/>
  <c r="L699" i="14" l="1"/>
  <c r="N698" i="14"/>
  <c r="O698" i="14"/>
  <c r="M661" i="14"/>
  <c r="P661" i="14"/>
  <c r="Q661" i="14"/>
  <c r="O651" i="12"/>
  <c r="M651" i="12"/>
  <c r="N651" i="12" s="1"/>
  <c r="P651" i="12"/>
  <c r="J652" i="12"/>
  <c r="L652" i="12" s="1"/>
  <c r="K651" i="12"/>
  <c r="F651" i="12"/>
  <c r="C651" i="12"/>
  <c r="D651" i="12"/>
  <c r="E651" i="12" s="1"/>
  <c r="A652" i="12"/>
  <c r="B651" i="12"/>
  <c r="G651" i="12"/>
  <c r="L651" i="8"/>
  <c r="T650" i="8"/>
  <c r="S650" i="8"/>
  <c r="R650" i="8"/>
  <c r="Q650" i="8"/>
  <c r="P650" i="8"/>
  <c r="O650" i="8"/>
  <c r="M650" i="8"/>
  <c r="N650" i="8"/>
  <c r="A651" i="8"/>
  <c r="H650" i="8"/>
  <c r="G650" i="8"/>
  <c r="F650" i="8"/>
  <c r="AG649" i="8" s="1"/>
  <c r="D650" i="8"/>
  <c r="E650" i="8" s="1"/>
  <c r="C650" i="8"/>
  <c r="B650" i="8"/>
  <c r="L700" i="14" l="1"/>
  <c r="N699" i="14"/>
  <c r="O699" i="14"/>
  <c r="Q662" i="14"/>
  <c r="P662" i="14"/>
  <c r="M662" i="14"/>
  <c r="M652" i="12"/>
  <c r="N652" i="12" s="1"/>
  <c r="O652" i="12"/>
  <c r="J653" i="12"/>
  <c r="L653" i="12" s="1"/>
  <c r="K652" i="12"/>
  <c r="P652" i="12"/>
  <c r="F652" i="12"/>
  <c r="C652" i="12"/>
  <c r="D652" i="12"/>
  <c r="E652" i="12" s="1"/>
  <c r="G652" i="12"/>
  <c r="A653" i="12"/>
  <c r="B652" i="12"/>
  <c r="L652" i="8"/>
  <c r="T651" i="8"/>
  <c r="S651" i="8"/>
  <c r="R651" i="8"/>
  <c r="Q651" i="8"/>
  <c r="P651" i="8"/>
  <c r="O651" i="8"/>
  <c r="M651" i="8"/>
  <c r="N651" i="8"/>
  <c r="A652" i="8"/>
  <c r="G651" i="8"/>
  <c r="H651" i="8"/>
  <c r="D651" i="8"/>
  <c r="E651" i="8" s="1"/>
  <c r="F651" i="8"/>
  <c r="AG650" i="8" s="1"/>
  <c r="C651" i="8"/>
  <c r="B651" i="8"/>
  <c r="L701" i="14" l="1"/>
  <c r="N700" i="14"/>
  <c r="O700" i="14"/>
  <c r="P663" i="14"/>
  <c r="Q663" i="14"/>
  <c r="M663" i="14"/>
  <c r="M653" i="12"/>
  <c r="N653" i="12" s="1"/>
  <c r="O653" i="12"/>
  <c r="P653" i="12"/>
  <c r="J654" i="12"/>
  <c r="L654" i="12" s="1"/>
  <c r="K653" i="12"/>
  <c r="F653" i="12"/>
  <c r="D653" i="12"/>
  <c r="E653" i="12" s="1"/>
  <c r="C653" i="12"/>
  <c r="G653" i="12"/>
  <c r="A654" i="12"/>
  <c r="B653" i="12"/>
  <c r="L653" i="8"/>
  <c r="T652" i="8"/>
  <c r="S652" i="8"/>
  <c r="R652" i="8"/>
  <c r="Q652" i="8"/>
  <c r="P652" i="8"/>
  <c r="O652" i="8"/>
  <c r="M652" i="8"/>
  <c r="N652" i="8"/>
  <c r="A653" i="8"/>
  <c r="H652" i="8"/>
  <c r="G652" i="8"/>
  <c r="F652" i="8"/>
  <c r="AG651" i="8" s="1"/>
  <c r="D652" i="8"/>
  <c r="E652" i="8" s="1"/>
  <c r="C652" i="8"/>
  <c r="B652" i="8"/>
  <c r="L702" i="14" l="1"/>
  <c r="N701" i="14"/>
  <c r="O701" i="14"/>
  <c r="Q664" i="14"/>
  <c r="M664" i="14"/>
  <c r="P664" i="14"/>
  <c r="J655" i="12"/>
  <c r="L655" i="12" s="1"/>
  <c r="K654" i="12"/>
  <c r="M654" i="12"/>
  <c r="N654" i="12" s="1"/>
  <c r="O654" i="12"/>
  <c r="P654" i="12"/>
  <c r="F654" i="12"/>
  <c r="D654" i="12"/>
  <c r="E654" i="12" s="1"/>
  <c r="C654" i="12"/>
  <c r="A655" i="12"/>
  <c r="B654" i="12"/>
  <c r="G654" i="12"/>
  <c r="L654" i="8"/>
  <c r="T653" i="8"/>
  <c r="S653" i="8"/>
  <c r="R653" i="8"/>
  <c r="Q653" i="8"/>
  <c r="P653" i="8"/>
  <c r="O653" i="8"/>
  <c r="M653" i="8"/>
  <c r="N653" i="8"/>
  <c r="A654" i="8"/>
  <c r="G653" i="8"/>
  <c r="H653" i="8"/>
  <c r="F653" i="8"/>
  <c r="AG652" i="8" s="1"/>
  <c r="D653" i="8"/>
  <c r="E653" i="8" s="1"/>
  <c r="B653" i="8"/>
  <c r="C653" i="8"/>
  <c r="L703" i="14" l="1"/>
  <c r="N702" i="14"/>
  <c r="O702" i="14"/>
  <c r="Q665" i="14"/>
  <c r="P665" i="14"/>
  <c r="M665" i="14"/>
  <c r="P655" i="12"/>
  <c r="M655" i="12"/>
  <c r="N655" i="12" s="1"/>
  <c r="O655" i="12"/>
  <c r="K655" i="12"/>
  <c r="J656" i="12"/>
  <c r="L656" i="12" s="1"/>
  <c r="F655" i="12"/>
  <c r="C655" i="12"/>
  <c r="D655" i="12"/>
  <c r="E655" i="12" s="1"/>
  <c r="G655" i="12"/>
  <c r="A656" i="12"/>
  <c r="B655" i="12"/>
  <c r="L655" i="8"/>
  <c r="T654" i="8"/>
  <c r="S654" i="8"/>
  <c r="R654" i="8"/>
  <c r="Q654" i="8"/>
  <c r="P654" i="8"/>
  <c r="O654" i="8"/>
  <c r="M654" i="8"/>
  <c r="N654" i="8"/>
  <c r="A655" i="8"/>
  <c r="H654" i="8"/>
  <c r="G654" i="8"/>
  <c r="F654" i="8"/>
  <c r="AG653" i="8" s="1"/>
  <c r="D654" i="8"/>
  <c r="E654" i="8" s="1"/>
  <c r="C654" i="8"/>
  <c r="B654" i="8"/>
  <c r="L704" i="14" l="1"/>
  <c r="N703" i="14"/>
  <c r="O703" i="14"/>
  <c r="Q666" i="14"/>
  <c r="M666" i="14"/>
  <c r="P666" i="14"/>
  <c r="O656" i="12"/>
  <c r="M656" i="12"/>
  <c r="N656" i="12" s="1"/>
  <c r="P656" i="12"/>
  <c r="K656" i="12"/>
  <c r="J657" i="12"/>
  <c r="L657" i="12" s="1"/>
  <c r="F656" i="12"/>
  <c r="C656" i="12"/>
  <c r="D656" i="12"/>
  <c r="E656" i="12" s="1"/>
  <c r="G656" i="12"/>
  <c r="B656" i="12"/>
  <c r="A657" i="12"/>
  <c r="L656" i="8"/>
  <c r="S655" i="8"/>
  <c r="T655" i="8"/>
  <c r="R655" i="8"/>
  <c r="Q655" i="8"/>
  <c r="P655" i="8"/>
  <c r="M655" i="8"/>
  <c r="O655" i="8"/>
  <c r="N655" i="8"/>
  <c r="A656" i="8"/>
  <c r="G655" i="8"/>
  <c r="H655" i="8"/>
  <c r="F655" i="8"/>
  <c r="AG654" i="8" s="1"/>
  <c r="D655" i="8"/>
  <c r="E655" i="8" s="1"/>
  <c r="C655" i="8"/>
  <c r="B655" i="8"/>
  <c r="L705" i="14" l="1"/>
  <c r="N704" i="14"/>
  <c r="O704" i="14"/>
  <c r="M667" i="14"/>
  <c r="Q667" i="14"/>
  <c r="P667" i="14"/>
  <c r="M657" i="12"/>
  <c r="N657" i="12" s="1"/>
  <c r="P657" i="12"/>
  <c r="O657" i="12"/>
  <c r="K657" i="12"/>
  <c r="J658" i="12"/>
  <c r="L658" i="12" s="1"/>
  <c r="F657" i="12"/>
  <c r="C657" i="12"/>
  <c r="D657" i="12"/>
  <c r="E657" i="12" s="1"/>
  <c r="A658" i="12"/>
  <c r="G657" i="12"/>
  <c r="B657" i="12"/>
  <c r="L657" i="8"/>
  <c r="T656" i="8"/>
  <c r="S656" i="8"/>
  <c r="R656" i="8"/>
  <c r="Q656" i="8"/>
  <c r="P656" i="8"/>
  <c r="M656" i="8"/>
  <c r="O656" i="8"/>
  <c r="N656" i="8"/>
  <c r="A657" i="8"/>
  <c r="F656" i="8"/>
  <c r="AG655" i="8" s="1"/>
  <c r="G656" i="8"/>
  <c r="H656" i="8"/>
  <c r="D656" i="8"/>
  <c r="E656" i="8" s="1"/>
  <c r="C656" i="8"/>
  <c r="B656" i="8"/>
  <c r="L706" i="14" l="1"/>
  <c r="N705" i="14"/>
  <c r="O705" i="14"/>
  <c r="Q668" i="14"/>
  <c r="P668" i="14"/>
  <c r="M668" i="14"/>
  <c r="M658" i="12"/>
  <c r="N658" i="12" s="1"/>
  <c r="P658" i="12"/>
  <c r="O658" i="12"/>
  <c r="K658" i="12"/>
  <c r="J659" i="12"/>
  <c r="L659" i="12" s="1"/>
  <c r="F658" i="12"/>
  <c r="C658" i="12"/>
  <c r="D658" i="12"/>
  <c r="E658" i="12" s="1"/>
  <c r="G658" i="12"/>
  <c r="A659" i="12"/>
  <c r="B658" i="12"/>
  <c r="L658" i="8"/>
  <c r="T657" i="8"/>
  <c r="S657" i="8"/>
  <c r="R657" i="8"/>
  <c r="Q657" i="8"/>
  <c r="P657" i="8"/>
  <c r="O657" i="8"/>
  <c r="M657" i="8"/>
  <c r="N657" i="8"/>
  <c r="A658" i="8"/>
  <c r="H657" i="8"/>
  <c r="F657" i="8"/>
  <c r="AG656" i="8" s="1"/>
  <c r="G657" i="8"/>
  <c r="D657" i="8"/>
  <c r="E657" i="8" s="1"/>
  <c r="B657" i="8"/>
  <c r="C657" i="8"/>
  <c r="L707" i="14" l="1"/>
  <c r="N706" i="14"/>
  <c r="O706" i="14"/>
  <c r="P669" i="14"/>
  <c r="Q669" i="14"/>
  <c r="M669" i="14"/>
  <c r="P659" i="12"/>
  <c r="K659" i="12"/>
  <c r="J660" i="12"/>
  <c r="L660" i="12" s="1"/>
  <c r="O659" i="12"/>
  <c r="M659" i="12"/>
  <c r="N659" i="12" s="1"/>
  <c r="F659" i="12"/>
  <c r="D659" i="12"/>
  <c r="E659" i="12" s="1"/>
  <c r="C659" i="12"/>
  <c r="G659" i="12"/>
  <c r="A660" i="12"/>
  <c r="B659" i="12"/>
  <c r="L659" i="8"/>
  <c r="T658" i="8"/>
  <c r="S658" i="8"/>
  <c r="R658" i="8"/>
  <c r="Q658" i="8"/>
  <c r="P658" i="8"/>
  <c r="O658" i="8"/>
  <c r="M658" i="8"/>
  <c r="N658" i="8"/>
  <c r="A659" i="8"/>
  <c r="H658" i="8"/>
  <c r="G658" i="8"/>
  <c r="F658" i="8"/>
  <c r="AG657" i="8" s="1"/>
  <c r="D658" i="8"/>
  <c r="E658" i="8" s="1"/>
  <c r="B658" i="8"/>
  <c r="C658" i="8"/>
  <c r="L708" i="14" l="1"/>
  <c r="N707" i="14"/>
  <c r="O707" i="14"/>
  <c r="Q670" i="14"/>
  <c r="P670" i="14"/>
  <c r="M670" i="14"/>
  <c r="J661" i="12"/>
  <c r="L661" i="12" s="1"/>
  <c r="K660" i="12"/>
  <c r="P660" i="12"/>
  <c r="O660" i="12"/>
  <c r="M660" i="12"/>
  <c r="N660" i="12" s="1"/>
  <c r="F660" i="12"/>
  <c r="D660" i="12"/>
  <c r="E660" i="12" s="1"/>
  <c r="C660" i="12"/>
  <c r="A661" i="12"/>
  <c r="B660" i="12"/>
  <c r="G660" i="12"/>
  <c r="L660" i="8"/>
  <c r="T659" i="8"/>
  <c r="R659" i="8"/>
  <c r="S659" i="8"/>
  <c r="Q659" i="8"/>
  <c r="P659" i="8"/>
  <c r="O659" i="8"/>
  <c r="M659" i="8"/>
  <c r="N659" i="8"/>
  <c r="A660" i="8"/>
  <c r="G659" i="8"/>
  <c r="H659" i="8"/>
  <c r="D659" i="8"/>
  <c r="E659" i="8" s="1"/>
  <c r="F659" i="8"/>
  <c r="AG658" i="8" s="1"/>
  <c r="C659" i="8"/>
  <c r="B659" i="8"/>
  <c r="L709" i="14" l="1"/>
  <c r="N708" i="14"/>
  <c r="O708" i="14"/>
  <c r="M671" i="14"/>
  <c r="Q671" i="14"/>
  <c r="P671" i="14"/>
  <c r="P661" i="12"/>
  <c r="J662" i="12"/>
  <c r="L662" i="12" s="1"/>
  <c r="M661" i="12"/>
  <c r="N661" i="12" s="1"/>
  <c r="O661" i="12"/>
  <c r="K661" i="12"/>
  <c r="F661" i="12"/>
  <c r="C661" i="12"/>
  <c r="D661" i="12"/>
  <c r="G661" i="12"/>
  <c r="E661" i="12"/>
  <c r="A662" i="12"/>
  <c r="B661" i="12"/>
  <c r="L661" i="8"/>
  <c r="T660" i="8"/>
  <c r="S660" i="8"/>
  <c r="R660" i="8"/>
  <c r="Q660" i="8"/>
  <c r="P660" i="8"/>
  <c r="O660" i="8"/>
  <c r="M660" i="8"/>
  <c r="N660" i="8"/>
  <c r="A661" i="8"/>
  <c r="G660" i="8"/>
  <c r="H660" i="8"/>
  <c r="C660" i="8"/>
  <c r="D660" i="8"/>
  <c r="E660" i="8" s="1"/>
  <c r="F660" i="8"/>
  <c r="AG659" i="8" s="1"/>
  <c r="B660" i="8"/>
  <c r="L710" i="14" l="1"/>
  <c r="N709" i="14"/>
  <c r="O709" i="14"/>
  <c r="P672" i="14"/>
  <c r="Q672" i="14"/>
  <c r="M672" i="14"/>
  <c r="O662" i="12"/>
  <c r="J663" i="12"/>
  <c r="L663" i="12" s="1"/>
  <c r="K662" i="12"/>
  <c r="P662" i="12"/>
  <c r="M662" i="12"/>
  <c r="N662" i="12" s="1"/>
  <c r="F662" i="12"/>
  <c r="D662" i="12"/>
  <c r="E662" i="12" s="1"/>
  <c r="C662" i="12"/>
  <c r="B662" i="12"/>
  <c r="A663" i="12"/>
  <c r="G662" i="12"/>
  <c r="L662" i="8"/>
  <c r="T661" i="8"/>
  <c r="S661" i="8"/>
  <c r="R661" i="8"/>
  <c r="Q661" i="8"/>
  <c r="P661" i="8"/>
  <c r="O661" i="8"/>
  <c r="M661" i="8"/>
  <c r="N661" i="8"/>
  <c r="A662" i="8"/>
  <c r="H661" i="8"/>
  <c r="G661" i="8"/>
  <c r="F661" i="8"/>
  <c r="AG660" i="8" s="1"/>
  <c r="C661" i="8"/>
  <c r="D661" i="8"/>
  <c r="E661" i="8" s="1"/>
  <c r="B661" i="8"/>
  <c r="L711" i="14" l="1"/>
  <c r="N710" i="14"/>
  <c r="O710" i="14"/>
  <c r="M673" i="14"/>
  <c r="Q673" i="14"/>
  <c r="P673" i="14"/>
  <c r="O663" i="12"/>
  <c r="J664" i="12"/>
  <c r="L664" i="12" s="1"/>
  <c r="P663" i="12"/>
  <c r="K663" i="12"/>
  <c r="M663" i="12"/>
  <c r="N663" i="12" s="1"/>
  <c r="F663" i="12"/>
  <c r="C663" i="12"/>
  <c r="D663" i="12"/>
  <c r="E663" i="12" s="1"/>
  <c r="A664" i="12"/>
  <c r="B663" i="12"/>
  <c r="G663" i="12"/>
  <c r="L663" i="8"/>
  <c r="T662" i="8"/>
  <c r="S662" i="8"/>
  <c r="R662" i="8"/>
  <c r="Q662" i="8"/>
  <c r="P662" i="8"/>
  <c r="O662" i="8"/>
  <c r="M662" i="8"/>
  <c r="N662" i="8"/>
  <c r="A663" i="8"/>
  <c r="H662" i="8"/>
  <c r="G662" i="8"/>
  <c r="F662" i="8"/>
  <c r="AG661" i="8" s="1"/>
  <c r="C662" i="8"/>
  <c r="D662" i="8"/>
  <c r="E662" i="8" s="1"/>
  <c r="B662" i="8"/>
  <c r="L712" i="14" l="1"/>
  <c r="N711" i="14"/>
  <c r="O711" i="14"/>
  <c r="Q674" i="14"/>
  <c r="M674" i="14"/>
  <c r="P674" i="14"/>
  <c r="M664" i="12"/>
  <c r="N664" i="12" s="1"/>
  <c r="O664" i="12"/>
  <c r="J665" i="12"/>
  <c r="L665" i="12" s="1"/>
  <c r="P664" i="12"/>
  <c r="K664" i="12"/>
  <c r="F664" i="12"/>
  <c r="C664" i="12"/>
  <c r="D664" i="12"/>
  <c r="E664" i="12" s="1"/>
  <c r="G664" i="12"/>
  <c r="A665" i="12"/>
  <c r="B664" i="12"/>
  <c r="L664" i="8"/>
  <c r="T663" i="8"/>
  <c r="S663" i="8"/>
  <c r="R663" i="8"/>
  <c r="Q663" i="8"/>
  <c r="P663" i="8"/>
  <c r="O663" i="8"/>
  <c r="M663" i="8"/>
  <c r="N663" i="8"/>
  <c r="A664" i="8"/>
  <c r="G663" i="8"/>
  <c r="H663" i="8"/>
  <c r="F663" i="8"/>
  <c r="AG662" i="8" s="1"/>
  <c r="C663" i="8"/>
  <c r="D663" i="8"/>
  <c r="E663" i="8" s="1"/>
  <c r="B663" i="8"/>
  <c r="L713" i="14" l="1"/>
  <c r="N712" i="14"/>
  <c r="O712" i="14"/>
  <c r="P675" i="14"/>
  <c r="M675" i="14"/>
  <c r="Q675" i="14"/>
  <c r="O665" i="12"/>
  <c r="J666" i="12"/>
  <c r="L666" i="12" s="1"/>
  <c r="M665" i="12"/>
  <c r="N665" i="12" s="1"/>
  <c r="K665" i="12"/>
  <c r="P665" i="12"/>
  <c r="F665" i="12"/>
  <c r="D665" i="12"/>
  <c r="E665" i="12" s="1"/>
  <c r="C665" i="12"/>
  <c r="A666" i="12"/>
  <c r="B665" i="12"/>
  <c r="G665" i="12"/>
  <c r="L665" i="8"/>
  <c r="T664" i="8"/>
  <c r="S664" i="8"/>
  <c r="R664" i="8"/>
  <c r="Q664" i="8"/>
  <c r="P664" i="8"/>
  <c r="O664" i="8"/>
  <c r="M664" i="8"/>
  <c r="N664" i="8"/>
  <c r="A665" i="8"/>
  <c r="H664" i="8"/>
  <c r="G664" i="8"/>
  <c r="F664" i="8"/>
  <c r="AG663" i="8" s="1"/>
  <c r="D664" i="8"/>
  <c r="E664" i="8" s="1"/>
  <c r="C664" i="8"/>
  <c r="B664" i="8"/>
  <c r="L714" i="14" l="1"/>
  <c r="N713" i="14"/>
  <c r="O713" i="14"/>
  <c r="M676" i="14"/>
  <c r="Q676" i="14"/>
  <c r="P676" i="14"/>
  <c r="J667" i="12"/>
  <c r="L667" i="12" s="1"/>
  <c r="K666" i="12"/>
  <c r="O666" i="12"/>
  <c r="P666" i="12"/>
  <c r="M666" i="12"/>
  <c r="N666" i="12" s="1"/>
  <c r="F666" i="12"/>
  <c r="C666" i="12"/>
  <c r="D666" i="12"/>
  <c r="E666" i="12" s="1"/>
  <c r="A667" i="12"/>
  <c r="G666" i="12"/>
  <c r="B666" i="12"/>
  <c r="L666" i="8"/>
  <c r="T665" i="8"/>
  <c r="S665" i="8"/>
  <c r="R665" i="8"/>
  <c r="Q665" i="8"/>
  <c r="P665" i="8"/>
  <c r="O665" i="8"/>
  <c r="M665" i="8"/>
  <c r="N665" i="8"/>
  <c r="A666" i="8"/>
  <c r="G665" i="8"/>
  <c r="H665" i="8"/>
  <c r="F665" i="8"/>
  <c r="AG664" i="8" s="1"/>
  <c r="D665" i="8"/>
  <c r="E665" i="8" s="1"/>
  <c r="B665" i="8"/>
  <c r="C665" i="8"/>
  <c r="L715" i="14" l="1"/>
  <c r="N714" i="14"/>
  <c r="O714" i="14"/>
  <c r="M677" i="14"/>
  <c r="Q677" i="14"/>
  <c r="P677" i="14"/>
  <c r="P667" i="12"/>
  <c r="O667" i="12"/>
  <c r="K667" i="12"/>
  <c r="J668" i="12"/>
  <c r="L668" i="12" s="1"/>
  <c r="M667" i="12"/>
  <c r="N667" i="12" s="1"/>
  <c r="F667" i="12"/>
  <c r="C667" i="12"/>
  <c r="D667" i="12"/>
  <c r="E667" i="12" s="1"/>
  <c r="G667" i="12"/>
  <c r="A668" i="12"/>
  <c r="B667" i="12"/>
  <c r="L667" i="8"/>
  <c r="T666" i="8"/>
  <c r="S666" i="8"/>
  <c r="R666" i="8"/>
  <c r="Q666" i="8"/>
  <c r="P666" i="8"/>
  <c r="O666" i="8"/>
  <c r="M666" i="8"/>
  <c r="N666" i="8"/>
  <c r="A667" i="8"/>
  <c r="H666" i="8"/>
  <c r="G666" i="8"/>
  <c r="F666" i="8"/>
  <c r="AG665" i="8" s="1"/>
  <c r="D666" i="8"/>
  <c r="E666" i="8" s="1"/>
  <c r="B666" i="8"/>
  <c r="C666" i="8"/>
  <c r="L716" i="14" l="1"/>
  <c r="N715" i="14"/>
  <c r="O715" i="14"/>
  <c r="M678" i="14"/>
  <c r="P678" i="14"/>
  <c r="Q678" i="14"/>
  <c r="O668" i="12"/>
  <c r="P668" i="12"/>
  <c r="K668" i="12"/>
  <c r="M668" i="12"/>
  <c r="N668" i="12" s="1"/>
  <c r="J669" i="12"/>
  <c r="L669" i="12" s="1"/>
  <c r="F668" i="12"/>
  <c r="D668" i="12"/>
  <c r="E668" i="12" s="1"/>
  <c r="C668" i="12"/>
  <c r="G668" i="12"/>
  <c r="A669" i="12"/>
  <c r="B668" i="12"/>
  <c r="L668" i="8"/>
  <c r="T667" i="8"/>
  <c r="S667" i="8"/>
  <c r="R667" i="8"/>
  <c r="Q667" i="8"/>
  <c r="P667" i="8"/>
  <c r="O667" i="8"/>
  <c r="M667" i="8"/>
  <c r="N667" i="8"/>
  <c r="A668" i="8"/>
  <c r="G667" i="8"/>
  <c r="H667" i="8"/>
  <c r="F667" i="8"/>
  <c r="AG666" i="8" s="1"/>
  <c r="B667" i="8"/>
  <c r="D667" i="8"/>
  <c r="E667" i="8" s="1"/>
  <c r="C667" i="8"/>
  <c r="L717" i="14" l="1"/>
  <c r="N716" i="14"/>
  <c r="O716" i="14"/>
  <c r="M679" i="14"/>
  <c r="P679" i="14"/>
  <c r="Q679" i="14"/>
  <c r="P669" i="12"/>
  <c r="K669" i="12"/>
  <c r="J670" i="12"/>
  <c r="L670" i="12" s="1"/>
  <c r="M669" i="12"/>
  <c r="N669" i="12" s="1"/>
  <c r="O669" i="12"/>
  <c r="F669" i="12"/>
  <c r="C669" i="12"/>
  <c r="D669" i="12"/>
  <c r="A670" i="12"/>
  <c r="E669" i="12"/>
  <c r="G669" i="12"/>
  <c r="B669" i="12"/>
  <c r="L669" i="8"/>
  <c r="T668" i="8"/>
  <c r="R668" i="8"/>
  <c r="S668" i="8"/>
  <c r="Q668" i="8"/>
  <c r="P668" i="8"/>
  <c r="O668" i="8"/>
  <c r="M668" i="8"/>
  <c r="N668" i="8"/>
  <c r="A669" i="8"/>
  <c r="G668" i="8"/>
  <c r="H668" i="8"/>
  <c r="F668" i="8"/>
  <c r="AG667" i="8" s="1"/>
  <c r="D668" i="8"/>
  <c r="E668" i="8" s="1"/>
  <c r="C668" i="8"/>
  <c r="B668" i="8"/>
  <c r="L718" i="14" l="1"/>
  <c r="N717" i="14"/>
  <c r="O717" i="14"/>
  <c r="Q680" i="14"/>
  <c r="M680" i="14"/>
  <c r="P680" i="14"/>
  <c r="M670" i="12"/>
  <c r="N670" i="12" s="1"/>
  <c r="P670" i="12"/>
  <c r="K670" i="12"/>
  <c r="O670" i="12"/>
  <c r="J671" i="12"/>
  <c r="L671" i="12" s="1"/>
  <c r="F670" i="12"/>
  <c r="C670" i="12"/>
  <c r="D670" i="12"/>
  <c r="E670" i="12" s="1"/>
  <c r="G670" i="12"/>
  <c r="B670" i="12"/>
  <c r="A671" i="12"/>
  <c r="L670" i="8"/>
  <c r="T669" i="8"/>
  <c r="S669" i="8"/>
  <c r="R669" i="8"/>
  <c r="Q669" i="8"/>
  <c r="P669" i="8"/>
  <c r="O669" i="8"/>
  <c r="M669" i="8"/>
  <c r="N669" i="8"/>
  <c r="A670" i="8"/>
  <c r="H669" i="8"/>
  <c r="G669" i="8"/>
  <c r="F669" i="8"/>
  <c r="AG668" i="8" s="1"/>
  <c r="D669" i="8"/>
  <c r="E669" i="8" s="1"/>
  <c r="C669" i="8"/>
  <c r="B669" i="8"/>
  <c r="L719" i="14" l="1"/>
  <c r="N718" i="14"/>
  <c r="O718" i="14"/>
  <c r="P681" i="14"/>
  <c r="Q681" i="14"/>
  <c r="M681" i="14"/>
  <c r="P671" i="12"/>
  <c r="K671" i="12"/>
  <c r="M671" i="12"/>
  <c r="N671" i="12" s="1"/>
  <c r="J672" i="12"/>
  <c r="L672" i="12" s="1"/>
  <c r="O671" i="12"/>
  <c r="F671" i="12"/>
  <c r="C671" i="12"/>
  <c r="D671" i="12"/>
  <c r="E671" i="12" s="1"/>
  <c r="B671" i="12"/>
  <c r="G671" i="12"/>
  <c r="A672" i="12"/>
  <c r="L671" i="8"/>
  <c r="T670" i="8"/>
  <c r="S670" i="8"/>
  <c r="R670" i="8"/>
  <c r="Q670" i="8"/>
  <c r="P670" i="8"/>
  <c r="O670" i="8"/>
  <c r="M670" i="8"/>
  <c r="N670" i="8"/>
  <c r="A671" i="8"/>
  <c r="H670" i="8"/>
  <c r="G670" i="8"/>
  <c r="F670" i="8"/>
  <c r="AG669" i="8" s="1"/>
  <c r="C670" i="8"/>
  <c r="D670" i="8"/>
  <c r="E670" i="8" s="1"/>
  <c r="B670" i="8"/>
  <c r="L720" i="14" l="1"/>
  <c r="N719" i="14"/>
  <c r="O719" i="14"/>
  <c r="M682" i="14"/>
  <c r="Q682" i="14"/>
  <c r="P682" i="14"/>
  <c r="J673" i="12"/>
  <c r="L673" i="12" s="1"/>
  <c r="K672" i="12"/>
  <c r="P672" i="12"/>
  <c r="M672" i="12"/>
  <c r="N672" i="12" s="1"/>
  <c r="O672" i="12"/>
  <c r="F672" i="12"/>
  <c r="C672" i="12"/>
  <c r="D672" i="12"/>
  <c r="E672" i="12" s="1"/>
  <c r="A673" i="12"/>
  <c r="B672" i="12"/>
  <c r="G672" i="12"/>
  <c r="L672" i="8"/>
  <c r="T671" i="8"/>
  <c r="S671" i="8"/>
  <c r="R671" i="8"/>
  <c r="Q671" i="8"/>
  <c r="P671" i="8"/>
  <c r="M671" i="8"/>
  <c r="O671" i="8"/>
  <c r="N671" i="8"/>
  <c r="A672" i="8"/>
  <c r="G671" i="8"/>
  <c r="H671" i="8"/>
  <c r="F671" i="8"/>
  <c r="AG670" i="8" s="1"/>
  <c r="C671" i="8"/>
  <c r="B671" i="8"/>
  <c r="D671" i="8"/>
  <c r="E671" i="8" s="1"/>
  <c r="L721" i="14" l="1"/>
  <c r="N720" i="14"/>
  <c r="O720" i="14"/>
  <c r="P683" i="14"/>
  <c r="M683" i="14"/>
  <c r="Q683" i="14"/>
  <c r="P673" i="12"/>
  <c r="J674" i="12"/>
  <c r="L674" i="12" s="1"/>
  <c r="K673" i="12"/>
  <c r="O673" i="12"/>
  <c r="M673" i="12"/>
  <c r="N673" i="12" s="1"/>
  <c r="F673" i="12"/>
  <c r="C673" i="12"/>
  <c r="D673" i="12"/>
  <c r="E673" i="12" s="1"/>
  <c r="G673" i="12"/>
  <c r="B673" i="12"/>
  <c r="A674" i="12"/>
  <c r="L673" i="8"/>
  <c r="T672" i="8"/>
  <c r="S672" i="8"/>
  <c r="R672" i="8"/>
  <c r="Q672" i="8"/>
  <c r="P672" i="8"/>
  <c r="M672" i="8"/>
  <c r="O672" i="8"/>
  <c r="N672" i="8"/>
  <c r="A673" i="8"/>
  <c r="F672" i="8"/>
  <c r="AG671" i="8" s="1"/>
  <c r="H672" i="8"/>
  <c r="G672" i="8"/>
  <c r="D672" i="8"/>
  <c r="E672" i="8" s="1"/>
  <c r="C672" i="8"/>
  <c r="B672" i="8"/>
  <c r="L722" i="14" l="1"/>
  <c r="N721" i="14"/>
  <c r="O721" i="14"/>
  <c r="P684" i="14"/>
  <c r="Q684" i="14"/>
  <c r="M684" i="14"/>
  <c r="O674" i="12"/>
  <c r="J675" i="12"/>
  <c r="L675" i="12" s="1"/>
  <c r="K674" i="12"/>
  <c r="P674" i="12"/>
  <c r="M674" i="12"/>
  <c r="N674" i="12" s="1"/>
  <c r="F674" i="12"/>
  <c r="D674" i="12"/>
  <c r="E674" i="12" s="1"/>
  <c r="C674" i="12"/>
  <c r="A675" i="12"/>
  <c r="B674" i="12"/>
  <c r="G674" i="12"/>
  <c r="L674" i="8"/>
  <c r="T673" i="8"/>
  <c r="S673" i="8"/>
  <c r="R673" i="8"/>
  <c r="Q673" i="8"/>
  <c r="O673" i="8"/>
  <c r="P673" i="8"/>
  <c r="M673" i="8"/>
  <c r="N673" i="8"/>
  <c r="A674" i="8"/>
  <c r="H673" i="8"/>
  <c r="G673" i="8"/>
  <c r="F673" i="8"/>
  <c r="AG672" i="8" s="1"/>
  <c r="D673" i="8"/>
  <c r="E673" i="8" s="1"/>
  <c r="C673" i="8"/>
  <c r="B673" i="8"/>
  <c r="L723" i="14" l="1"/>
  <c r="N722" i="14"/>
  <c r="O722" i="14"/>
  <c r="M685" i="14"/>
  <c r="Q685" i="14"/>
  <c r="P685" i="14"/>
  <c r="J676" i="12"/>
  <c r="L676" i="12" s="1"/>
  <c r="M675" i="12"/>
  <c r="N675" i="12" s="1"/>
  <c r="P675" i="12"/>
  <c r="K675" i="12"/>
  <c r="O675" i="12"/>
  <c r="F675" i="12"/>
  <c r="D675" i="12"/>
  <c r="E675" i="12" s="1"/>
  <c r="C675" i="12"/>
  <c r="A676" i="12"/>
  <c r="G675" i="12"/>
  <c r="B675" i="12"/>
  <c r="L675" i="8"/>
  <c r="T674" i="8"/>
  <c r="S674" i="8"/>
  <c r="R674" i="8"/>
  <c r="Q674" i="8"/>
  <c r="P674" i="8"/>
  <c r="O674" i="8"/>
  <c r="M674" i="8"/>
  <c r="N674" i="8"/>
  <c r="A675" i="8"/>
  <c r="G674" i="8"/>
  <c r="H674" i="8"/>
  <c r="F674" i="8"/>
  <c r="AG673" i="8" s="1"/>
  <c r="D674" i="8"/>
  <c r="E674" i="8" s="1"/>
  <c r="C674" i="8"/>
  <c r="B674" i="8"/>
  <c r="L724" i="14" l="1"/>
  <c r="N723" i="14"/>
  <c r="O723" i="14"/>
  <c r="Q686" i="14"/>
  <c r="M686" i="14"/>
  <c r="P686" i="14"/>
  <c r="M676" i="12"/>
  <c r="N676" i="12" s="1"/>
  <c r="J677" i="12"/>
  <c r="L677" i="12" s="1"/>
  <c r="K676" i="12"/>
  <c r="P676" i="12"/>
  <c r="O676" i="12"/>
  <c r="F676" i="12"/>
  <c r="D676" i="12"/>
  <c r="E676" i="12" s="1"/>
  <c r="C676" i="12"/>
  <c r="G676" i="12"/>
  <c r="A677" i="12"/>
  <c r="B676" i="12"/>
  <c r="L676" i="8"/>
  <c r="T675" i="8"/>
  <c r="S675" i="8"/>
  <c r="R675" i="8"/>
  <c r="Q675" i="8"/>
  <c r="P675" i="8"/>
  <c r="O675" i="8"/>
  <c r="M675" i="8"/>
  <c r="N675" i="8"/>
  <c r="A676" i="8"/>
  <c r="G675" i="8"/>
  <c r="H675" i="8"/>
  <c r="F675" i="8"/>
  <c r="AG674" i="8" s="1"/>
  <c r="B675" i="8"/>
  <c r="C675" i="8"/>
  <c r="D675" i="8"/>
  <c r="E675" i="8" s="1"/>
  <c r="L725" i="14" l="1"/>
  <c r="N724" i="14"/>
  <c r="O724" i="14"/>
  <c r="P687" i="14"/>
  <c r="M687" i="14"/>
  <c r="Q687" i="14"/>
  <c r="J678" i="12"/>
  <c r="L678" i="12" s="1"/>
  <c r="M677" i="12"/>
  <c r="N677" i="12" s="1"/>
  <c r="O677" i="12"/>
  <c r="P677" i="12"/>
  <c r="K677" i="12"/>
  <c r="F677" i="12"/>
  <c r="C677" i="12"/>
  <c r="D677" i="12"/>
  <c r="E677" i="12" s="1"/>
  <c r="G677" i="12"/>
  <c r="A678" i="12"/>
  <c r="B677" i="12"/>
  <c r="L677" i="8"/>
  <c r="T676" i="8"/>
  <c r="S676" i="8"/>
  <c r="R676" i="8"/>
  <c r="Q676" i="8"/>
  <c r="P676" i="8"/>
  <c r="O676" i="8"/>
  <c r="M676" i="8"/>
  <c r="N676" i="8"/>
  <c r="A677" i="8"/>
  <c r="G676" i="8"/>
  <c r="H676" i="8"/>
  <c r="F676" i="8"/>
  <c r="AG675" i="8" s="1"/>
  <c r="D676" i="8"/>
  <c r="E676" i="8" s="1"/>
  <c r="C676" i="8"/>
  <c r="B676" i="8"/>
  <c r="L726" i="14" l="1"/>
  <c r="N725" i="14"/>
  <c r="O725" i="14"/>
  <c r="P688" i="14"/>
  <c r="Q688" i="14"/>
  <c r="M688" i="14"/>
  <c r="J679" i="12"/>
  <c r="L679" i="12" s="1"/>
  <c r="K678" i="12"/>
  <c r="M678" i="12"/>
  <c r="N678" i="12" s="1"/>
  <c r="O678" i="12"/>
  <c r="P678" i="12"/>
  <c r="F678" i="12"/>
  <c r="C678" i="12"/>
  <c r="D678" i="12"/>
  <c r="E678" i="12" s="1"/>
  <c r="A679" i="12"/>
  <c r="B678" i="12"/>
  <c r="G678" i="12"/>
  <c r="L678" i="8"/>
  <c r="T677" i="8"/>
  <c r="S677" i="8"/>
  <c r="R677" i="8"/>
  <c r="Q677" i="8"/>
  <c r="P677" i="8"/>
  <c r="O677" i="8"/>
  <c r="M677" i="8"/>
  <c r="N677" i="8"/>
  <c r="A678" i="8"/>
  <c r="H677" i="8"/>
  <c r="G677" i="8"/>
  <c r="F677" i="8"/>
  <c r="AG676" i="8" s="1"/>
  <c r="D677" i="8"/>
  <c r="E677" i="8" s="1"/>
  <c r="B677" i="8"/>
  <c r="C677" i="8"/>
  <c r="L727" i="14" l="1"/>
  <c r="N726" i="14"/>
  <c r="O726" i="14"/>
  <c r="Q689" i="14"/>
  <c r="M689" i="14"/>
  <c r="P689" i="14"/>
  <c r="P679" i="12"/>
  <c r="K679" i="12"/>
  <c r="M679" i="12"/>
  <c r="N679" i="12" s="1"/>
  <c r="O679" i="12"/>
  <c r="J680" i="12"/>
  <c r="L680" i="12" s="1"/>
  <c r="F679" i="12"/>
  <c r="C679" i="12"/>
  <c r="D679" i="12"/>
  <c r="E679" i="12" s="1"/>
  <c r="G679" i="12"/>
  <c r="B679" i="12"/>
  <c r="A680" i="12"/>
  <c r="L679" i="8"/>
  <c r="T678" i="8"/>
  <c r="S678" i="8"/>
  <c r="R678" i="8"/>
  <c r="Q678" i="8"/>
  <c r="P678" i="8"/>
  <c r="O678" i="8"/>
  <c r="M678" i="8"/>
  <c r="N678" i="8"/>
  <c r="A679" i="8"/>
  <c r="G678" i="8"/>
  <c r="H678" i="8"/>
  <c r="F678" i="8"/>
  <c r="AG677" i="8" s="1"/>
  <c r="C678" i="8"/>
  <c r="D678" i="8"/>
  <c r="E678" i="8" s="1"/>
  <c r="B678" i="8"/>
  <c r="L728" i="14" l="1"/>
  <c r="N727" i="14"/>
  <c r="O727" i="14"/>
  <c r="M690" i="14"/>
  <c r="Q690" i="14"/>
  <c r="P690" i="14"/>
  <c r="O680" i="12"/>
  <c r="K680" i="12"/>
  <c r="M680" i="12"/>
  <c r="N680" i="12" s="1"/>
  <c r="P680" i="12"/>
  <c r="J681" i="12"/>
  <c r="L681" i="12" s="1"/>
  <c r="F680" i="12"/>
  <c r="D680" i="12"/>
  <c r="E680" i="12" s="1"/>
  <c r="C680" i="12"/>
  <c r="B680" i="12"/>
  <c r="A681" i="12"/>
  <c r="G680" i="12"/>
  <c r="L680" i="8"/>
  <c r="T679" i="8"/>
  <c r="S679" i="8"/>
  <c r="R679" i="8"/>
  <c r="Q679" i="8"/>
  <c r="P679" i="8"/>
  <c r="M679" i="8"/>
  <c r="O679" i="8"/>
  <c r="N679" i="8"/>
  <c r="A680" i="8"/>
  <c r="G679" i="8"/>
  <c r="F679" i="8"/>
  <c r="AG678" i="8" s="1"/>
  <c r="H679" i="8"/>
  <c r="D679" i="8"/>
  <c r="E679" i="8" s="1"/>
  <c r="C679" i="8"/>
  <c r="B679" i="8"/>
  <c r="L729" i="14" l="1"/>
  <c r="N728" i="14"/>
  <c r="O728" i="14"/>
  <c r="M691" i="14"/>
  <c r="P691" i="14"/>
  <c r="Q691" i="14"/>
  <c r="K681" i="12"/>
  <c r="O681" i="12"/>
  <c r="M681" i="12"/>
  <c r="N681" i="12" s="1"/>
  <c r="P681" i="12"/>
  <c r="J682" i="12"/>
  <c r="L682" i="12" s="1"/>
  <c r="F681" i="12"/>
  <c r="D681" i="12"/>
  <c r="E681" i="12" s="1"/>
  <c r="C681" i="12"/>
  <c r="A682" i="12"/>
  <c r="B681" i="12"/>
  <c r="G681" i="12"/>
  <c r="L681" i="8"/>
  <c r="T680" i="8"/>
  <c r="S680" i="8"/>
  <c r="R680" i="8"/>
  <c r="Q680" i="8"/>
  <c r="P680" i="8"/>
  <c r="M680" i="8"/>
  <c r="O680" i="8"/>
  <c r="N680" i="8"/>
  <c r="A681" i="8"/>
  <c r="F680" i="8"/>
  <c r="AG679" i="8" s="1"/>
  <c r="H680" i="8"/>
  <c r="G680" i="8"/>
  <c r="D680" i="8"/>
  <c r="E680" i="8" s="1"/>
  <c r="C680" i="8"/>
  <c r="B680" i="8"/>
  <c r="L730" i="14" l="1"/>
  <c r="N729" i="14"/>
  <c r="O729" i="14"/>
  <c r="Q692" i="14"/>
  <c r="P692" i="14"/>
  <c r="M692" i="14"/>
  <c r="M682" i="12"/>
  <c r="N682" i="12" s="1"/>
  <c r="K682" i="12"/>
  <c r="O682" i="12"/>
  <c r="P682" i="12"/>
  <c r="J683" i="12"/>
  <c r="L683" i="12" s="1"/>
  <c r="F682" i="12"/>
  <c r="D682" i="12"/>
  <c r="C682" i="12"/>
  <c r="G682" i="12"/>
  <c r="E682" i="12"/>
  <c r="B682" i="12"/>
  <c r="A683" i="12"/>
  <c r="L682" i="8"/>
  <c r="T681" i="8"/>
  <c r="S681" i="8"/>
  <c r="R681" i="8"/>
  <c r="Q681" i="8"/>
  <c r="O681" i="8"/>
  <c r="P681" i="8"/>
  <c r="M681" i="8"/>
  <c r="N681" i="8"/>
  <c r="A682" i="8"/>
  <c r="H681" i="8"/>
  <c r="G681" i="8"/>
  <c r="F681" i="8"/>
  <c r="AG680" i="8" s="1"/>
  <c r="D681" i="8"/>
  <c r="E681" i="8" s="1"/>
  <c r="B681" i="8"/>
  <c r="C681" i="8"/>
  <c r="L731" i="14" l="1"/>
  <c r="N730" i="14"/>
  <c r="O730" i="14"/>
  <c r="P693" i="14"/>
  <c r="M693" i="14"/>
  <c r="Q693" i="14"/>
  <c r="K683" i="12"/>
  <c r="O683" i="12"/>
  <c r="P683" i="12"/>
  <c r="M683" i="12"/>
  <c r="N683" i="12" s="1"/>
  <c r="J684" i="12"/>
  <c r="L684" i="12" s="1"/>
  <c r="F683" i="12"/>
  <c r="D683" i="12"/>
  <c r="E683" i="12" s="1"/>
  <c r="C683" i="12"/>
  <c r="A684" i="12"/>
  <c r="B683" i="12"/>
  <c r="G683" i="12"/>
  <c r="L683" i="8"/>
  <c r="T682" i="8"/>
  <c r="R682" i="8"/>
  <c r="S682" i="8"/>
  <c r="Q682" i="8"/>
  <c r="O682" i="8"/>
  <c r="P682" i="8"/>
  <c r="M682" i="8"/>
  <c r="N682" i="8"/>
  <c r="A683" i="8"/>
  <c r="G682" i="8"/>
  <c r="H682" i="8"/>
  <c r="F682" i="8"/>
  <c r="AG681" i="8" s="1"/>
  <c r="D682" i="8"/>
  <c r="E682" i="8" s="1"/>
  <c r="B682" i="8"/>
  <c r="C682" i="8"/>
  <c r="L732" i="14" l="1"/>
  <c r="N731" i="14"/>
  <c r="O731" i="14"/>
  <c r="P694" i="14"/>
  <c r="Q694" i="14"/>
  <c r="M694" i="14"/>
  <c r="J685" i="12"/>
  <c r="L685" i="12" s="1"/>
  <c r="K684" i="12"/>
  <c r="O684" i="12"/>
  <c r="P684" i="12"/>
  <c r="M684" i="12"/>
  <c r="N684" i="12" s="1"/>
  <c r="F684" i="12"/>
  <c r="C684" i="12"/>
  <c r="D684" i="12"/>
  <c r="E684" i="12" s="1"/>
  <c r="A685" i="12"/>
  <c r="G684" i="12"/>
  <c r="B684" i="12"/>
  <c r="L684" i="8"/>
  <c r="T683" i="8"/>
  <c r="S683" i="8"/>
  <c r="R683" i="8"/>
  <c r="Q683" i="8"/>
  <c r="P683" i="8"/>
  <c r="M683" i="8"/>
  <c r="O683" i="8"/>
  <c r="N683" i="8"/>
  <c r="A684" i="8"/>
  <c r="G683" i="8"/>
  <c r="H683" i="8"/>
  <c r="F683" i="8"/>
  <c r="AG682" i="8" s="1"/>
  <c r="D683" i="8"/>
  <c r="E683" i="8" s="1"/>
  <c r="C683" i="8"/>
  <c r="B683" i="8"/>
  <c r="L733" i="14" l="1"/>
  <c r="N732" i="14"/>
  <c r="O732" i="14"/>
  <c r="P695" i="14"/>
  <c r="Q695" i="14"/>
  <c r="M695" i="14"/>
  <c r="P685" i="12"/>
  <c r="O685" i="12"/>
  <c r="J686" i="12"/>
  <c r="L686" i="12" s="1"/>
  <c r="K685" i="12"/>
  <c r="M685" i="12"/>
  <c r="N685" i="12" s="1"/>
  <c r="F685" i="12"/>
  <c r="C685" i="12"/>
  <c r="D685" i="12"/>
  <c r="E685" i="12" s="1"/>
  <c r="G685" i="12"/>
  <c r="A686" i="12"/>
  <c r="B685" i="12"/>
  <c r="L685" i="8"/>
  <c r="T684" i="8"/>
  <c r="S684" i="8"/>
  <c r="R684" i="8"/>
  <c r="Q684" i="8"/>
  <c r="P684" i="8"/>
  <c r="O684" i="8"/>
  <c r="M684" i="8"/>
  <c r="N684" i="8"/>
  <c r="A685" i="8"/>
  <c r="G684" i="8"/>
  <c r="H684" i="8"/>
  <c r="F684" i="8"/>
  <c r="AG683" i="8" s="1"/>
  <c r="D684" i="8"/>
  <c r="E684" i="8" s="1"/>
  <c r="C684" i="8"/>
  <c r="B684" i="8"/>
  <c r="L734" i="14" l="1"/>
  <c r="N733" i="14"/>
  <c r="O733" i="14"/>
  <c r="P696" i="14"/>
  <c r="M696" i="14"/>
  <c r="Q696" i="14"/>
  <c r="O686" i="12"/>
  <c r="P686" i="12"/>
  <c r="J687" i="12"/>
  <c r="L687" i="12" s="1"/>
  <c r="M686" i="12"/>
  <c r="N686" i="12" s="1"/>
  <c r="K686" i="12"/>
  <c r="F686" i="12"/>
  <c r="D686" i="12"/>
  <c r="C686" i="12"/>
  <c r="G686" i="12"/>
  <c r="E686" i="12"/>
  <c r="A687" i="12"/>
  <c r="B686" i="12"/>
  <c r="L686" i="8"/>
  <c r="T685" i="8"/>
  <c r="S685" i="8"/>
  <c r="R685" i="8"/>
  <c r="Q685" i="8"/>
  <c r="P685" i="8"/>
  <c r="O685" i="8"/>
  <c r="M685" i="8"/>
  <c r="N685" i="8"/>
  <c r="A686" i="8"/>
  <c r="H685" i="8"/>
  <c r="G685" i="8"/>
  <c r="F685" i="8"/>
  <c r="AG684" i="8" s="1"/>
  <c r="C685" i="8"/>
  <c r="D685" i="8"/>
  <c r="E685" i="8" s="1"/>
  <c r="B685" i="8"/>
  <c r="L735" i="14" l="1"/>
  <c r="N734" i="14"/>
  <c r="O734" i="14"/>
  <c r="M697" i="14"/>
  <c r="P697" i="14"/>
  <c r="Q697" i="14"/>
  <c r="P687" i="12"/>
  <c r="O687" i="12"/>
  <c r="J688" i="12"/>
  <c r="L688" i="12" s="1"/>
  <c r="M687" i="12"/>
  <c r="N687" i="12" s="1"/>
  <c r="K687" i="12"/>
  <c r="F687" i="12"/>
  <c r="D687" i="12"/>
  <c r="E687" i="12" s="1"/>
  <c r="C687" i="12"/>
  <c r="A688" i="12"/>
  <c r="G687" i="12"/>
  <c r="B687" i="12"/>
  <c r="L687" i="8"/>
  <c r="T686" i="8"/>
  <c r="R686" i="8"/>
  <c r="S686" i="8"/>
  <c r="Q686" i="8"/>
  <c r="P686" i="8"/>
  <c r="O686" i="8"/>
  <c r="M686" i="8"/>
  <c r="N686" i="8"/>
  <c r="A687" i="8"/>
  <c r="G686" i="8"/>
  <c r="H686" i="8"/>
  <c r="F686" i="8"/>
  <c r="AG685" i="8" s="1"/>
  <c r="C686" i="8"/>
  <c r="D686" i="8"/>
  <c r="E686" i="8" s="1"/>
  <c r="B686" i="8"/>
  <c r="L736" i="14" l="1"/>
  <c r="N735" i="14"/>
  <c r="O735" i="14"/>
  <c r="Q698" i="14"/>
  <c r="P698" i="14"/>
  <c r="M698" i="14"/>
  <c r="M688" i="12"/>
  <c r="N688" i="12" s="1"/>
  <c r="P688" i="12"/>
  <c r="O688" i="12"/>
  <c r="J689" i="12"/>
  <c r="L689" i="12" s="1"/>
  <c r="K688" i="12"/>
  <c r="F688" i="12"/>
  <c r="D688" i="12"/>
  <c r="C688" i="12"/>
  <c r="G688" i="12"/>
  <c r="E688" i="12"/>
  <c r="B688" i="12"/>
  <c r="A689" i="12"/>
  <c r="L688" i="8"/>
  <c r="T687" i="8"/>
  <c r="S687" i="8"/>
  <c r="R687" i="8"/>
  <c r="Q687" i="8"/>
  <c r="P687" i="8"/>
  <c r="M687" i="8"/>
  <c r="O687" i="8"/>
  <c r="N687" i="8"/>
  <c r="A688" i="8"/>
  <c r="G687" i="8"/>
  <c r="H687" i="8"/>
  <c r="F687" i="8"/>
  <c r="AG686" i="8" s="1"/>
  <c r="C687" i="8"/>
  <c r="B687" i="8"/>
  <c r="D687" i="8"/>
  <c r="E687" i="8" s="1"/>
  <c r="L737" i="14" l="1"/>
  <c r="N736" i="14"/>
  <c r="O736" i="14"/>
  <c r="P699" i="14"/>
  <c r="Q699" i="14"/>
  <c r="M699" i="14"/>
  <c r="M689" i="12"/>
  <c r="N689" i="12" s="1"/>
  <c r="P689" i="12"/>
  <c r="O689" i="12"/>
  <c r="J690" i="12"/>
  <c r="L690" i="12" s="1"/>
  <c r="K689" i="12"/>
  <c r="F689" i="12"/>
  <c r="D689" i="12"/>
  <c r="E689" i="12" s="1"/>
  <c r="C689" i="12"/>
  <c r="B689" i="12"/>
  <c r="G689" i="12"/>
  <c r="A690" i="12"/>
  <c r="L689" i="8"/>
  <c r="T688" i="8"/>
  <c r="S688" i="8"/>
  <c r="R688" i="8"/>
  <c r="Q688" i="8"/>
  <c r="P688" i="8"/>
  <c r="O688" i="8"/>
  <c r="M688" i="8"/>
  <c r="N688" i="8"/>
  <c r="A689" i="8"/>
  <c r="F688" i="8"/>
  <c r="AG687" i="8" s="1"/>
  <c r="H688" i="8"/>
  <c r="G688" i="8"/>
  <c r="D688" i="8"/>
  <c r="E688" i="8" s="1"/>
  <c r="C688" i="8"/>
  <c r="B688" i="8"/>
  <c r="L738" i="14" l="1"/>
  <c r="N737" i="14"/>
  <c r="O737" i="14"/>
  <c r="Q700" i="14"/>
  <c r="M700" i="14"/>
  <c r="P700" i="14"/>
  <c r="J691" i="12"/>
  <c r="L691" i="12" s="1"/>
  <c r="K690" i="12"/>
  <c r="M690" i="12"/>
  <c r="N690" i="12" s="1"/>
  <c r="P690" i="12"/>
  <c r="O690" i="12"/>
  <c r="F690" i="12"/>
  <c r="C690" i="12"/>
  <c r="D690" i="12"/>
  <c r="E690" i="12" s="1"/>
  <c r="A691" i="12"/>
  <c r="G690" i="12"/>
  <c r="B690" i="12"/>
  <c r="L690" i="8"/>
  <c r="T689" i="8"/>
  <c r="S689" i="8"/>
  <c r="R689" i="8"/>
  <c r="Q689" i="8"/>
  <c r="O689" i="8"/>
  <c r="P689" i="8"/>
  <c r="M689" i="8"/>
  <c r="N689" i="8"/>
  <c r="A690" i="8"/>
  <c r="H689" i="8"/>
  <c r="G689" i="8"/>
  <c r="F689" i="8"/>
  <c r="AG688" i="8" s="1"/>
  <c r="D689" i="8"/>
  <c r="E689" i="8" s="1"/>
  <c r="B689" i="8"/>
  <c r="C689" i="8"/>
  <c r="L739" i="14" l="1"/>
  <c r="N738" i="14"/>
  <c r="O738" i="14"/>
  <c r="Q701" i="14"/>
  <c r="P701" i="14"/>
  <c r="M701" i="14"/>
  <c r="P691" i="12"/>
  <c r="M691" i="12"/>
  <c r="N691" i="12" s="1"/>
  <c r="J692" i="12"/>
  <c r="L692" i="12" s="1"/>
  <c r="O691" i="12"/>
  <c r="K691" i="12"/>
  <c r="F691" i="12"/>
  <c r="C691" i="12"/>
  <c r="D691" i="12"/>
  <c r="E691" i="12" s="1"/>
  <c r="G691" i="12"/>
  <c r="A692" i="12"/>
  <c r="B691" i="12"/>
  <c r="L691" i="8"/>
  <c r="T690" i="8"/>
  <c r="R690" i="8"/>
  <c r="S690" i="8"/>
  <c r="Q690" i="8"/>
  <c r="O690" i="8"/>
  <c r="P690" i="8"/>
  <c r="M690" i="8"/>
  <c r="N690" i="8"/>
  <c r="A691" i="8"/>
  <c r="G690" i="8"/>
  <c r="H690" i="8"/>
  <c r="F690" i="8"/>
  <c r="AG689" i="8" s="1"/>
  <c r="D690" i="8"/>
  <c r="E690" i="8" s="1"/>
  <c r="B690" i="8"/>
  <c r="C690" i="8"/>
  <c r="L740" i="14" l="1"/>
  <c r="N739" i="14"/>
  <c r="O739" i="14"/>
  <c r="Q702" i="14"/>
  <c r="M702" i="14"/>
  <c r="P702" i="14"/>
  <c r="J693" i="12"/>
  <c r="L693" i="12" s="1"/>
  <c r="K692" i="12"/>
  <c r="P692" i="12"/>
  <c r="M692" i="12"/>
  <c r="N692" i="12" s="1"/>
  <c r="O692" i="12"/>
  <c r="F692" i="12"/>
  <c r="C692" i="12"/>
  <c r="D692" i="12"/>
  <c r="E692" i="12" s="1"/>
  <c r="A693" i="12"/>
  <c r="B692" i="12"/>
  <c r="G692" i="12"/>
  <c r="L692" i="8"/>
  <c r="T691" i="8"/>
  <c r="S691" i="8"/>
  <c r="R691" i="8"/>
  <c r="Q691" i="8"/>
  <c r="P691" i="8"/>
  <c r="O691" i="8"/>
  <c r="M691" i="8"/>
  <c r="N691" i="8"/>
  <c r="A692" i="8"/>
  <c r="G691" i="8"/>
  <c r="H691" i="8"/>
  <c r="F691" i="8"/>
  <c r="AG690" i="8" s="1"/>
  <c r="D691" i="8"/>
  <c r="E691" i="8" s="1"/>
  <c r="B691" i="8"/>
  <c r="C691" i="8"/>
  <c r="L741" i="14" l="1"/>
  <c r="N740" i="14"/>
  <c r="O740" i="14"/>
  <c r="M703" i="14"/>
  <c r="Q703" i="14"/>
  <c r="P703" i="14"/>
  <c r="P693" i="12"/>
  <c r="J694" i="12"/>
  <c r="L694" i="12" s="1"/>
  <c r="O693" i="12"/>
  <c r="K693" i="12"/>
  <c r="M693" i="12"/>
  <c r="N693" i="12" s="1"/>
  <c r="F693" i="12"/>
  <c r="C693" i="12"/>
  <c r="D693" i="12"/>
  <c r="E693" i="12" s="1"/>
  <c r="A694" i="12"/>
  <c r="B693" i="12"/>
  <c r="G693" i="12"/>
  <c r="L693" i="8"/>
  <c r="S692" i="8"/>
  <c r="T692" i="8"/>
  <c r="R692" i="8"/>
  <c r="Q692" i="8"/>
  <c r="P692" i="8"/>
  <c r="O692" i="8"/>
  <c r="M692" i="8"/>
  <c r="N692" i="8"/>
  <c r="A693" i="8"/>
  <c r="G692" i="8"/>
  <c r="F692" i="8"/>
  <c r="AG691" i="8" s="1"/>
  <c r="H692" i="8"/>
  <c r="C692" i="8"/>
  <c r="D692" i="8"/>
  <c r="E692" i="8" s="1"/>
  <c r="B692" i="8"/>
  <c r="L742" i="14" l="1"/>
  <c r="N741" i="14"/>
  <c r="O741" i="14"/>
  <c r="Q704" i="14"/>
  <c r="P704" i="14"/>
  <c r="M704" i="14"/>
  <c r="O694" i="12"/>
  <c r="J695" i="12"/>
  <c r="L695" i="12" s="1"/>
  <c r="M694" i="12"/>
  <c r="N694" i="12" s="1"/>
  <c r="K694" i="12"/>
  <c r="P694" i="12"/>
  <c r="F694" i="12"/>
  <c r="C694" i="12"/>
  <c r="D694" i="12"/>
  <c r="E694" i="12" s="1"/>
  <c r="G694" i="12"/>
  <c r="A695" i="12"/>
  <c r="B694" i="12"/>
  <c r="L694" i="8"/>
  <c r="T693" i="8"/>
  <c r="S693" i="8"/>
  <c r="R693" i="8"/>
  <c r="Q693" i="8"/>
  <c r="P693" i="8"/>
  <c r="O693" i="8"/>
  <c r="M693" i="8"/>
  <c r="N693" i="8"/>
  <c r="A694" i="8"/>
  <c r="H693" i="8"/>
  <c r="F693" i="8"/>
  <c r="AG692" i="8" s="1"/>
  <c r="G693" i="8"/>
  <c r="D693" i="8"/>
  <c r="E693" i="8" s="1"/>
  <c r="C693" i="8"/>
  <c r="B693" i="8"/>
  <c r="L743" i="14" l="1"/>
  <c r="N742" i="14"/>
  <c r="O742" i="14"/>
  <c r="P705" i="14"/>
  <c r="Q705" i="14"/>
  <c r="M705" i="14"/>
  <c r="J696" i="12"/>
  <c r="L696" i="12" s="1"/>
  <c r="K695" i="12"/>
  <c r="O695" i="12"/>
  <c r="M695" i="12"/>
  <c r="N695" i="12" s="1"/>
  <c r="P695" i="12"/>
  <c r="F695" i="12"/>
  <c r="C695" i="12"/>
  <c r="D695" i="12"/>
  <c r="E695" i="12" s="1"/>
  <c r="G695" i="12"/>
  <c r="A696" i="12"/>
  <c r="B695" i="12"/>
  <c r="L695" i="8"/>
  <c r="T694" i="8"/>
  <c r="S694" i="8"/>
  <c r="R694" i="8"/>
  <c r="Q694" i="8"/>
  <c r="P694" i="8"/>
  <c r="O694" i="8"/>
  <c r="M694" i="8"/>
  <c r="N694" i="8"/>
  <c r="A695" i="8"/>
  <c r="G694" i="8"/>
  <c r="H694" i="8"/>
  <c r="F694" i="8"/>
  <c r="AG693" i="8" s="1"/>
  <c r="C694" i="8"/>
  <c r="D694" i="8"/>
  <c r="E694" i="8" s="1"/>
  <c r="B694" i="8"/>
  <c r="L744" i="14" l="1"/>
  <c r="N743" i="14"/>
  <c r="O743" i="14"/>
  <c r="Q706" i="14"/>
  <c r="P706" i="14"/>
  <c r="M706" i="14"/>
  <c r="M696" i="12"/>
  <c r="N696" i="12" s="1"/>
  <c r="J697" i="12"/>
  <c r="L697" i="12" s="1"/>
  <c r="P696" i="12"/>
  <c r="O696" i="12"/>
  <c r="K696" i="12"/>
  <c r="F696" i="12"/>
  <c r="C696" i="12"/>
  <c r="D696" i="12"/>
  <c r="E696" i="12" s="1"/>
  <c r="A697" i="12"/>
  <c r="B696" i="12"/>
  <c r="G696" i="12"/>
  <c r="L696" i="8"/>
  <c r="T695" i="8"/>
  <c r="S695" i="8"/>
  <c r="R695" i="8"/>
  <c r="Q695" i="8"/>
  <c r="P695" i="8"/>
  <c r="M695" i="8"/>
  <c r="O695" i="8"/>
  <c r="N695" i="8"/>
  <c r="A696" i="8"/>
  <c r="G695" i="8"/>
  <c r="F695" i="8"/>
  <c r="AG694" i="8" s="1"/>
  <c r="H695" i="8"/>
  <c r="C695" i="8"/>
  <c r="D695" i="8"/>
  <c r="E695" i="8" s="1"/>
  <c r="B695" i="8"/>
  <c r="L745" i="14" l="1"/>
  <c r="N744" i="14"/>
  <c r="O744" i="14"/>
  <c r="M707" i="14"/>
  <c r="Q707" i="14"/>
  <c r="P707" i="14"/>
  <c r="J698" i="12"/>
  <c r="L698" i="12" s="1"/>
  <c r="P697" i="12"/>
  <c r="K697" i="12"/>
  <c r="O697" i="12"/>
  <c r="M697" i="12"/>
  <c r="N697" i="12" s="1"/>
  <c r="F697" i="12"/>
  <c r="C697" i="12"/>
  <c r="D697" i="12"/>
  <c r="E697" i="12" s="1"/>
  <c r="G697" i="12"/>
  <c r="B697" i="12"/>
  <c r="A698" i="12"/>
  <c r="L697" i="8"/>
  <c r="T696" i="8"/>
  <c r="S696" i="8"/>
  <c r="R696" i="8"/>
  <c r="Q696" i="8"/>
  <c r="P696" i="8"/>
  <c r="M696" i="8"/>
  <c r="O696" i="8"/>
  <c r="N696" i="8"/>
  <c r="A697" i="8"/>
  <c r="F696" i="8"/>
  <c r="AG695" i="8" s="1"/>
  <c r="H696" i="8"/>
  <c r="G696" i="8"/>
  <c r="D696" i="8"/>
  <c r="E696" i="8" s="1"/>
  <c r="C696" i="8"/>
  <c r="B696" i="8"/>
  <c r="L746" i="14" l="1"/>
  <c r="N745" i="14"/>
  <c r="O745" i="14"/>
  <c r="P708" i="14"/>
  <c r="Q708" i="14"/>
  <c r="M708" i="14"/>
  <c r="J699" i="12"/>
  <c r="L699" i="12" s="1"/>
  <c r="K698" i="12"/>
  <c r="O698" i="12"/>
  <c r="M698" i="12"/>
  <c r="N698" i="12" s="1"/>
  <c r="P698" i="12"/>
  <c r="F698" i="12"/>
  <c r="D698" i="12"/>
  <c r="E698" i="12" s="1"/>
  <c r="C698" i="12"/>
  <c r="G698" i="12"/>
  <c r="B698" i="12"/>
  <c r="A699" i="12"/>
  <c r="L698" i="8"/>
  <c r="T697" i="8"/>
  <c r="S697" i="8"/>
  <c r="R697" i="8"/>
  <c r="Q697" i="8"/>
  <c r="O697" i="8"/>
  <c r="P697" i="8"/>
  <c r="M697" i="8"/>
  <c r="N697" i="8"/>
  <c r="A698" i="8"/>
  <c r="H697" i="8"/>
  <c r="G697" i="8"/>
  <c r="F697" i="8"/>
  <c r="AG696" i="8" s="1"/>
  <c r="D697" i="8"/>
  <c r="E697" i="8" s="1"/>
  <c r="B697" i="8"/>
  <c r="C697" i="8"/>
  <c r="L747" i="14" l="1"/>
  <c r="N746" i="14"/>
  <c r="O746" i="14"/>
  <c r="M709" i="14"/>
  <c r="P709" i="14"/>
  <c r="Q709" i="14"/>
  <c r="P699" i="12"/>
  <c r="K699" i="12"/>
  <c r="J700" i="12"/>
  <c r="L700" i="12" s="1"/>
  <c r="M699" i="12"/>
  <c r="N699" i="12" s="1"/>
  <c r="O699" i="12"/>
  <c r="F699" i="12"/>
  <c r="C699" i="12"/>
  <c r="D699" i="12"/>
  <c r="B699" i="12"/>
  <c r="E699" i="12"/>
  <c r="A700" i="12"/>
  <c r="G699" i="12"/>
  <c r="L699" i="8"/>
  <c r="T698" i="8"/>
  <c r="S698" i="8"/>
  <c r="R698" i="8"/>
  <c r="Q698" i="8"/>
  <c r="O698" i="8"/>
  <c r="P698" i="8"/>
  <c r="M698" i="8"/>
  <c r="N698" i="8"/>
  <c r="A699" i="8"/>
  <c r="G698" i="8"/>
  <c r="H698" i="8"/>
  <c r="F698" i="8"/>
  <c r="AG697" i="8" s="1"/>
  <c r="D698" i="8"/>
  <c r="E698" i="8" s="1"/>
  <c r="C698" i="8"/>
  <c r="B698" i="8"/>
  <c r="L748" i="14" l="1"/>
  <c r="N747" i="14"/>
  <c r="O747" i="14"/>
  <c r="M710" i="14"/>
  <c r="P710" i="14"/>
  <c r="Q710" i="14"/>
  <c r="O700" i="12"/>
  <c r="K700" i="12"/>
  <c r="M700" i="12"/>
  <c r="N700" i="12" s="1"/>
  <c r="P700" i="12"/>
  <c r="J701" i="12"/>
  <c r="L701" i="12" s="1"/>
  <c r="F700" i="12"/>
  <c r="C700" i="12"/>
  <c r="D700" i="12"/>
  <c r="E700" i="12"/>
  <c r="G700" i="12"/>
  <c r="A701" i="12"/>
  <c r="B700" i="12"/>
  <c r="L700" i="8"/>
  <c r="T699" i="8"/>
  <c r="R699" i="8"/>
  <c r="S699" i="8"/>
  <c r="Q699" i="8"/>
  <c r="P699" i="8"/>
  <c r="O699" i="8"/>
  <c r="M699" i="8"/>
  <c r="N699" i="8"/>
  <c r="A700" i="8"/>
  <c r="G699" i="8"/>
  <c r="H699" i="8"/>
  <c r="F699" i="8"/>
  <c r="AG698" i="8" s="1"/>
  <c r="C699" i="8"/>
  <c r="B699" i="8"/>
  <c r="D699" i="8"/>
  <c r="E699" i="8" s="1"/>
  <c r="L749" i="14" l="1"/>
  <c r="N748" i="14"/>
  <c r="O748" i="14"/>
  <c r="M711" i="14"/>
  <c r="Q711" i="14"/>
  <c r="P711" i="14"/>
  <c r="K701" i="12"/>
  <c r="P701" i="12"/>
  <c r="O701" i="12"/>
  <c r="J702" i="12"/>
  <c r="L702" i="12" s="1"/>
  <c r="M701" i="12"/>
  <c r="N701" i="12" s="1"/>
  <c r="F701" i="12"/>
  <c r="C701" i="12"/>
  <c r="D701" i="12"/>
  <c r="E701" i="12" s="1"/>
  <c r="A702" i="12"/>
  <c r="G701" i="12"/>
  <c r="B701" i="12"/>
  <c r="L701" i="8"/>
  <c r="T700" i="8"/>
  <c r="R700" i="8"/>
  <c r="S700" i="8"/>
  <c r="Q700" i="8"/>
  <c r="O700" i="8"/>
  <c r="P700" i="8"/>
  <c r="M700" i="8"/>
  <c r="N700" i="8"/>
  <c r="A701" i="8"/>
  <c r="G700" i="8"/>
  <c r="H700" i="8"/>
  <c r="F700" i="8"/>
  <c r="AG699" i="8" s="1"/>
  <c r="C700" i="8"/>
  <c r="D700" i="8"/>
  <c r="E700" i="8" s="1"/>
  <c r="B700" i="8"/>
  <c r="L750" i="14" l="1"/>
  <c r="N749" i="14"/>
  <c r="O749" i="14"/>
  <c r="Q712" i="14"/>
  <c r="P712" i="14"/>
  <c r="M712" i="14"/>
  <c r="M702" i="12"/>
  <c r="N702" i="12" s="1"/>
  <c r="K702" i="12"/>
  <c r="J703" i="12"/>
  <c r="L703" i="12" s="1"/>
  <c r="P702" i="12"/>
  <c r="O702" i="12"/>
  <c r="F702" i="12"/>
  <c r="C702" i="12"/>
  <c r="D702" i="12"/>
  <c r="E702" i="12" s="1"/>
  <c r="B702" i="12"/>
  <c r="G702" i="12"/>
  <c r="A703" i="12"/>
  <c r="L702" i="8"/>
  <c r="T701" i="8"/>
  <c r="S701" i="8"/>
  <c r="R701" i="8"/>
  <c r="Q701" i="8"/>
  <c r="P701" i="8"/>
  <c r="O701" i="8"/>
  <c r="M701" i="8"/>
  <c r="N701" i="8"/>
  <c r="A702" i="8"/>
  <c r="H701" i="8"/>
  <c r="G701" i="8"/>
  <c r="F701" i="8"/>
  <c r="AG700" i="8" s="1"/>
  <c r="D701" i="8"/>
  <c r="E701" i="8" s="1"/>
  <c r="C701" i="8"/>
  <c r="B701" i="8"/>
  <c r="L751" i="14" l="1"/>
  <c r="N750" i="14"/>
  <c r="O750" i="14"/>
  <c r="P713" i="14"/>
  <c r="M713" i="14"/>
  <c r="Q713" i="14"/>
  <c r="K703" i="12"/>
  <c r="O703" i="12"/>
  <c r="J704" i="12"/>
  <c r="L704" i="12" s="1"/>
  <c r="M703" i="12"/>
  <c r="N703" i="12" s="1"/>
  <c r="P703" i="12"/>
  <c r="F703" i="12"/>
  <c r="C703" i="12"/>
  <c r="D703" i="12"/>
  <c r="E703" i="12" s="1"/>
  <c r="A704" i="12"/>
  <c r="B703" i="12"/>
  <c r="G703" i="12"/>
  <c r="L703" i="8"/>
  <c r="S702" i="8"/>
  <c r="T702" i="8"/>
  <c r="R702" i="8"/>
  <c r="Q702" i="8"/>
  <c r="P702" i="8"/>
  <c r="O702" i="8"/>
  <c r="M702" i="8"/>
  <c r="N702" i="8"/>
  <c r="A703" i="8"/>
  <c r="G702" i="8"/>
  <c r="H702" i="8"/>
  <c r="F702" i="8"/>
  <c r="AG701" i="8" s="1"/>
  <c r="C702" i="8"/>
  <c r="D702" i="8"/>
  <c r="E702" i="8" s="1"/>
  <c r="B702" i="8"/>
  <c r="L752" i="14" l="1"/>
  <c r="N751" i="14"/>
  <c r="O751" i="14"/>
  <c r="M714" i="14"/>
  <c r="Q714" i="14"/>
  <c r="P714" i="14"/>
  <c r="J705" i="12"/>
  <c r="L705" i="12" s="1"/>
  <c r="K704" i="12"/>
  <c r="P704" i="12"/>
  <c r="M704" i="12"/>
  <c r="N704" i="12" s="1"/>
  <c r="O704" i="12"/>
  <c r="F704" i="12"/>
  <c r="D704" i="12"/>
  <c r="C704" i="12"/>
  <c r="E704" i="12"/>
  <c r="A705" i="12"/>
  <c r="G704" i="12"/>
  <c r="B704" i="12"/>
  <c r="L704" i="8"/>
  <c r="T703" i="8"/>
  <c r="S703" i="8"/>
  <c r="R703" i="8"/>
  <c r="Q703" i="8"/>
  <c r="P703" i="8"/>
  <c r="M703" i="8"/>
  <c r="O703" i="8"/>
  <c r="N703" i="8"/>
  <c r="A704" i="8"/>
  <c r="G703" i="8"/>
  <c r="F703" i="8"/>
  <c r="AG702" i="8" s="1"/>
  <c r="H703" i="8"/>
  <c r="C703" i="8"/>
  <c r="D703" i="8"/>
  <c r="E703" i="8" s="1"/>
  <c r="B703" i="8"/>
  <c r="L753" i="14" l="1"/>
  <c r="N752" i="14"/>
  <c r="O752" i="14"/>
  <c r="M715" i="14"/>
  <c r="P715" i="14"/>
  <c r="Q715" i="14"/>
  <c r="P705" i="12"/>
  <c r="M705" i="12"/>
  <c r="N705" i="12" s="1"/>
  <c r="O705" i="12"/>
  <c r="K705" i="12"/>
  <c r="J706" i="12"/>
  <c r="L706" i="12" s="1"/>
  <c r="F705" i="12"/>
  <c r="D705" i="12"/>
  <c r="E705" i="12" s="1"/>
  <c r="C705" i="12"/>
  <c r="B705" i="12"/>
  <c r="G705" i="12"/>
  <c r="A706" i="12"/>
  <c r="L705" i="8"/>
  <c r="T704" i="8"/>
  <c r="R704" i="8"/>
  <c r="S704" i="8"/>
  <c r="Q704" i="8"/>
  <c r="P704" i="8"/>
  <c r="M704" i="8"/>
  <c r="O704" i="8"/>
  <c r="N704" i="8"/>
  <c r="A705" i="8"/>
  <c r="F704" i="8"/>
  <c r="AG703" i="8" s="1"/>
  <c r="H704" i="8"/>
  <c r="G704" i="8"/>
  <c r="D704" i="8"/>
  <c r="E704" i="8" s="1"/>
  <c r="C704" i="8"/>
  <c r="B704" i="8"/>
  <c r="L754" i="14" l="1"/>
  <c r="N753" i="14"/>
  <c r="O753" i="14"/>
  <c r="P716" i="14"/>
  <c r="Q716" i="14"/>
  <c r="M716" i="14"/>
  <c r="O706" i="12"/>
  <c r="K706" i="12"/>
  <c r="P706" i="12"/>
  <c r="J707" i="12"/>
  <c r="L707" i="12" s="1"/>
  <c r="M706" i="12"/>
  <c r="N706" i="12" s="1"/>
  <c r="F706" i="12"/>
  <c r="C706" i="12"/>
  <c r="D706" i="12"/>
  <c r="E706" i="12" s="1"/>
  <c r="B706" i="12"/>
  <c r="G706" i="12"/>
  <c r="A707" i="12"/>
  <c r="L706" i="8"/>
  <c r="T705" i="8"/>
  <c r="S705" i="8"/>
  <c r="R705" i="8"/>
  <c r="Q705" i="8"/>
  <c r="O705" i="8"/>
  <c r="P705" i="8"/>
  <c r="M705" i="8"/>
  <c r="N705" i="8"/>
  <c r="A706" i="8"/>
  <c r="H705" i="8"/>
  <c r="G705" i="8"/>
  <c r="F705" i="8"/>
  <c r="AG704" i="8" s="1"/>
  <c r="D705" i="8"/>
  <c r="E705" i="8" s="1"/>
  <c r="B705" i="8"/>
  <c r="C705" i="8"/>
  <c r="L755" i="14" l="1"/>
  <c r="N754" i="14"/>
  <c r="O754" i="14"/>
  <c r="M717" i="14"/>
  <c r="P717" i="14"/>
  <c r="Q717" i="14"/>
  <c r="M707" i="12"/>
  <c r="N707" i="12" s="1"/>
  <c r="J708" i="12"/>
  <c r="L708" i="12" s="1"/>
  <c r="P707" i="12"/>
  <c r="O707" i="12"/>
  <c r="K707" i="12"/>
  <c r="F707" i="12"/>
  <c r="C707" i="12"/>
  <c r="D707" i="12"/>
  <c r="E707" i="12" s="1"/>
  <c r="G707" i="12"/>
  <c r="A708" i="12"/>
  <c r="B707" i="12"/>
  <c r="L707" i="8"/>
  <c r="S706" i="8"/>
  <c r="R706" i="8"/>
  <c r="T706" i="8"/>
  <c r="Q706" i="8"/>
  <c r="O706" i="8"/>
  <c r="P706" i="8"/>
  <c r="M706" i="8"/>
  <c r="N706" i="8"/>
  <c r="A707" i="8"/>
  <c r="G706" i="8"/>
  <c r="H706" i="8"/>
  <c r="F706" i="8"/>
  <c r="AG705" i="8" s="1"/>
  <c r="D706" i="8"/>
  <c r="E706" i="8" s="1"/>
  <c r="B706" i="8"/>
  <c r="C706" i="8"/>
  <c r="L756" i="14" l="1"/>
  <c r="N755" i="14"/>
  <c r="O755" i="14"/>
  <c r="Q718" i="14"/>
  <c r="P718" i="14"/>
  <c r="M718" i="14"/>
  <c r="M708" i="12"/>
  <c r="N708" i="12" s="1"/>
  <c r="O708" i="12"/>
  <c r="J709" i="12"/>
  <c r="L709" i="12" s="1"/>
  <c r="K708" i="12"/>
  <c r="P708" i="12"/>
  <c r="F708" i="12"/>
  <c r="C708" i="12"/>
  <c r="D708" i="12"/>
  <c r="E708" i="12" s="1"/>
  <c r="B708" i="12"/>
  <c r="G708" i="12"/>
  <c r="A709" i="12"/>
  <c r="L708" i="8"/>
  <c r="T707" i="8"/>
  <c r="S707" i="8"/>
  <c r="R707" i="8"/>
  <c r="Q707" i="8"/>
  <c r="P707" i="8"/>
  <c r="M707" i="8"/>
  <c r="O707" i="8"/>
  <c r="N707" i="8"/>
  <c r="A708" i="8"/>
  <c r="G707" i="8"/>
  <c r="H707" i="8"/>
  <c r="F707" i="8"/>
  <c r="AG706" i="8" s="1"/>
  <c r="D707" i="8"/>
  <c r="E707" i="8" s="1"/>
  <c r="B707" i="8"/>
  <c r="C707" i="8"/>
  <c r="L757" i="14" l="1"/>
  <c r="N756" i="14"/>
  <c r="O756" i="14"/>
  <c r="P719" i="14"/>
  <c r="Q719" i="14"/>
  <c r="M719" i="14"/>
  <c r="M709" i="12"/>
  <c r="N709" i="12" s="1"/>
  <c r="P709" i="12"/>
  <c r="K709" i="12"/>
  <c r="O709" i="12"/>
  <c r="J710" i="12"/>
  <c r="L710" i="12" s="1"/>
  <c r="F709" i="12"/>
  <c r="C709" i="12"/>
  <c r="D709" i="12"/>
  <c r="E709" i="12" s="1"/>
  <c r="B709" i="12"/>
  <c r="A710" i="12"/>
  <c r="G709" i="12"/>
  <c r="L709" i="8"/>
  <c r="T708" i="8"/>
  <c r="S708" i="8"/>
  <c r="R708" i="8"/>
  <c r="Q708" i="8"/>
  <c r="O708" i="8"/>
  <c r="P708" i="8"/>
  <c r="M708" i="8"/>
  <c r="N708" i="8"/>
  <c r="A709" i="8"/>
  <c r="G708" i="8"/>
  <c r="F708" i="8"/>
  <c r="AG707" i="8" s="1"/>
  <c r="H708" i="8"/>
  <c r="D708" i="8"/>
  <c r="E708" i="8" s="1"/>
  <c r="C708" i="8"/>
  <c r="B708" i="8"/>
  <c r="L758" i="14" l="1"/>
  <c r="N757" i="14"/>
  <c r="O757" i="14"/>
  <c r="M720" i="14"/>
  <c r="P720" i="14"/>
  <c r="Q720" i="14"/>
  <c r="J711" i="12"/>
  <c r="L711" i="12" s="1"/>
  <c r="K710" i="12"/>
  <c r="M710" i="12"/>
  <c r="N710" i="12" s="1"/>
  <c r="O710" i="12"/>
  <c r="P710" i="12"/>
  <c r="F710" i="12"/>
  <c r="D710" i="12"/>
  <c r="C710" i="12"/>
  <c r="E710" i="12"/>
  <c r="A711" i="12"/>
  <c r="B710" i="12"/>
  <c r="G710" i="12"/>
  <c r="L710" i="8"/>
  <c r="T709" i="8"/>
  <c r="S709" i="8"/>
  <c r="R709" i="8"/>
  <c r="Q709" i="8"/>
  <c r="O709" i="8"/>
  <c r="P709" i="8"/>
  <c r="M709" i="8"/>
  <c r="N709" i="8"/>
  <c r="A710" i="8"/>
  <c r="H709" i="8"/>
  <c r="G709" i="8"/>
  <c r="D709" i="8"/>
  <c r="E709" i="8" s="1"/>
  <c r="F709" i="8"/>
  <c r="AG708" i="8" s="1"/>
  <c r="C709" i="8"/>
  <c r="B709" i="8"/>
  <c r="L759" i="14" l="1"/>
  <c r="N758" i="14"/>
  <c r="O758" i="14"/>
  <c r="P721" i="14"/>
  <c r="M721" i="14"/>
  <c r="Q721" i="14"/>
  <c r="P711" i="12"/>
  <c r="M711" i="12"/>
  <c r="N711" i="12" s="1"/>
  <c r="K711" i="12"/>
  <c r="O711" i="12"/>
  <c r="J712" i="12"/>
  <c r="L712" i="12" s="1"/>
  <c r="F711" i="12"/>
  <c r="D711" i="12"/>
  <c r="E711" i="12" s="1"/>
  <c r="C711" i="12"/>
  <c r="B711" i="12"/>
  <c r="G711" i="12"/>
  <c r="A712" i="12"/>
  <c r="L711" i="8"/>
  <c r="T710" i="8"/>
  <c r="S710" i="8"/>
  <c r="R710" i="8"/>
  <c r="Q710" i="8"/>
  <c r="P710" i="8"/>
  <c r="O710" i="8"/>
  <c r="M710" i="8"/>
  <c r="N710" i="8"/>
  <c r="A711" i="8"/>
  <c r="G710" i="8"/>
  <c r="H710" i="8"/>
  <c r="C710" i="8"/>
  <c r="F710" i="8"/>
  <c r="AG709" i="8" s="1"/>
  <c r="D710" i="8"/>
  <c r="E710" i="8" s="1"/>
  <c r="B710" i="8"/>
  <c r="L760" i="14" l="1"/>
  <c r="N759" i="14"/>
  <c r="O759" i="14"/>
  <c r="P722" i="14"/>
  <c r="Q722" i="14"/>
  <c r="M722" i="14"/>
  <c r="O712" i="12"/>
  <c r="M712" i="12"/>
  <c r="N712" i="12" s="1"/>
  <c r="K712" i="12"/>
  <c r="J713" i="12"/>
  <c r="L713" i="12" s="1"/>
  <c r="P712" i="12"/>
  <c r="F712" i="12"/>
  <c r="D712" i="12"/>
  <c r="C712" i="12"/>
  <c r="B712" i="12"/>
  <c r="E712" i="12"/>
  <c r="A713" i="12"/>
  <c r="G712" i="12"/>
  <c r="L712" i="8"/>
  <c r="T711" i="8"/>
  <c r="S711" i="8"/>
  <c r="R711" i="8"/>
  <c r="Q711" i="8"/>
  <c r="P711" i="8"/>
  <c r="O711" i="8"/>
  <c r="M711" i="8"/>
  <c r="N711" i="8"/>
  <c r="A712" i="8"/>
  <c r="G711" i="8"/>
  <c r="F711" i="8"/>
  <c r="AG710" i="8" s="1"/>
  <c r="C711" i="8"/>
  <c r="H711" i="8"/>
  <c r="B711" i="8"/>
  <c r="D711" i="8"/>
  <c r="E711" i="8" s="1"/>
  <c r="L761" i="14" l="1"/>
  <c r="N760" i="14"/>
  <c r="O760" i="14"/>
  <c r="M723" i="14"/>
  <c r="Q723" i="14"/>
  <c r="P723" i="14"/>
  <c r="M713" i="12"/>
  <c r="N713" i="12" s="1"/>
  <c r="O713" i="12"/>
  <c r="K713" i="12"/>
  <c r="J714" i="12"/>
  <c r="L714" i="12" s="1"/>
  <c r="P713" i="12"/>
  <c r="F713" i="12"/>
  <c r="C713" i="12"/>
  <c r="D713" i="12"/>
  <c r="E713" i="12" s="1"/>
  <c r="G713" i="12"/>
  <c r="B713" i="12"/>
  <c r="A714" i="12"/>
  <c r="L713" i="8"/>
  <c r="T712" i="8"/>
  <c r="S712" i="8"/>
  <c r="R712" i="8"/>
  <c r="Q712" i="8"/>
  <c r="P712" i="8"/>
  <c r="O712" i="8"/>
  <c r="M712" i="8"/>
  <c r="N712" i="8"/>
  <c r="A713" i="8"/>
  <c r="F712" i="8"/>
  <c r="AG711" i="8" s="1"/>
  <c r="H712" i="8"/>
  <c r="G712" i="8"/>
  <c r="D712" i="8"/>
  <c r="E712" i="8" s="1"/>
  <c r="C712" i="8"/>
  <c r="B712" i="8"/>
  <c r="L762" i="14" l="1"/>
  <c r="N761" i="14"/>
  <c r="O761" i="14"/>
  <c r="Q724" i="14"/>
  <c r="M724" i="14"/>
  <c r="P724" i="14"/>
  <c r="M714" i="12"/>
  <c r="N714" i="12" s="1"/>
  <c r="P714" i="12"/>
  <c r="O714" i="12"/>
  <c r="K714" i="12"/>
  <c r="J715" i="12"/>
  <c r="L715" i="12" s="1"/>
  <c r="F714" i="12"/>
  <c r="C714" i="12"/>
  <c r="D714" i="12"/>
  <c r="E714" i="12" s="1"/>
  <c r="B714" i="12"/>
  <c r="G714" i="12"/>
  <c r="A715" i="12"/>
  <c r="L714" i="8"/>
  <c r="T713" i="8"/>
  <c r="S713" i="8"/>
  <c r="R713" i="8"/>
  <c r="Q713" i="8"/>
  <c r="P713" i="8"/>
  <c r="O713" i="8"/>
  <c r="M713" i="8"/>
  <c r="N713" i="8"/>
  <c r="A714" i="8"/>
  <c r="H713" i="8"/>
  <c r="G713" i="8"/>
  <c r="F713" i="8"/>
  <c r="AG712" i="8" s="1"/>
  <c r="D713" i="8"/>
  <c r="E713" i="8" s="1"/>
  <c r="C713" i="8"/>
  <c r="B713" i="8"/>
  <c r="L763" i="14" l="1"/>
  <c r="N762" i="14"/>
  <c r="O762" i="14"/>
  <c r="P725" i="14"/>
  <c r="M725" i="14"/>
  <c r="Q725" i="14"/>
  <c r="J716" i="12"/>
  <c r="L716" i="12" s="1"/>
  <c r="P715" i="12"/>
  <c r="O715" i="12"/>
  <c r="M715" i="12"/>
  <c r="N715" i="12" s="1"/>
  <c r="K715" i="12"/>
  <c r="F715" i="12"/>
  <c r="C715" i="12"/>
  <c r="D715" i="12"/>
  <c r="E715" i="12" s="1"/>
  <c r="G715" i="12"/>
  <c r="B715" i="12"/>
  <c r="A716" i="12"/>
  <c r="L715" i="8"/>
  <c r="T714" i="8"/>
  <c r="R714" i="8"/>
  <c r="S714" i="8"/>
  <c r="Q714" i="8"/>
  <c r="P714" i="8"/>
  <c r="O714" i="8"/>
  <c r="M714" i="8"/>
  <c r="N714" i="8"/>
  <c r="A715" i="8"/>
  <c r="G714" i="8"/>
  <c r="H714" i="8"/>
  <c r="F714" i="8"/>
  <c r="AG713" i="8" s="1"/>
  <c r="D714" i="8"/>
  <c r="E714" i="8" s="1"/>
  <c r="C714" i="8"/>
  <c r="B714" i="8"/>
  <c r="L764" i="14" l="1"/>
  <c r="N763" i="14"/>
  <c r="O763" i="14"/>
  <c r="P726" i="14"/>
  <c r="M726" i="14"/>
  <c r="Q726" i="14"/>
  <c r="J717" i="12"/>
  <c r="L717" i="12" s="1"/>
  <c r="K716" i="12"/>
  <c r="P716" i="12"/>
  <c r="O716" i="12"/>
  <c r="M716" i="12"/>
  <c r="N716" i="12" s="1"/>
  <c r="F716" i="12"/>
  <c r="D716" i="12"/>
  <c r="C716" i="12"/>
  <c r="E716" i="12"/>
  <c r="B716" i="12"/>
  <c r="G716" i="12"/>
  <c r="A717" i="12"/>
  <c r="L716" i="8"/>
  <c r="T715" i="8"/>
  <c r="R715" i="8"/>
  <c r="S715" i="8"/>
  <c r="Q715" i="8"/>
  <c r="P715" i="8"/>
  <c r="O715" i="8"/>
  <c r="M715" i="8"/>
  <c r="N715" i="8"/>
  <c r="A716" i="8"/>
  <c r="G715" i="8"/>
  <c r="H715" i="8"/>
  <c r="F715" i="8"/>
  <c r="AG714" i="8" s="1"/>
  <c r="C715" i="8"/>
  <c r="D715" i="8"/>
  <c r="E715" i="8" s="1"/>
  <c r="B715" i="8"/>
  <c r="L765" i="14" l="1"/>
  <c r="N764" i="14"/>
  <c r="O764" i="14"/>
  <c r="P727" i="14"/>
  <c r="M727" i="14"/>
  <c r="Q727" i="14"/>
  <c r="P717" i="12"/>
  <c r="K717" i="12"/>
  <c r="J718" i="12"/>
  <c r="L718" i="12" s="1"/>
  <c r="O717" i="12"/>
  <c r="M717" i="12"/>
  <c r="N717" i="12" s="1"/>
  <c r="F717" i="12"/>
  <c r="D717" i="12"/>
  <c r="E717" i="12" s="1"/>
  <c r="C717" i="12"/>
  <c r="B717" i="12"/>
  <c r="A718" i="12"/>
  <c r="G717" i="12"/>
  <c r="L717" i="8"/>
  <c r="T716" i="8"/>
  <c r="S716" i="8"/>
  <c r="R716" i="8"/>
  <c r="Q716" i="8"/>
  <c r="P716" i="8"/>
  <c r="O716" i="8"/>
  <c r="M716" i="8"/>
  <c r="N716" i="8"/>
  <c r="A717" i="8"/>
  <c r="G716" i="8"/>
  <c r="H716" i="8"/>
  <c r="F716" i="8"/>
  <c r="AG715" i="8" s="1"/>
  <c r="D716" i="8"/>
  <c r="E716" i="8" s="1"/>
  <c r="B716" i="8"/>
  <c r="C716" i="8"/>
  <c r="L766" i="14" l="1"/>
  <c r="N765" i="14"/>
  <c r="O765" i="14"/>
  <c r="P728" i="14"/>
  <c r="Q728" i="14"/>
  <c r="M728" i="14"/>
  <c r="O718" i="12"/>
  <c r="M718" i="12"/>
  <c r="N718" i="12" s="1"/>
  <c r="K718" i="12"/>
  <c r="J719" i="12"/>
  <c r="L719" i="12" s="1"/>
  <c r="P718" i="12"/>
  <c r="F718" i="12"/>
  <c r="D718" i="12"/>
  <c r="C718" i="12"/>
  <c r="E718" i="12"/>
  <c r="B718" i="12"/>
  <c r="A719" i="12"/>
  <c r="G718" i="12"/>
  <c r="L718" i="8"/>
  <c r="T717" i="8"/>
  <c r="R717" i="8"/>
  <c r="S717" i="8"/>
  <c r="Q717" i="8"/>
  <c r="P717" i="8"/>
  <c r="O717" i="8"/>
  <c r="M717" i="8"/>
  <c r="N717" i="8"/>
  <c r="A718" i="8"/>
  <c r="H717" i="8"/>
  <c r="F717" i="8"/>
  <c r="AG716" i="8" s="1"/>
  <c r="G717" i="8"/>
  <c r="D717" i="8"/>
  <c r="E717" i="8" s="1"/>
  <c r="C717" i="8"/>
  <c r="B717" i="8"/>
  <c r="L767" i="14" l="1"/>
  <c r="N766" i="14"/>
  <c r="O766" i="14"/>
  <c r="M729" i="14"/>
  <c r="P729" i="14"/>
  <c r="Q729" i="14"/>
  <c r="O719" i="12"/>
  <c r="P719" i="12"/>
  <c r="M719" i="12"/>
  <c r="N719" i="12" s="1"/>
  <c r="K719" i="12"/>
  <c r="J720" i="12"/>
  <c r="L720" i="12" s="1"/>
  <c r="F719" i="12"/>
  <c r="D719" i="12"/>
  <c r="C719" i="12"/>
  <c r="E719" i="12"/>
  <c r="A720" i="12"/>
  <c r="B719" i="12"/>
  <c r="G719" i="12"/>
  <c r="L719" i="8"/>
  <c r="T718" i="8"/>
  <c r="R718" i="8"/>
  <c r="S718" i="8"/>
  <c r="Q718" i="8"/>
  <c r="P718" i="8"/>
  <c r="O718" i="8"/>
  <c r="M718" i="8"/>
  <c r="N718" i="8"/>
  <c r="A719" i="8"/>
  <c r="G718" i="8"/>
  <c r="H718" i="8"/>
  <c r="F718" i="8"/>
  <c r="AG717" i="8" s="1"/>
  <c r="D718" i="8"/>
  <c r="E718" i="8" s="1"/>
  <c r="C718" i="8"/>
  <c r="B718" i="8"/>
  <c r="L768" i="14" l="1"/>
  <c r="N767" i="14"/>
  <c r="O767" i="14"/>
  <c r="Q730" i="14"/>
  <c r="P730" i="14"/>
  <c r="M730" i="14"/>
  <c r="M720" i="12"/>
  <c r="N720" i="12" s="1"/>
  <c r="O720" i="12"/>
  <c r="J721" i="12"/>
  <c r="L721" i="12" s="1"/>
  <c r="P720" i="12"/>
  <c r="K720" i="12"/>
  <c r="F720" i="12"/>
  <c r="C720" i="12"/>
  <c r="D720" i="12"/>
  <c r="B720" i="12"/>
  <c r="E720" i="12"/>
  <c r="A721" i="12"/>
  <c r="G720" i="12"/>
  <c r="L720" i="8"/>
  <c r="T719" i="8"/>
  <c r="S719" i="8"/>
  <c r="R719" i="8"/>
  <c r="Q719" i="8"/>
  <c r="P719" i="8"/>
  <c r="M719" i="8"/>
  <c r="O719" i="8"/>
  <c r="N719" i="8"/>
  <c r="A720" i="8"/>
  <c r="G719" i="8"/>
  <c r="H719" i="8"/>
  <c r="F719" i="8"/>
  <c r="AG718" i="8" s="1"/>
  <c r="D719" i="8"/>
  <c r="E719" i="8" s="1"/>
  <c r="C719" i="8"/>
  <c r="B719" i="8"/>
  <c r="L769" i="14" l="1"/>
  <c r="N768" i="14"/>
  <c r="O768" i="14"/>
  <c r="P731" i="14"/>
  <c r="Q731" i="14"/>
  <c r="M731" i="14"/>
  <c r="O721" i="12"/>
  <c r="J722" i="12"/>
  <c r="L722" i="12" s="1"/>
  <c r="P721" i="12"/>
  <c r="M721" i="12"/>
  <c r="N721" i="12" s="1"/>
  <c r="K721" i="12"/>
  <c r="F721" i="12"/>
  <c r="C721" i="12"/>
  <c r="D721" i="12"/>
  <c r="E721" i="12" s="1"/>
  <c r="A722" i="12"/>
  <c r="B721" i="12"/>
  <c r="G721" i="12"/>
  <c r="L721" i="8"/>
  <c r="T720" i="8"/>
  <c r="S720" i="8"/>
  <c r="R720" i="8"/>
  <c r="Q720" i="8"/>
  <c r="P720" i="8"/>
  <c r="M720" i="8"/>
  <c r="O720" i="8"/>
  <c r="N720" i="8"/>
  <c r="A721" i="8"/>
  <c r="F720" i="8"/>
  <c r="AG719" i="8" s="1"/>
  <c r="H720" i="8"/>
  <c r="G720" i="8"/>
  <c r="D720" i="8"/>
  <c r="E720" i="8" s="1"/>
  <c r="C720" i="8"/>
  <c r="B720" i="8"/>
  <c r="L770" i="14" l="1"/>
  <c r="N769" i="14"/>
  <c r="O769" i="14"/>
  <c r="Q732" i="14"/>
  <c r="P732" i="14"/>
  <c r="M732" i="14"/>
  <c r="J723" i="12"/>
  <c r="L723" i="12" s="1"/>
  <c r="K722" i="12"/>
  <c r="O722" i="12"/>
  <c r="P722" i="12"/>
  <c r="M722" i="12"/>
  <c r="N722" i="12" s="1"/>
  <c r="F722" i="12"/>
  <c r="D722" i="12"/>
  <c r="C722" i="12"/>
  <c r="E722" i="12"/>
  <c r="G722" i="12"/>
  <c r="A723" i="12"/>
  <c r="B722" i="12"/>
  <c r="L722" i="8"/>
  <c r="T721" i="8"/>
  <c r="S721" i="8"/>
  <c r="R721" i="8"/>
  <c r="Q721" i="8"/>
  <c r="P721" i="8"/>
  <c r="O721" i="8"/>
  <c r="M721" i="8"/>
  <c r="N721" i="8"/>
  <c r="A722" i="8"/>
  <c r="H721" i="8"/>
  <c r="G721" i="8"/>
  <c r="F721" i="8"/>
  <c r="AG720" i="8" s="1"/>
  <c r="D721" i="8"/>
  <c r="E721" i="8" s="1"/>
  <c r="B721" i="8"/>
  <c r="C721" i="8"/>
  <c r="L771" i="14" l="1"/>
  <c r="N770" i="14"/>
  <c r="O770" i="14"/>
  <c r="Q733" i="14"/>
  <c r="P733" i="14"/>
  <c r="M733" i="14"/>
  <c r="P723" i="12"/>
  <c r="O723" i="12"/>
  <c r="M723" i="12"/>
  <c r="N723" i="12" s="1"/>
  <c r="K723" i="12"/>
  <c r="J724" i="12"/>
  <c r="L724" i="12" s="1"/>
  <c r="D723" i="12"/>
  <c r="E723" i="12" s="1"/>
  <c r="C723" i="12"/>
  <c r="B723" i="12"/>
  <c r="G723" i="12"/>
  <c r="F723" i="12"/>
  <c r="A724" i="12"/>
  <c r="L723" i="8"/>
  <c r="T722" i="8"/>
  <c r="S722" i="8"/>
  <c r="R722" i="8"/>
  <c r="Q722" i="8"/>
  <c r="P722" i="8"/>
  <c r="O722" i="8"/>
  <c r="M722" i="8"/>
  <c r="N722" i="8"/>
  <c r="A723" i="8"/>
  <c r="G722" i="8"/>
  <c r="H722" i="8"/>
  <c r="F722" i="8"/>
  <c r="AG721" i="8" s="1"/>
  <c r="D722" i="8"/>
  <c r="E722" i="8" s="1"/>
  <c r="B722" i="8"/>
  <c r="C722" i="8"/>
  <c r="L772" i="14" l="1"/>
  <c r="N771" i="14"/>
  <c r="O771" i="14"/>
  <c r="Q734" i="14"/>
  <c r="P734" i="14"/>
  <c r="M734" i="14"/>
  <c r="O724" i="12"/>
  <c r="M724" i="12"/>
  <c r="N724" i="12" s="1"/>
  <c r="P724" i="12"/>
  <c r="J725" i="12"/>
  <c r="L725" i="12" s="1"/>
  <c r="K724" i="12"/>
  <c r="D724" i="12"/>
  <c r="E724" i="12" s="1"/>
  <c r="C724" i="12"/>
  <c r="F724" i="12"/>
  <c r="G724" i="12"/>
  <c r="B724" i="12"/>
  <c r="A725" i="12"/>
  <c r="L724" i="8"/>
  <c r="T723" i="8"/>
  <c r="S723" i="8"/>
  <c r="R723" i="8"/>
  <c r="Q723" i="8"/>
  <c r="P723" i="8"/>
  <c r="O723" i="8"/>
  <c r="M723" i="8"/>
  <c r="N723" i="8"/>
  <c r="A724" i="8"/>
  <c r="G723" i="8"/>
  <c r="H723" i="8"/>
  <c r="F723" i="8"/>
  <c r="AG722" i="8" s="1"/>
  <c r="D723" i="8"/>
  <c r="E723" i="8" s="1"/>
  <c r="C723" i="8"/>
  <c r="B723" i="8"/>
  <c r="L773" i="14" l="1"/>
  <c r="N772" i="14"/>
  <c r="O772" i="14"/>
  <c r="M735" i="14"/>
  <c r="Q735" i="14"/>
  <c r="P735" i="14"/>
  <c r="M725" i="12"/>
  <c r="N725" i="12" s="1"/>
  <c r="P725" i="12"/>
  <c r="J726" i="12"/>
  <c r="L726" i="12" s="1"/>
  <c r="O725" i="12"/>
  <c r="K725" i="12"/>
  <c r="D725" i="12"/>
  <c r="E725" i="12" s="1"/>
  <c r="C725" i="12"/>
  <c r="F725" i="12"/>
  <c r="A726" i="12"/>
  <c r="B725" i="12"/>
  <c r="G725" i="12"/>
  <c r="L725" i="8"/>
  <c r="T724" i="8"/>
  <c r="S724" i="8"/>
  <c r="R724" i="8"/>
  <c r="Q724" i="8"/>
  <c r="P724" i="8"/>
  <c r="O724" i="8"/>
  <c r="M724" i="8"/>
  <c r="N724" i="8"/>
  <c r="A725" i="8"/>
  <c r="G724" i="8"/>
  <c r="H724" i="8"/>
  <c r="F724" i="8"/>
  <c r="AG723" i="8" s="1"/>
  <c r="C724" i="8"/>
  <c r="B724" i="8"/>
  <c r="D724" i="8"/>
  <c r="E724" i="8" s="1"/>
  <c r="L774" i="14" l="1"/>
  <c r="N773" i="14"/>
  <c r="O773" i="14"/>
  <c r="Q736" i="14"/>
  <c r="M736" i="14"/>
  <c r="P736" i="14"/>
  <c r="M726" i="12"/>
  <c r="N726" i="12" s="1"/>
  <c r="P726" i="12"/>
  <c r="K726" i="12"/>
  <c r="J727" i="12"/>
  <c r="L727" i="12" s="1"/>
  <c r="O726" i="12"/>
  <c r="C726" i="12"/>
  <c r="D726" i="12"/>
  <c r="E726" i="12" s="1"/>
  <c r="B726" i="12"/>
  <c r="F726" i="12"/>
  <c r="G726" i="12"/>
  <c r="A727" i="12"/>
  <c r="L726" i="8"/>
  <c r="T725" i="8"/>
  <c r="S725" i="8"/>
  <c r="R725" i="8"/>
  <c r="Q725" i="8"/>
  <c r="P725" i="8"/>
  <c r="O725" i="8"/>
  <c r="M725" i="8"/>
  <c r="N725" i="8"/>
  <c r="A726" i="8"/>
  <c r="H725" i="8"/>
  <c r="G725" i="8"/>
  <c r="F725" i="8"/>
  <c r="AG724" i="8" s="1"/>
  <c r="C725" i="8"/>
  <c r="D725" i="8"/>
  <c r="E725" i="8" s="1"/>
  <c r="B725" i="8"/>
  <c r="L775" i="14" l="1"/>
  <c r="N774" i="14"/>
  <c r="O774" i="14"/>
  <c r="P737" i="14"/>
  <c r="Q737" i="14"/>
  <c r="M737" i="14"/>
  <c r="P727" i="12"/>
  <c r="J728" i="12"/>
  <c r="L728" i="12" s="1"/>
  <c r="O727" i="12"/>
  <c r="M727" i="12"/>
  <c r="N727" i="12" s="1"/>
  <c r="K727" i="12"/>
  <c r="C727" i="12"/>
  <c r="D727" i="12"/>
  <c r="F727" i="12"/>
  <c r="E727" i="12"/>
  <c r="G727" i="12"/>
  <c r="A728" i="12"/>
  <c r="B727" i="12"/>
  <c r="L727" i="8"/>
  <c r="T726" i="8"/>
  <c r="S726" i="8"/>
  <c r="R726" i="8"/>
  <c r="Q726" i="8"/>
  <c r="P726" i="8"/>
  <c r="O726" i="8"/>
  <c r="M726" i="8"/>
  <c r="N726" i="8"/>
  <c r="A727" i="8"/>
  <c r="G726" i="8"/>
  <c r="H726" i="8"/>
  <c r="C726" i="8"/>
  <c r="F726" i="8"/>
  <c r="AG725" i="8" s="1"/>
  <c r="D726" i="8"/>
  <c r="E726" i="8" s="1"/>
  <c r="B726" i="8"/>
  <c r="L776" i="14" l="1"/>
  <c r="N775" i="14"/>
  <c r="O775" i="14"/>
  <c r="P738" i="14"/>
  <c r="M738" i="14"/>
  <c r="Q738" i="14"/>
  <c r="J729" i="12"/>
  <c r="L729" i="12" s="1"/>
  <c r="K728" i="12"/>
  <c r="P728" i="12"/>
  <c r="O728" i="12"/>
  <c r="M728" i="12"/>
  <c r="N728" i="12" s="1"/>
  <c r="C728" i="12"/>
  <c r="D728" i="12"/>
  <c r="E728" i="12" s="1"/>
  <c r="B728" i="12"/>
  <c r="F728" i="12"/>
  <c r="G728" i="12"/>
  <c r="A729" i="12"/>
  <c r="L728" i="8"/>
  <c r="T727" i="8"/>
  <c r="S727" i="8"/>
  <c r="R727" i="8"/>
  <c r="Q727" i="8"/>
  <c r="P727" i="8"/>
  <c r="M727" i="8"/>
  <c r="O727" i="8"/>
  <c r="N727" i="8"/>
  <c r="A728" i="8"/>
  <c r="G727" i="8"/>
  <c r="F727" i="8"/>
  <c r="AG726" i="8" s="1"/>
  <c r="C727" i="8"/>
  <c r="H727" i="8"/>
  <c r="D727" i="8"/>
  <c r="E727" i="8" s="1"/>
  <c r="B727" i="8"/>
  <c r="L777" i="14" l="1"/>
  <c r="N776" i="14"/>
  <c r="O776" i="14"/>
  <c r="Q739" i="14"/>
  <c r="P739" i="14"/>
  <c r="M739" i="14"/>
  <c r="P729" i="12"/>
  <c r="J730" i="12"/>
  <c r="L730" i="12" s="1"/>
  <c r="M729" i="12"/>
  <c r="N729" i="12" s="1"/>
  <c r="K729" i="12"/>
  <c r="O729" i="12"/>
  <c r="C729" i="12"/>
  <c r="D729" i="12"/>
  <c r="E729" i="12" s="1"/>
  <c r="B729" i="12"/>
  <c r="F729" i="12"/>
  <c r="A730" i="12"/>
  <c r="G729" i="12"/>
  <c r="L729" i="8"/>
  <c r="S728" i="8"/>
  <c r="T728" i="8"/>
  <c r="R728" i="8"/>
  <c r="Q728" i="8"/>
  <c r="P728" i="8"/>
  <c r="M728" i="8"/>
  <c r="O728" i="8"/>
  <c r="N728" i="8"/>
  <c r="A729" i="8"/>
  <c r="F728" i="8"/>
  <c r="AG727" i="8" s="1"/>
  <c r="H728" i="8"/>
  <c r="G728" i="8"/>
  <c r="D728" i="8"/>
  <c r="E728" i="8" s="1"/>
  <c r="C728" i="8"/>
  <c r="B728" i="8"/>
  <c r="L778" i="14" l="1"/>
  <c r="N777" i="14"/>
  <c r="O777" i="14"/>
  <c r="P740" i="14"/>
  <c r="Q740" i="14"/>
  <c r="M740" i="14"/>
  <c r="O730" i="12"/>
  <c r="J731" i="12"/>
  <c r="L731" i="12" s="1"/>
  <c r="P730" i="12"/>
  <c r="M730" i="12"/>
  <c r="N730" i="12" s="1"/>
  <c r="K730" i="12"/>
  <c r="C730" i="12"/>
  <c r="D730" i="12"/>
  <c r="E730" i="12" s="1"/>
  <c r="F730" i="12"/>
  <c r="A731" i="12"/>
  <c r="B730" i="12"/>
  <c r="G730" i="12"/>
  <c r="L730" i="8"/>
  <c r="T729" i="8"/>
  <c r="S729" i="8"/>
  <c r="R729" i="8"/>
  <c r="Q729" i="8"/>
  <c r="P729" i="8"/>
  <c r="O729" i="8"/>
  <c r="M729" i="8"/>
  <c r="N729" i="8"/>
  <c r="A730" i="8"/>
  <c r="H729" i="8"/>
  <c r="G729" i="8"/>
  <c r="F729" i="8"/>
  <c r="AG728" i="8" s="1"/>
  <c r="D729" i="8"/>
  <c r="E729" i="8" s="1"/>
  <c r="B729" i="8"/>
  <c r="C729" i="8"/>
  <c r="L779" i="14" l="1"/>
  <c r="N778" i="14"/>
  <c r="O778" i="14"/>
  <c r="M741" i="14"/>
  <c r="Q741" i="14"/>
  <c r="P741" i="14"/>
  <c r="O731" i="12"/>
  <c r="J732" i="12"/>
  <c r="L732" i="12" s="1"/>
  <c r="K731" i="12"/>
  <c r="P731" i="12"/>
  <c r="M731" i="12"/>
  <c r="N731" i="12" s="1"/>
  <c r="C731" i="12"/>
  <c r="D731" i="12"/>
  <c r="E731" i="12" s="1"/>
  <c r="A732" i="12"/>
  <c r="G731" i="12"/>
  <c r="B731" i="12"/>
  <c r="F731" i="12"/>
  <c r="L731" i="8"/>
  <c r="T730" i="8"/>
  <c r="R730" i="8"/>
  <c r="S730" i="8"/>
  <c r="Q730" i="8"/>
  <c r="P730" i="8"/>
  <c r="O730" i="8"/>
  <c r="M730" i="8"/>
  <c r="N730" i="8"/>
  <c r="A731" i="8"/>
  <c r="G730" i="8"/>
  <c r="H730" i="8"/>
  <c r="F730" i="8"/>
  <c r="AG729" i="8" s="1"/>
  <c r="D730" i="8"/>
  <c r="E730" i="8" s="1"/>
  <c r="B730" i="8"/>
  <c r="C730" i="8"/>
  <c r="L780" i="14" l="1"/>
  <c r="N779" i="14"/>
  <c r="O779" i="14"/>
  <c r="Q742" i="14"/>
  <c r="M742" i="14"/>
  <c r="P742" i="14"/>
  <c r="M732" i="12"/>
  <c r="N732" i="12" s="1"/>
  <c r="O732" i="12"/>
  <c r="J733" i="12"/>
  <c r="L733" i="12" s="1"/>
  <c r="K732" i="12"/>
  <c r="P732" i="12"/>
  <c r="C732" i="12"/>
  <c r="D732" i="12"/>
  <c r="B732" i="12"/>
  <c r="G732" i="12"/>
  <c r="E732" i="12"/>
  <c r="A733" i="12"/>
  <c r="F732" i="12"/>
  <c r="L732" i="8"/>
  <c r="T731" i="8"/>
  <c r="R731" i="8"/>
  <c r="S731" i="8"/>
  <c r="Q731" i="8"/>
  <c r="P731" i="8"/>
  <c r="O731" i="8"/>
  <c r="M731" i="8"/>
  <c r="N731" i="8"/>
  <c r="A732" i="8"/>
  <c r="G731" i="8"/>
  <c r="H731" i="8"/>
  <c r="F731" i="8"/>
  <c r="AG730" i="8" s="1"/>
  <c r="D731" i="8"/>
  <c r="E731" i="8" s="1"/>
  <c r="B731" i="8"/>
  <c r="C731" i="8"/>
  <c r="L781" i="14" l="1"/>
  <c r="N780" i="14"/>
  <c r="O780" i="14"/>
  <c r="P743" i="14"/>
  <c r="M743" i="14"/>
  <c r="Q743" i="14"/>
  <c r="O733" i="12"/>
  <c r="J734" i="12"/>
  <c r="L734" i="12" s="1"/>
  <c r="P733" i="12"/>
  <c r="M733" i="12"/>
  <c r="N733" i="12" s="1"/>
  <c r="K733" i="12"/>
  <c r="C733" i="12"/>
  <c r="D733" i="12"/>
  <c r="E733" i="12" s="1"/>
  <c r="F733" i="12"/>
  <c r="G733" i="12"/>
  <c r="B733" i="12"/>
  <c r="A734" i="12"/>
  <c r="L733" i="8"/>
  <c r="T732" i="8"/>
  <c r="R732" i="8"/>
  <c r="S732" i="8"/>
  <c r="Q732" i="8"/>
  <c r="P732" i="8"/>
  <c r="O732" i="8"/>
  <c r="M732" i="8"/>
  <c r="N732" i="8"/>
  <c r="A733" i="8"/>
  <c r="G732" i="8"/>
  <c r="H732" i="8"/>
  <c r="F732" i="8"/>
  <c r="AG731" i="8" s="1"/>
  <c r="D732" i="8"/>
  <c r="E732" i="8" s="1"/>
  <c r="C732" i="8"/>
  <c r="B732" i="8"/>
  <c r="L782" i="14" l="1"/>
  <c r="N781" i="14"/>
  <c r="O781" i="14"/>
  <c r="M744" i="14"/>
  <c r="Q744" i="14"/>
  <c r="P744" i="14"/>
  <c r="J735" i="12"/>
  <c r="L735" i="12" s="1"/>
  <c r="K734" i="12"/>
  <c r="O734" i="12"/>
  <c r="P734" i="12"/>
  <c r="M734" i="12"/>
  <c r="N734" i="12" s="1"/>
  <c r="D734" i="12"/>
  <c r="E734" i="12" s="1"/>
  <c r="C734" i="12"/>
  <c r="F734" i="12"/>
  <c r="A735" i="12"/>
  <c r="G734" i="12"/>
  <c r="B734" i="12"/>
  <c r="L734" i="8"/>
  <c r="T733" i="8"/>
  <c r="S733" i="8"/>
  <c r="R733" i="8"/>
  <c r="Q733" i="8"/>
  <c r="P733" i="8"/>
  <c r="O733" i="8"/>
  <c r="M733" i="8"/>
  <c r="N733" i="8"/>
  <c r="A734" i="8"/>
  <c r="H733" i="8"/>
  <c r="G733" i="8"/>
  <c r="F733" i="8"/>
  <c r="AG732" i="8" s="1"/>
  <c r="D733" i="8"/>
  <c r="E733" i="8" s="1"/>
  <c r="C733" i="8"/>
  <c r="B733" i="8"/>
  <c r="L783" i="14" l="1"/>
  <c r="N782" i="14"/>
  <c r="O782" i="14"/>
  <c r="M745" i="14"/>
  <c r="Q745" i="14"/>
  <c r="P745" i="14"/>
  <c r="P735" i="12"/>
  <c r="O735" i="12"/>
  <c r="K735" i="12"/>
  <c r="M735" i="12"/>
  <c r="N735" i="12" s="1"/>
  <c r="J736" i="12"/>
  <c r="L736" i="12" s="1"/>
  <c r="C735" i="12"/>
  <c r="D735" i="12"/>
  <c r="E735" i="12" s="1"/>
  <c r="B735" i="12"/>
  <c r="A736" i="12"/>
  <c r="G735" i="12"/>
  <c r="F735" i="12"/>
  <c r="L735" i="8"/>
  <c r="T734" i="8"/>
  <c r="S734" i="8"/>
  <c r="R734" i="8"/>
  <c r="Q734" i="8"/>
  <c r="P734" i="8"/>
  <c r="O734" i="8"/>
  <c r="M734" i="8"/>
  <c r="N734" i="8"/>
  <c r="A735" i="8"/>
  <c r="G734" i="8"/>
  <c r="H734" i="8"/>
  <c r="C734" i="8"/>
  <c r="F734" i="8"/>
  <c r="AG733" i="8" s="1"/>
  <c r="D734" i="8"/>
  <c r="E734" i="8" s="1"/>
  <c r="B734" i="8"/>
  <c r="L784" i="14" l="1"/>
  <c r="N783" i="14"/>
  <c r="O783" i="14"/>
  <c r="M746" i="14"/>
  <c r="P746" i="14"/>
  <c r="Q746" i="14"/>
  <c r="O736" i="12"/>
  <c r="P736" i="12"/>
  <c r="K736" i="12"/>
  <c r="J737" i="12"/>
  <c r="L737" i="12" s="1"/>
  <c r="M736" i="12"/>
  <c r="N736" i="12" s="1"/>
  <c r="C736" i="12"/>
  <c r="D736" i="12"/>
  <c r="F736" i="12"/>
  <c r="B736" i="12"/>
  <c r="E736" i="12"/>
  <c r="A737" i="12"/>
  <c r="G736" i="12"/>
  <c r="L736" i="8"/>
  <c r="T735" i="8"/>
  <c r="S735" i="8"/>
  <c r="R735" i="8"/>
  <c r="Q735" i="8"/>
  <c r="P735" i="8"/>
  <c r="O735" i="8"/>
  <c r="M735" i="8"/>
  <c r="N735" i="8"/>
  <c r="A736" i="8"/>
  <c r="G735" i="8"/>
  <c r="H735" i="8"/>
  <c r="C735" i="8"/>
  <c r="F735" i="8"/>
  <c r="AG734" i="8" s="1"/>
  <c r="D735" i="8"/>
  <c r="E735" i="8" s="1"/>
  <c r="B735" i="8"/>
  <c r="L785" i="14" l="1"/>
  <c r="N784" i="14"/>
  <c r="O784" i="14"/>
  <c r="M747" i="14"/>
  <c r="Q747" i="14"/>
  <c r="P747" i="14"/>
  <c r="P737" i="12"/>
  <c r="K737" i="12"/>
  <c r="J738" i="12"/>
  <c r="L738" i="12" s="1"/>
  <c r="O737" i="12"/>
  <c r="M737" i="12"/>
  <c r="N737" i="12" s="1"/>
  <c r="C737" i="12"/>
  <c r="D737" i="12"/>
  <c r="E737" i="12" s="1"/>
  <c r="G737" i="12"/>
  <c r="B737" i="12"/>
  <c r="F737" i="12"/>
  <c r="A738" i="12"/>
  <c r="L737" i="8"/>
  <c r="T736" i="8"/>
  <c r="S736" i="8"/>
  <c r="R736" i="8"/>
  <c r="Q736" i="8"/>
  <c r="P736" i="8"/>
  <c r="O736" i="8"/>
  <c r="M736" i="8"/>
  <c r="N736" i="8"/>
  <c r="A737" i="8"/>
  <c r="F736" i="8"/>
  <c r="AG735" i="8" s="1"/>
  <c r="H736" i="8"/>
  <c r="G736" i="8"/>
  <c r="D736" i="8"/>
  <c r="E736" i="8" s="1"/>
  <c r="C736" i="8"/>
  <c r="B736" i="8"/>
  <c r="L786" i="14" l="1"/>
  <c r="N785" i="14"/>
  <c r="O785" i="14"/>
  <c r="Q748" i="14"/>
  <c r="M748" i="14"/>
  <c r="P748" i="14"/>
  <c r="M738" i="12"/>
  <c r="N738" i="12" s="1"/>
  <c r="P738" i="12"/>
  <c r="K738" i="12"/>
  <c r="O738" i="12"/>
  <c r="J739" i="12"/>
  <c r="L739" i="12" s="1"/>
  <c r="C738" i="12"/>
  <c r="D738" i="12"/>
  <c r="B738" i="12"/>
  <c r="E738" i="12"/>
  <c r="G738" i="12"/>
  <c r="F738" i="12"/>
  <c r="A739" i="12"/>
  <c r="L738" i="8"/>
  <c r="T737" i="8"/>
  <c r="S737" i="8"/>
  <c r="R737" i="8"/>
  <c r="Q737" i="8"/>
  <c r="O737" i="8"/>
  <c r="P737" i="8"/>
  <c r="M737" i="8"/>
  <c r="N737" i="8"/>
  <c r="A738" i="8"/>
  <c r="H737" i="8"/>
  <c r="G737" i="8"/>
  <c r="F737" i="8"/>
  <c r="AG736" i="8" s="1"/>
  <c r="D737" i="8"/>
  <c r="E737" i="8" s="1"/>
  <c r="C737" i="8"/>
  <c r="B737" i="8"/>
  <c r="L787" i="14" l="1"/>
  <c r="N786" i="14"/>
  <c r="O786" i="14"/>
  <c r="P749" i="14"/>
  <c r="Q749" i="14"/>
  <c r="M749" i="14"/>
  <c r="P739" i="12"/>
  <c r="K739" i="12"/>
  <c r="J740" i="12"/>
  <c r="L740" i="12" s="1"/>
  <c r="O739" i="12"/>
  <c r="M739" i="12"/>
  <c r="N739" i="12" s="1"/>
  <c r="C739" i="12"/>
  <c r="D739" i="12"/>
  <c r="F739" i="12"/>
  <c r="B739" i="12"/>
  <c r="E739" i="12"/>
  <c r="A740" i="12"/>
  <c r="C740" i="12" s="1"/>
  <c r="G739" i="12"/>
  <c r="L739" i="8"/>
  <c r="T738" i="8"/>
  <c r="R738" i="8"/>
  <c r="S738" i="8"/>
  <c r="Q738" i="8"/>
  <c r="P738" i="8"/>
  <c r="O738" i="8"/>
  <c r="M738" i="8"/>
  <c r="N738" i="8"/>
  <c r="A739" i="8"/>
  <c r="G738" i="8"/>
  <c r="H738" i="8"/>
  <c r="F738" i="8"/>
  <c r="AG737" i="8" s="1"/>
  <c r="D738" i="8"/>
  <c r="E738" i="8" s="1"/>
  <c r="C738" i="8"/>
  <c r="B738" i="8"/>
  <c r="L788" i="14" l="1"/>
  <c r="N787" i="14"/>
  <c r="O787" i="14"/>
  <c r="Q750" i="14"/>
  <c r="P750" i="14"/>
  <c r="M750" i="14"/>
  <c r="J741" i="12"/>
  <c r="L741" i="12" s="1"/>
  <c r="K740" i="12"/>
  <c r="P740" i="12"/>
  <c r="M740" i="12"/>
  <c r="N740" i="12" s="1"/>
  <c r="O740" i="12"/>
  <c r="D740" i="12"/>
  <c r="E740" i="12" s="1"/>
  <c r="F740" i="12"/>
  <c r="A741" i="12"/>
  <c r="C741" i="12" s="1"/>
  <c r="B740" i="12"/>
  <c r="G740" i="12"/>
  <c r="L740" i="8"/>
  <c r="T739" i="8"/>
  <c r="R739" i="8"/>
  <c r="S739" i="8"/>
  <c r="Q739" i="8"/>
  <c r="P739" i="8"/>
  <c r="O739" i="8"/>
  <c r="M739" i="8"/>
  <c r="N739" i="8"/>
  <c r="A740" i="8"/>
  <c r="G739" i="8"/>
  <c r="H739" i="8"/>
  <c r="F739" i="8"/>
  <c r="AG738" i="8" s="1"/>
  <c r="D739" i="8"/>
  <c r="E739" i="8" s="1"/>
  <c r="B739" i="8"/>
  <c r="C739" i="8"/>
  <c r="L789" i="14" l="1"/>
  <c r="N788" i="14"/>
  <c r="O788" i="14"/>
  <c r="M751" i="14"/>
  <c r="P751" i="14"/>
  <c r="Q751" i="14"/>
  <c r="P741" i="12"/>
  <c r="J742" i="12"/>
  <c r="L742" i="12" s="1"/>
  <c r="O741" i="12"/>
  <c r="M741" i="12"/>
  <c r="N741" i="12" s="1"/>
  <c r="K741" i="12"/>
  <c r="B741" i="12"/>
  <c r="G741" i="12"/>
  <c r="D741" i="12"/>
  <c r="E741" i="12" s="1"/>
  <c r="A742" i="12"/>
  <c r="C742" i="12" s="1"/>
  <c r="F741" i="12"/>
  <c r="L741" i="8"/>
  <c r="T740" i="8"/>
  <c r="S740" i="8"/>
  <c r="R740" i="8"/>
  <c r="Q740" i="8"/>
  <c r="P740" i="8"/>
  <c r="O740" i="8"/>
  <c r="M740" i="8"/>
  <c r="N740" i="8"/>
  <c r="A741" i="8"/>
  <c r="G740" i="8"/>
  <c r="H740" i="8"/>
  <c r="F740" i="8"/>
  <c r="AG739" i="8" s="1"/>
  <c r="D740" i="8"/>
  <c r="E740" i="8" s="1"/>
  <c r="C740" i="8"/>
  <c r="B740" i="8"/>
  <c r="L790" i="14" l="1"/>
  <c r="N789" i="14"/>
  <c r="O789" i="14"/>
  <c r="M752" i="14"/>
  <c r="P752" i="14"/>
  <c r="Q752" i="14"/>
  <c r="O742" i="12"/>
  <c r="J743" i="12"/>
  <c r="L743" i="12" s="1"/>
  <c r="P742" i="12"/>
  <c r="M742" i="12"/>
  <c r="N742" i="12" s="1"/>
  <c r="K742" i="12"/>
  <c r="F742" i="12"/>
  <c r="G742" i="12"/>
  <c r="A743" i="12"/>
  <c r="C743" i="12" s="1"/>
  <c r="D742" i="12"/>
  <c r="E742" i="12" s="1"/>
  <c r="B742" i="12"/>
  <c r="L742" i="8"/>
  <c r="T741" i="8"/>
  <c r="S741" i="8"/>
  <c r="R741" i="8"/>
  <c r="Q741" i="8"/>
  <c r="P741" i="8"/>
  <c r="O741" i="8"/>
  <c r="M741" i="8"/>
  <c r="N741" i="8"/>
  <c r="A742" i="8"/>
  <c r="H741" i="8"/>
  <c r="G741" i="8"/>
  <c r="F741" i="8"/>
  <c r="AG740" i="8" s="1"/>
  <c r="D741" i="8"/>
  <c r="E741" i="8" s="1"/>
  <c r="C741" i="8"/>
  <c r="B741" i="8"/>
  <c r="L791" i="14" l="1"/>
  <c r="N790" i="14"/>
  <c r="O790" i="14"/>
  <c r="M753" i="14"/>
  <c r="Q753" i="14"/>
  <c r="P753" i="14"/>
  <c r="J744" i="12"/>
  <c r="L744" i="12" s="1"/>
  <c r="M743" i="12"/>
  <c r="N743" i="12" s="1"/>
  <c r="K743" i="12"/>
  <c r="P743" i="12"/>
  <c r="O743" i="12"/>
  <c r="D743" i="12"/>
  <c r="E743" i="12" s="1"/>
  <c r="F743" i="12"/>
  <c r="G743" i="12"/>
  <c r="B743" i="12"/>
  <c r="A744" i="12"/>
  <c r="C744" i="12" s="1"/>
  <c r="L743" i="8"/>
  <c r="T742" i="8"/>
  <c r="S742" i="8"/>
  <c r="R742" i="8"/>
  <c r="Q742" i="8"/>
  <c r="P742" i="8"/>
  <c r="O742" i="8"/>
  <c r="M742" i="8"/>
  <c r="N742" i="8"/>
  <c r="A743" i="8"/>
  <c r="G742" i="8"/>
  <c r="H742" i="8"/>
  <c r="F742" i="8"/>
  <c r="C742" i="8"/>
  <c r="B742" i="8"/>
  <c r="D742" i="8"/>
  <c r="E742" i="8" s="1"/>
  <c r="L792" i="14" l="1"/>
  <c r="N791" i="14"/>
  <c r="O791" i="14"/>
  <c r="Q754" i="14"/>
  <c r="P754" i="14"/>
  <c r="M754" i="14"/>
  <c r="M744" i="12"/>
  <c r="N744" i="12" s="1"/>
  <c r="J745" i="12"/>
  <c r="L745" i="12" s="1"/>
  <c r="P744" i="12"/>
  <c r="O744" i="12"/>
  <c r="K744" i="12"/>
  <c r="B744" i="12"/>
  <c r="A745" i="12"/>
  <c r="C745" i="12" s="1"/>
  <c r="F744" i="12"/>
  <c r="D744" i="12"/>
  <c r="E744" i="12" s="1"/>
  <c r="G744" i="12"/>
  <c r="L744" i="8"/>
  <c r="T743" i="8"/>
  <c r="S743" i="8"/>
  <c r="R743" i="8"/>
  <c r="Q743" i="8"/>
  <c r="P743" i="8"/>
  <c r="M743" i="8"/>
  <c r="O743" i="8"/>
  <c r="N743" i="8"/>
  <c r="A744" i="8"/>
  <c r="G743" i="8"/>
  <c r="F743" i="8"/>
  <c r="H743" i="8"/>
  <c r="D743" i="8"/>
  <c r="E743" i="8" s="1"/>
  <c r="C743" i="8"/>
  <c r="B743" i="8"/>
  <c r="L793" i="14" l="1"/>
  <c r="N792" i="14"/>
  <c r="O792" i="14"/>
  <c r="P755" i="14"/>
  <c r="Q755" i="14"/>
  <c r="M755" i="14"/>
  <c r="J746" i="12"/>
  <c r="L746" i="12" s="1"/>
  <c r="M745" i="12"/>
  <c r="N745" i="12" s="1"/>
  <c r="P745" i="12"/>
  <c r="O745" i="12"/>
  <c r="K745" i="12"/>
  <c r="F745" i="12"/>
  <c r="D745" i="12"/>
  <c r="E745" i="12" s="1"/>
  <c r="A746" i="12"/>
  <c r="C746" i="12" s="1"/>
  <c r="B745" i="12"/>
  <c r="G745" i="12"/>
  <c r="L745" i="8"/>
  <c r="T744" i="8"/>
  <c r="S744" i="8"/>
  <c r="R744" i="8"/>
  <c r="Q744" i="8"/>
  <c r="P744" i="8"/>
  <c r="M744" i="8"/>
  <c r="O744" i="8"/>
  <c r="N744" i="8"/>
  <c r="A745" i="8"/>
  <c r="F744" i="8"/>
  <c r="H744" i="8"/>
  <c r="G744" i="8"/>
  <c r="D744" i="8"/>
  <c r="E744" i="8" s="1"/>
  <c r="C744" i="8"/>
  <c r="B744" i="8"/>
  <c r="L794" i="14" l="1"/>
  <c r="N793" i="14"/>
  <c r="O793" i="14"/>
  <c r="M756" i="14"/>
  <c r="Q756" i="14"/>
  <c r="P756" i="14"/>
  <c r="J747" i="12"/>
  <c r="L747" i="12" s="1"/>
  <c r="K746" i="12"/>
  <c r="M746" i="12"/>
  <c r="N746" i="12" s="1"/>
  <c r="P746" i="12"/>
  <c r="O746" i="12"/>
  <c r="D746" i="12"/>
  <c r="E746" i="12" s="1"/>
  <c r="G746" i="12"/>
  <c r="B746" i="12"/>
  <c r="F746" i="12"/>
  <c r="A747" i="12"/>
  <c r="C747" i="12" s="1"/>
  <c r="L746" i="8"/>
  <c r="T745" i="8"/>
  <c r="S745" i="8"/>
  <c r="R745" i="8"/>
  <c r="Q745" i="8"/>
  <c r="O745" i="8"/>
  <c r="P745" i="8"/>
  <c r="M745" i="8"/>
  <c r="N745" i="8"/>
  <c r="A746" i="8"/>
  <c r="H745" i="8"/>
  <c r="G745" i="8"/>
  <c r="F745" i="8"/>
  <c r="D745" i="8"/>
  <c r="E745" i="8" s="1"/>
  <c r="B745" i="8"/>
  <c r="C745" i="8"/>
  <c r="L795" i="14" l="1"/>
  <c r="N794" i="14"/>
  <c r="O794" i="14"/>
  <c r="M757" i="14"/>
  <c r="P757" i="14"/>
  <c r="Q757" i="14"/>
  <c r="P747" i="12"/>
  <c r="K747" i="12"/>
  <c r="M747" i="12"/>
  <c r="N747" i="12" s="1"/>
  <c r="J748" i="12"/>
  <c r="L748" i="12" s="1"/>
  <c r="O747" i="12"/>
  <c r="B747" i="12"/>
  <c r="G747" i="12"/>
  <c r="A748" i="12"/>
  <c r="C748" i="12" s="1"/>
  <c r="D747" i="12"/>
  <c r="E747" i="12" s="1"/>
  <c r="F747" i="12"/>
  <c r="L747" i="8"/>
  <c r="T746" i="8"/>
  <c r="R746" i="8"/>
  <c r="S746" i="8"/>
  <c r="Q746" i="8"/>
  <c r="O746" i="8"/>
  <c r="P746" i="8"/>
  <c r="M746" i="8"/>
  <c r="N746" i="8"/>
  <c r="A747" i="8"/>
  <c r="G746" i="8"/>
  <c r="H746" i="8"/>
  <c r="F746" i="8"/>
  <c r="D746" i="8"/>
  <c r="E746" i="8" s="1"/>
  <c r="B746" i="8"/>
  <c r="C746" i="8"/>
  <c r="L796" i="14" l="1"/>
  <c r="N795" i="14"/>
  <c r="O795" i="14"/>
  <c r="P758" i="14"/>
  <c r="Q758" i="14"/>
  <c r="M758" i="14"/>
  <c r="O748" i="12"/>
  <c r="K748" i="12"/>
  <c r="M748" i="12"/>
  <c r="N748" i="12" s="1"/>
  <c r="J749" i="12"/>
  <c r="L749" i="12" s="1"/>
  <c r="P748" i="12"/>
  <c r="F748" i="12"/>
  <c r="A749" i="12"/>
  <c r="C749" i="12" s="1"/>
  <c r="B748" i="12"/>
  <c r="G748" i="12"/>
  <c r="D748" i="12"/>
  <c r="E748" i="12" s="1"/>
  <c r="L748" i="8"/>
  <c r="T747" i="8"/>
  <c r="S747" i="8"/>
  <c r="R747" i="8"/>
  <c r="Q747" i="8"/>
  <c r="P747" i="8"/>
  <c r="M747" i="8"/>
  <c r="O747" i="8"/>
  <c r="N747" i="8"/>
  <c r="A748" i="8"/>
  <c r="G747" i="8"/>
  <c r="H747" i="8"/>
  <c r="F747" i="8"/>
  <c r="D747" i="8"/>
  <c r="E747" i="8" s="1"/>
  <c r="C747" i="8"/>
  <c r="B747" i="8"/>
  <c r="L797" i="14" l="1"/>
  <c r="N796" i="14"/>
  <c r="O796" i="14"/>
  <c r="M759" i="14"/>
  <c r="P759" i="14"/>
  <c r="Q759" i="14"/>
  <c r="K749" i="12"/>
  <c r="M749" i="12"/>
  <c r="N749" i="12" s="1"/>
  <c r="O749" i="12"/>
  <c r="J750" i="12"/>
  <c r="L750" i="12" s="1"/>
  <c r="P749" i="12"/>
  <c r="D749" i="12"/>
  <c r="E749" i="12" s="1"/>
  <c r="B749" i="12"/>
  <c r="G749" i="12"/>
  <c r="A750" i="12"/>
  <c r="C750" i="12" s="1"/>
  <c r="F749" i="12"/>
  <c r="L749" i="8"/>
  <c r="T748" i="8"/>
  <c r="S748" i="8"/>
  <c r="R748" i="8"/>
  <c r="Q748" i="8"/>
  <c r="P748" i="8"/>
  <c r="O748" i="8"/>
  <c r="M748" i="8"/>
  <c r="N748" i="8"/>
  <c r="A749" i="8"/>
  <c r="G748" i="8"/>
  <c r="H748" i="8"/>
  <c r="F748" i="8"/>
  <c r="D748" i="8"/>
  <c r="E748" i="8" s="1"/>
  <c r="C748" i="8"/>
  <c r="B748" i="8"/>
  <c r="L798" i="14" l="1"/>
  <c r="N797" i="14"/>
  <c r="O797" i="14"/>
  <c r="Q760" i="14"/>
  <c r="M760" i="14"/>
  <c r="P760" i="14"/>
  <c r="M750" i="12"/>
  <c r="N750" i="12" s="1"/>
  <c r="K750" i="12"/>
  <c r="J751" i="12"/>
  <c r="L751" i="12" s="1"/>
  <c r="P750" i="12"/>
  <c r="O750" i="12"/>
  <c r="B750" i="12"/>
  <c r="G750" i="12"/>
  <c r="D750" i="12"/>
  <c r="E750" i="12" s="1"/>
  <c r="A751" i="12"/>
  <c r="C751" i="12" s="1"/>
  <c r="F750" i="12"/>
  <c r="L750" i="8"/>
  <c r="T749" i="8"/>
  <c r="S749" i="8"/>
  <c r="R749" i="8"/>
  <c r="Q749" i="8"/>
  <c r="P749" i="8"/>
  <c r="O749" i="8"/>
  <c r="M749" i="8"/>
  <c r="N749" i="8"/>
  <c r="A750" i="8"/>
  <c r="H749" i="8"/>
  <c r="G749" i="8"/>
  <c r="F749" i="8"/>
  <c r="C749" i="8"/>
  <c r="B749" i="8"/>
  <c r="D749" i="8"/>
  <c r="E749" i="8" s="1"/>
  <c r="L799" i="14" l="1"/>
  <c r="N798" i="14"/>
  <c r="O798" i="14"/>
  <c r="P761" i="14"/>
  <c r="M761" i="14"/>
  <c r="Q761" i="14"/>
  <c r="K751" i="12"/>
  <c r="J752" i="12"/>
  <c r="L752" i="12" s="1"/>
  <c r="P751" i="12"/>
  <c r="O751" i="12"/>
  <c r="M751" i="12"/>
  <c r="N751" i="12" s="1"/>
  <c r="F751" i="12"/>
  <c r="G751" i="12"/>
  <c r="D751" i="12"/>
  <c r="E751" i="12" s="1"/>
  <c r="B751" i="12"/>
  <c r="A752" i="12"/>
  <c r="C752" i="12" s="1"/>
  <c r="L751" i="8"/>
  <c r="T750" i="8"/>
  <c r="S750" i="8"/>
  <c r="R750" i="8"/>
  <c r="Q750" i="8"/>
  <c r="P750" i="8"/>
  <c r="O750" i="8"/>
  <c r="M750" i="8"/>
  <c r="N750" i="8"/>
  <c r="A751" i="8"/>
  <c r="G750" i="8"/>
  <c r="H750" i="8"/>
  <c r="C750" i="8"/>
  <c r="F750" i="8"/>
  <c r="D750" i="8"/>
  <c r="E750" i="8" s="1"/>
  <c r="B750" i="8"/>
  <c r="L800" i="14" l="1"/>
  <c r="N799" i="14"/>
  <c r="O799" i="14"/>
  <c r="P762" i="14"/>
  <c r="M762" i="14"/>
  <c r="Q762" i="14"/>
  <c r="J753" i="12"/>
  <c r="L753" i="12" s="1"/>
  <c r="K752" i="12"/>
  <c r="O752" i="12"/>
  <c r="M752" i="12"/>
  <c r="N752" i="12" s="1"/>
  <c r="P752" i="12"/>
  <c r="D752" i="12"/>
  <c r="E752" i="12" s="1"/>
  <c r="F752" i="12"/>
  <c r="A753" i="12"/>
  <c r="C753" i="12" s="1"/>
  <c r="B752" i="12"/>
  <c r="G752" i="12"/>
  <c r="L752" i="8"/>
  <c r="T751" i="8"/>
  <c r="S751" i="8"/>
  <c r="R751" i="8"/>
  <c r="Q751" i="8"/>
  <c r="P751" i="8"/>
  <c r="M751" i="8"/>
  <c r="O751" i="8"/>
  <c r="N751" i="8"/>
  <c r="A752" i="8"/>
  <c r="G751" i="8"/>
  <c r="H751" i="8"/>
  <c r="C751" i="8"/>
  <c r="D751" i="8"/>
  <c r="E751" i="8" s="1"/>
  <c r="F751" i="8"/>
  <c r="B751" i="8"/>
  <c r="L801" i="14" l="1"/>
  <c r="N800" i="14"/>
  <c r="O800" i="14"/>
  <c r="P763" i="14"/>
  <c r="Q763" i="14"/>
  <c r="M763" i="14"/>
  <c r="P753" i="12"/>
  <c r="J754" i="12"/>
  <c r="L754" i="12" s="1"/>
  <c r="O753" i="12"/>
  <c r="M753" i="12"/>
  <c r="N753" i="12" s="1"/>
  <c r="K753" i="12"/>
  <c r="B753" i="12"/>
  <c r="F753" i="12"/>
  <c r="A754" i="12"/>
  <c r="C754" i="12" s="1"/>
  <c r="G753" i="12"/>
  <c r="D753" i="12"/>
  <c r="E753" i="12" s="1"/>
  <c r="L753" i="8"/>
  <c r="S752" i="8"/>
  <c r="T752" i="8"/>
  <c r="R752" i="8"/>
  <c r="Q752" i="8"/>
  <c r="P752" i="8"/>
  <c r="O752" i="8"/>
  <c r="M752" i="8"/>
  <c r="N752" i="8"/>
  <c r="A753" i="8"/>
  <c r="F752" i="8"/>
  <c r="H752" i="8"/>
  <c r="G752" i="8"/>
  <c r="D752" i="8"/>
  <c r="E752" i="8" s="1"/>
  <c r="C752" i="8"/>
  <c r="B752" i="8"/>
  <c r="L802" i="14" l="1"/>
  <c r="N801" i="14"/>
  <c r="O801" i="14"/>
  <c r="P764" i="14"/>
  <c r="Q764" i="14"/>
  <c r="M764" i="14"/>
  <c r="O754" i="12"/>
  <c r="K754" i="12"/>
  <c r="J755" i="12"/>
  <c r="L755" i="12" s="1"/>
  <c r="P754" i="12"/>
  <c r="M754" i="12"/>
  <c r="N754" i="12" s="1"/>
  <c r="F754" i="12"/>
  <c r="D754" i="12"/>
  <c r="E754" i="12" s="1"/>
  <c r="G754" i="12"/>
  <c r="A755" i="12"/>
  <c r="C755" i="12" s="1"/>
  <c r="B754" i="12"/>
  <c r="L754" i="8"/>
  <c r="T753" i="8"/>
  <c r="S753" i="8"/>
  <c r="R753" i="8"/>
  <c r="Q753" i="8"/>
  <c r="O753" i="8"/>
  <c r="P753" i="8"/>
  <c r="M753" i="8"/>
  <c r="N753" i="8"/>
  <c r="A754" i="8"/>
  <c r="H753" i="8"/>
  <c r="G753" i="8"/>
  <c r="F753" i="8"/>
  <c r="D753" i="8"/>
  <c r="E753" i="8" s="1"/>
  <c r="B753" i="8"/>
  <c r="C753" i="8"/>
  <c r="L803" i="14" l="1"/>
  <c r="N802" i="14"/>
  <c r="O802" i="14"/>
  <c r="M765" i="14"/>
  <c r="P765" i="14"/>
  <c r="Q765" i="14"/>
  <c r="O755" i="12"/>
  <c r="P755" i="12"/>
  <c r="M755" i="12"/>
  <c r="N755" i="12" s="1"/>
  <c r="K755" i="12"/>
  <c r="J756" i="12"/>
  <c r="L756" i="12" s="1"/>
  <c r="D755" i="12"/>
  <c r="E755" i="12" s="1"/>
  <c r="B755" i="12"/>
  <c r="F755" i="12"/>
  <c r="G755" i="12"/>
  <c r="A756" i="12"/>
  <c r="C756" i="12" s="1"/>
  <c r="L755" i="8"/>
  <c r="R754" i="8"/>
  <c r="T754" i="8"/>
  <c r="S754" i="8"/>
  <c r="Q754" i="8"/>
  <c r="O754" i="8"/>
  <c r="P754" i="8"/>
  <c r="M754" i="8"/>
  <c r="N754" i="8"/>
  <c r="A755" i="8"/>
  <c r="G754" i="8"/>
  <c r="H754" i="8"/>
  <c r="F754" i="8"/>
  <c r="D754" i="8"/>
  <c r="E754" i="8" s="1"/>
  <c r="C754" i="8"/>
  <c r="B754" i="8"/>
  <c r="L804" i="14" l="1"/>
  <c r="N803" i="14"/>
  <c r="O803" i="14"/>
  <c r="Q766" i="14"/>
  <c r="P766" i="14"/>
  <c r="M766" i="14"/>
  <c r="M756" i="12"/>
  <c r="N756" i="12" s="1"/>
  <c r="O756" i="12"/>
  <c r="J757" i="12"/>
  <c r="L757" i="12" s="1"/>
  <c r="P756" i="12"/>
  <c r="K756" i="12"/>
  <c r="B756" i="12"/>
  <c r="G756" i="12"/>
  <c r="A757" i="12"/>
  <c r="C757" i="12" s="1"/>
  <c r="D756" i="12"/>
  <c r="E756" i="12" s="1"/>
  <c r="F756" i="12"/>
  <c r="L756" i="8"/>
  <c r="T755" i="8"/>
  <c r="R755" i="8"/>
  <c r="S755" i="8"/>
  <c r="Q755" i="8"/>
  <c r="P755" i="8"/>
  <c r="O755" i="8"/>
  <c r="M755" i="8"/>
  <c r="N755" i="8"/>
  <c r="A756" i="8"/>
  <c r="G755" i="8"/>
  <c r="H755" i="8"/>
  <c r="F755" i="8"/>
  <c r="D755" i="8"/>
  <c r="E755" i="8" s="1"/>
  <c r="B755" i="8"/>
  <c r="C755" i="8"/>
  <c r="L805" i="14" l="1"/>
  <c r="N804" i="14"/>
  <c r="O804" i="14"/>
  <c r="P767" i="14"/>
  <c r="Q767" i="14"/>
  <c r="M767" i="14"/>
  <c r="M757" i="12"/>
  <c r="N757" i="12" s="1"/>
  <c r="O757" i="12"/>
  <c r="K757" i="12"/>
  <c r="J758" i="12"/>
  <c r="L758" i="12" s="1"/>
  <c r="P757" i="12"/>
  <c r="F757" i="12"/>
  <c r="B757" i="12"/>
  <c r="A758" i="12"/>
  <c r="C758" i="12" s="1"/>
  <c r="G757" i="12"/>
  <c r="D757" i="12"/>
  <c r="E757" i="12" s="1"/>
  <c r="L757" i="8"/>
  <c r="T756" i="8"/>
  <c r="S756" i="8"/>
  <c r="R756" i="8"/>
  <c r="Q756" i="8"/>
  <c r="P756" i="8"/>
  <c r="O756" i="8"/>
  <c r="M756" i="8"/>
  <c r="N756" i="8"/>
  <c r="A757" i="8"/>
  <c r="G756" i="8"/>
  <c r="F756" i="8"/>
  <c r="H756" i="8"/>
  <c r="D756" i="8"/>
  <c r="E756" i="8" s="1"/>
  <c r="B756" i="8"/>
  <c r="C756" i="8"/>
  <c r="L806" i="14" l="1"/>
  <c r="N805" i="14"/>
  <c r="O805" i="14"/>
  <c r="Q768" i="14"/>
  <c r="M768" i="14"/>
  <c r="P768" i="14"/>
  <c r="J759" i="12"/>
  <c r="L759" i="12" s="1"/>
  <c r="K758" i="12"/>
  <c r="M758" i="12"/>
  <c r="N758" i="12" s="1"/>
  <c r="O758" i="12"/>
  <c r="P758" i="12"/>
  <c r="D758" i="12"/>
  <c r="E758" i="12" s="1"/>
  <c r="A759" i="12"/>
  <c r="C759" i="12" s="1"/>
  <c r="G758" i="12"/>
  <c r="F758" i="12"/>
  <c r="B758" i="12"/>
  <c r="L758" i="8"/>
  <c r="T757" i="8"/>
  <c r="S757" i="8"/>
  <c r="R757" i="8"/>
  <c r="Q757" i="8"/>
  <c r="P757" i="8"/>
  <c r="O757" i="8"/>
  <c r="M757" i="8"/>
  <c r="N757" i="8"/>
  <c r="A758" i="8"/>
  <c r="H757" i="8"/>
  <c r="F757" i="8"/>
  <c r="G757" i="8"/>
  <c r="D757" i="8"/>
  <c r="E757" i="8" s="1"/>
  <c r="C757" i="8"/>
  <c r="B757" i="8"/>
  <c r="L807" i="14" l="1"/>
  <c r="N806" i="14"/>
  <c r="O806" i="14"/>
  <c r="Q769" i="14"/>
  <c r="M769" i="14"/>
  <c r="P769" i="14"/>
  <c r="P759" i="12"/>
  <c r="M759" i="12"/>
  <c r="N759" i="12" s="1"/>
  <c r="O759" i="12"/>
  <c r="J760" i="12"/>
  <c r="L760" i="12" s="1"/>
  <c r="K759" i="12"/>
  <c r="B759" i="12"/>
  <c r="G759" i="12"/>
  <c r="A760" i="12"/>
  <c r="C760" i="12" s="1"/>
  <c r="F759" i="12"/>
  <c r="D759" i="12"/>
  <c r="E759" i="12" s="1"/>
  <c r="L759" i="8"/>
  <c r="T758" i="8"/>
  <c r="R758" i="8"/>
  <c r="S758" i="8"/>
  <c r="Q758" i="8"/>
  <c r="P758" i="8"/>
  <c r="O758" i="8"/>
  <c r="M758" i="8"/>
  <c r="N758" i="8"/>
  <c r="A759" i="8"/>
  <c r="G758" i="8"/>
  <c r="H758" i="8"/>
  <c r="F758" i="8"/>
  <c r="C758" i="8"/>
  <c r="D758" i="8"/>
  <c r="E758" i="8" s="1"/>
  <c r="B758" i="8"/>
  <c r="L808" i="14" l="1"/>
  <c r="N807" i="14"/>
  <c r="O807" i="14"/>
  <c r="Q770" i="14"/>
  <c r="P770" i="14"/>
  <c r="M770" i="14"/>
  <c r="O760" i="12"/>
  <c r="M760" i="12"/>
  <c r="N760" i="12" s="1"/>
  <c r="P760" i="12"/>
  <c r="K760" i="12"/>
  <c r="J761" i="12"/>
  <c r="L761" i="12" s="1"/>
  <c r="F760" i="12"/>
  <c r="G760" i="12"/>
  <c r="B760" i="12"/>
  <c r="A761" i="12"/>
  <c r="C761" i="12" s="1"/>
  <c r="D760" i="12"/>
  <c r="E760" i="12" s="1"/>
  <c r="L760" i="8"/>
  <c r="T759" i="8"/>
  <c r="S759" i="8"/>
  <c r="R759" i="8"/>
  <c r="Q759" i="8"/>
  <c r="P759" i="8"/>
  <c r="M759" i="8"/>
  <c r="O759" i="8"/>
  <c r="N759" i="8"/>
  <c r="A760" i="8"/>
  <c r="G759" i="8"/>
  <c r="H759" i="8"/>
  <c r="C759" i="8"/>
  <c r="D759" i="8"/>
  <c r="E759" i="8" s="1"/>
  <c r="F759" i="8"/>
  <c r="B759" i="8"/>
  <c r="L809" i="14" l="1"/>
  <c r="N808" i="14"/>
  <c r="O808" i="14"/>
  <c r="M771" i="14"/>
  <c r="Q771" i="14"/>
  <c r="P771" i="14"/>
  <c r="M761" i="12"/>
  <c r="N761" i="12" s="1"/>
  <c r="P761" i="12"/>
  <c r="J762" i="12"/>
  <c r="L762" i="12" s="1"/>
  <c r="O761" i="12"/>
  <c r="K761" i="12"/>
  <c r="D761" i="12"/>
  <c r="E761" i="12" s="1"/>
  <c r="F761" i="12"/>
  <c r="G761" i="12"/>
  <c r="A762" i="12"/>
  <c r="C762" i="12" s="1"/>
  <c r="B761" i="12"/>
  <c r="L761" i="8"/>
  <c r="T760" i="8"/>
  <c r="S760" i="8"/>
  <c r="R760" i="8"/>
  <c r="Q760" i="8"/>
  <c r="P760" i="8"/>
  <c r="M760" i="8"/>
  <c r="O760" i="8"/>
  <c r="N760" i="8"/>
  <c r="A761" i="8"/>
  <c r="F760" i="8"/>
  <c r="H760" i="8"/>
  <c r="G760" i="8"/>
  <c r="D760" i="8"/>
  <c r="E760" i="8" s="1"/>
  <c r="C760" i="8"/>
  <c r="B760" i="8"/>
  <c r="L810" i="14" l="1"/>
  <c r="N809" i="14"/>
  <c r="O809" i="14"/>
  <c r="Q772" i="14"/>
  <c r="P772" i="14"/>
  <c r="M772" i="14"/>
  <c r="M762" i="12"/>
  <c r="N762" i="12" s="1"/>
  <c r="P762" i="12"/>
  <c r="J763" i="12"/>
  <c r="L763" i="12" s="1"/>
  <c r="O762" i="12"/>
  <c r="K762" i="12"/>
  <c r="B762" i="12"/>
  <c r="F762" i="12"/>
  <c r="D762" i="12"/>
  <c r="E762" i="12" s="1"/>
  <c r="A763" i="12"/>
  <c r="C763" i="12" s="1"/>
  <c r="G762" i="12"/>
  <c r="L762" i="8"/>
  <c r="T761" i="8"/>
  <c r="S761" i="8"/>
  <c r="R761" i="8"/>
  <c r="Q761" i="8"/>
  <c r="O761" i="8"/>
  <c r="P761" i="8"/>
  <c r="M761" i="8"/>
  <c r="N761" i="8"/>
  <c r="A762" i="8"/>
  <c r="H761" i="8"/>
  <c r="G761" i="8"/>
  <c r="F761" i="8"/>
  <c r="D761" i="8"/>
  <c r="E761" i="8" s="1"/>
  <c r="B761" i="8"/>
  <c r="C761" i="8"/>
  <c r="L811" i="14" l="1"/>
  <c r="N810" i="14"/>
  <c r="O810" i="14"/>
  <c r="P773" i="14"/>
  <c r="M773" i="14"/>
  <c r="Q773" i="14"/>
  <c r="P763" i="12"/>
  <c r="M763" i="12"/>
  <c r="N763" i="12" s="1"/>
  <c r="K763" i="12"/>
  <c r="J764" i="12"/>
  <c r="L764" i="12" s="1"/>
  <c r="O763" i="12"/>
  <c r="F763" i="12"/>
  <c r="B763" i="12"/>
  <c r="D763" i="12"/>
  <c r="E763" i="12" s="1"/>
  <c r="A764" i="12"/>
  <c r="C764" i="12" s="1"/>
  <c r="G763" i="12"/>
  <c r="L763" i="8"/>
  <c r="T762" i="8"/>
  <c r="R762" i="8"/>
  <c r="S762" i="8"/>
  <c r="Q762" i="8"/>
  <c r="O762" i="8"/>
  <c r="P762" i="8"/>
  <c r="M762" i="8"/>
  <c r="N762" i="8"/>
  <c r="A763" i="8"/>
  <c r="G762" i="8"/>
  <c r="H762" i="8"/>
  <c r="F762" i="8"/>
  <c r="D762" i="8"/>
  <c r="E762" i="8" s="1"/>
  <c r="C762" i="8"/>
  <c r="B762" i="8"/>
  <c r="L812" i="14" l="1"/>
  <c r="N811" i="14"/>
  <c r="O811" i="14"/>
  <c r="P774" i="14"/>
  <c r="Q774" i="14"/>
  <c r="M774" i="14"/>
  <c r="J765" i="12"/>
  <c r="L765" i="12" s="1"/>
  <c r="K764" i="12"/>
  <c r="P764" i="12"/>
  <c r="O764" i="12"/>
  <c r="M764" i="12"/>
  <c r="N764" i="12" s="1"/>
  <c r="D764" i="12"/>
  <c r="E764" i="12" s="1"/>
  <c r="A765" i="12"/>
  <c r="C765" i="12" s="1"/>
  <c r="B764" i="12"/>
  <c r="G764" i="12"/>
  <c r="F764" i="12"/>
  <c r="L764" i="8"/>
  <c r="T763" i="8"/>
  <c r="R763" i="8"/>
  <c r="S763" i="8"/>
  <c r="Q763" i="8"/>
  <c r="P763" i="8"/>
  <c r="O763" i="8"/>
  <c r="M763" i="8"/>
  <c r="N763" i="8"/>
  <c r="A764" i="8"/>
  <c r="G763" i="8"/>
  <c r="H763" i="8"/>
  <c r="C763" i="8"/>
  <c r="D763" i="8"/>
  <c r="E763" i="8" s="1"/>
  <c r="F763" i="8"/>
  <c r="B763" i="8"/>
  <c r="L813" i="14" l="1"/>
  <c r="N812" i="14"/>
  <c r="O812" i="14"/>
  <c r="M775" i="14"/>
  <c r="Q775" i="14"/>
  <c r="P775" i="14"/>
  <c r="P765" i="12"/>
  <c r="J766" i="12"/>
  <c r="L766" i="12" s="1"/>
  <c r="K765" i="12"/>
  <c r="O765" i="12"/>
  <c r="M765" i="12"/>
  <c r="N765" i="12" s="1"/>
  <c r="B765" i="12"/>
  <c r="F765" i="12"/>
  <c r="D765" i="12"/>
  <c r="E765" i="12" s="1"/>
  <c r="A766" i="12"/>
  <c r="C766" i="12" s="1"/>
  <c r="G765" i="12"/>
  <c r="L765" i="8"/>
  <c r="T764" i="8"/>
  <c r="S764" i="8"/>
  <c r="R764" i="8"/>
  <c r="Q764" i="8"/>
  <c r="P764" i="8"/>
  <c r="O764" i="8"/>
  <c r="M764" i="8"/>
  <c r="N764" i="8"/>
  <c r="A765" i="8"/>
  <c r="G764" i="8"/>
  <c r="H764" i="8"/>
  <c r="F764" i="8"/>
  <c r="C764" i="8"/>
  <c r="D764" i="8"/>
  <c r="E764" i="8" s="1"/>
  <c r="B764" i="8"/>
  <c r="L814" i="14" l="1"/>
  <c r="N813" i="14"/>
  <c r="O813" i="14"/>
  <c r="M776" i="14"/>
  <c r="P776" i="14"/>
  <c r="Q776" i="14"/>
  <c r="O766" i="12"/>
  <c r="J767" i="12"/>
  <c r="L767" i="12" s="1"/>
  <c r="M766" i="12"/>
  <c r="N766" i="12" s="1"/>
  <c r="K766" i="12"/>
  <c r="P766" i="12"/>
  <c r="F766" i="12"/>
  <c r="A767" i="12"/>
  <c r="C767" i="12" s="1"/>
  <c r="B766" i="12"/>
  <c r="G766" i="12"/>
  <c r="D766" i="12"/>
  <c r="E766" i="12" s="1"/>
  <c r="L766" i="8"/>
  <c r="T765" i="8"/>
  <c r="S765" i="8"/>
  <c r="R765" i="8"/>
  <c r="Q765" i="8"/>
  <c r="P765" i="8"/>
  <c r="O765" i="8"/>
  <c r="M765" i="8"/>
  <c r="N765" i="8"/>
  <c r="A766" i="8"/>
  <c r="H765" i="8"/>
  <c r="G765" i="8"/>
  <c r="F765" i="8"/>
  <c r="D765" i="8"/>
  <c r="E765" i="8" s="1"/>
  <c r="C765" i="8"/>
  <c r="B765" i="8"/>
  <c r="L815" i="14" l="1"/>
  <c r="N814" i="14"/>
  <c r="O814" i="14"/>
  <c r="M777" i="14"/>
  <c r="P777" i="14"/>
  <c r="Q777" i="14"/>
  <c r="O767" i="12"/>
  <c r="J768" i="12"/>
  <c r="L768" i="12" s="1"/>
  <c r="P767" i="12"/>
  <c r="M767" i="12"/>
  <c r="N767" i="12" s="1"/>
  <c r="K767" i="12"/>
  <c r="D767" i="12"/>
  <c r="E767" i="12" s="1"/>
  <c r="F767" i="12"/>
  <c r="B767" i="12"/>
  <c r="G767" i="12"/>
  <c r="A768" i="12"/>
  <c r="C768" i="12" s="1"/>
  <c r="L767" i="8"/>
  <c r="T766" i="8"/>
  <c r="S766" i="8"/>
  <c r="R766" i="8"/>
  <c r="Q766" i="8"/>
  <c r="P766" i="8"/>
  <c r="O766" i="8"/>
  <c r="M766" i="8"/>
  <c r="N766" i="8"/>
  <c r="A767" i="8"/>
  <c r="G766" i="8"/>
  <c r="H766" i="8"/>
  <c r="F766" i="8"/>
  <c r="C766" i="8"/>
  <c r="D766" i="8"/>
  <c r="E766" i="8" s="1"/>
  <c r="B766" i="8"/>
  <c r="L816" i="14" l="1"/>
  <c r="N815" i="14"/>
  <c r="O815" i="14"/>
  <c r="Q778" i="14"/>
  <c r="M778" i="14"/>
  <c r="P778" i="14"/>
  <c r="M768" i="12"/>
  <c r="N768" i="12" s="1"/>
  <c r="O768" i="12"/>
  <c r="J769" i="12"/>
  <c r="L769" i="12" s="1"/>
  <c r="K768" i="12"/>
  <c r="P768" i="12"/>
  <c r="B768" i="12"/>
  <c r="G768" i="12"/>
  <c r="A769" i="12"/>
  <c r="C769" i="12" s="1"/>
  <c r="D768" i="12"/>
  <c r="E768" i="12" s="1"/>
  <c r="F768" i="12"/>
  <c r="L768" i="8"/>
  <c r="T767" i="8"/>
  <c r="R767" i="8"/>
  <c r="S767" i="8"/>
  <c r="Q767" i="8"/>
  <c r="P767" i="8"/>
  <c r="O767" i="8"/>
  <c r="M767" i="8"/>
  <c r="N767" i="8"/>
  <c r="A768" i="8"/>
  <c r="G767" i="8"/>
  <c r="F767" i="8"/>
  <c r="H767" i="8"/>
  <c r="C767" i="8"/>
  <c r="B767" i="8"/>
  <c r="D767" i="8"/>
  <c r="E767" i="8" s="1"/>
  <c r="L817" i="14" l="1"/>
  <c r="N816" i="14"/>
  <c r="O816" i="14"/>
  <c r="P779" i="14"/>
  <c r="M779" i="14"/>
  <c r="Q779" i="14"/>
  <c r="O769" i="12"/>
  <c r="J770" i="12"/>
  <c r="L770" i="12" s="1"/>
  <c r="M769" i="12"/>
  <c r="N769" i="12" s="1"/>
  <c r="K769" i="12"/>
  <c r="P769" i="12"/>
  <c r="F769" i="12"/>
  <c r="G769" i="12"/>
  <c r="D769" i="12"/>
  <c r="E769" i="12" s="1"/>
  <c r="B769" i="12"/>
  <c r="A770" i="12"/>
  <c r="C770" i="12" s="1"/>
  <c r="L769" i="8"/>
  <c r="T768" i="8"/>
  <c r="S768" i="8"/>
  <c r="R768" i="8"/>
  <c r="Q768" i="8"/>
  <c r="P768" i="8"/>
  <c r="O768" i="8"/>
  <c r="M768" i="8"/>
  <c r="N768" i="8"/>
  <c r="A769" i="8"/>
  <c r="F768" i="8"/>
  <c r="H768" i="8"/>
  <c r="G768" i="8"/>
  <c r="D768" i="8"/>
  <c r="E768" i="8" s="1"/>
  <c r="B768" i="8"/>
  <c r="C768" i="8"/>
  <c r="L818" i="14" l="1"/>
  <c r="N817" i="14"/>
  <c r="O817" i="14"/>
  <c r="P780" i="14"/>
  <c r="M780" i="14"/>
  <c r="Q780" i="14"/>
  <c r="J771" i="12"/>
  <c r="L771" i="12" s="1"/>
  <c r="K770" i="12"/>
  <c r="O770" i="12"/>
  <c r="P770" i="12"/>
  <c r="M770" i="12"/>
  <c r="N770" i="12" s="1"/>
  <c r="D770" i="12"/>
  <c r="E770" i="12" s="1"/>
  <c r="G770" i="12"/>
  <c r="F770" i="12"/>
  <c r="A771" i="12"/>
  <c r="C771" i="12" s="1"/>
  <c r="B770" i="12"/>
  <c r="T769" i="8"/>
  <c r="S769" i="8"/>
  <c r="R769" i="8"/>
  <c r="Q769" i="8"/>
  <c r="O769" i="8"/>
  <c r="P769" i="8"/>
  <c r="M769" i="8"/>
  <c r="N769" i="8"/>
  <c r="A770" i="8"/>
  <c r="H769" i="8"/>
  <c r="G769" i="8"/>
  <c r="F769" i="8"/>
  <c r="D769" i="8"/>
  <c r="E769" i="8" s="1"/>
  <c r="B769" i="8"/>
  <c r="C769" i="8"/>
  <c r="L819" i="14" l="1"/>
  <c r="N818" i="14"/>
  <c r="O818" i="14"/>
  <c r="P781" i="14"/>
  <c r="M781" i="14"/>
  <c r="Q781" i="14"/>
  <c r="P771" i="12"/>
  <c r="O771" i="12"/>
  <c r="K771" i="12"/>
  <c r="J772" i="12"/>
  <c r="L772" i="12" s="1"/>
  <c r="M771" i="12"/>
  <c r="N771" i="12" s="1"/>
  <c r="B771" i="12"/>
  <c r="A772" i="12"/>
  <c r="C772" i="12" s="1"/>
  <c r="G771" i="12"/>
  <c r="F771" i="12"/>
  <c r="D771" i="12"/>
  <c r="E771" i="12" s="1"/>
  <c r="A771" i="8"/>
  <c r="G770" i="8"/>
  <c r="H770" i="8"/>
  <c r="F770" i="8"/>
  <c r="D770" i="8"/>
  <c r="E770" i="8" s="1"/>
  <c r="B770" i="8"/>
  <c r="C770" i="8"/>
  <c r="L820" i="14" l="1"/>
  <c r="N819" i="14"/>
  <c r="O819" i="14"/>
  <c r="P782" i="14"/>
  <c r="M782" i="14"/>
  <c r="Q782" i="14"/>
  <c r="O772" i="12"/>
  <c r="P772" i="12"/>
  <c r="K772" i="12"/>
  <c r="J773" i="12"/>
  <c r="L773" i="12" s="1"/>
  <c r="M772" i="12"/>
  <c r="N772" i="12" s="1"/>
  <c r="F772" i="12"/>
  <c r="D772" i="12"/>
  <c r="E772" i="12" s="1"/>
  <c r="A773" i="12"/>
  <c r="C773" i="12" s="1"/>
  <c r="B772" i="12"/>
  <c r="G772" i="12"/>
  <c r="A772" i="8"/>
  <c r="G771" i="8"/>
  <c r="H771" i="8"/>
  <c r="F771" i="8"/>
  <c r="D771" i="8"/>
  <c r="E771" i="8" s="1"/>
  <c r="B771" i="8"/>
  <c r="C771" i="8"/>
  <c r="L821" i="14" l="1"/>
  <c r="N820" i="14"/>
  <c r="O820" i="14"/>
  <c r="M783" i="14"/>
  <c r="P783" i="14"/>
  <c r="Q783" i="14"/>
  <c r="P773" i="12"/>
  <c r="O773" i="12"/>
  <c r="K773" i="12"/>
  <c r="J774" i="12"/>
  <c r="L774" i="12" s="1"/>
  <c r="M773" i="12"/>
  <c r="N773" i="12" s="1"/>
  <c r="D773" i="12"/>
  <c r="E773" i="12" s="1"/>
  <c r="A774" i="12"/>
  <c r="C774" i="12" s="1"/>
  <c r="B773" i="12"/>
  <c r="F773" i="12"/>
  <c r="G773" i="12"/>
  <c r="A773" i="8"/>
  <c r="G772" i="8"/>
  <c r="H772" i="8"/>
  <c r="F772" i="8"/>
  <c r="D772" i="8"/>
  <c r="E772" i="8" s="1"/>
  <c r="C772" i="8"/>
  <c r="B772" i="8"/>
  <c r="L822" i="14" l="1"/>
  <c r="N821" i="14"/>
  <c r="O821" i="14"/>
  <c r="Q784" i="14"/>
  <c r="P784" i="14"/>
  <c r="M784" i="14"/>
  <c r="M774" i="12"/>
  <c r="N774" i="12" s="1"/>
  <c r="P774" i="12"/>
  <c r="O774" i="12"/>
  <c r="K774" i="12"/>
  <c r="J775" i="12"/>
  <c r="L775" i="12" s="1"/>
  <c r="B774" i="12"/>
  <c r="F774" i="12"/>
  <c r="A775" i="12"/>
  <c r="C775" i="12" s="1"/>
  <c r="G774" i="12"/>
  <c r="D774" i="12"/>
  <c r="E774" i="12" s="1"/>
  <c r="A774" i="8"/>
  <c r="H773" i="8"/>
  <c r="G773" i="8"/>
  <c r="F773" i="8"/>
  <c r="D773" i="8"/>
  <c r="E773" i="8" s="1"/>
  <c r="C773" i="8"/>
  <c r="B773" i="8"/>
  <c r="L823" i="14" l="1"/>
  <c r="N822" i="14"/>
  <c r="O822" i="14"/>
  <c r="P785" i="14"/>
  <c r="Q785" i="14"/>
  <c r="M785" i="14"/>
  <c r="P775" i="12"/>
  <c r="O775" i="12"/>
  <c r="K775" i="12"/>
  <c r="M775" i="12"/>
  <c r="N775" i="12" s="1"/>
  <c r="J776" i="12"/>
  <c r="L776" i="12" s="1"/>
  <c r="F775" i="12"/>
  <c r="A776" i="12"/>
  <c r="C776" i="12" s="1"/>
  <c r="D775" i="12"/>
  <c r="E775" i="12" s="1"/>
  <c r="B775" i="12"/>
  <c r="G775" i="12"/>
  <c r="A775" i="8"/>
  <c r="G774" i="8"/>
  <c r="H774" i="8"/>
  <c r="F774" i="8"/>
  <c r="C774" i="8"/>
  <c r="D774" i="8"/>
  <c r="E774" i="8" s="1"/>
  <c r="B774" i="8"/>
  <c r="L824" i="14" l="1"/>
  <c r="N823" i="14"/>
  <c r="O823" i="14"/>
  <c r="Q786" i="14"/>
  <c r="M786" i="14"/>
  <c r="P786" i="14"/>
  <c r="J777" i="12"/>
  <c r="L777" i="12" s="1"/>
  <c r="K776" i="12"/>
  <c r="P776" i="12"/>
  <c r="O776" i="12"/>
  <c r="M776" i="12"/>
  <c r="N776" i="12" s="1"/>
  <c r="D776" i="12"/>
  <c r="E776" i="12" s="1"/>
  <c r="F776" i="12"/>
  <c r="B776" i="12"/>
  <c r="A777" i="12"/>
  <c r="C777" i="12" s="1"/>
  <c r="G776" i="12"/>
  <c r="A776" i="8"/>
  <c r="G775" i="8"/>
  <c r="H775" i="8"/>
  <c r="F775" i="8"/>
  <c r="C775" i="8"/>
  <c r="D775" i="8"/>
  <c r="E775" i="8" s="1"/>
  <c r="B775" i="8"/>
  <c r="L825" i="14" l="1"/>
  <c r="N824" i="14"/>
  <c r="O824" i="14"/>
  <c r="Q787" i="14"/>
  <c r="P787" i="14"/>
  <c r="M787" i="14"/>
  <c r="J778" i="12"/>
  <c r="L778" i="12" s="1"/>
  <c r="K777" i="12"/>
  <c r="P777" i="12"/>
  <c r="M777" i="12"/>
  <c r="N777" i="12" s="1"/>
  <c r="O777" i="12"/>
  <c r="B777" i="12"/>
  <c r="G777" i="12"/>
  <c r="D777" i="12"/>
  <c r="E777" i="12" s="1"/>
  <c r="F777" i="12"/>
  <c r="A778" i="12"/>
  <c r="C778" i="12" s="1"/>
  <c r="A777" i="8"/>
  <c r="F776" i="8"/>
  <c r="H776" i="8"/>
  <c r="G776" i="8"/>
  <c r="D776" i="8"/>
  <c r="E776" i="8" s="1"/>
  <c r="B776" i="8"/>
  <c r="C776" i="8"/>
  <c r="L826" i="14" l="1"/>
  <c r="N825" i="14"/>
  <c r="O825" i="14"/>
  <c r="Q788" i="14"/>
  <c r="P788" i="14"/>
  <c r="M788" i="14"/>
  <c r="P778" i="12"/>
  <c r="K778" i="12"/>
  <c r="J779" i="12"/>
  <c r="L779" i="12" s="1"/>
  <c r="O778" i="12"/>
  <c r="M778" i="12"/>
  <c r="N778" i="12" s="1"/>
  <c r="F778" i="12"/>
  <c r="G778" i="12"/>
  <c r="A779" i="12"/>
  <c r="C779" i="12" s="1"/>
  <c r="B778" i="12"/>
  <c r="D778" i="12"/>
  <c r="E778" i="12" s="1"/>
  <c r="A778" i="8"/>
  <c r="H777" i="8"/>
  <c r="G777" i="8"/>
  <c r="F777" i="8"/>
  <c r="D777" i="8"/>
  <c r="E777" i="8" s="1"/>
  <c r="B777" i="8"/>
  <c r="C777" i="8"/>
  <c r="L827" i="14" l="1"/>
  <c r="N826" i="14"/>
  <c r="O826" i="14"/>
  <c r="M789" i="14"/>
  <c r="Q789" i="14"/>
  <c r="P789" i="14"/>
  <c r="O779" i="12"/>
  <c r="K779" i="12"/>
  <c r="M779" i="12"/>
  <c r="N779" i="12" s="1"/>
  <c r="P779" i="12"/>
  <c r="J780" i="12"/>
  <c r="L780" i="12" s="1"/>
  <c r="D779" i="12"/>
  <c r="E779" i="12" s="1"/>
  <c r="F779" i="12"/>
  <c r="A780" i="12"/>
  <c r="C780" i="12" s="1"/>
  <c r="G779" i="12"/>
  <c r="B779" i="12"/>
  <c r="A779" i="8"/>
  <c r="G778" i="8"/>
  <c r="H778" i="8"/>
  <c r="F778" i="8"/>
  <c r="D778" i="8"/>
  <c r="E778" i="8" s="1"/>
  <c r="B778" i="8"/>
  <c r="C778" i="8"/>
  <c r="L828" i="14" l="1"/>
  <c r="N827" i="14"/>
  <c r="O827" i="14"/>
  <c r="Q790" i="14"/>
  <c r="P790" i="14"/>
  <c r="M790" i="14"/>
  <c r="K780" i="12"/>
  <c r="O780" i="12"/>
  <c r="M780" i="12"/>
  <c r="N780" i="12" s="1"/>
  <c r="J781" i="12"/>
  <c r="L781" i="12" s="1"/>
  <c r="P780" i="12"/>
  <c r="B780" i="12"/>
  <c r="F780" i="12"/>
  <c r="D780" i="12"/>
  <c r="E780" i="12" s="1"/>
  <c r="A781" i="12"/>
  <c r="C781" i="12" s="1"/>
  <c r="G780" i="12"/>
  <c r="A780" i="8"/>
  <c r="G779" i="8"/>
  <c r="H779" i="8"/>
  <c r="F779" i="8"/>
  <c r="D779" i="8"/>
  <c r="E779" i="8" s="1"/>
  <c r="B779" i="8"/>
  <c r="C779" i="8"/>
  <c r="L829" i="14" l="1"/>
  <c r="N828" i="14"/>
  <c r="O828" i="14"/>
  <c r="P791" i="14"/>
  <c r="M791" i="14"/>
  <c r="Q791" i="14"/>
  <c r="M781" i="12"/>
  <c r="N781" i="12" s="1"/>
  <c r="K781" i="12"/>
  <c r="P781" i="12"/>
  <c r="O781" i="12"/>
  <c r="J782" i="12"/>
  <c r="L782" i="12" s="1"/>
  <c r="F781" i="12"/>
  <c r="D781" i="12"/>
  <c r="E781" i="12" s="1"/>
  <c r="B781" i="12"/>
  <c r="G781" i="12"/>
  <c r="A782" i="12"/>
  <c r="C782" i="12" s="1"/>
  <c r="A781" i="8"/>
  <c r="G780" i="8"/>
  <c r="H780" i="8"/>
  <c r="F780" i="8"/>
  <c r="D780" i="8"/>
  <c r="E780" i="8" s="1"/>
  <c r="C780" i="8"/>
  <c r="B780" i="8"/>
  <c r="L830" i="14" l="1"/>
  <c r="N829" i="14"/>
  <c r="O829" i="14"/>
  <c r="P792" i="14"/>
  <c r="Q792" i="14"/>
  <c r="M792" i="14"/>
  <c r="K782" i="12"/>
  <c r="J783" i="12"/>
  <c r="L783" i="12" s="1"/>
  <c r="P782" i="12"/>
  <c r="M782" i="12"/>
  <c r="N782" i="12" s="1"/>
  <c r="O782" i="12"/>
  <c r="D782" i="12"/>
  <c r="E782" i="12" s="1"/>
  <c r="B782" i="12"/>
  <c r="A783" i="12"/>
  <c r="C783" i="12" s="1"/>
  <c r="G782" i="12"/>
  <c r="F782" i="12"/>
  <c r="A782" i="8"/>
  <c r="H781" i="8"/>
  <c r="G781" i="8"/>
  <c r="F781" i="8"/>
  <c r="C781" i="8"/>
  <c r="D781" i="8"/>
  <c r="E781" i="8" s="1"/>
  <c r="B781" i="8"/>
  <c r="L831" i="14" l="1"/>
  <c r="N830" i="14"/>
  <c r="O830" i="14"/>
  <c r="Q793" i="14"/>
  <c r="M793" i="14"/>
  <c r="P793" i="14"/>
  <c r="J784" i="12"/>
  <c r="L784" i="12" s="1"/>
  <c r="K783" i="12"/>
  <c r="P783" i="12"/>
  <c r="O783" i="12"/>
  <c r="M783" i="12"/>
  <c r="N783" i="12" s="1"/>
  <c r="B783" i="12"/>
  <c r="G783" i="12"/>
  <c r="F783" i="12"/>
  <c r="D783" i="12"/>
  <c r="E783" i="12" s="1"/>
  <c r="A784" i="12"/>
  <c r="C784" i="12" s="1"/>
  <c r="A783" i="8"/>
  <c r="G782" i="8"/>
  <c r="H782" i="8"/>
  <c r="D782" i="8"/>
  <c r="E782" i="8" s="1"/>
  <c r="C782" i="8"/>
  <c r="F782" i="8"/>
  <c r="B782" i="8"/>
  <c r="L832" i="14" l="1"/>
  <c r="N831" i="14"/>
  <c r="O831" i="14"/>
  <c r="P794" i="14"/>
  <c r="M794" i="14"/>
  <c r="Q794" i="14"/>
  <c r="P784" i="12"/>
  <c r="M784" i="12"/>
  <c r="N784" i="12" s="1"/>
  <c r="K784" i="12"/>
  <c r="O784" i="12"/>
  <c r="J785" i="12"/>
  <c r="L785" i="12" s="1"/>
  <c r="F784" i="12"/>
  <c r="A785" i="12"/>
  <c r="C785" i="12" s="1"/>
  <c r="D784" i="12"/>
  <c r="E784" i="12" s="1"/>
  <c r="B784" i="12"/>
  <c r="G784" i="12"/>
  <c r="A784" i="8"/>
  <c r="G783" i="8"/>
  <c r="H783" i="8"/>
  <c r="D783" i="8"/>
  <c r="E783" i="8" s="1"/>
  <c r="F783" i="8"/>
  <c r="C783" i="8"/>
  <c r="B783" i="8"/>
  <c r="L833" i="14" l="1"/>
  <c r="N832" i="14"/>
  <c r="O832" i="14"/>
  <c r="M795" i="14"/>
  <c r="Q795" i="14"/>
  <c r="P795" i="14"/>
  <c r="O785" i="12"/>
  <c r="M785" i="12"/>
  <c r="N785" i="12" s="1"/>
  <c r="J786" i="12"/>
  <c r="L786" i="12" s="1"/>
  <c r="P785" i="12"/>
  <c r="K785" i="12"/>
  <c r="D785" i="12"/>
  <c r="E785" i="12" s="1"/>
  <c r="A786" i="12"/>
  <c r="C786" i="12" s="1"/>
  <c r="F785" i="12"/>
  <c r="G785" i="12"/>
  <c r="B785" i="12"/>
  <c r="A785" i="8"/>
  <c r="F784" i="8"/>
  <c r="H784" i="8"/>
  <c r="G784" i="8"/>
  <c r="D784" i="8"/>
  <c r="E784" i="8" s="1"/>
  <c r="B784" i="8"/>
  <c r="C784" i="8"/>
  <c r="L834" i="14" l="1"/>
  <c r="N833" i="14"/>
  <c r="O833" i="14"/>
  <c r="M796" i="14"/>
  <c r="P796" i="14"/>
  <c r="Q796" i="14"/>
  <c r="P786" i="12"/>
  <c r="O786" i="12"/>
  <c r="J787" i="12"/>
  <c r="L787" i="12" s="1"/>
  <c r="M786" i="12"/>
  <c r="N786" i="12" s="1"/>
  <c r="K786" i="12"/>
  <c r="B786" i="12"/>
  <c r="G786" i="12"/>
  <c r="D786" i="12"/>
  <c r="E786" i="12" s="1"/>
  <c r="A787" i="12"/>
  <c r="C787" i="12" s="1"/>
  <c r="F786" i="12"/>
  <c r="A786" i="8"/>
  <c r="H785" i="8"/>
  <c r="G785" i="8"/>
  <c r="F785" i="8"/>
  <c r="D785" i="8"/>
  <c r="E785" i="8" s="1"/>
  <c r="B785" i="8"/>
  <c r="C785" i="8"/>
  <c r="L835" i="14" l="1"/>
  <c r="N834" i="14"/>
  <c r="O834" i="14"/>
  <c r="Q797" i="14"/>
  <c r="P797" i="14"/>
  <c r="M797" i="14"/>
  <c r="M787" i="12"/>
  <c r="N787" i="12" s="1"/>
  <c r="J788" i="12"/>
  <c r="L788" i="12" s="1"/>
  <c r="P787" i="12"/>
  <c r="K787" i="12"/>
  <c r="O787" i="12"/>
  <c r="F787" i="12"/>
  <c r="B787" i="12"/>
  <c r="A788" i="12"/>
  <c r="C788" i="12" s="1"/>
  <c r="G787" i="12"/>
  <c r="D787" i="12"/>
  <c r="E787" i="12" s="1"/>
  <c r="A787" i="8"/>
  <c r="G786" i="8"/>
  <c r="H786" i="8"/>
  <c r="D786" i="8"/>
  <c r="E786" i="8" s="1"/>
  <c r="F786" i="8"/>
  <c r="B786" i="8"/>
  <c r="C786" i="8"/>
  <c r="L836" i="14" l="1"/>
  <c r="N835" i="14"/>
  <c r="O835" i="14"/>
  <c r="P798" i="14"/>
  <c r="Q798" i="14"/>
  <c r="M798" i="14"/>
  <c r="M788" i="12"/>
  <c r="N788" i="12" s="1"/>
  <c r="J789" i="12"/>
  <c r="L789" i="12" s="1"/>
  <c r="P788" i="12"/>
  <c r="O788" i="12"/>
  <c r="K788" i="12"/>
  <c r="D788" i="12"/>
  <c r="E788" i="12" s="1"/>
  <c r="F788" i="12"/>
  <c r="G788" i="12"/>
  <c r="B788" i="12"/>
  <c r="A789" i="12"/>
  <c r="C789" i="12" s="1"/>
  <c r="A788" i="8"/>
  <c r="G787" i="8"/>
  <c r="H787" i="8"/>
  <c r="F787" i="8"/>
  <c r="D787" i="8"/>
  <c r="E787" i="8" s="1"/>
  <c r="B787" i="8"/>
  <c r="C787" i="8"/>
  <c r="L837" i="14" l="1"/>
  <c r="N836" i="14"/>
  <c r="O836" i="14"/>
  <c r="P799" i="14"/>
  <c r="Q799" i="14"/>
  <c r="M799" i="14"/>
  <c r="J790" i="12"/>
  <c r="L790" i="12" s="1"/>
  <c r="K789" i="12"/>
  <c r="M789" i="12"/>
  <c r="N789" i="12" s="1"/>
  <c r="P789" i="12"/>
  <c r="O789" i="12"/>
  <c r="B789" i="12"/>
  <c r="A790" i="12"/>
  <c r="C790" i="12" s="1"/>
  <c r="G789" i="12"/>
  <c r="F789" i="12"/>
  <c r="D789" i="12"/>
  <c r="E789" i="12" s="1"/>
  <c r="A789" i="8"/>
  <c r="G788" i="8"/>
  <c r="H788" i="8"/>
  <c r="F788" i="8"/>
  <c r="D788" i="8"/>
  <c r="E788" i="8" s="1"/>
  <c r="B788" i="8"/>
  <c r="C788" i="8"/>
  <c r="L838" i="14" l="1"/>
  <c r="N837" i="14"/>
  <c r="O837" i="14"/>
  <c r="M800" i="14"/>
  <c r="Q800" i="14"/>
  <c r="P800" i="14"/>
  <c r="P790" i="12"/>
  <c r="M790" i="12"/>
  <c r="N790" i="12" s="1"/>
  <c r="K790" i="12"/>
  <c r="J791" i="12"/>
  <c r="L791" i="12" s="1"/>
  <c r="O790" i="12"/>
  <c r="F790" i="12"/>
  <c r="D790" i="12"/>
  <c r="E790" i="12" s="1"/>
  <c r="B790" i="12"/>
  <c r="A791" i="12"/>
  <c r="C791" i="12" s="1"/>
  <c r="G790" i="12"/>
  <c r="A790" i="8"/>
  <c r="H789" i="8"/>
  <c r="F789" i="8"/>
  <c r="G789" i="8"/>
  <c r="D789" i="8"/>
  <c r="E789" i="8" s="1"/>
  <c r="C789" i="8"/>
  <c r="B789" i="8"/>
  <c r="L839" i="14" l="1"/>
  <c r="N838" i="14"/>
  <c r="O838" i="14"/>
  <c r="P801" i="14"/>
  <c r="M801" i="14"/>
  <c r="Q801" i="14"/>
  <c r="O791" i="12"/>
  <c r="M791" i="12"/>
  <c r="N791" i="12" s="1"/>
  <c r="P791" i="12"/>
  <c r="K791" i="12"/>
  <c r="J792" i="12"/>
  <c r="L792" i="12" s="1"/>
  <c r="D791" i="12"/>
  <c r="E791" i="12" s="1"/>
  <c r="G791" i="12"/>
  <c r="F791" i="12"/>
  <c r="B791" i="12"/>
  <c r="A792" i="12"/>
  <c r="C792" i="12" s="1"/>
  <c r="A791" i="8"/>
  <c r="G790" i="8"/>
  <c r="H790" i="8"/>
  <c r="F790" i="8"/>
  <c r="C790" i="8"/>
  <c r="D790" i="8"/>
  <c r="E790" i="8" s="1"/>
  <c r="B790" i="8"/>
  <c r="L840" i="14" l="1"/>
  <c r="N839" i="14"/>
  <c r="O839" i="14"/>
  <c r="M802" i="14"/>
  <c r="P802" i="14"/>
  <c r="Q802" i="14"/>
  <c r="M792" i="12"/>
  <c r="N792" i="12" s="1"/>
  <c r="J793" i="12"/>
  <c r="L793" i="12" s="1"/>
  <c r="P792" i="12"/>
  <c r="O792" i="12"/>
  <c r="K792" i="12"/>
  <c r="B792" i="12"/>
  <c r="A793" i="12"/>
  <c r="C793" i="12" s="1"/>
  <c r="G792" i="12"/>
  <c r="F792" i="12"/>
  <c r="D792" i="12"/>
  <c r="E792" i="12" s="1"/>
  <c r="A792" i="8"/>
  <c r="G791" i="8"/>
  <c r="F791" i="8"/>
  <c r="H791" i="8"/>
  <c r="D791" i="8"/>
  <c r="E791" i="8" s="1"/>
  <c r="C791" i="8"/>
  <c r="B791" i="8"/>
  <c r="L841" i="14" l="1"/>
  <c r="N840" i="14"/>
  <c r="O840" i="14"/>
  <c r="Q803" i="14"/>
  <c r="M803" i="14"/>
  <c r="P803" i="14"/>
  <c r="M793" i="12"/>
  <c r="N793" i="12" s="1"/>
  <c r="J794" i="12"/>
  <c r="L794" i="12" s="1"/>
  <c r="P793" i="12"/>
  <c r="O793" i="12"/>
  <c r="K793" i="12"/>
  <c r="F793" i="12"/>
  <c r="A794" i="12"/>
  <c r="C794" i="12" s="1"/>
  <c r="B793" i="12"/>
  <c r="D793" i="12"/>
  <c r="E793" i="12" s="1"/>
  <c r="G793" i="12"/>
  <c r="A793" i="8"/>
  <c r="F792" i="8"/>
  <c r="H792" i="8"/>
  <c r="G792" i="8"/>
  <c r="D792" i="8"/>
  <c r="E792" i="8" s="1"/>
  <c r="B792" i="8"/>
  <c r="C792" i="8"/>
  <c r="L842" i="14" l="1"/>
  <c r="N841" i="14"/>
  <c r="O841" i="14"/>
  <c r="P804" i="14"/>
  <c r="M804" i="14"/>
  <c r="Q804" i="14"/>
  <c r="K794" i="12"/>
  <c r="J795" i="12"/>
  <c r="L795" i="12" s="1"/>
  <c r="P794" i="12"/>
  <c r="O794" i="12"/>
  <c r="M794" i="12"/>
  <c r="N794" i="12" s="1"/>
  <c r="D794" i="12"/>
  <c r="E794" i="12" s="1"/>
  <c r="B794" i="12"/>
  <c r="A795" i="12"/>
  <c r="C795" i="12" s="1"/>
  <c r="F794" i="12"/>
  <c r="G794" i="12"/>
  <c r="A794" i="8"/>
  <c r="H793" i="8"/>
  <c r="G793" i="8"/>
  <c r="F793" i="8"/>
  <c r="D793" i="8"/>
  <c r="E793" i="8" s="1"/>
  <c r="B793" i="8"/>
  <c r="C793" i="8"/>
  <c r="L843" i="14" l="1"/>
  <c r="N842" i="14"/>
  <c r="O842" i="14"/>
  <c r="P805" i="14"/>
  <c r="M805" i="14"/>
  <c r="Q805" i="14"/>
  <c r="J796" i="12"/>
  <c r="L796" i="12" s="1"/>
  <c r="K795" i="12"/>
  <c r="M795" i="12"/>
  <c r="N795" i="12" s="1"/>
  <c r="P795" i="12"/>
  <c r="O795" i="12"/>
  <c r="B795" i="12"/>
  <c r="G795" i="12"/>
  <c r="F795" i="12"/>
  <c r="A796" i="12"/>
  <c r="C796" i="12" s="1"/>
  <c r="D795" i="12"/>
  <c r="E795" i="12" s="1"/>
  <c r="A795" i="8"/>
  <c r="G794" i="8"/>
  <c r="H794" i="8"/>
  <c r="F794" i="8"/>
  <c r="B794" i="8"/>
  <c r="C794" i="8"/>
  <c r="D794" i="8"/>
  <c r="E794" i="8" s="1"/>
  <c r="L844" i="14" l="1"/>
  <c r="N843" i="14"/>
  <c r="O843" i="14"/>
  <c r="P806" i="14"/>
  <c r="Q806" i="14"/>
  <c r="M806" i="14"/>
  <c r="P796" i="12"/>
  <c r="O796" i="12"/>
  <c r="M796" i="12"/>
  <c r="N796" i="12" s="1"/>
  <c r="K796" i="12"/>
  <c r="J797" i="12"/>
  <c r="L797" i="12" s="1"/>
  <c r="F796" i="12"/>
  <c r="G796" i="12"/>
  <c r="D796" i="12"/>
  <c r="E796" i="12" s="1"/>
  <c r="A797" i="12"/>
  <c r="C797" i="12" s="1"/>
  <c r="B796" i="12"/>
  <c r="A796" i="8"/>
  <c r="G795" i="8"/>
  <c r="H795" i="8"/>
  <c r="F795" i="8"/>
  <c r="D795" i="8"/>
  <c r="E795" i="8" s="1"/>
  <c r="B795" i="8"/>
  <c r="C795" i="8"/>
  <c r="L845" i="14" l="1"/>
  <c r="N844" i="14"/>
  <c r="O844" i="14"/>
  <c r="P807" i="14"/>
  <c r="M807" i="14"/>
  <c r="Q807" i="14"/>
  <c r="O797" i="12"/>
  <c r="J798" i="12"/>
  <c r="L798" i="12" s="1"/>
  <c r="P797" i="12"/>
  <c r="M797" i="12"/>
  <c r="N797" i="12" s="1"/>
  <c r="K797" i="12"/>
  <c r="D797" i="12"/>
  <c r="E797" i="12" s="1"/>
  <c r="B797" i="12"/>
  <c r="F797" i="12"/>
  <c r="A798" i="12"/>
  <c r="C798" i="12" s="1"/>
  <c r="G797" i="12"/>
  <c r="A797" i="8"/>
  <c r="G796" i="8"/>
  <c r="H796" i="8"/>
  <c r="D796" i="8"/>
  <c r="E796" i="8" s="1"/>
  <c r="F796" i="8"/>
  <c r="C796" i="8"/>
  <c r="B796" i="8"/>
  <c r="L846" i="14" l="1"/>
  <c r="N845" i="14"/>
  <c r="O845" i="14"/>
  <c r="M808" i="14"/>
  <c r="P808" i="14"/>
  <c r="Q808" i="14"/>
  <c r="O798" i="12"/>
  <c r="J799" i="12"/>
  <c r="L799" i="12" s="1"/>
  <c r="P798" i="12"/>
  <c r="M798" i="12"/>
  <c r="N798" i="12" s="1"/>
  <c r="K798" i="12"/>
  <c r="B798" i="12"/>
  <c r="D798" i="12"/>
  <c r="E798" i="12" s="1"/>
  <c r="G798" i="12"/>
  <c r="F798" i="12"/>
  <c r="A799" i="12"/>
  <c r="C799" i="12" s="1"/>
  <c r="A798" i="8"/>
  <c r="H797" i="8"/>
  <c r="G797" i="8"/>
  <c r="D797" i="8"/>
  <c r="E797" i="8" s="1"/>
  <c r="F797" i="8"/>
  <c r="C797" i="8"/>
  <c r="B797" i="8"/>
  <c r="L847" i="14" l="1"/>
  <c r="N846" i="14"/>
  <c r="O846" i="14"/>
  <c r="Q809" i="14"/>
  <c r="P809" i="14"/>
  <c r="M809" i="14"/>
  <c r="M799" i="12"/>
  <c r="N799" i="12" s="1"/>
  <c r="O799" i="12"/>
  <c r="K799" i="12"/>
  <c r="J800" i="12"/>
  <c r="L800" i="12" s="1"/>
  <c r="P799" i="12"/>
  <c r="F799" i="12"/>
  <c r="D799" i="12"/>
  <c r="E799" i="12" s="1"/>
  <c r="A800" i="12"/>
  <c r="C800" i="12" s="1"/>
  <c r="B799" i="12"/>
  <c r="G799" i="12"/>
  <c r="A799" i="8"/>
  <c r="G798" i="8"/>
  <c r="H798" i="8"/>
  <c r="F798" i="8"/>
  <c r="C798" i="8"/>
  <c r="D798" i="8"/>
  <c r="E798" i="8" s="1"/>
  <c r="B798" i="8"/>
  <c r="L848" i="14" l="1"/>
  <c r="N847" i="14"/>
  <c r="O847" i="14"/>
  <c r="P810" i="14"/>
  <c r="Q810" i="14"/>
  <c r="M810" i="14"/>
  <c r="O800" i="12"/>
  <c r="M800" i="12"/>
  <c r="N800" i="12" s="1"/>
  <c r="K800" i="12"/>
  <c r="J801" i="12"/>
  <c r="L801" i="12" s="1"/>
  <c r="P800" i="12"/>
  <c r="D800" i="12"/>
  <c r="E800" i="12" s="1"/>
  <c r="F800" i="12"/>
  <c r="G800" i="12"/>
  <c r="A801" i="12"/>
  <c r="C801" i="12" s="1"/>
  <c r="B800" i="12"/>
  <c r="A800" i="8"/>
  <c r="G799" i="8"/>
  <c r="F799" i="8"/>
  <c r="H799" i="8"/>
  <c r="D799" i="8"/>
  <c r="E799" i="8" s="1"/>
  <c r="C799" i="8"/>
  <c r="B799" i="8"/>
  <c r="L849" i="14" l="1"/>
  <c r="N848" i="14"/>
  <c r="O848" i="14"/>
  <c r="Q811" i="14"/>
  <c r="P811" i="14"/>
  <c r="M811" i="14"/>
  <c r="J802" i="12"/>
  <c r="L802" i="12" s="1"/>
  <c r="K801" i="12"/>
  <c r="O801" i="12"/>
  <c r="M801" i="12"/>
  <c r="N801" i="12" s="1"/>
  <c r="P801" i="12"/>
  <c r="B801" i="12"/>
  <c r="A802" i="12"/>
  <c r="C802" i="12" s="1"/>
  <c r="D801" i="12"/>
  <c r="E801" i="12" s="1"/>
  <c r="G801" i="12"/>
  <c r="F801" i="12"/>
  <c r="A801" i="8"/>
  <c r="F800" i="8"/>
  <c r="H800" i="8"/>
  <c r="G800" i="8"/>
  <c r="D800" i="8"/>
  <c r="E800" i="8" s="1"/>
  <c r="C800" i="8"/>
  <c r="B800" i="8"/>
  <c r="L850" i="14" l="1"/>
  <c r="N849" i="14"/>
  <c r="O849" i="14"/>
  <c r="Q812" i="14"/>
  <c r="P812" i="14"/>
  <c r="M812" i="14"/>
  <c r="P802" i="12"/>
  <c r="O802" i="12"/>
  <c r="J803" i="12"/>
  <c r="L803" i="12" s="1"/>
  <c r="M802" i="12"/>
  <c r="N802" i="12" s="1"/>
  <c r="K802" i="12"/>
  <c r="F802" i="12"/>
  <c r="B802" i="12"/>
  <c r="G802" i="12"/>
  <c r="A803" i="12"/>
  <c r="C803" i="12" s="1"/>
  <c r="D802" i="12"/>
  <c r="E802" i="12" s="1"/>
  <c r="A802" i="8"/>
  <c r="H801" i="8"/>
  <c r="G801" i="8"/>
  <c r="F801" i="8"/>
  <c r="D801" i="8"/>
  <c r="E801" i="8" s="1"/>
  <c r="B801" i="8"/>
  <c r="C801" i="8"/>
  <c r="L851" i="14" l="1"/>
  <c r="N850" i="14"/>
  <c r="O850" i="14"/>
  <c r="Q813" i="14"/>
  <c r="P813" i="14"/>
  <c r="M813" i="14"/>
  <c r="O803" i="12"/>
  <c r="P803" i="12"/>
  <c r="J804" i="12"/>
  <c r="L804" i="12" s="1"/>
  <c r="M803" i="12"/>
  <c r="N803" i="12" s="1"/>
  <c r="K803" i="12"/>
  <c r="D803" i="12"/>
  <c r="E803" i="12" s="1"/>
  <c r="G803" i="12"/>
  <c r="B803" i="12"/>
  <c r="F803" i="12"/>
  <c r="A804" i="12"/>
  <c r="C804" i="12" s="1"/>
  <c r="A803" i="8"/>
  <c r="G802" i="8"/>
  <c r="H802" i="8"/>
  <c r="F802" i="8"/>
  <c r="D802" i="8"/>
  <c r="E802" i="8" s="1"/>
  <c r="C802" i="8"/>
  <c r="B802" i="8"/>
  <c r="L852" i="14" l="1"/>
  <c r="N851" i="14"/>
  <c r="O851" i="14"/>
  <c r="M814" i="14"/>
  <c r="Q814" i="14"/>
  <c r="P814" i="14"/>
  <c r="P804" i="12"/>
  <c r="K804" i="12"/>
  <c r="J805" i="12"/>
  <c r="L805" i="12" s="1"/>
  <c r="O804" i="12"/>
  <c r="M804" i="12"/>
  <c r="N804" i="12" s="1"/>
  <c r="B804" i="12"/>
  <c r="G804" i="12"/>
  <c r="A805" i="12"/>
  <c r="C805" i="12" s="1"/>
  <c r="F804" i="12"/>
  <c r="D804" i="12"/>
  <c r="E804" i="12" s="1"/>
  <c r="A804" i="8"/>
  <c r="G803" i="8"/>
  <c r="H803" i="8"/>
  <c r="F803" i="8"/>
  <c r="D803" i="8"/>
  <c r="E803" i="8" s="1"/>
  <c r="B803" i="8"/>
  <c r="C803" i="8"/>
  <c r="L853" i="14" l="1"/>
  <c r="N852" i="14"/>
  <c r="O852" i="14"/>
  <c r="Q815" i="14"/>
  <c r="M815" i="14"/>
  <c r="P815" i="14"/>
  <c r="M805" i="12"/>
  <c r="N805" i="12" s="1"/>
  <c r="P805" i="12"/>
  <c r="K805" i="12"/>
  <c r="J806" i="12"/>
  <c r="L806" i="12" s="1"/>
  <c r="O805" i="12"/>
  <c r="F805" i="12"/>
  <c r="A806" i="12"/>
  <c r="C806" i="12" s="1"/>
  <c r="D805" i="12"/>
  <c r="E805" i="12" s="1"/>
  <c r="B805" i="12"/>
  <c r="G805" i="12"/>
  <c r="A805" i="8"/>
  <c r="G804" i="8"/>
  <c r="H804" i="8"/>
  <c r="F804" i="8"/>
  <c r="D804" i="8"/>
  <c r="E804" i="8" s="1"/>
  <c r="B804" i="8"/>
  <c r="C804" i="8"/>
  <c r="L854" i="14" l="1"/>
  <c r="N853" i="14"/>
  <c r="O853" i="14"/>
  <c r="P816" i="14"/>
  <c r="Q816" i="14"/>
  <c r="M816" i="14"/>
  <c r="P806" i="12"/>
  <c r="M806" i="12"/>
  <c r="N806" i="12" s="1"/>
  <c r="K806" i="12"/>
  <c r="J807" i="12"/>
  <c r="L807" i="12" s="1"/>
  <c r="O806" i="12"/>
  <c r="D806" i="12"/>
  <c r="E806" i="12" s="1"/>
  <c r="F806" i="12"/>
  <c r="B806" i="12"/>
  <c r="G806" i="12"/>
  <c r="A807" i="12"/>
  <c r="C807" i="12" s="1"/>
  <c r="A806" i="8"/>
  <c r="H805" i="8"/>
  <c r="G805" i="8"/>
  <c r="D805" i="8"/>
  <c r="E805" i="8" s="1"/>
  <c r="F805" i="8"/>
  <c r="C805" i="8"/>
  <c r="B805" i="8"/>
  <c r="L855" i="14" l="1"/>
  <c r="N854" i="14"/>
  <c r="O854" i="14"/>
  <c r="Q817" i="14"/>
  <c r="M817" i="14"/>
  <c r="P817" i="14"/>
  <c r="J808" i="12"/>
  <c r="L808" i="12" s="1"/>
  <c r="K807" i="12"/>
  <c r="P807" i="12"/>
  <c r="O807" i="12"/>
  <c r="M807" i="12"/>
  <c r="N807" i="12" s="1"/>
  <c r="B807" i="12"/>
  <c r="F807" i="12"/>
  <c r="G807" i="12"/>
  <c r="D807" i="12"/>
  <c r="E807" i="12" s="1"/>
  <c r="A808" i="12"/>
  <c r="C808" i="12" s="1"/>
  <c r="A807" i="8"/>
  <c r="G806" i="8"/>
  <c r="H806" i="8"/>
  <c r="F806" i="8"/>
  <c r="C806" i="8"/>
  <c r="D806" i="8"/>
  <c r="E806" i="8" s="1"/>
  <c r="B806" i="8"/>
  <c r="L856" i="14" l="1"/>
  <c r="N855" i="14"/>
  <c r="O855" i="14"/>
  <c r="P818" i="14"/>
  <c r="Q818" i="14"/>
  <c r="M818" i="14"/>
  <c r="P808" i="12"/>
  <c r="J809" i="12"/>
  <c r="L809" i="12" s="1"/>
  <c r="O808" i="12"/>
  <c r="M808" i="12"/>
  <c r="N808" i="12" s="1"/>
  <c r="K808" i="12"/>
  <c r="F808" i="12"/>
  <c r="B808" i="12"/>
  <c r="G808" i="12"/>
  <c r="D808" i="12"/>
  <c r="E808" i="12" s="1"/>
  <c r="A809" i="12"/>
  <c r="C809" i="12" s="1"/>
  <c r="A808" i="8"/>
  <c r="G807" i="8"/>
  <c r="F807" i="8"/>
  <c r="H807" i="8"/>
  <c r="D807" i="8"/>
  <c r="E807" i="8" s="1"/>
  <c r="B807" i="8"/>
  <c r="C807" i="8"/>
  <c r="L857" i="14" l="1"/>
  <c r="N856" i="14"/>
  <c r="O856" i="14"/>
  <c r="Q819" i="14"/>
  <c r="P819" i="14"/>
  <c r="M819" i="14"/>
  <c r="P809" i="12"/>
  <c r="K809" i="12"/>
  <c r="J810" i="12"/>
  <c r="L810" i="12" s="1"/>
  <c r="O809" i="12"/>
  <c r="M809" i="12"/>
  <c r="N809" i="12" s="1"/>
  <c r="D809" i="12"/>
  <c r="E809" i="12" s="1"/>
  <c r="B809" i="12"/>
  <c r="G809" i="12"/>
  <c r="F809" i="12"/>
  <c r="A810" i="12"/>
  <c r="C810" i="12" s="1"/>
  <c r="A809" i="8"/>
  <c r="F808" i="8"/>
  <c r="H808" i="8"/>
  <c r="G808" i="8"/>
  <c r="D808" i="8"/>
  <c r="E808" i="8" s="1"/>
  <c r="B808" i="8"/>
  <c r="C808" i="8"/>
  <c r="L858" i="14" l="1"/>
  <c r="N857" i="14"/>
  <c r="O857" i="14"/>
  <c r="P820" i="14"/>
  <c r="Q820" i="14"/>
  <c r="M820" i="14"/>
  <c r="J811" i="12"/>
  <c r="L811" i="12" s="1"/>
  <c r="K810" i="12"/>
  <c r="P810" i="12"/>
  <c r="M810" i="12"/>
  <c r="N810" i="12" s="1"/>
  <c r="O810" i="12"/>
  <c r="B810" i="12"/>
  <c r="F810" i="12"/>
  <c r="G810" i="12"/>
  <c r="D810" i="12"/>
  <c r="E810" i="12" s="1"/>
  <c r="A811" i="12"/>
  <c r="C811" i="12" s="1"/>
  <c r="A810" i="8"/>
  <c r="H809" i="8"/>
  <c r="G809" i="8"/>
  <c r="F809" i="8"/>
  <c r="D809" i="8"/>
  <c r="E809" i="8" s="1"/>
  <c r="C809" i="8"/>
  <c r="B809" i="8"/>
  <c r="L859" i="14" l="1"/>
  <c r="N858" i="14"/>
  <c r="O858" i="14"/>
  <c r="P821" i="14"/>
  <c r="M821" i="14"/>
  <c r="Q821" i="14"/>
  <c r="P811" i="12"/>
  <c r="J812" i="12"/>
  <c r="L812" i="12" s="1"/>
  <c r="M811" i="12"/>
  <c r="N811" i="12" s="1"/>
  <c r="O811" i="12"/>
  <c r="K811" i="12"/>
  <c r="F811" i="12"/>
  <c r="D811" i="12"/>
  <c r="E811" i="12" s="1"/>
  <c r="G811" i="12"/>
  <c r="A812" i="12"/>
  <c r="C812" i="12" s="1"/>
  <c r="B811" i="12"/>
  <c r="A811" i="8"/>
  <c r="G810" i="8"/>
  <c r="H810" i="8"/>
  <c r="F810" i="8"/>
  <c r="C810" i="8"/>
  <c r="D810" i="8"/>
  <c r="E810" i="8" s="1"/>
  <c r="B810" i="8"/>
  <c r="L860" i="14" l="1"/>
  <c r="N859" i="14"/>
  <c r="O859" i="14"/>
  <c r="M822" i="14"/>
  <c r="P822" i="14"/>
  <c r="Q822" i="14"/>
  <c r="O812" i="12"/>
  <c r="J813" i="12"/>
  <c r="K812" i="12"/>
  <c r="P812" i="12"/>
  <c r="M812" i="12"/>
  <c r="N812" i="12" s="1"/>
  <c r="D812" i="12"/>
  <c r="E812" i="12" s="1"/>
  <c r="A813" i="12"/>
  <c r="C813" i="12" s="1"/>
  <c r="F812" i="12"/>
  <c r="G812" i="12"/>
  <c r="B812" i="12"/>
  <c r="A812" i="8"/>
  <c r="G811" i="8"/>
  <c r="H811" i="8"/>
  <c r="F811" i="8"/>
  <c r="C811" i="8"/>
  <c r="D811" i="8"/>
  <c r="E811" i="8" s="1"/>
  <c r="B811" i="8"/>
  <c r="L861" i="14" l="1"/>
  <c r="N860" i="14"/>
  <c r="O860" i="14"/>
  <c r="Q823" i="14"/>
  <c r="P823" i="14"/>
  <c r="M823" i="14"/>
  <c r="J814" i="12"/>
  <c r="P813" i="12"/>
  <c r="M813" i="12"/>
  <c r="N813" i="12" s="1"/>
  <c r="L813" i="12"/>
  <c r="K813" i="12"/>
  <c r="O813" i="12"/>
  <c r="B813" i="12"/>
  <c r="G813" i="12"/>
  <c r="F813" i="12"/>
  <c r="A814" i="12"/>
  <c r="C814" i="12" s="1"/>
  <c r="D813" i="12"/>
  <c r="E813" i="12" s="1"/>
  <c r="A813" i="8"/>
  <c r="G812" i="8"/>
  <c r="H812" i="8"/>
  <c r="F812" i="8"/>
  <c r="C812" i="8"/>
  <c r="D812" i="8"/>
  <c r="E812" i="8" s="1"/>
  <c r="B812" i="8"/>
  <c r="L862" i="14" l="1"/>
  <c r="N861" i="14"/>
  <c r="O861" i="14"/>
  <c r="M824" i="14"/>
  <c r="P824" i="14"/>
  <c r="Q824" i="14"/>
  <c r="M814" i="12"/>
  <c r="N814" i="12" s="1"/>
  <c r="J815" i="12"/>
  <c r="P814" i="12"/>
  <c r="O814" i="12"/>
  <c r="L814" i="12"/>
  <c r="K814" i="12"/>
  <c r="F814" i="12"/>
  <c r="G814" i="12"/>
  <c r="D814" i="12"/>
  <c r="E814" i="12" s="1"/>
  <c r="B814" i="12"/>
  <c r="A815" i="12"/>
  <c r="C815" i="12" s="1"/>
  <c r="A814" i="8"/>
  <c r="H813" i="8"/>
  <c r="G813" i="8"/>
  <c r="F813" i="8"/>
  <c r="D813" i="8"/>
  <c r="E813" i="8" s="1"/>
  <c r="C813" i="8"/>
  <c r="B813" i="8"/>
  <c r="L863" i="14" l="1"/>
  <c r="N862" i="14"/>
  <c r="O862" i="14"/>
  <c r="Q825" i="14"/>
  <c r="P825" i="14"/>
  <c r="M825" i="14"/>
  <c r="L815" i="12"/>
  <c r="J816" i="12"/>
  <c r="K815" i="12"/>
  <c r="P815" i="12"/>
  <c r="O815" i="12"/>
  <c r="M815" i="12"/>
  <c r="N815" i="12" s="1"/>
  <c r="D815" i="12"/>
  <c r="E815" i="12" s="1"/>
  <c r="F815" i="12"/>
  <c r="B815" i="12"/>
  <c r="G815" i="12"/>
  <c r="A816" i="12"/>
  <c r="C816" i="12" s="1"/>
  <c r="A815" i="8"/>
  <c r="G814" i="8"/>
  <c r="H814" i="8"/>
  <c r="F814" i="8"/>
  <c r="C814" i="8"/>
  <c r="D814" i="8"/>
  <c r="E814" i="8" s="1"/>
  <c r="B814" i="8"/>
  <c r="L864" i="14" l="1"/>
  <c r="N863" i="14"/>
  <c r="O863" i="14"/>
  <c r="P826" i="14"/>
  <c r="M826" i="14"/>
  <c r="Q826" i="14"/>
  <c r="J817" i="12"/>
  <c r="K816" i="12"/>
  <c r="M816" i="12"/>
  <c r="N816" i="12" s="1"/>
  <c r="L816" i="12"/>
  <c r="P816" i="12"/>
  <c r="O816" i="12"/>
  <c r="B816" i="12"/>
  <c r="G816" i="12"/>
  <c r="D816" i="12"/>
  <c r="E816" i="12" s="1"/>
  <c r="A817" i="12"/>
  <c r="C817" i="12" s="1"/>
  <c r="F816" i="12"/>
  <c r="A816" i="8"/>
  <c r="G815" i="8"/>
  <c r="H815" i="8"/>
  <c r="F815" i="8"/>
  <c r="D815" i="8"/>
  <c r="E815" i="8" s="1"/>
  <c r="B815" i="8"/>
  <c r="C815" i="8"/>
  <c r="L865" i="14" l="1"/>
  <c r="N864" i="14"/>
  <c r="O864" i="14"/>
  <c r="M827" i="14"/>
  <c r="P827" i="14"/>
  <c r="Q827" i="14"/>
  <c r="P817" i="12"/>
  <c r="K817" i="12"/>
  <c r="J818" i="12"/>
  <c r="O817" i="12"/>
  <c r="M817" i="12"/>
  <c r="N817" i="12" s="1"/>
  <c r="L817" i="12"/>
  <c r="F817" i="12"/>
  <c r="D817" i="12"/>
  <c r="E817" i="12" s="1"/>
  <c r="G817" i="12"/>
  <c r="B817" i="12"/>
  <c r="A818" i="12"/>
  <c r="A817" i="8"/>
  <c r="F816" i="8"/>
  <c r="H816" i="8"/>
  <c r="G816" i="8"/>
  <c r="D816" i="8"/>
  <c r="E816" i="8" s="1"/>
  <c r="B816" i="8"/>
  <c r="C816" i="8"/>
  <c r="L866" i="14" l="1"/>
  <c r="N865" i="14"/>
  <c r="O865" i="14"/>
  <c r="M828" i="14"/>
  <c r="P828" i="14"/>
  <c r="Q828" i="14"/>
  <c r="O818" i="12"/>
  <c r="K818" i="12"/>
  <c r="P818" i="12"/>
  <c r="J819" i="12"/>
  <c r="M818" i="12"/>
  <c r="N818" i="12" s="1"/>
  <c r="L818" i="12"/>
  <c r="D818" i="12"/>
  <c r="E818" i="12" s="1"/>
  <c r="G818" i="12"/>
  <c r="F818" i="12"/>
  <c r="B818" i="12"/>
  <c r="C818" i="12"/>
  <c r="A819" i="12"/>
  <c r="A818" i="8"/>
  <c r="H817" i="8"/>
  <c r="G817" i="8"/>
  <c r="F817" i="8"/>
  <c r="D817" i="8"/>
  <c r="E817" i="8" s="1"/>
  <c r="B817" i="8"/>
  <c r="C817" i="8"/>
  <c r="L867" i="14" l="1"/>
  <c r="N866" i="14"/>
  <c r="O866" i="14"/>
  <c r="Q829" i="14"/>
  <c r="P829" i="14"/>
  <c r="M829" i="14"/>
  <c r="K819" i="12"/>
  <c r="J820" i="12"/>
  <c r="M819" i="12"/>
  <c r="N819" i="12" s="1"/>
  <c r="L819" i="12"/>
  <c r="P819" i="12"/>
  <c r="O819" i="12"/>
  <c r="B819" i="12"/>
  <c r="C819" i="12"/>
  <c r="D819" i="12"/>
  <c r="E819" i="12" s="1"/>
  <c r="F819" i="12"/>
  <c r="A820" i="12"/>
  <c r="G819" i="12"/>
  <c r="A819" i="8"/>
  <c r="G818" i="8"/>
  <c r="H818" i="8"/>
  <c r="F818" i="8"/>
  <c r="D818" i="8"/>
  <c r="E818" i="8" s="1"/>
  <c r="C818" i="8"/>
  <c r="B818" i="8"/>
  <c r="L868" i="14" l="1"/>
  <c r="N867" i="14"/>
  <c r="O867" i="14"/>
  <c r="M830" i="14"/>
  <c r="P830" i="14"/>
  <c r="Q830" i="14"/>
  <c r="M820" i="12"/>
  <c r="N820" i="12" s="1"/>
  <c r="K820" i="12"/>
  <c r="P820" i="12"/>
  <c r="O820" i="12"/>
  <c r="L820" i="12"/>
  <c r="J821" i="12"/>
  <c r="F820" i="12"/>
  <c r="A821" i="12"/>
  <c r="G820" i="12"/>
  <c r="D820" i="12"/>
  <c r="E820" i="12" s="1"/>
  <c r="B820" i="12"/>
  <c r="C820" i="12"/>
  <c r="A820" i="8"/>
  <c r="G819" i="8"/>
  <c r="H819" i="8"/>
  <c r="F819" i="8"/>
  <c r="D819" i="8"/>
  <c r="E819" i="8" s="1"/>
  <c r="C819" i="8"/>
  <c r="B819" i="8"/>
  <c r="L869" i="14" l="1"/>
  <c r="N868" i="14"/>
  <c r="O868" i="14"/>
  <c r="Q831" i="14"/>
  <c r="P831" i="14"/>
  <c r="M831" i="14"/>
  <c r="L821" i="12"/>
  <c r="K821" i="12"/>
  <c r="M821" i="12"/>
  <c r="N821" i="12" s="1"/>
  <c r="J822" i="12"/>
  <c r="P821" i="12"/>
  <c r="O821" i="12"/>
  <c r="D821" i="12"/>
  <c r="E821" i="12" s="1"/>
  <c r="B821" i="12"/>
  <c r="C821" i="12"/>
  <c r="G821" i="12"/>
  <c r="F821" i="12"/>
  <c r="A822" i="12"/>
  <c r="A821" i="8"/>
  <c r="G820" i="8"/>
  <c r="H820" i="8"/>
  <c r="F820" i="8"/>
  <c r="C820" i="8"/>
  <c r="B820" i="8"/>
  <c r="D820" i="8"/>
  <c r="E820" i="8" s="1"/>
  <c r="L870" i="14" l="1"/>
  <c r="N869" i="14"/>
  <c r="O869" i="14"/>
  <c r="P832" i="14"/>
  <c r="Q832" i="14"/>
  <c r="M832" i="14"/>
  <c r="J823" i="12"/>
  <c r="K822" i="12"/>
  <c r="L822" i="12"/>
  <c r="M822" i="12"/>
  <c r="N822" i="12" s="1"/>
  <c r="P822" i="12"/>
  <c r="O822" i="12"/>
  <c r="B822" i="12"/>
  <c r="G822" i="12"/>
  <c r="C822" i="12"/>
  <c r="A823" i="12"/>
  <c r="F822" i="12"/>
  <c r="D822" i="12"/>
  <c r="E822" i="12" s="1"/>
  <c r="A822" i="8"/>
  <c r="H821" i="8"/>
  <c r="F821" i="8"/>
  <c r="G821" i="8"/>
  <c r="D821" i="8"/>
  <c r="E821" i="8" s="1"/>
  <c r="C821" i="8"/>
  <c r="B821" i="8"/>
  <c r="L871" i="14" l="1"/>
  <c r="N870" i="14"/>
  <c r="O870" i="14"/>
  <c r="Q833" i="14"/>
  <c r="M833" i="14"/>
  <c r="P833" i="14"/>
  <c r="P823" i="12"/>
  <c r="M823" i="12"/>
  <c r="N823" i="12" s="1"/>
  <c r="L823" i="12"/>
  <c r="J824" i="12"/>
  <c r="O823" i="12"/>
  <c r="K823" i="12"/>
  <c r="F823" i="12"/>
  <c r="G823" i="12"/>
  <c r="C823" i="12"/>
  <c r="D823" i="12"/>
  <c r="E823" i="12" s="1"/>
  <c r="A824" i="12"/>
  <c r="B823" i="12"/>
  <c r="A823" i="8"/>
  <c r="G822" i="8"/>
  <c r="H822" i="8"/>
  <c r="F822" i="8"/>
  <c r="C822" i="8"/>
  <c r="D822" i="8"/>
  <c r="E822" i="8" s="1"/>
  <c r="B822" i="8"/>
  <c r="L872" i="14" l="1"/>
  <c r="N871" i="14"/>
  <c r="O871" i="14"/>
  <c r="M834" i="14"/>
  <c r="P834" i="14"/>
  <c r="Q834" i="14"/>
  <c r="O824" i="12"/>
  <c r="L824" i="12"/>
  <c r="J825" i="12"/>
  <c r="K824" i="12"/>
  <c r="M824" i="12"/>
  <c r="N824" i="12" s="1"/>
  <c r="P824" i="12"/>
  <c r="D824" i="12"/>
  <c r="E824" i="12" s="1"/>
  <c r="F824" i="12"/>
  <c r="B824" i="12"/>
  <c r="A825" i="12"/>
  <c r="G824" i="12"/>
  <c r="C824" i="12"/>
  <c r="A824" i="8"/>
  <c r="G823" i="8"/>
  <c r="F823" i="8"/>
  <c r="H823" i="8"/>
  <c r="D823" i="8"/>
  <c r="E823" i="8" s="1"/>
  <c r="B823" i="8"/>
  <c r="C823" i="8"/>
  <c r="L873" i="14" l="1"/>
  <c r="N872" i="14"/>
  <c r="O872" i="14"/>
  <c r="Q835" i="14"/>
  <c r="M835" i="14"/>
  <c r="P835" i="14"/>
  <c r="J826" i="12"/>
  <c r="K825" i="12"/>
  <c r="P825" i="12"/>
  <c r="L825" i="12"/>
  <c r="O825" i="12"/>
  <c r="M825" i="12"/>
  <c r="N825" i="12" s="1"/>
  <c r="D825" i="12"/>
  <c r="E825" i="12" s="1"/>
  <c r="A826" i="12"/>
  <c r="C825" i="12"/>
  <c r="B825" i="12"/>
  <c r="F825" i="12"/>
  <c r="G825" i="12"/>
  <c r="A825" i="8"/>
  <c r="F824" i="8"/>
  <c r="H824" i="8"/>
  <c r="G824" i="8"/>
  <c r="D824" i="8"/>
  <c r="E824" i="8" s="1"/>
  <c r="B824" i="8"/>
  <c r="C824" i="8"/>
  <c r="L874" i="14" l="1"/>
  <c r="N873" i="14"/>
  <c r="O873" i="14"/>
  <c r="M836" i="14"/>
  <c r="P836" i="14"/>
  <c r="Q836" i="14"/>
  <c r="M826" i="12"/>
  <c r="N826" i="12" s="1"/>
  <c r="P826" i="12"/>
  <c r="O826" i="12"/>
  <c r="J827" i="12"/>
  <c r="L826" i="12"/>
  <c r="K826" i="12"/>
  <c r="B826" i="12"/>
  <c r="A827" i="12"/>
  <c r="F826" i="12"/>
  <c r="G826" i="12"/>
  <c r="C826" i="12"/>
  <c r="D826" i="12"/>
  <c r="E826" i="12" s="1"/>
  <c r="A826" i="8"/>
  <c r="H825" i="8"/>
  <c r="G825" i="8"/>
  <c r="F825" i="8"/>
  <c r="D825" i="8"/>
  <c r="E825" i="8" s="1"/>
  <c r="B825" i="8"/>
  <c r="C825" i="8"/>
  <c r="L875" i="14" l="1"/>
  <c r="N874" i="14"/>
  <c r="O874" i="14"/>
  <c r="Q837" i="14"/>
  <c r="P837" i="14"/>
  <c r="M837" i="14"/>
  <c r="L827" i="12"/>
  <c r="O827" i="12"/>
  <c r="K827" i="12"/>
  <c r="J828" i="12"/>
  <c r="P827" i="12"/>
  <c r="M827" i="12"/>
  <c r="N827" i="12" s="1"/>
  <c r="F827" i="12"/>
  <c r="G827" i="12"/>
  <c r="D827" i="12"/>
  <c r="E827" i="12" s="1"/>
  <c r="C827" i="12"/>
  <c r="A828" i="12"/>
  <c r="B827" i="12"/>
  <c r="A827" i="8"/>
  <c r="G826" i="8"/>
  <c r="H826" i="8"/>
  <c r="F826" i="8"/>
  <c r="D826" i="8"/>
  <c r="E826" i="8" s="1"/>
  <c r="B826" i="8"/>
  <c r="C826" i="8"/>
  <c r="L876" i="14" l="1"/>
  <c r="N875" i="14"/>
  <c r="O875" i="14"/>
  <c r="P838" i="14"/>
  <c r="Q838" i="14"/>
  <c r="M838" i="14"/>
  <c r="J829" i="12"/>
  <c r="K828" i="12"/>
  <c r="M828" i="12"/>
  <c r="N828" i="12" s="1"/>
  <c r="O828" i="12"/>
  <c r="L828" i="12"/>
  <c r="P828" i="12"/>
  <c r="D828" i="12"/>
  <c r="E828" i="12" s="1"/>
  <c r="G828" i="12"/>
  <c r="B828" i="12"/>
  <c r="F828" i="12"/>
  <c r="A829" i="12"/>
  <c r="C828" i="12"/>
  <c r="A828" i="8"/>
  <c r="G827" i="8"/>
  <c r="H827" i="8"/>
  <c r="D827" i="8"/>
  <c r="E827" i="8" s="1"/>
  <c r="F827" i="8"/>
  <c r="C827" i="8"/>
  <c r="B827" i="8"/>
  <c r="L877" i="14" l="1"/>
  <c r="N876" i="14"/>
  <c r="O876" i="14"/>
  <c r="M839" i="14"/>
  <c r="Q839" i="14"/>
  <c r="P839" i="14"/>
  <c r="P829" i="12"/>
  <c r="M829" i="12"/>
  <c r="N829" i="12" s="1"/>
  <c r="L829" i="12"/>
  <c r="K829" i="12"/>
  <c r="J830" i="12"/>
  <c r="O829" i="12"/>
  <c r="B829" i="12"/>
  <c r="F829" i="12"/>
  <c r="A830" i="12"/>
  <c r="D829" i="12"/>
  <c r="E829" i="12" s="1"/>
  <c r="G829" i="12"/>
  <c r="C829" i="12"/>
  <c r="A829" i="8"/>
  <c r="G828" i="8"/>
  <c r="H828" i="8"/>
  <c r="F828" i="8"/>
  <c r="D828" i="8"/>
  <c r="E828" i="8" s="1"/>
  <c r="C828" i="8"/>
  <c r="B828" i="8"/>
  <c r="L878" i="14" l="1"/>
  <c r="N877" i="14"/>
  <c r="O877" i="14"/>
  <c r="M840" i="14"/>
  <c r="Q840" i="14"/>
  <c r="P840" i="14"/>
  <c r="O830" i="12"/>
  <c r="L830" i="12"/>
  <c r="J831" i="12"/>
  <c r="K830" i="12"/>
  <c r="M830" i="12"/>
  <c r="N830" i="12" s="1"/>
  <c r="P830" i="12"/>
  <c r="F830" i="12"/>
  <c r="C830" i="12"/>
  <c r="A831" i="12"/>
  <c r="B830" i="12"/>
  <c r="G830" i="12"/>
  <c r="D830" i="12"/>
  <c r="E830" i="12" s="1"/>
  <c r="A830" i="8"/>
  <c r="H829" i="8"/>
  <c r="G829" i="8"/>
  <c r="F829" i="8"/>
  <c r="D829" i="8"/>
  <c r="E829" i="8" s="1"/>
  <c r="C829" i="8"/>
  <c r="B829" i="8"/>
  <c r="L879" i="14" l="1"/>
  <c r="N878" i="14"/>
  <c r="O878" i="14"/>
  <c r="Q841" i="14"/>
  <c r="M841" i="14"/>
  <c r="P841" i="14"/>
  <c r="J832" i="12"/>
  <c r="K831" i="12"/>
  <c r="P831" i="12"/>
  <c r="O831" i="12"/>
  <c r="M831" i="12"/>
  <c r="N831" i="12" s="1"/>
  <c r="L831" i="12"/>
  <c r="D831" i="12"/>
  <c r="E831" i="12" s="1"/>
  <c r="C831" i="12"/>
  <c r="G831" i="12"/>
  <c r="F831" i="12"/>
  <c r="B831" i="12"/>
  <c r="A832" i="12"/>
  <c r="A831" i="8"/>
  <c r="G830" i="8"/>
  <c r="H830" i="8"/>
  <c r="F830" i="8"/>
  <c r="C830" i="8"/>
  <c r="D830" i="8"/>
  <c r="E830" i="8" s="1"/>
  <c r="B830" i="8"/>
  <c r="L880" i="14" l="1"/>
  <c r="N879" i="14"/>
  <c r="O879" i="14"/>
  <c r="M842" i="14"/>
  <c r="P842" i="14"/>
  <c r="Q842" i="14"/>
  <c r="M832" i="12"/>
  <c r="N832" i="12" s="1"/>
  <c r="P832" i="12"/>
  <c r="O832" i="12"/>
  <c r="K832" i="12"/>
  <c r="J833" i="12"/>
  <c r="L832" i="12"/>
  <c r="B832" i="12"/>
  <c r="D832" i="12"/>
  <c r="E832" i="12" s="1"/>
  <c r="A833" i="12"/>
  <c r="G832" i="12"/>
  <c r="F832" i="12"/>
  <c r="C832" i="12"/>
  <c r="A832" i="8"/>
  <c r="G831" i="8"/>
  <c r="F831" i="8"/>
  <c r="H831" i="8"/>
  <c r="D831" i="8"/>
  <c r="E831" i="8" s="1"/>
  <c r="C831" i="8"/>
  <c r="B831" i="8"/>
  <c r="L881" i="14" l="1"/>
  <c r="N880" i="14"/>
  <c r="O880" i="14"/>
  <c r="Q843" i="14"/>
  <c r="M843" i="14"/>
  <c r="P843" i="14"/>
  <c r="L833" i="12"/>
  <c r="O833" i="12"/>
  <c r="P833" i="12"/>
  <c r="J834" i="12"/>
  <c r="M833" i="12"/>
  <c r="N833" i="12" s="1"/>
  <c r="K833" i="12"/>
  <c r="F833" i="12"/>
  <c r="B833" i="12"/>
  <c r="D833" i="12"/>
  <c r="E833" i="12" s="1"/>
  <c r="C833" i="12"/>
  <c r="A834" i="12"/>
  <c r="G833" i="12"/>
  <c r="A833" i="8"/>
  <c r="F832" i="8"/>
  <c r="H832" i="8"/>
  <c r="G832" i="8"/>
  <c r="D832" i="8"/>
  <c r="E832" i="8" s="1"/>
  <c r="B832" i="8"/>
  <c r="C832" i="8"/>
  <c r="L882" i="14" l="1"/>
  <c r="N881" i="14"/>
  <c r="O881" i="14"/>
  <c r="P844" i="14"/>
  <c r="M844" i="14"/>
  <c r="Q844" i="14"/>
  <c r="J835" i="12"/>
  <c r="K834" i="12"/>
  <c r="M834" i="12"/>
  <c r="N834" i="12" s="1"/>
  <c r="O834" i="12"/>
  <c r="L834" i="12"/>
  <c r="P834" i="12"/>
  <c r="D834" i="12"/>
  <c r="E834" i="12" s="1"/>
  <c r="A835" i="12"/>
  <c r="C834" i="12"/>
  <c r="F834" i="12"/>
  <c r="G834" i="12"/>
  <c r="B834" i="12"/>
  <c r="A834" i="8"/>
  <c r="H833" i="8"/>
  <c r="G833" i="8"/>
  <c r="F833" i="8"/>
  <c r="D833" i="8"/>
  <c r="E833" i="8" s="1"/>
  <c r="B833" i="8"/>
  <c r="C833" i="8"/>
  <c r="L883" i="14" l="1"/>
  <c r="N882" i="14"/>
  <c r="O882" i="14"/>
  <c r="P845" i="14"/>
  <c r="Q845" i="14"/>
  <c r="M845" i="14"/>
  <c r="P835" i="12"/>
  <c r="M835" i="12"/>
  <c r="N835" i="12" s="1"/>
  <c r="L835" i="12"/>
  <c r="J836" i="12"/>
  <c r="O835" i="12"/>
  <c r="K835" i="12"/>
  <c r="B835" i="12"/>
  <c r="A836" i="12"/>
  <c r="D835" i="12"/>
  <c r="E835" i="12" s="1"/>
  <c r="G835" i="12"/>
  <c r="F835" i="12"/>
  <c r="C835" i="12"/>
  <c r="A835" i="8"/>
  <c r="G834" i="8"/>
  <c r="H834" i="8"/>
  <c r="F834" i="8"/>
  <c r="B834" i="8"/>
  <c r="D834" i="8"/>
  <c r="E834" i="8" s="1"/>
  <c r="C834" i="8"/>
  <c r="L884" i="14" l="1"/>
  <c r="N883" i="14"/>
  <c r="O883" i="14"/>
  <c r="M846" i="14"/>
  <c r="P846" i="14"/>
  <c r="Q846" i="14"/>
  <c r="O836" i="12"/>
  <c r="L836" i="12"/>
  <c r="J837" i="12"/>
  <c r="K836" i="12"/>
  <c r="P836" i="12"/>
  <c r="M836" i="12"/>
  <c r="N836" i="12" s="1"/>
  <c r="F836" i="12"/>
  <c r="G836" i="12"/>
  <c r="D836" i="12"/>
  <c r="E836" i="12" s="1"/>
  <c r="C836" i="12"/>
  <c r="A837" i="12"/>
  <c r="B836" i="12"/>
  <c r="A836" i="8"/>
  <c r="G835" i="8"/>
  <c r="H835" i="8"/>
  <c r="F835" i="8"/>
  <c r="D835" i="8"/>
  <c r="E835" i="8" s="1"/>
  <c r="B835" i="8"/>
  <c r="C835" i="8"/>
  <c r="L885" i="14" l="1"/>
  <c r="N884" i="14"/>
  <c r="O884" i="14"/>
  <c r="Q847" i="14"/>
  <c r="M847" i="14"/>
  <c r="P847" i="14"/>
  <c r="J838" i="12"/>
  <c r="K837" i="12"/>
  <c r="P837" i="12"/>
  <c r="L837" i="12"/>
  <c r="O837" i="12"/>
  <c r="M837" i="12"/>
  <c r="N837" i="12" s="1"/>
  <c r="D837" i="12"/>
  <c r="E837" i="12" s="1"/>
  <c r="G837" i="12"/>
  <c r="B837" i="12"/>
  <c r="A838" i="12"/>
  <c r="F837" i="12"/>
  <c r="C837" i="12"/>
  <c r="A837" i="8"/>
  <c r="G836" i="8"/>
  <c r="H836" i="8"/>
  <c r="F836" i="8"/>
  <c r="C836" i="8"/>
  <c r="B836" i="8"/>
  <c r="D836" i="8"/>
  <c r="E836" i="8" s="1"/>
  <c r="L886" i="14" l="1"/>
  <c r="N885" i="14"/>
  <c r="O885" i="14"/>
  <c r="M848" i="14"/>
  <c r="P848" i="14"/>
  <c r="Q848" i="14"/>
  <c r="M838" i="12"/>
  <c r="N838" i="12" s="1"/>
  <c r="P838" i="12"/>
  <c r="O838" i="12"/>
  <c r="J839" i="12"/>
  <c r="L838" i="12"/>
  <c r="K838" i="12"/>
  <c r="B838" i="12"/>
  <c r="F838" i="12"/>
  <c r="C838" i="12"/>
  <c r="G838" i="12"/>
  <c r="D838" i="12"/>
  <c r="E838" i="12" s="1"/>
  <c r="A839" i="12"/>
  <c r="A838" i="8"/>
  <c r="H837" i="8"/>
  <c r="G837" i="8"/>
  <c r="F837" i="8"/>
  <c r="D837" i="8"/>
  <c r="E837" i="8" s="1"/>
  <c r="C837" i="8"/>
  <c r="B837" i="8"/>
  <c r="L887" i="14" l="1"/>
  <c r="N886" i="14"/>
  <c r="O886" i="14"/>
  <c r="Q849" i="14"/>
  <c r="P849" i="14"/>
  <c r="M849" i="14"/>
  <c r="L839" i="12"/>
  <c r="O839" i="12"/>
  <c r="M839" i="12"/>
  <c r="N839" i="12" s="1"/>
  <c r="K839" i="12"/>
  <c r="J840" i="12"/>
  <c r="P839" i="12"/>
  <c r="F839" i="12"/>
  <c r="A840" i="12"/>
  <c r="G839" i="12"/>
  <c r="B839" i="12"/>
  <c r="D839" i="12"/>
  <c r="E839" i="12" s="1"/>
  <c r="C839" i="12"/>
  <c r="A839" i="8"/>
  <c r="G838" i="8"/>
  <c r="H838" i="8"/>
  <c r="C838" i="8"/>
  <c r="D838" i="8"/>
  <c r="E838" i="8" s="1"/>
  <c r="F838" i="8"/>
  <c r="B838" i="8"/>
  <c r="L888" i="14" l="1"/>
  <c r="N887" i="14"/>
  <c r="O887" i="14"/>
  <c r="P850" i="14"/>
  <c r="M850" i="14"/>
  <c r="Q850" i="14"/>
  <c r="J841" i="12"/>
  <c r="K840" i="12"/>
  <c r="M840" i="12"/>
  <c r="N840" i="12" s="1"/>
  <c r="O840" i="12"/>
  <c r="P840" i="12"/>
  <c r="L840" i="12"/>
  <c r="D840" i="12"/>
  <c r="E840" i="12" s="1"/>
  <c r="A841" i="12"/>
  <c r="F840" i="12"/>
  <c r="C840" i="12"/>
  <c r="B840" i="12"/>
  <c r="G840" i="12"/>
  <c r="A840" i="8"/>
  <c r="G839" i="8"/>
  <c r="D839" i="8"/>
  <c r="E839" i="8" s="1"/>
  <c r="H839" i="8"/>
  <c r="C839" i="8"/>
  <c r="F839" i="8"/>
  <c r="B839" i="8"/>
  <c r="L889" i="14" l="1"/>
  <c r="N888" i="14"/>
  <c r="O888" i="14"/>
  <c r="Q851" i="14"/>
  <c r="P851" i="14"/>
  <c r="M851" i="14"/>
  <c r="P841" i="12"/>
  <c r="M841" i="12"/>
  <c r="N841" i="12" s="1"/>
  <c r="L841" i="12"/>
  <c r="O841" i="12"/>
  <c r="K841" i="12"/>
  <c r="J842" i="12"/>
  <c r="B841" i="12"/>
  <c r="D841" i="12"/>
  <c r="E841" i="12" s="1"/>
  <c r="A842" i="12"/>
  <c r="G841" i="12"/>
  <c r="F841" i="12"/>
  <c r="C841" i="12"/>
  <c r="A841" i="8"/>
  <c r="F840" i="8"/>
  <c r="H840" i="8"/>
  <c r="G840" i="8"/>
  <c r="D840" i="8"/>
  <c r="E840" i="8" s="1"/>
  <c r="B840" i="8"/>
  <c r="C840" i="8"/>
  <c r="L890" i="14" l="1"/>
  <c r="N889" i="14"/>
  <c r="O889" i="14"/>
  <c r="M852" i="14"/>
  <c r="Q852" i="14"/>
  <c r="P852" i="14"/>
  <c r="O842" i="12"/>
  <c r="L842" i="12"/>
  <c r="J843" i="12"/>
  <c r="K842" i="12"/>
  <c r="M842" i="12"/>
  <c r="N842" i="12" s="1"/>
  <c r="P842" i="12"/>
  <c r="F842" i="12"/>
  <c r="C842" i="12"/>
  <c r="B842" i="12"/>
  <c r="G842" i="12"/>
  <c r="D842" i="12"/>
  <c r="E842" i="12" s="1"/>
  <c r="A843" i="12"/>
  <c r="A842" i="8"/>
  <c r="H841" i="8"/>
  <c r="G841" i="8"/>
  <c r="F841" i="8"/>
  <c r="D841" i="8"/>
  <c r="E841" i="8" s="1"/>
  <c r="B841" i="8"/>
  <c r="C841" i="8"/>
  <c r="N890" i="14" l="1"/>
  <c r="O890" i="14"/>
  <c r="Q853" i="14"/>
  <c r="M853" i="14"/>
  <c r="P853" i="14"/>
  <c r="J844" i="12"/>
  <c r="K843" i="12"/>
  <c r="P843" i="12"/>
  <c r="O843" i="12"/>
  <c r="M843" i="12"/>
  <c r="N843" i="12" s="1"/>
  <c r="L843" i="12"/>
  <c r="D843" i="12"/>
  <c r="E843" i="12" s="1"/>
  <c r="A844" i="12"/>
  <c r="C843" i="12"/>
  <c r="G843" i="12"/>
  <c r="F843" i="12"/>
  <c r="B843" i="12"/>
  <c r="A843" i="8"/>
  <c r="G842" i="8"/>
  <c r="H842" i="8"/>
  <c r="F842" i="8"/>
  <c r="B842" i="8"/>
  <c r="C842" i="8"/>
  <c r="D842" i="8"/>
  <c r="E842" i="8" s="1"/>
  <c r="M854" i="14" l="1"/>
  <c r="P854" i="14"/>
  <c r="Q854" i="14"/>
  <c r="M844" i="12"/>
  <c r="N844" i="12" s="1"/>
  <c r="P844" i="12"/>
  <c r="O844" i="12"/>
  <c r="K844" i="12"/>
  <c r="J845" i="12"/>
  <c r="L844" i="12"/>
  <c r="B844" i="12"/>
  <c r="A845" i="12"/>
  <c r="D844" i="12"/>
  <c r="E844" i="12" s="1"/>
  <c r="F844" i="12"/>
  <c r="C844" i="12"/>
  <c r="G844" i="12"/>
  <c r="A844" i="8"/>
  <c r="G843" i="8"/>
  <c r="H843" i="8"/>
  <c r="F843" i="8"/>
  <c r="D843" i="8"/>
  <c r="E843" i="8" s="1"/>
  <c r="B843" i="8"/>
  <c r="C843" i="8"/>
  <c r="Q855" i="14" l="1"/>
  <c r="P855" i="14"/>
  <c r="M855" i="14"/>
  <c r="L845" i="12"/>
  <c r="O845" i="12"/>
  <c r="P845" i="12"/>
  <c r="J846" i="12"/>
  <c r="M845" i="12"/>
  <c r="N845" i="12" s="1"/>
  <c r="K845" i="12"/>
  <c r="F845" i="12"/>
  <c r="D845" i="12"/>
  <c r="E845" i="12" s="1"/>
  <c r="A846" i="12"/>
  <c r="G845" i="12"/>
  <c r="C845" i="12"/>
  <c r="B845" i="12"/>
  <c r="A845" i="8"/>
  <c r="G844" i="8"/>
  <c r="H844" i="8"/>
  <c r="F844" i="8"/>
  <c r="D844" i="8"/>
  <c r="E844" i="8" s="1"/>
  <c r="C844" i="8"/>
  <c r="B844" i="8"/>
  <c r="P856" i="14" l="1"/>
  <c r="Q856" i="14"/>
  <c r="M856" i="14"/>
  <c r="J847" i="12"/>
  <c r="K846" i="12"/>
  <c r="M846" i="12"/>
  <c r="N846" i="12" s="1"/>
  <c r="L846" i="12"/>
  <c r="P846" i="12"/>
  <c r="O846" i="12"/>
  <c r="D846" i="12"/>
  <c r="E846" i="12" s="1"/>
  <c r="G846" i="12"/>
  <c r="C846" i="12"/>
  <c r="F846" i="12"/>
  <c r="B846" i="12"/>
  <c r="A847" i="12"/>
  <c r="A846" i="8"/>
  <c r="H845" i="8"/>
  <c r="G845" i="8"/>
  <c r="F845" i="8"/>
  <c r="D845" i="8"/>
  <c r="E845" i="8" s="1"/>
  <c r="C845" i="8"/>
  <c r="B845" i="8"/>
  <c r="Q857" i="14" l="1"/>
  <c r="P857" i="14"/>
  <c r="M857" i="14"/>
  <c r="P847" i="12"/>
  <c r="M847" i="12"/>
  <c r="N847" i="12" s="1"/>
  <c r="L847" i="12"/>
  <c r="K847" i="12"/>
  <c r="J848" i="12"/>
  <c r="O847" i="12"/>
  <c r="B847" i="12"/>
  <c r="F847" i="12"/>
  <c r="D847" i="12"/>
  <c r="E847" i="12" s="1"/>
  <c r="G847" i="12"/>
  <c r="C847" i="12"/>
  <c r="A848" i="12"/>
  <c r="A847" i="8"/>
  <c r="G846" i="8"/>
  <c r="H846" i="8"/>
  <c r="C846" i="8"/>
  <c r="F846" i="8"/>
  <c r="D846" i="8"/>
  <c r="E846" i="8" s="1"/>
  <c r="B846" i="8"/>
  <c r="M858" i="14" l="1"/>
  <c r="P858" i="14"/>
  <c r="Q858" i="14"/>
  <c r="O848" i="12"/>
  <c r="L848" i="12"/>
  <c r="J849" i="12"/>
  <c r="K848" i="12"/>
  <c r="M848" i="12"/>
  <c r="N848" i="12" s="1"/>
  <c r="P848" i="12"/>
  <c r="F848" i="12"/>
  <c r="G848" i="12"/>
  <c r="C848" i="12"/>
  <c r="A849" i="12"/>
  <c r="D848" i="12"/>
  <c r="E848" i="12" s="1"/>
  <c r="B848" i="12"/>
  <c r="A848" i="8"/>
  <c r="G847" i="8"/>
  <c r="H847" i="8"/>
  <c r="D847" i="8"/>
  <c r="E847" i="8" s="1"/>
  <c r="C847" i="8"/>
  <c r="F847" i="8"/>
  <c r="B847" i="8"/>
  <c r="Q859" i="14" l="1"/>
  <c r="P859" i="14"/>
  <c r="M859" i="14"/>
  <c r="J850" i="12"/>
  <c r="K849" i="12"/>
  <c r="P849" i="12"/>
  <c r="L849" i="12"/>
  <c r="O849" i="12"/>
  <c r="M849" i="12"/>
  <c r="N849" i="12" s="1"/>
  <c r="D849" i="12"/>
  <c r="E849" i="12" s="1"/>
  <c r="G849" i="12"/>
  <c r="B849" i="12"/>
  <c r="C849" i="12"/>
  <c r="F849" i="12"/>
  <c r="A850" i="12"/>
  <c r="A849" i="8"/>
  <c r="F848" i="8"/>
  <c r="H848" i="8"/>
  <c r="G848" i="8"/>
  <c r="D848" i="8"/>
  <c r="E848" i="8" s="1"/>
  <c r="B848" i="8"/>
  <c r="C848" i="8"/>
  <c r="M860" i="14" l="1"/>
  <c r="P860" i="14"/>
  <c r="Q860" i="14"/>
  <c r="M850" i="12"/>
  <c r="N850" i="12" s="1"/>
  <c r="P850" i="12"/>
  <c r="O850" i="12"/>
  <c r="J851" i="12"/>
  <c r="L850" i="12"/>
  <c r="K850" i="12"/>
  <c r="B850" i="12"/>
  <c r="D850" i="12"/>
  <c r="E850" i="12" s="1"/>
  <c r="G850" i="12"/>
  <c r="A851" i="12"/>
  <c r="C850" i="12"/>
  <c r="F850" i="12"/>
  <c r="A850" i="8"/>
  <c r="H849" i="8"/>
  <c r="G849" i="8"/>
  <c r="F849" i="8"/>
  <c r="D849" i="8"/>
  <c r="E849" i="8" s="1"/>
  <c r="B849" i="8"/>
  <c r="C849" i="8"/>
  <c r="Q861" i="14" l="1"/>
  <c r="M861" i="14"/>
  <c r="P861" i="14"/>
  <c r="L851" i="12"/>
  <c r="O851" i="12"/>
  <c r="K851" i="12"/>
  <c r="J852" i="12"/>
  <c r="P851" i="12"/>
  <c r="M851" i="12"/>
  <c r="N851" i="12" s="1"/>
  <c r="F851" i="12"/>
  <c r="C851" i="12"/>
  <c r="A852" i="12"/>
  <c r="B851" i="12"/>
  <c r="G851" i="12"/>
  <c r="D851" i="12"/>
  <c r="E851" i="12" s="1"/>
  <c r="A851" i="8"/>
  <c r="G850" i="8"/>
  <c r="H850" i="8"/>
  <c r="F850" i="8"/>
  <c r="D850" i="8"/>
  <c r="E850" i="8" s="1"/>
  <c r="B850" i="8"/>
  <c r="C850" i="8"/>
  <c r="P862" i="14" l="1"/>
  <c r="M862" i="14"/>
  <c r="Q862" i="14"/>
  <c r="J853" i="12"/>
  <c r="K852" i="12"/>
  <c r="M852" i="12"/>
  <c r="N852" i="12" s="1"/>
  <c r="O852" i="12"/>
  <c r="L852" i="12"/>
  <c r="P852" i="12"/>
  <c r="D852" i="12"/>
  <c r="E852" i="12" s="1"/>
  <c r="A853" i="12"/>
  <c r="F852" i="12"/>
  <c r="G852" i="12"/>
  <c r="C852" i="12"/>
  <c r="B852" i="12"/>
  <c r="A852" i="8"/>
  <c r="G851" i="8"/>
  <c r="H851" i="8"/>
  <c r="F851" i="8"/>
  <c r="D851" i="8"/>
  <c r="E851" i="8" s="1"/>
  <c r="B851" i="8"/>
  <c r="C851" i="8"/>
  <c r="M863" i="14" l="1"/>
  <c r="P863" i="14"/>
  <c r="Q863" i="14"/>
  <c r="P853" i="12"/>
  <c r="M853" i="12"/>
  <c r="N853" i="12" s="1"/>
  <c r="L853" i="12"/>
  <c r="K853" i="12"/>
  <c r="J854" i="12"/>
  <c r="O853" i="12"/>
  <c r="B853" i="12"/>
  <c r="A854" i="12"/>
  <c r="F853" i="12"/>
  <c r="D853" i="12"/>
  <c r="E853" i="12" s="1"/>
  <c r="C853" i="12"/>
  <c r="G853" i="12"/>
  <c r="A853" i="8"/>
  <c r="G852" i="8"/>
  <c r="H852" i="8"/>
  <c r="F852" i="8"/>
  <c r="D852" i="8"/>
  <c r="E852" i="8" s="1"/>
  <c r="B852" i="8"/>
  <c r="C852" i="8"/>
  <c r="M864" i="14" l="1"/>
  <c r="P864" i="14"/>
  <c r="Q864" i="14"/>
  <c r="O854" i="12"/>
  <c r="L854" i="12"/>
  <c r="J855" i="12"/>
  <c r="K854" i="12"/>
  <c r="M854" i="12"/>
  <c r="N854" i="12" s="1"/>
  <c r="P854" i="12"/>
  <c r="F854" i="12"/>
  <c r="B854" i="12"/>
  <c r="D854" i="12"/>
  <c r="E854" i="12" s="1"/>
  <c r="C854" i="12"/>
  <c r="A855" i="12"/>
  <c r="G854" i="12"/>
  <c r="A854" i="8"/>
  <c r="H853" i="8"/>
  <c r="F853" i="8"/>
  <c r="G853" i="8"/>
  <c r="C853" i="8"/>
  <c r="D853" i="8"/>
  <c r="E853" i="8" s="1"/>
  <c r="B853" i="8"/>
  <c r="Q865" i="14" l="1"/>
  <c r="M865" i="14"/>
  <c r="P865" i="14"/>
  <c r="J856" i="12"/>
  <c r="K855" i="12"/>
  <c r="P855" i="12"/>
  <c r="L855" i="12"/>
  <c r="O855" i="12"/>
  <c r="M855" i="12"/>
  <c r="N855" i="12" s="1"/>
  <c r="D855" i="12"/>
  <c r="E855" i="12" s="1"/>
  <c r="G855" i="12"/>
  <c r="B855" i="12"/>
  <c r="C855" i="12"/>
  <c r="A856" i="12"/>
  <c r="F855" i="12"/>
  <c r="A855" i="8"/>
  <c r="G854" i="8"/>
  <c r="H854" i="8"/>
  <c r="F854" i="8"/>
  <c r="C854" i="8"/>
  <c r="D854" i="8"/>
  <c r="E854" i="8" s="1"/>
  <c r="B854" i="8"/>
  <c r="M866" i="14" l="1"/>
  <c r="P866" i="14"/>
  <c r="Q866" i="14"/>
  <c r="M856" i="12"/>
  <c r="N856" i="12" s="1"/>
  <c r="P856" i="12"/>
  <c r="O856" i="12"/>
  <c r="K856" i="12"/>
  <c r="L856" i="12"/>
  <c r="J857" i="12"/>
  <c r="B856" i="12"/>
  <c r="F856" i="12"/>
  <c r="A857" i="12"/>
  <c r="G856" i="12"/>
  <c r="D856" i="12"/>
  <c r="E856" i="12" s="1"/>
  <c r="C856" i="12"/>
  <c r="A856" i="8"/>
  <c r="G855" i="8"/>
  <c r="F855" i="8"/>
  <c r="D855" i="8"/>
  <c r="E855" i="8" s="1"/>
  <c r="H855" i="8"/>
  <c r="C855" i="8"/>
  <c r="B855" i="8"/>
  <c r="Q867" i="14" l="1"/>
  <c r="M867" i="14"/>
  <c r="P867" i="14"/>
  <c r="L857" i="12"/>
  <c r="O857" i="12"/>
  <c r="P857" i="12"/>
  <c r="K857" i="12"/>
  <c r="J858" i="12"/>
  <c r="M857" i="12"/>
  <c r="N857" i="12" s="1"/>
  <c r="F857" i="12"/>
  <c r="C857" i="12"/>
  <c r="A858" i="12"/>
  <c r="B857" i="12"/>
  <c r="G857" i="12"/>
  <c r="D857" i="12"/>
  <c r="E857" i="12" s="1"/>
  <c r="A857" i="8"/>
  <c r="F856" i="8"/>
  <c r="H856" i="8"/>
  <c r="G856" i="8"/>
  <c r="D856" i="8"/>
  <c r="E856" i="8" s="1"/>
  <c r="B856" i="8"/>
  <c r="C856" i="8"/>
  <c r="P868" i="14" l="1"/>
  <c r="Q868" i="14"/>
  <c r="M868" i="14"/>
  <c r="J859" i="12"/>
  <c r="K858" i="12"/>
  <c r="M858" i="12"/>
  <c r="N858" i="12" s="1"/>
  <c r="O858" i="12"/>
  <c r="P858" i="12"/>
  <c r="L858" i="12"/>
  <c r="D858" i="12"/>
  <c r="E858" i="12" s="1"/>
  <c r="C858" i="12"/>
  <c r="G858" i="12"/>
  <c r="F858" i="12"/>
  <c r="B858" i="12"/>
  <c r="A859" i="12"/>
  <c r="A858" i="8"/>
  <c r="H857" i="8"/>
  <c r="G857" i="8"/>
  <c r="F857" i="8"/>
  <c r="D857" i="8"/>
  <c r="E857" i="8" s="1"/>
  <c r="B857" i="8"/>
  <c r="C857" i="8"/>
  <c r="Q869" i="14" l="1"/>
  <c r="P869" i="14"/>
  <c r="M869" i="14"/>
  <c r="P859" i="12"/>
  <c r="M859" i="12"/>
  <c r="N859" i="12" s="1"/>
  <c r="L859" i="12"/>
  <c r="K859" i="12"/>
  <c r="O859" i="12"/>
  <c r="J860" i="12"/>
  <c r="B859" i="12"/>
  <c r="D859" i="12"/>
  <c r="E859" i="12" s="1"/>
  <c r="C859" i="12"/>
  <c r="A860" i="12"/>
  <c r="G859" i="12"/>
  <c r="F859" i="12"/>
  <c r="A859" i="8"/>
  <c r="G858" i="8"/>
  <c r="H858" i="8"/>
  <c r="F858" i="8"/>
  <c r="B858" i="8"/>
  <c r="C858" i="8"/>
  <c r="D858" i="8"/>
  <c r="E858" i="8" s="1"/>
  <c r="M870" i="14" l="1"/>
  <c r="P870" i="14"/>
  <c r="Q870" i="14"/>
  <c r="O860" i="12"/>
  <c r="L860" i="12"/>
  <c r="J861" i="12"/>
  <c r="K860" i="12"/>
  <c r="P860" i="12"/>
  <c r="M860" i="12"/>
  <c r="N860" i="12" s="1"/>
  <c r="F860" i="12"/>
  <c r="C860" i="12"/>
  <c r="D860" i="12"/>
  <c r="E860" i="12" s="1"/>
  <c r="B860" i="12"/>
  <c r="G860" i="12"/>
  <c r="A861" i="12"/>
  <c r="A860" i="8"/>
  <c r="G859" i="8"/>
  <c r="H859" i="8"/>
  <c r="F859" i="8"/>
  <c r="D859" i="8"/>
  <c r="E859" i="8" s="1"/>
  <c r="B859" i="8"/>
  <c r="C859" i="8"/>
  <c r="Q871" i="14" l="1"/>
  <c r="M871" i="14"/>
  <c r="P871" i="14"/>
  <c r="J862" i="12"/>
  <c r="K861" i="12"/>
  <c r="P861" i="12"/>
  <c r="L861" i="12"/>
  <c r="M861" i="12"/>
  <c r="N861" i="12" s="1"/>
  <c r="O861" i="12"/>
  <c r="D861" i="12"/>
  <c r="E861" i="12" s="1"/>
  <c r="A862" i="12"/>
  <c r="G861" i="12"/>
  <c r="B861" i="12"/>
  <c r="F861" i="12"/>
  <c r="C861" i="12"/>
  <c r="A861" i="8"/>
  <c r="G860" i="8"/>
  <c r="H860" i="8"/>
  <c r="F860" i="8"/>
  <c r="D860" i="8"/>
  <c r="E860" i="8" s="1"/>
  <c r="C860" i="8"/>
  <c r="B860" i="8"/>
  <c r="M872" i="14" l="1"/>
  <c r="P872" i="14"/>
  <c r="Q872" i="14"/>
  <c r="M862" i="12"/>
  <c r="N862" i="12" s="1"/>
  <c r="P862" i="12"/>
  <c r="O862" i="12"/>
  <c r="J863" i="12"/>
  <c r="L862" i="12"/>
  <c r="K862" i="12"/>
  <c r="B862" i="12"/>
  <c r="A863" i="12"/>
  <c r="D862" i="12"/>
  <c r="E862" i="12" s="1"/>
  <c r="G862" i="12"/>
  <c r="C862" i="12"/>
  <c r="F862" i="12"/>
  <c r="A862" i="8"/>
  <c r="H861" i="8"/>
  <c r="G861" i="8"/>
  <c r="F861" i="8"/>
  <c r="D861" i="8"/>
  <c r="E861" i="8" s="1"/>
  <c r="C861" i="8"/>
  <c r="B861" i="8"/>
  <c r="Q873" i="14" l="1"/>
  <c r="P873" i="14"/>
  <c r="M873" i="14"/>
  <c r="L863" i="12"/>
  <c r="O863" i="12"/>
  <c r="M863" i="12"/>
  <c r="N863" i="12" s="1"/>
  <c r="J864" i="12"/>
  <c r="P863" i="12"/>
  <c r="K863" i="12"/>
  <c r="F863" i="12"/>
  <c r="G863" i="12"/>
  <c r="D863" i="12"/>
  <c r="E863" i="12" s="1"/>
  <c r="C863" i="12"/>
  <c r="B863" i="12"/>
  <c r="A864" i="12"/>
  <c r="A863" i="8"/>
  <c r="G862" i="8"/>
  <c r="H862" i="8"/>
  <c r="F862" i="8"/>
  <c r="C862" i="8"/>
  <c r="D862" i="8"/>
  <c r="E862" i="8" s="1"/>
  <c r="B862" i="8"/>
  <c r="P874" i="14" l="1"/>
  <c r="Q874" i="14"/>
  <c r="M874" i="14"/>
  <c r="J865" i="12"/>
  <c r="K864" i="12"/>
  <c r="M864" i="12"/>
  <c r="N864" i="12" s="1"/>
  <c r="O864" i="12"/>
  <c r="P864" i="12"/>
  <c r="L864" i="12"/>
  <c r="D864" i="12"/>
  <c r="E864" i="12" s="1"/>
  <c r="G864" i="12"/>
  <c r="A865" i="12"/>
  <c r="B864" i="12"/>
  <c r="F864" i="12"/>
  <c r="C864" i="12"/>
  <c r="A864" i="8"/>
  <c r="G863" i="8"/>
  <c r="F863" i="8"/>
  <c r="H863" i="8"/>
  <c r="D863" i="8"/>
  <c r="E863" i="8" s="1"/>
  <c r="C863" i="8"/>
  <c r="B863" i="8"/>
  <c r="Q875" i="14" l="1"/>
  <c r="P875" i="14"/>
  <c r="M875" i="14"/>
  <c r="P865" i="12"/>
  <c r="M865" i="12"/>
  <c r="N865" i="12" s="1"/>
  <c r="L865" i="12"/>
  <c r="O865" i="12"/>
  <c r="K865" i="12"/>
  <c r="J866" i="12"/>
  <c r="B865" i="12"/>
  <c r="F865" i="12"/>
  <c r="A866" i="12"/>
  <c r="C865" i="12"/>
  <c r="G865" i="12"/>
  <c r="D865" i="12"/>
  <c r="E865" i="12" s="1"/>
  <c r="A865" i="8"/>
  <c r="F864" i="8"/>
  <c r="H864" i="8"/>
  <c r="G864" i="8"/>
  <c r="D864" i="8"/>
  <c r="E864" i="8" s="1"/>
  <c r="C864" i="8"/>
  <c r="B864" i="8"/>
  <c r="M876" i="14" l="1"/>
  <c r="P876" i="14"/>
  <c r="Q876" i="14"/>
  <c r="O866" i="12"/>
  <c r="L866" i="12"/>
  <c r="J867" i="12"/>
  <c r="K866" i="12"/>
  <c r="M866" i="12"/>
  <c r="N866" i="12" s="1"/>
  <c r="P866" i="12"/>
  <c r="F866" i="12"/>
  <c r="A867" i="12"/>
  <c r="G866" i="12"/>
  <c r="D866" i="12"/>
  <c r="E866" i="12" s="1"/>
  <c r="C866" i="12"/>
  <c r="B866" i="12"/>
  <c r="A866" i="8"/>
  <c r="H865" i="8"/>
  <c r="G865" i="8"/>
  <c r="F865" i="8"/>
  <c r="D865" i="8"/>
  <c r="E865" i="8" s="1"/>
  <c r="C865" i="8"/>
  <c r="B865" i="8"/>
  <c r="Q877" i="14" l="1"/>
  <c r="M877" i="14"/>
  <c r="P877" i="14"/>
  <c r="J868" i="12"/>
  <c r="K867" i="12"/>
  <c r="P867" i="12"/>
  <c r="M867" i="12"/>
  <c r="N867" i="12" s="1"/>
  <c r="O867" i="12"/>
  <c r="L867" i="12"/>
  <c r="D867" i="12"/>
  <c r="E867" i="12" s="1"/>
  <c r="A868" i="12"/>
  <c r="C867" i="12"/>
  <c r="G867" i="12"/>
  <c r="B867" i="12"/>
  <c r="F867" i="12"/>
  <c r="A867" i="8"/>
  <c r="G866" i="8"/>
  <c r="H866" i="8"/>
  <c r="F866" i="8"/>
  <c r="D866" i="8"/>
  <c r="E866" i="8" s="1"/>
  <c r="C866" i="8"/>
  <c r="B866" i="8"/>
  <c r="M878" i="14" l="1"/>
  <c r="P878" i="14"/>
  <c r="Q878" i="14"/>
  <c r="M868" i="12"/>
  <c r="N868" i="12" s="1"/>
  <c r="P868" i="12"/>
  <c r="O868" i="12"/>
  <c r="K868" i="12"/>
  <c r="J869" i="12"/>
  <c r="L868" i="12"/>
  <c r="B868" i="12"/>
  <c r="D868" i="12"/>
  <c r="E868" i="12" s="1"/>
  <c r="G868" i="12"/>
  <c r="F868" i="12"/>
  <c r="C868" i="12"/>
  <c r="A869" i="12"/>
  <c r="A868" i="8"/>
  <c r="G867" i="8"/>
  <c r="H867" i="8"/>
  <c r="F867" i="8"/>
  <c r="D867" i="8"/>
  <c r="E867" i="8" s="1"/>
  <c r="B867" i="8"/>
  <c r="C867" i="8"/>
  <c r="Q879" i="14" l="1"/>
  <c r="M879" i="14"/>
  <c r="P879" i="14"/>
  <c r="L869" i="12"/>
  <c r="O869" i="12"/>
  <c r="P869" i="12"/>
  <c r="M869" i="12"/>
  <c r="N869" i="12" s="1"/>
  <c r="J870" i="12"/>
  <c r="K869" i="12"/>
  <c r="F869" i="12"/>
  <c r="C869" i="12"/>
  <c r="B869" i="12"/>
  <c r="A870" i="12"/>
  <c r="G869" i="12"/>
  <c r="D869" i="12"/>
  <c r="E869" i="12" s="1"/>
  <c r="A869" i="8"/>
  <c r="G868" i="8"/>
  <c r="H868" i="8"/>
  <c r="F868" i="8"/>
  <c r="D868" i="8"/>
  <c r="E868" i="8" s="1"/>
  <c r="C868" i="8"/>
  <c r="B868" i="8"/>
  <c r="P880" i="14" l="1"/>
  <c r="M880" i="14"/>
  <c r="Q880" i="14"/>
  <c r="J871" i="12"/>
  <c r="K870" i="12"/>
  <c r="M870" i="12"/>
  <c r="N870" i="12" s="1"/>
  <c r="P870" i="12"/>
  <c r="O870" i="12"/>
  <c r="L870" i="12"/>
  <c r="D870" i="12"/>
  <c r="E870" i="12" s="1"/>
  <c r="A871" i="12"/>
  <c r="G870" i="12"/>
  <c r="B870" i="12"/>
  <c r="C870" i="12"/>
  <c r="F870" i="12"/>
  <c r="A870" i="8"/>
  <c r="H869" i="8"/>
  <c r="G869" i="8"/>
  <c r="D869" i="8"/>
  <c r="E869" i="8" s="1"/>
  <c r="F869" i="8"/>
  <c r="B869" i="8"/>
  <c r="C869" i="8"/>
  <c r="Q881" i="14" l="1"/>
  <c r="P881" i="14"/>
  <c r="M881" i="14"/>
  <c r="P871" i="12"/>
  <c r="M871" i="12"/>
  <c r="N871" i="12" s="1"/>
  <c r="L871" i="12"/>
  <c r="O871" i="12"/>
  <c r="J872" i="12"/>
  <c r="K871" i="12"/>
  <c r="B871" i="12"/>
  <c r="A872" i="12"/>
  <c r="D871" i="12"/>
  <c r="E871" i="12" s="1"/>
  <c r="F871" i="12"/>
  <c r="G871" i="12"/>
  <c r="C871" i="12"/>
  <c r="A871" i="8"/>
  <c r="G870" i="8"/>
  <c r="H870" i="8"/>
  <c r="F870" i="8"/>
  <c r="C870" i="8"/>
  <c r="D870" i="8"/>
  <c r="E870" i="8" s="1"/>
  <c r="B870" i="8"/>
  <c r="M882" i="14" l="1"/>
  <c r="P882" i="14"/>
  <c r="Q882" i="14"/>
  <c r="O872" i="12"/>
  <c r="L872" i="12"/>
  <c r="J873" i="12"/>
  <c r="K872" i="12"/>
  <c r="P872" i="12"/>
  <c r="M872" i="12"/>
  <c r="N872" i="12" s="1"/>
  <c r="F872" i="12"/>
  <c r="D872" i="12"/>
  <c r="E872" i="12" s="1"/>
  <c r="B872" i="12"/>
  <c r="A873" i="12"/>
  <c r="G872" i="12"/>
  <c r="C872" i="12"/>
  <c r="A872" i="8"/>
  <c r="G871" i="8"/>
  <c r="F871" i="8"/>
  <c r="H871" i="8"/>
  <c r="D871" i="8"/>
  <c r="E871" i="8" s="1"/>
  <c r="B871" i="8"/>
  <c r="C871" i="8"/>
  <c r="Q883" i="14" l="1"/>
  <c r="P883" i="14"/>
  <c r="M883" i="14"/>
  <c r="J874" i="12"/>
  <c r="K873" i="12"/>
  <c r="P873" i="12"/>
  <c r="L873" i="12"/>
  <c r="O873" i="12"/>
  <c r="M873" i="12"/>
  <c r="N873" i="12" s="1"/>
  <c r="D873" i="12"/>
  <c r="E873" i="12" s="1"/>
  <c r="G873" i="12"/>
  <c r="B873" i="12"/>
  <c r="C873" i="12"/>
  <c r="A874" i="12"/>
  <c r="F873" i="12"/>
  <c r="A873" i="8"/>
  <c r="F872" i="8"/>
  <c r="H872" i="8"/>
  <c r="G872" i="8"/>
  <c r="D872" i="8"/>
  <c r="E872" i="8" s="1"/>
  <c r="B872" i="8"/>
  <c r="C872" i="8"/>
  <c r="M884" i="14" l="1"/>
  <c r="P884" i="14"/>
  <c r="Q884" i="14"/>
  <c r="M874" i="12"/>
  <c r="N874" i="12" s="1"/>
  <c r="P874" i="12"/>
  <c r="O874" i="12"/>
  <c r="J875" i="12"/>
  <c r="L874" i="12"/>
  <c r="K874" i="12"/>
  <c r="B874" i="12"/>
  <c r="F874" i="12"/>
  <c r="C874" i="12"/>
  <c r="G874" i="12"/>
  <c r="A875" i="12"/>
  <c r="D874" i="12"/>
  <c r="E874" i="12" s="1"/>
  <c r="A874" i="8"/>
  <c r="H873" i="8"/>
  <c r="G873" i="8"/>
  <c r="F873" i="8"/>
  <c r="D873" i="8"/>
  <c r="E873" i="8" s="1"/>
  <c r="C873" i="8"/>
  <c r="B873" i="8"/>
  <c r="Q885" i="14" l="1"/>
  <c r="P885" i="14"/>
  <c r="M885" i="14"/>
  <c r="L875" i="12"/>
  <c r="O875" i="12"/>
  <c r="K875" i="12"/>
  <c r="P875" i="12"/>
  <c r="J876" i="12"/>
  <c r="M875" i="12"/>
  <c r="N875" i="12" s="1"/>
  <c r="F875" i="12"/>
  <c r="G875" i="12"/>
  <c r="C875" i="12"/>
  <c r="A876" i="12"/>
  <c r="D875" i="12"/>
  <c r="E875" i="12" s="1"/>
  <c r="B875" i="12"/>
  <c r="A875" i="8"/>
  <c r="G874" i="8"/>
  <c r="H874" i="8"/>
  <c r="F874" i="8"/>
  <c r="C874" i="8"/>
  <c r="B874" i="8"/>
  <c r="D874" i="8"/>
  <c r="E874" i="8" s="1"/>
  <c r="P886" i="14" l="1"/>
  <c r="Q886" i="14"/>
  <c r="M886" i="14"/>
  <c r="J877" i="12"/>
  <c r="K876" i="12"/>
  <c r="M876" i="12"/>
  <c r="N876" i="12" s="1"/>
  <c r="O876" i="12"/>
  <c r="P876" i="12"/>
  <c r="L876" i="12"/>
  <c r="D876" i="12"/>
  <c r="E876" i="12" s="1"/>
  <c r="A877" i="12"/>
  <c r="C876" i="12"/>
  <c r="F876" i="12"/>
  <c r="B876" i="12"/>
  <c r="G876" i="12"/>
  <c r="A876" i="8"/>
  <c r="G875" i="8"/>
  <c r="H875" i="8"/>
  <c r="F875" i="8"/>
  <c r="D875" i="8"/>
  <c r="E875" i="8" s="1"/>
  <c r="C875" i="8"/>
  <c r="B875" i="8"/>
  <c r="Q887" i="14" l="1"/>
  <c r="M887" i="14"/>
  <c r="P887" i="14"/>
  <c r="P877" i="12"/>
  <c r="M877" i="12"/>
  <c r="N877" i="12" s="1"/>
  <c r="L877" i="12"/>
  <c r="K877" i="12"/>
  <c r="O877" i="12"/>
  <c r="J878" i="12"/>
  <c r="B877" i="12"/>
  <c r="A878" i="12"/>
  <c r="C877" i="12"/>
  <c r="F877" i="12"/>
  <c r="D877" i="12"/>
  <c r="E877" i="12" s="1"/>
  <c r="G877" i="12"/>
  <c r="A877" i="8"/>
  <c r="G876" i="8"/>
  <c r="H876" i="8"/>
  <c r="F876" i="8"/>
  <c r="C876" i="8"/>
  <c r="D876" i="8"/>
  <c r="E876" i="8" s="1"/>
  <c r="B876" i="8"/>
  <c r="R888" i="14" l="1"/>
  <c r="M888" i="14"/>
  <c r="P888" i="14"/>
  <c r="Q888" i="14"/>
  <c r="O878" i="12"/>
  <c r="J879" i="12"/>
  <c r="L878" i="12"/>
  <c r="Q878" i="12"/>
  <c r="K878" i="12"/>
  <c r="M878" i="12"/>
  <c r="N878" i="12" s="1"/>
  <c r="P878" i="12"/>
  <c r="F878" i="12"/>
  <c r="G878" i="12"/>
  <c r="H878" i="12"/>
  <c r="C878" i="12"/>
  <c r="A879" i="12"/>
  <c r="D878" i="12"/>
  <c r="E878" i="12" s="1"/>
  <c r="B878" i="12"/>
  <c r="A878" i="8"/>
  <c r="H877" i="8"/>
  <c r="G877" i="8"/>
  <c r="F877" i="8"/>
  <c r="D877" i="8"/>
  <c r="E877" i="8" s="1"/>
  <c r="B877" i="8"/>
  <c r="C877" i="8"/>
  <c r="R889" i="14" l="1"/>
  <c r="M889" i="14"/>
  <c r="P889" i="14"/>
  <c r="Q889" i="14"/>
  <c r="M879" i="12"/>
  <c r="N879" i="12" s="1"/>
  <c r="P879" i="12"/>
  <c r="O879" i="12"/>
  <c r="Q879" i="12"/>
  <c r="K879" i="12"/>
  <c r="J880" i="12"/>
  <c r="L879" i="12"/>
  <c r="D879" i="12"/>
  <c r="E879" i="12" s="1"/>
  <c r="C879" i="12"/>
  <c r="G879" i="12"/>
  <c r="B879" i="12"/>
  <c r="H879" i="12"/>
  <c r="A880" i="12"/>
  <c r="F879" i="12"/>
  <c r="A879" i="8"/>
  <c r="G878" i="8"/>
  <c r="H878" i="8"/>
  <c r="F878" i="8"/>
  <c r="C878" i="8"/>
  <c r="D878" i="8"/>
  <c r="E878" i="8" s="1"/>
  <c r="B878" i="8"/>
  <c r="P890" i="14" l="1"/>
  <c r="M890" i="14"/>
  <c r="R890" i="14"/>
  <c r="Q890" i="14"/>
  <c r="Q880" i="12"/>
  <c r="K880" i="12"/>
  <c r="M880" i="12"/>
  <c r="N880" i="12" s="1"/>
  <c r="P880" i="12"/>
  <c r="O880" i="12"/>
  <c r="L880" i="12"/>
  <c r="D880" i="12"/>
  <c r="E880" i="12" s="1"/>
  <c r="H880" i="12"/>
  <c r="B880" i="12"/>
  <c r="F880" i="12"/>
  <c r="G880" i="12"/>
  <c r="C880" i="12"/>
  <c r="A881" i="12"/>
  <c r="A880" i="8"/>
  <c r="G879" i="8"/>
  <c r="H879" i="8"/>
  <c r="F879" i="8"/>
  <c r="D879" i="8"/>
  <c r="E879" i="8" s="1"/>
  <c r="B879" i="8"/>
  <c r="C879" i="8"/>
  <c r="C881" i="12" l="1"/>
  <c r="B881" i="12"/>
  <c r="H881" i="12"/>
  <c r="F881" i="12"/>
  <c r="G881" i="12"/>
  <c r="A882" i="12"/>
  <c r="D881" i="12"/>
  <c r="E881" i="12" s="1"/>
  <c r="A881" i="8"/>
  <c r="F880" i="8"/>
  <c r="H880" i="8"/>
  <c r="G880" i="8"/>
  <c r="D880" i="8"/>
  <c r="E880" i="8" s="1"/>
  <c r="B880" i="8"/>
  <c r="C880" i="8"/>
  <c r="C882" i="12" l="1"/>
  <c r="B882" i="12"/>
  <c r="F882" i="12"/>
  <c r="D882" i="12"/>
  <c r="E882" i="12" s="1"/>
  <c r="H882" i="12"/>
  <c r="G882" i="12"/>
  <c r="A883" i="12"/>
  <c r="A882" i="8"/>
  <c r="H881" i="8"/>
  <c r="G881" i="8"/>
  <c r="F881" i="8"/>
  <c r="D881" i="8"/>
  <c r="E881" i="8" s="1"/>
  <c r="B881" i="8"/>
  <c r="C881" i="8"/>
  <c r="G883" i="12" l="1"/>
  <c r="H883" i="12"/>
  <c r="C883" i="12"/>
  <c r="B883" i="12"/>
  <c r="D883" i="12"/>
  <c r="E883" i="12" s="1"/>
  <c r="F883" i="12"/>
  <c r="A884" i="12"/>
  <c r="A883" i="8"/>
  <c r="G882" i="8"/>
  <c r="H882" i="8"/>
  <c r="D882" i="8"/>
  <c r="E882" i="8" s="1"/>
  <c r="F882" i="8"/>
  <c r="C882" i="8"/>
  <c r="B882" i="8"/>
  <c r="B884" i="12" l="1"/>
  <c r="F884" i="12"/>
  <c r="C884" i="12"/>
  <c r="H884" i="12"/>
  <c r="G884" i="12"/>
  <c r="A885" i="12"/>
  <c r="D884" i="12"/>
  <c r="E884" i="12" s="1"/>
  <c r="A884" i="8"/>
  <c r="G883" i="8"/>
  <c r="H883" i="8"/>
  <c r="D883" i="8"/>
  <c r="E883" i="8" s="1"/>
  <c r="F883" i="8"/>
  <c r="C883" i="8"/>
  <c r="B883" i="8"/>
  <c r="F885" i="12" l="1"/>
  <c r="D885" i="12"/>
  <c r="E885" i="12" s="1"/>
  <c r="C885" i="12"/>
  <c r="A886" i="12"/>
  <c r="B885" i="12"/>
  <c r="G885" i="12"/>
  <c r="H885" i="12"/>
  <c r="A885" i="8"/>
  <c r="G884" i="8"/>
  <c r="H884" i="8"/>
  <c r="F884" i="8"/>
  <c r="C884" i="8"/>
  <c r="D884" i="8"/>
  <c r="E884" i="8" s="1"/>
  <c r="B884" i="8"/>
  <c r="F886" i="12" l="1"/>
  <c r="B886" i="12"/>
  <c r="C886" i="12"/>
  <c r="H886" i="12"/>
  <c r="G886" i="12"/>
  <c r="A887" i="12"/>
  <c r="D886" i="12"/>
  <c r="E886" i="12" s="1"/>
  <c r="A886" i="8"/>
  <c r="H885" i="8"/>
  <c r="F885" i="8"/>
  <c r="G885" i="8"/>
  <c r="C885" i="8"/>
  <c r="D885" i="8"/>
  <c r="E885" i="8" s="1"/>
  <c r="B885" i="8"/>
  <c r="G887" i="12" l="1"/>
  <c r="F887" i="12"/>
  <c r="H887" i="12"/>
  <c r="D887" i="12"/>
  <c r="E887" i="12" s="1"/>
  <c r="B887" i="12"/>
  <c r="C887" i="12"/>
  <c r="A888" i="12"/>
  <c r="A887" i="8"/>
  <c r="G886" i="8"/>
  <c r="H886" i="8"/>
  <c r="F886" i="8"/>
  <c r="C886" i="8"/>
  <c r="D886" i="8"/>
  <c r="E886" i="8" s="1"/>
  <c r="B886" i="8"/>
  <c r="F888" i="12" l="1"/>
  <c r="C888" i="12"/>
  <c r="G888" i="12"/>
  <c r="B888" i="12"/>
  <c r="D888" i="12"/>
  <c r="E888" i="12" s="1"/>
  <c r="A889" i="12"/>
  <c r="H888" i="12"/>
  <c r="A888" i="8"/>
  <c r="G887" i="8"/>
  <c r="F887" i="8"/>
  <c r="H887" i="8"/>
  <c r="D887" i="8"/>
  <c r="E887" i="8" s="1"/>
  <c r="B887" i="8"/>
  <c r="C887" i="8"/>
  <c r="D889" i="12" l="1"/>
  <c r="E889" i="12" s="1"/>
  <c r="A890" i="12"/>
  <c r="C889" i="12"/>
  <c r="G889" i="12"/>
  <c r="H889" i="12"/>
  <c r="F889" i="12"/>
  <c r="A889" i="8"/>
  <c r="F888" i="8"/>
  <c r="H888" i="8"/>
  <c r="G888" i="8"/>
  <c r="D888" i="8"/>
  <c r="E888" i="8" s="1"/>
  <c r="B888" i="8"/>
  <c r="C888" i="8"/>
  <c r="D890" i="12" l="1"/>
  <c r="E890" i="12" s="1"/>
  <c r="H890" i="12"/>
  <c r="G890" i="12"/>
  <c r="F890" i="12"/>
  <c r="C890" i="12"/>
  <c r="A891" i="12"/>
  <c r="A890" i="8"/>
  <c r="H889" i="8"/>
  <c r="G889" i="8"/>
  <c r="F889" i="8"/>
  <c r="D889" i="8"/>
  <c r="E889" i="8" s="1"/>
  <c r="C889" i="8"/>
  <c r="G891" i="12" l="1"/>
  <c r="H891" i="12"/>
  <c r="C891" i="12"/>
  <c r="A892" i="12"/>
  <c r="F891" i="12"/>
  <c r="D891" i="12"/>
  <c r="E891" i="12" s="1"/>
  <c r="A891" i="8"/>
  <c r="G890" i="8"/>
  <c r="H890" i="8"/>
  <c r="F890" i="8"/>
  <c r="D890" i="8"/>
  <c r="E890" i="8" s="1"/>
  <c r="C890" i="8"/>
  <c r="F892" i="12" l="1"/>
  <c r="H892" i="12"/>
  <c r="C892" i="12"/>
  <c r="A893" i="12"/>
  <c r="G892" i="12"/>
  <c r="D892" i="12"/>
  <c r="E892" i="12" s="1"/>
  <c r="A892" i="8"/>
  <c r="G891" i="8"/>
  <c r="H891" i="8"/>
  <c r="D891" i="8"/>
  <c r="E891" i="8" s="1"/>
  <c r="C891" i="8"/>
  <c r="F891" i="8"/>
  <c r="H893" i="12" l="1"/>
  <c r="C893" i="12"/>
  <c r="D893" i="12"/>
  <c r="E893" i="12" s="1"/>
  <c r="G893" i="12"/>
  <c r="F893" i="12"/>
  <c r="A894" i="12"/>
  <c r="A893" i="8"/>
  <c r="G892" i="8"/>
  <c r="H892" i="8"/>
  <c r="F892" i="8"/>
  <c r="D892" i="8"/>
  <c r="E892" i="8" s="1"/>
  <c r="C892" i="8"/>
  <c r="D894" i="12" l="1"/>
  <c r="E894" i="12" s="1"/>
  <c r="H894" i="12"/>
  <c r="C894" i="12"/>
  <c r="F894" i="12"/>
  <c r="G894" i="12"/>
  <c r="A895" i="12"/>
  <c r="A894" i="8"/>
  <c r="H893" i="8"/>
  <c r="G893" i="8"/>
  <c r="F893" i="8"/>
  <c r="D893" i="8"/>
  <c r="E893" i="8" s="1"/>
  <c r="C893" i="8"/>
  <c r="A896" i="12" l="1"/>
  <c r="C895" i="12"/>
  <c r="H895" i="12"/>
  <c r="D895" i="12"/>
  <c r="E895" i="12" s="1"/>
  <c r="F895" i="12"/>
  <c r="G895" i="12"/>
  <c r="A895" i="8"/>
  <c r="G894" i="8"/>
  <c r="H894" i="8"/>
  <c r="F894" i="8"/>
  <c r="C894" i="8"/>
  <c r="D894" i="8"/>
  <c r="E894" i="8" s="1"/>
  <c r="H896" i="12" l="1"/>
  <c r="A897" i="12"/>
  <c r="D896" i="12"/>
  <c r="E896" i="12" s="1"/>
  <c r="F896" i="12"/>
  <c r="C896" i="12"/>
  <c r="G896" i="12"/>
  <c r="A896" i="8"/>
  <c r="G895" i="8"/>
  <c r="F895" i="8"/>
  <c r="H895" i="8"/>
  <c r="D895" i="8"/>
  <c r="E895" i="8" s="1"/>
  <c r="C895" i="8"/>
  <c r="G897" i="12" l="1"/>
  <c r="A898" i="12"/>
  <c r="D897" i="12"/>
  <c r="E897" i="12" s="1"/>
  <c r="F897" i="12"/>
  <c r="H897" i="12"/>
  <c r="C897" i="12"/>
  <c r="A897" i="8"/>
  <c r="F896" i="8"/>
  <c r="H896" i="8"/>
  <c r="G896" i="8"/>
  <c r="D896" i="8"/>
  <c r="E896" i="8" s="1"/>
  <c r="C896" i="8"/>
  <c r="F898" i="12" l="1"/>
  <c r="A899" i="12"/>
  <c r="C898" i="12"/>
  <c r="H898" i="12"/>
  <c r="D898" i="12"/>
  <c r="E898" i="12" s="1"/>
  <c r="G898" i="12"/>
  <c r="A898" i="8"/>
  <c r="H897" i="8"/>
  <c r="G897" i="8"/>
  <c r="F897" i="8"/>
  <c r="D897" i="8"/>
  <c r="E897" i="8" s="1"/>
  <c r="C897" i="8"/>
  <c r="A900" i="12" l="1"/>
  <c r="D899" i="12"/>
  <c r="E899" i="12" s="1"/>
  <c r="H899" i="12"/>
  <c r="G899" i="12"/>
  <c r="C899" i="12"/>
  <c r="F899" i="12"/>
  <c r="A899" i="8"/>
  <c r="G898" i="8"/>
  <c r="H898" i="8"/>
  <c r="F898" i="8"/>
  <c r="D898" i="8"/>
  <c r="E898" i="8" s="1"/>
  <c r="C898" i="8"/>
  <c r="D900" i="12" l="1"/>
  <c r="E900" i="12" s="1"/>
  <c r="A901" i="12"/>
  <c r="F900" i="12"/>
  <c r="G900" i="12"/>
  <c r="C900" i="12"/>
  <c r="H900" i="12"/>
  <c r="A900" i="8"/>
  <c r="G899" i="8"/>
  <c r="H899" i="8"/>
  <c r="F899" i="8"/>
  <c r="C899" i="8"/>
  <c r="D899" i="8"/>
  <c r="E899" i="8" s="1"/>
  <c r="D901" i="12" l="1"/>
  <c r="E901" i="12" s="1"/>
  <c r="C901" i="12"/>
  <c r="A902" i="12"/>
  <c r="H901" i="12"/>
  <c r="G901" i="12"/>
  <c r="F901" i="12"/>
  <c r="A901" i="8"/>
  <c r="G900" i="8"/>
  <c r="H900" i="8"/>
  <c r="F900" i="8"/>
  <c r="D900" i="8"/>
  <c r="E900" i="8" s="1"/>
  <c r="C900" i="8"/>
  <c r="A903" i="12" l="1"/>
  <c r="C902" i="12"/>
  <c r="D902" i="12"/>
  <c r="E902" i="12" s="1"/>
  <c r="F902" i="12"/>
  <c r="H902" i="12"/>
  <c r="G902" i="12"/>
  <c r="A902" i="8"/>
  <c r="H901" i="8"/>
  <c r="G901" i="8"/>
  <c r="F901" i="8"/>
  <c r="D901" i="8"/>
  <c r="E901" i="8" s="1"/>
  <c r="C901" i="8"/>
  <c r="H903" i="12" l="1"/>
  <c r="D903" i="12"/>
  <c r="E903" i="12" s="1"/>
  <c r="F903" i="12"/>
  <c r="A904" i="12"/>
  <c r="C903" i="12"/>
  <c r="G903" i="12"/>
  <c r="A903" i="8"/>
  <c r="G902" i="8"/>
  <c r="H902" i="8"/>
  <c r="F902" i="8"/>
  <c r="C902" i="8"/>
  <c r="D902" i="8"/>
  <c r="E902" i="8" s="1"/>
  <c r="G904" i="12" l="1"/>
  <c r="D904" i="12"/>
  <c r="E904" i="12" s="1"/>
  <c r="C904" i="12"/>
  <c r="H904" i="12"/>
  <c r="A905" i="12"/>
  <c r="F904" i="12"/>
  <c r="A904" i="8"/>
  <c r="G903" i="8"/>
  <c r="H903" i="8"/>
  <c r="F903" i="8"/>
  <c r="C903" i="8"/>
  <c r="D903" i="8"/>
  <c r="E903" i="8" s="1"/>
  <c r="F905" i="12" l="1"/>
  <c r="D905" i="12"/>
  <c r="E905" i="12" s="1"/>
  <c r="A906" i="12"/>
  <c r="G905" i="12"/>
  <c r="H905" i="12"/>
  <c r="C905" i="12"/>
  <c r="A905" i="8"/>
  <c r="F904" i="8"/>
  <c r="H904" i="8"/>
  <c r="G904" i="8"/>
  <c r="D904" i="8"/>
  <c r="E904" i="8" s="1"/>
  <c r="C904" i="8"/>
  <c r="D906" i="12" l="1"/>
  <c r="E906" i="12" s="1"/>
  <c r="F906" i="12"/>
  <c r="C906" i="12"/>
  <c r="H906" i="12"/>
  <c r="A907" i="12"/>
  <c r="G906" i="12"/>
  <c r="A906" i="8"/>
  <c r="H905" i="8"/>
  <c r="G905" i="8"/>
  <c r="F905" i="8"/>
  <c r="D905" i="8"/>
  <c r="E905" i="8" s="1"/>
  <c r="C905" i="8"/>
  <c r="D907" i="12" l="1"/>
  <c r="E907" i="12" s="1"/>
  <c r="C907" i="12"/>
  <c r="G907" i="12"/>
  <c r="A908" i="12"/>
  <c r="H907" i="12"/>
  <c r="F907" i="12"/>
  <c r="A907" i="8"/>
  <c r="G906" i="8"/>
  <c r="H906" i="8"/>
  <c r="F906" i="8"/>
  <c r="D906" i="8"/>
  <c r="E906" i="8" s="1"/>
  <c r="C906" i="8"/>
  <c r="A909" i="12" l="1"/>
  <c r="C908" i="12"/>
  <c r="F908" i="12"/>
  <c r="H908" i="12"/>
  <c r="D908" i="12"/>
  <c r="E908" i="12" s="1"/>
  <c r="G908" i="12"/>
  <c r="A908" i="8"/>
  <c r="G907" i="8"/>
  <c r="H907" i="8"/>
  <c r="F907" i="8"/>
  <c r="D907" i="8"/>
  <c r="E907" i="8" s="1"/>
  <c r="C907" i="8"/>
  <c r="H909" i="12" l="1"/>
  <c r="G909" i="12"/>
  <c r="F909" i="12"/>
  <c r="D909" i="12"/>
  <c r="E909" i="12" s="1"/>
  <c r="C909" i="12"/>
  <c r="A910" i="12"/>
  <c r="A909" i="8"/>
  <c r="G908" i="8"/>
  <c r="H908" i="8"/>
  <c r="F908" i="8"/>
  <c r="D908" i="8"/>
  <c r="E908" i="8" s="1"/>
  <c r="C908" i="8"/>
  <c r="G910" i="12" l="1"/>
  <c r="A911" i="12"/>
  <c r="F910" i="12"/>
  <c r="C910" i="12"/>
  <c r="H910" i="12"/>
  <c r="D910" i="12"/>
  <c r="E910" i="12" s="1"/>
  <c r="A910" i="8"/>
  <c r="H909" i="8"/>
  <c r="G909" i="8"/>
  <c r="F909" i="8"/>
  <c r="D909" i="8"/>
  <c r="E909" i="8" s="1"/>
  <c r="C909" i="8"/>
  <c r="F911" i="12" l="1"/>
  <c r="D911" i="12"/>
  <c r="E911" i="12" s="1"/>
  <c r="C911" i="12"/>
  <c r="A912" i="12"/>
  <c r="H911" i="12"/>
  <c r="G911" i="12"/>
  <c r="A911" i="8"/>
  <c r="G910" i="8"/>
  <c r="H910" i="8"/>
  <c r="C910" i="8"/>
  <c r="D910" i="8"/>
  <c r="E910" i="8" s="1"/>
  <c r="F910" i="8"/>
  <c r="F912" i="12" l="1"/>
  <c r="C912" i="12"/>
  <c r="H912" i="12"/>
  <c r="D912" i="12"/>
  <c r="E912" i="12" s="1"/>
  <c r="G912" i="12"/>
  <c r="A913" i="12"/>
  <c r="A912" i="8"/>
  <c r="G911" i="8"/>
  <c r="H911" i="8"/>
  <c r="D911" i="8"/>
  <c r="E911" i="8" s="1"/>
  <c r="F911" i="8"/>
  <c r="C911" i="8"/>
  <c r="D913" i="12" l="1"/>
  <c r="E913" i="12" s="1"/>
  <c r="F913" i="12"/>
  <c r="A914" i="12"/>
  <c r="G913" i="12"/>
  <c r="H913" i="12"/>
  <c r="C913" i="12"/>
  <c r="A913" i="8"/>
  <c r="F912" i="8"/>
  <c r="H912" i="8"/>
  <c r="G912" i="8"/>
  <c r="D912" i="8"/>
  <c r="E912" i="8" s="1"/>
  <c r="C912" i="8"/>
  <c r="A915" i="12" l="1"/>
  <c r="C914" i="12"/>
  <c r="G914" i="12"/>
  <c r="D914" i="12"/>
  <c r="E914" i="12" s="1"/>
  <c r="F914" i="12"/>
  <c r="H914" i="12"/>
  <c r="A914" i="8"/>
  <c r="H913" i="8"/>
  <c r="G913" i="8"/>
  <c r="F913" i="8"/>
  <c r="D913" i="8"/>
  <c r="E913" i="8" s="1"/>
  <c r="C913" i="8"/>
  <c r="H915" i="12" l="1"/>
  <c r="A916" i="12"/>
  <c r="F915" i="12"/>
  <c r="C915" i="12"/>
  <c r="D915" i="12"/>
  <c r="E915" i="12" s="1"/>
  <c r="G915" i="12"/>
  <c r="A915" i="8"/>
  <c r="G914" i="8"/>
  <c r="H914" i="8"/>
  <c r="F914" i="8"/>
  <c r="D914" i="8"/>
  <c r="E914" i="8" s="1"/>
  <c r="C914" i="8"/>
  <c r="G916" i="12" l="1"/>
  <c r="F916" i="12"/>
  <c r="A917" i="12"/>
  <c r="D916" i="12"/>
  <c r="E916" i="12" s="1"/>
  <c r="H916" i="12"/>
  <c r="C916" i="12"/>
  <c r="A916" i="8"/>
  <c r="G915" i="8"/>
  <c r="H915" i="8"/>
  <c r="F915" i="8"/>
  <c r="D915" i="8"/>
  <c r="E915" i="8" s="1"/>
  <c r="C915" i="8"/>
  <c r="F917" i="12" l="1"/>
  <c r="G917" i="12"/>
  <c r="A918" i="12"/>
  <c r="C917" i="12"/>
  <c r="D917" i="12"/>
  <c r="E917" i="12" s="1"/>
  <c r="H917" i="12"/>
  <c r="A917" i="8"/>
  <c r="G916" i="8"/>
  <c r="F916" i="8"/>
  <c r="H916" i="8"/>
  <c r="D916" i="8"/>
  <c r="E916" i="8" s="1"/>
  <c r="C916" i="8"/>
  <c r="G918" i="12" l="1"/>
  <c r="D918" i="12"/>
  <c r="E918" i="12" s="1"/>
  <c r="H918" i="12"/>
  <c r="F918" i="12"/>
  <c r="C918" i="12"/>
  <c r="A919" i="12"/>
  <c r="A918" i="8"/>
  <c r="H917" i="8"/>
  <c r="F917" i="8"/>
  <c r="G917" i="8"/>
  <c r="C917" i="8"/>
  <c r="D917" i="8"/>
  <c r="E917" i="8" s="1"/>
  <c r="D919" i="12" l="1"/>
  <c r="E919" i="12" s="1"/>
  <c r="G919" i="12"/>
  <c r="A920" i="12"/>
  <c r="F919" i="12"/>
  <c r="H919" i="12"/>
  <c r="C919" i="12"/>
  <c r="A919" i="8"/>
  <c r="G918" i="8"/>
  <c r="H918" i="8"/>
  <c r="F918" i="8"/>
  <c r="D918" i="8"/>
  <c r="E918" i="8" s="1"/>
  <c r="C918" i="8"/>
  <c r="A921" i="12" l="1"/>
  <c r="C920" i="12"/>
  <c r="F920" i="12"/>
  <c r="G920" i="12"/>
  <c r="H920" i="12"/>
  <c r="D920" i="12"/>
  <c r="E920" i="12" s="1"/>
  <c r="A920" i="8"/>
  <c r="G919" i="8"/>
  <c r="F919" i="8"/>
  <c r="H919" i="8"/>
  <c r="D919" i="8"/>
  <c r="E919" i="8" s="1"/>
  <c r="C919" i="8"/>
  <c r="H921" i="12" l="1"/>
  <c r="G921" i="12"/>
  <c r="F921" i="12"/>
  <c r="D921" i="12"/>
  <c r="E921" i="12" s="1"/>
  <c r="A922" i="12"/>
  <c r="C921" i="12"/>
  <c r="A921" i="8"/>
  <c r="F920" i="8"/>
  <c r="H920" i="8"/>
  <c r="G920" i="8"/>
  <c r="D920" i="8"/>
  <c r="E920" i="8" s="1"/>
  <c r="C920" i="8"/>
  <c r="G922" i="12" l="1"/>
  <c r="H922" i="12"/>
  <c r="D922" i="12"/>
  <c r="E922" i="12" s="1"/>
  <c r="A923" i="12"/>
  <c r="C922" i="12"/>
  <c r="F922" i="12"/>
  <c r="A922" i="8"/>
  <c r="H921" i="8"/>
  <c r="G921" i="8"/>
  <c r="F921" i="8"/>
  <c r="D921" i="8"/>
  <c r="E921" i="8" s="1"/>
  <c r="C921" i="8"/>
  <c r="F923" i="12" l="1"/>
  <c r="H923" i="12"/>
  <c r="D923" i="12"/>
  <c r="E923" i="12" s="1"/>
  <c r="A924" i="12"/>
  <c r="G923" i="12"/>
  <c r="C923" i="12"/>
  <c r="A923" i="8"/>
  <c r="G922" i="8"/>
  <c r="H922" i="8"/>
  <c r="F922" i="8"/>
  <c r="C922" i="8"/>
  <c r="D922" i="8"/>
  <c r="E922" i="8" s="1"/>
  <c r="H924" i="12" l="1"/>
  <c r="F924" i="12"/>
  <c r="A925" i="12"/>
  <c r="C924" i="12"/>
  <c r="G924" i="12"/>
  <c r="D924" i="12"/>
  <c r="E924" i="12" s="1"/>
  <c r="A924" i="8"/>
  <c r="G923" i="8"/>
  <c r="H923" i="8"/>
  <c r="F923" i="8"/>
  <c r="D923" i="8"/>
  <c r="E923" i="8" s="1"/>
  <c r="C923" i="8"/>
  <c r="D925" i="12" l="1"/>
  <c r="E925" i="12" s="1"/>
  <c r="H925" i="12"/>
  <c r="F925" i="12"/>
  <c r="C925" i="12"/>
  <c r="G925" i="12"/>
  <c r="A926" i="12"/>
  <c r="A925" i="8"/>
  <c r="G924" i="8"/>
  <c r="H924" i="8"/>
  <c r="F924" i="8"/>
  <c r="D924" i="8"/>
  <c r="E924" i="8" s="1"/>
  <c r="C924" i="8"/>
  <c r="A927" i="12" l="1"/>
  <c r="C926" i="12"/>
  <c r="D926" i="12"/>
  <c r="E926" i="12" s="1"/>
  <c r="G926" i="12"/>
  <c r="F926" i="12"/>
  <c r="H926" i="12"/>
  <c r="A926" i="8"/>
  <c r="H925" i="8"/>
  <c r="G925" i="8"/>
  <c r="D925" i="8"/>
  <c r="E925" i="8" s="1"/>
  <c r="F925" i="8"/>
  <c r="C925" i="8"/>
  <c r="H927" i="12" l="1"/>
  <c r="A928" i="12"/>
  <c r="C927" i="12"/>
  <c r="G927" i="12"/>
  <c r="F927" i="12"/>
  <c r="D927" i="12"/>
  <c r="E927" i="12" s="1"/>
  <c r="A927" i="8"/>
  <c r="G926" i="8"/>
  <c r="H926" i="8"/>
  <c r="F926" i="8"/>
  <c r="C926" i="8"/>
  <c r="D926" i="8"/>
  <c r="E926" i="8" s="1"/>
  <c r="G928" i="12" l="1"/>
  <c r="A929" i="12"/>
  <c r="D928" i="12"/>
  <c r="E928" i="12" s="1"/>
  <c r="F928" i="12"/>
  <c r="H928" i="12"/>
  <c r="C928" i="12"/>
  <c r="A928" i="8"/>
  <c r="G927" i="8"/>
  <c r="F927" i="8"/>
  <c r="H927" i="8"/>
  <c r="D927" i="8"/>
  <c r="E927" i="8" s="1"/>
  <c r="C927" i="8"/>
  <c r="F929" i="12" l="1"/>
  <c r="A930" i="12"/>
  <c r="G929" i="12"/>
  <c r="H929" i="12"/>
  <c r="D929" i="12"/>
  <c r="E929" i="12" s="1"/>
  <c r="C929" i="12"/>
  <c r="A929" i="8"/>
  <c r="F928" i="8"/>
  <c r="H928" i="8"/>
  <c r="D928" i="8"/>
  <c r="E928" i="8" s="1"/>
  <c r="G928" i="8"/>
  <c r="C928" i="8"/>
  <c r="A931" i="12" l="1"/>
  <c r="G930" i="12"/>
  <c r="D930" i="12"/>
  <c r="E930" i="12" s="1"/>
  <c r="C930" i="12"/>
  <c r="F930" i="12"/>
  <c r="H930" i="12"/>
  <c r="A930" i="8"/>
  <c r="H929" i="8"/>
  <c r="G929" i="8"/>
  <c r="F929" i="8"/>
  <c r="D929" i="8"/>
  <c r="E929" i="8" s="1"/>
  <c r="C929" i="8"/>
  <c r="D931" i="12" l="1"/>
  <c r="E931" i="12" s="1"/>
  <c r="A932" i="12"/>
  <c r="H931" i="12"/>
  <c r="C931" i="12"/>
  <c r="F931" i="12"/>
  <c r="G931" i="12"/>
  <c r="A931" i="8"/>
  <c r="G930" i="8"/>
  <c r="H930" i="8"/>
  <c r="F930" i="8"/>
  <c r="D930" i="8"/>
  <c r="E930" i="8" s="1"/>
  <c r="C930" i="8"/>
  <c r="A933" i="12" l="1"/>
  <c r="C932" i="12"/>
  <c r="H932" i="12"/>
  <c r="G932" i="12"/>
  <c r="F932" i="12"/>
  <c r="D932" i="12"/>
  <c r="E932" i="12" s="1"/>
  <c r="A932" i="8"/>
  <c r="G931" i="8"/>
  <c r="H931" i="8"/>
  <c r="F931" i="8"/>
  <c r="D931" i="8"/>
  <c r="E931" i="8" s="1"/>
  <c r="C931" i="8"/>
  <c r="H933" i="12" l="1"/>
  <c r="C933" i="12"/>
  <c r="D933" i="12"/>
  <c r="E933" i="12" s="1"/>
  <c r="A934" i="12"/>
  <c r="F933" i="12"/>
  <c r="G933" i="12"/>
  <c r="A933" i="8"/>
  <c r="G932" i="8"/>
  <c r="F932" i="8"/>
  <c r="H932" i="8"/>
  <c r="D932" i="8"/>
  <c r="E932" i="8" s="1"/>
  <c r="C932" i="8"/>
  <c r="G934" i="12" l="1"/>
  <c r="C934" i="12"/>
  <c r="A935" i="12"/>
  <c r="F934" i="12"/>
  <c r="H934" i="12"/>
  <c r="D934" i="12"/>
  <c r="E934" i="12" s="1"/>
  <c r="A934" i="8"/>
  <c r="H933" i="8"/>
  <c r="G933" i="8"/>
  <c r="D933" i="8"/>
  <c r="E933" i="8" s="1"/>
  <c r="F933" i="8"/>
  <c r="C933" i="8"/>
  <c r="F935" i="12" l="1"/>
  <c r="C935" i="12"/>
  <c r="A936" i="12"/>
  <c r="D935" i="12"/>
  <c r="E935" i="12" s="1"/>
  <c r="G935" i="12"/>
  <c r="H935" i="12"/>
  <c r="A935" i="8"/>
  <c r="G934" i="8"/>
  <c r="H934" i="8"/>
  <c r="F934" i="8"/>
  <c r="C934" i="8"/>
  <c r="D934" i="8"/>
  <c r="E934" i="8" s="1"/>
  <c r="C936" i="12" l="1"/>
  <c r="H936" i="12"/>
  <c r="F936" i="12"/>
  <c r="A937" i="12"/>
  <c r="G936" i="12"/>
  <c r="D936" i="12"/>
  <c r="E936" i="12" s="1"/>
  <c r="A936" i="8"/>
  <c r="G935" i="8"/>
  <c r="H935" i="8"/>
  <c r="F935" i="8"/>
  <c r="D935" i="8"/>
  <c r="E935" i="8" s="1"/>
  <c r="C935" i="8"/>
  <c r="D937" i="12" l="1"/>
  <c r="E937" i="12" s="1"/>
  <c r="C937" i="12"/>
  <c r="H937" i="12"/>
  <c r="G937" i="12"/>
  <c r="A938" i="12"/>
  <c r="F937" i="12"/>
  <c r="A937" i="8"/>
  <c r="F936" i="8"/>
  <c r="H936" i="8"/>
  <c r="G936" i="8"/>
  <c r="D936" i="8"/>
  <c r="E936" i="8" s="1"/>
  <c r="C936" i="8"/>
  <c r="A939" i="12" l="1"/>
  <c r="C938" i="12"/>
  <c r="D938" i="12"/>
  <c r="E938" i="12" s="1"/>
  <c r="H938" i="12"/>
  <c r="G938" i="12"/>
  <c r="F938" i="12"/>
  <c r="A938" i="8"/>
  <c r="H937" i="8"/>
  <c r="G937" i="8"/>
  <c r="F937" i="8"/>
  <c r="D937" i="8"/>
  <c r="E937" i="8" s="1"/>
  <c r="C937" i="8"/>
  <c r="H939" i="12" l="1"/>
  <c r="D939" i="12"/>
  <c r="E939" i="12" s="1"/>
  <c r="F939" i="12"/>
  <c r="C939" i="12"/>
  <c r="A940" i="12"/>
  <c r="G939" i="12"/>
  <c r="A939" i="8"/>
  <c r="G938" i="8"/>
  <c r="H938" i="8"/>
  <c r="F938" i="8"/>
  <c r="D938" i="8"/>
  <c r="E938" i="8" s="1"/>
  <c r="C938" i="8"/>
  <c r="G940" i="12" l="1"/>
  <c r="D940" i="12"/>
  <c r="E940" i="12" s="1"/>
  <c r="C940" i="12"/>
  <c r="A941" i="12"/>
  <c r="H940" i="12"/>
  <c r="F940" i="12"/>
  <c r="A940" i="8"/>
  <c r="G939" i="8"/>
  <c r="H939" i="8"/>
  <c r="F939" i="8"/>
  <c r="D939" i="8"/>
  <c r="E939" i="8" s="1"/>
  <c r="C939" i="8"/>
  <c r="F941" i="12" l="1"/>
  <c r="D941" i="12"/>
  <c r="E941" i="12" s="1"/>
  <c r="H941" i="12"/>
  <c r="G941" i="12"/>
  <c r="C941" i="12"/>
  <c r="A942" i="12"/>
  <c r="A941" i="8"/>
  <c r="G940" i="8"/>
  <c r="H940" i="8"/>
  <c r="F940" i="8"/>
  <c r="C940" i="8"/>
  <c r="D940" i="8"/>
  <c r="E940" i="8" s="1"/>
  <c r="D942" i="12" l="1"/>
  <c r="E942" i="12" s="1"/>
  <c r="A943" i="12"/>
  <c r="F942" i="12"/>
  <c r="C942" i="12"/>
  <c r="H942" i="12"/>
  <c r="G942" i="12"/>
  <c r="A942" i="8"/>
  <c r="H941" i="8"/>
  <c r="G941" i="8"/>
  <c r="F941" i="8"/>
  <c r="D941" i="8"/>
  <c r="E941" i="8" s="1"/>
  <c r="C941" i="8"/>
  <c r="D943" i="12" l="1"/>
  <c r="E943" i="12" s="1"/>
  <c r="A944" i="12"/>
  <c r="H943" i="12"/>
  <c r="G943" i="12"/>
  <c r="F943" i="12"/>
  <c r="C943" i="12"/>
  <c r="A943" i="8"/>
  <c r="G942" i="8"/>
  <c r="H942" i="8"/>
  <c r="F942" i="8"/>
  <c r="C942" i="8"/>
  <c r="D942" i="8"/>
  <c r="E942" i="8" s="1"/>
  <c r="A945" i="12" l="1"/>
  <c r="C944" i="12"/>
  <c r="D944" i="12"/>
  <c r="E944" i="12" s="1"/>
  <c r="H944" i="12"/>
  <c r="F944" i="12"/>
  <c r="G944" i="12"/>
  <c r="A944" i="8"/>
  <c r="G943" i="8"/>
  <c r="H943" i="8"/>
  <c r="F943" i="8"/>
  <c r="D943" i="8"/>
  <c r="E943" i="8" s="1"/>
  <c r="C943" i="8"/>
  <c r="H945" i="12" l="1"/>
  <c r="F945" i="12"/>
  <c r="D945" i="12"/>
  <c r="E945" i="12" s="1"/>
  <c r="A946" i="12"/>
  <c r="C945" i="12"/>
  <c r="G945" i="12"/>
  <c r="A945" i="8"/>
  <c r="F944" i="8"/>
  <c r="H944" i="8"/>
  <c r="D944" i="8"/>
  <c r="E944" i="8" s="1"/>
  <c r="G944" i="8"/>
  <c r="C944" i="8"/>
  <c r="G946" i="12" l="1"/>
  <c r="H946" i="12"/>
  <c r="C946" i="12"/>
  <c r="F946" i="12"/>
  <c r="D946" i="12"/>
  <c r="E946" i="12" s="1"/>
  <c r="A947" i="12"/>
  <c r="A946" i="8"/>
  <c r="H945" i="8"/>
  <c r="G945" i="8"/>
  <c r="F945" i="8"/>
  <c r="D945" i="8"/>
  <c r="E945" i="8" s="1"/>
  <c r="C945" i="8"/>
  <c r="F947" i="12" l="1"/>
  <c r="A948" i="12"/>
  <c r="G947" i="12"/>
  <c r="H947" i="12"/>
  <c r="D947" i="12"/>
  <c r="E947" i="12" s="1"/>
  <c r="C947" i="12"/>
  <c r="A947" i="8"/>
  <c r="G946" i="8"/>
  <c r="H946" i="8"/>
  <c r="F946" i="8"/>
  <c r="D946" i="8"/>
  <c r="E946" i="8" s="1"/>
  <c r="C946" i="8"/>
  <c r="F948" i="12" l="1"/>
  <c r="A949" i="12"/>
  <c r="G948" i="12"/>
  <c r="D948" i="12"/>
  <c r="E948" i="12" s="1"/>
  <c r="C948" i="12"/>
  <c r="H948" i="12"/>
  <c r="A948" i="8"/>
  <c r="G947" i="8"/>
  <c r="H947" i="8"/>
  <c r="F947" i="8"/>
  <c r="D947" i="8"/>
  <c r="E947" i="8" s="1"/>
  <c r="C947" i="8"/>
  <c r="D949" i="12" l="1"/>
  <c r="E949" i="12" s="1"/>
  <c r="F949" i="12"/>
  <c r="A950" i="12"/>
  <c r="G949" i="12"/>
  <c r="C949" i="12"/>
  <c r="H949" i="12"/>
  <c r="A949" i="8"/>
  <c r="G948" i="8"/>
  <c r="F948" i="8"/>
  <c r="H948" i="8"/>
  <c r="D948" i="8"/>
  <c r="E948" i="8" s="1"/>
  <c r="C948" i="8"/>
  <c r="A951" i="12" l="1"/>
  <c r="C950" i="12"/>
  <c r="D950" i="12"/>
  <c r="E950" i="12" s="1"/>
  <c r="H950" i="12"/>
  <c r="F950" i="12"/>
  <c r="G950" i="12"/>
  <c r="A950" i="8"/>
  <c r="H949" i="8"/>
  <c r="F949" i="8"/>
  <c r="G949" i="8"/>
  <c r="C949" i="8"/>
  <c r="D949" i="8"/>
  <c r="E949" i="8" s="1"/>
  <c r="H951" i="12" l="1"/>
  <c r="G951" i="12"/>
  <c r="A952" i="12"/>
  <c r="F951" i="12"/>
  <c r="D951" i="12"/>
  <c r="E951" i="12" s="1"/>
  <c r="C951" i="12"/>
  <c r="A951" i="8"/>
  <c r="G950" i="8"/>
  <c r="H950" i="8"/>
  <c r="F950" i="8"/>
  <c r="C950" i="8"/>
  <c r="D950" i="8"/>
  <c r="E950" i="8" s="1"/>
  <c r="G952" i="12" l="1"/>
  <c r="F952" i="12"/>
  <c r="H952" i="12"/>
  <c r="D952" i="12"/>
  <c r="E952" i="12" s="1"/>
  <c r="A953" i="12"/>
  <c r="C952" i="12"/>
  <c r="A952" i="8"/>
  <c r="G951" i="8"/>
  <c r="F951" i="8"/>
  <c r="H951" i="8"/>
  <c r="D951" i="8"/>
  <c r="E951" i="8" s="1"/>
  <c r="C951" i="8"/>
  <c r="F953" i="12" l="1"/>
  <c r="G953" i="12"/>
  <c r="H953" i="12"/>
  <c r="D953" i="12"/>
  <c r="E953" i="12" s="1"/>
  <c r="C953" i="12"/>
  <c r="A954" i="12"/>
  <c r="A953" i="8"/>
  <c r="F952" i="8"/>
  <c r="H952" i="8"/>
  <c r="G952" i="8"/>
  <c r="D952" i="8"/>
  <c r="E952" i="8" s="1"/>
  <c r="C952" i="8"/>
  <c r="G954" i="12" l="1"/>
  <c r="C954" i="12"/>
  <c r="A955" i="12"/>
  <c r="H954" i="12"/>
  <c r="F954" i="12"/>
  <c r="D954" i="12"/>
  <c r="E954" i="12" s="1"/>
  <c r="A954" i="8"/>
  <c r="H953" i="8"/>
  <c r="G953" i="8"/>
  <c r="F953" i="8"/>
  <c r="D953" i="8"/>
  <c r="E953" i="8" s="1"/>
  <c r="C953" i="8"/>
  <c r="D955" i="12" l="1"/>
  <c r="E955" i="12" s="1"/>
  <c r="G955" i="12"/>
  <c r="F955" i="12"/>
  <c r="A956" i="12"/>
  <c r="H955" i="12"/>
  <c r="C955" i="12"/>
  <c r="A955" i="8"/>
  <c r="G954" i="8"/>
  <c r="H954" i="8"/>
  <c r="F954" i="8"/>
  <c r="C954" i="8"/>
  <c r="D954" i="8"/>
  <c r="E954" i="8" s="1"/>
  <c r="A957" i="12" l="1"/>
  <c r="C956" i="12"/>
  <c r="H956" i="12"/>
  <c r="F956" i="12"/>
  <c r="D956" i="12"/>
  <c r="E956" i="12" s="1"/>
  <c r="G956" i="12"/>
  <c r="A956" i="8"/>
  <c r="G955" i="8"/>
  <c r="H955" i="8"/>
  <c r="D955" i="8"/>
  <c r="E955" i="8" s="1"/>
  <c r="F955" i="8"/>
  <c r="C955" i="8"/>
  <c r="H957" i="12" l="1"/>
  <c r="G957" i="12"/>
  <c r="A958" i="12"/>
  <c r="F957" i="12"/>
  <c r="D957" i="12"/>
  <c r="E957" i="12" s="1"/>
  <c r="C957" i="12"/>
  <c r="A957" i="8"/>
  <c r="G956" i="8"/>
  <c r="H956" i="8"/>
  <c r="F956" i="8"/>
  <c r="D956" i="8"/>
  <c r="E956" i="8" s="1"/>
  <c r="C956" i="8"/>
  <c r="G958" i="12" l="1"/>
  <c r="H958" i="12"/>
  <c r="C958" i="12"/>
  <c r="A959" i="12"/>
  <c r="F958" i="12"/>
  <c r="D958" i="12"/>
  <c r="E958" i="12" s="1"/>
  <c r="A958" i="8"/>
  <c r="H957" i="8"/>
  <c r="G957" i="8"/>
  <c r="F957" i="8"/>
  <c r="D957" i="8"/>
  <c r="E957" i="8" s="1"/>
  <c r="C957" i="8"/>
  <c r="F959" i="12" l="1"/>
  <c r="H959" i="12"/>
  <c r="A960" i="12"/>
  <c r="C959" i="12"/>
  <c r="G959" i="12"/>
  <c r="D959" i="12"/>
  <c r="E959" i="12" s="1"/>
  <c r="A959" i="8"/>
  <c r="G958" i="8"/>
  <c r="H958" i="8"/>
  <c r="F958" i="8"/>
  <c r="C958" i="8"/>
  <c r="D958" i="8"/>
  <c r="E958" i="8" s="1"/>
  <c r="H960" i="12" l="1"/>
  <c r="D960" i="12"/>
  <c r="E960" i="12" s="1"/>
  <c r="C960" i="12"/>
  <c r="A961" i="12"/>
  <c r="F960" i="12"/>
  <c r="G960" i="12"/>
  <c r="A960" i="8"/>
  <c r="G959" i="8"/>
  <c r="F959" i="8"/>
  <c r="H959" i="8"/>
  <c r="D959" i="8"/>
  <c r="E959" i="8" s="1"/>
  <c r="C959" i="8"/>
  <c r="D961" i="12" l="1"/>
  <c r="E961" i="12" s="1"/>
  <c r="H961" i="12"/>
  <c r="C961" i="12"/>
  <c r="G961" i="12"/>
  <c r="F961" i="12"/>
  <c r="A962" i="12"/>
  <c r="A961" i="8"/>
  <c r="F960" i="8"/>
  <c r="H960" i="8"/>
  <c r="D960" i="8"/>
  <c r="E960" i="8" s="1"/>
  <c r="G960" i="8"/>
  <c r="C960" i="8"/>
  <c r="A963" i="12" l="1"/>
  <c r="C962" i="12"/>
  <c r="F962" i="12"/>
  <c r="D962" i="12"/>
  <c r="E962" i="12" s="1"/>
  <c r="H962" i="12"/>
  <c r="G962" i="12"/>
  <c r="A962" i="8"/>
  <c r="H961" i="8"/>
  <c r="G961" i="8"/>
  <c r="F961" i="8"/>
  <c r="D961" i="8"/>
  <c r="E961" i="8" s="1"/>
  <c r="C961" i="8"/>
  <c r="H963" i="12" l="1"/>
  <c r="A964" i="12"/>
  <c r="G963" i="12"/>
  <c r="D963" i="12"/>
  <c r="E963" i="12" s="1"/>
  <c r="F963" i="12"/>
  <c r="C963" i="12"/>
  <c r="A963" i="8"/>
  <c r="G962" i="8"/>
  <c r="H962" i="8"/>
  <c r="F962" i="8"/>
  <c r="D962" i="8"/>
  <c r="E962" i="8" s="1"/>
  <c r="C962" i="8"/>
  <c r="G964" i="12" l="1"/>
  <c r="A965" i="12"/>
  <c r="H964" i="12"/>
  <c r="D964" i="12"/>
  <c r="E964" i="12" s="1"/>
  <c r="C964" i="12"/>
  <c r="F964" i="12"/>
  <c r="A964" i="8"/>
  <c r="G963" i="8"/>
  <c r="H963" i="8"/>
  <c r="F963" i="8"/>
  <c r="D963" i="8"/>
  <c r="E963" i="8" s="1"/>
  <c r="C963" i="8"/>
  <c r="F965" i="12" l="1"/>
  <c r="A966" i="12"/>
  <c r="C965" i="12"/>
  <c r="G965" i="12"/>
  <c r="D965" i="12"/>
  <c r="E965" i="12" s="1"/>
  <c r="H965" i="12"/>
  <c r="A965" i="8"/>
  <c r="G964" i="8"/>
  <c r="F964" i="8"/>
  <c r="D964" i="8"/>
  <c r="E964" i="8" s="1"/>
  <c r="H964" i="8"/>
  <c r="C964" i="8"/>
  <c r="A967" i="12" l="1"/>
  <c r="F966" i="12"/>
  <c r="D966" i="12"/>
  <c r="E966" i="12" s="1"/>
  <c r="C966" i="12"/>
  <c r="H966" i="12"/>
  <c r="G966" i="12"/>
  <c r="A966" i="8"/>
  <c r="H965" i="8"/>
  <c r="G965" i="8"/>
  <c r="D965" i="8"/>
  <c r="E965" i="8" s="1"/>
  <c r="C965" i="8"/>
  <c r="F965" i="8"/>
  <c r="D967" i="12" l="1"/>
  <c r="E967" i="12" s="1"/>
  <c r="A968" i="12"/>
  <c r="F967" i="12"/>
  <c r="G967" i="12"/>
  <c r="C967" i="12"/>
  <c r="H967" i="12"/>
  <c r="A967" i="8"/>
  <c r="G966" i="8"/>
  <c r="H966" i="8"/>
  <c r="C966" i="8"/>
  <c r="D966" i="8"/>
  <c r="E966" i="8" s="1"/>
  <c r="F966" i="8"/>
  <c r="A969" i="12" l="1"/>
  <c r="C968" i="12"/>
  <c r="G968" i="12"/>
  <c r="F968" i="12"/>
  <c r="D968" i="12"/>
  <c r="E968" i="12" s="1"/>
  <c r="H968" i="12"/>
  <c r="A968" i="8"/>
  <c r="G967" i="8"/>
  <c r="F967" i="8"/>
  <c r="H967" i="8"/>
  <c r="D967" i="8"/>
  <c r="E967" i="8" s="1"/>
  <c r="C967" i="8"/>
  <c r="H969" i="12" l="1"/>
  <c r="C969" i="12"/>
  <c r="G969" i="12"/>
  <c r="A970" i="12"/>
  <c r="F969" i="12"/>
  <c r="D969" i="12"/>
  <c r="E969" i="12" s="1"/>
  <c r="A969" i="8"/>
  <c r="F968" i="8"/>
  <c r="H968" i="8"/>
  <c r="G968" i="8"/>
  <c r="D968" i="8"/>
  <c r="E968" i="8" s="1"/>
  <c r="C968" i="8"/>
  <c r="G970" i="12" l="1"/>
  <c r="C970" i="12"/>
  <c r="H970" i="12"/>
  <c r="D970" i="12"/>
  <c r="E970" i="12" s="1"/>
  <c r="A971" i="12"/>
  <c r="F970" i="12"/>
  <c r="A970" i="8"/>
  <c r="H969" i="8"/>
  <c r="G969" i="8"/>
  <c r="F969" i="8"/>
  <c r="D969" i="8"/>
  <c r="E969" i="8" s="1"/>
  <c r="C969" i="8"/>
  <c r="F971" i="12" l="1"/>
  <c r="C971" i="12"/>
  <c r="G971" i="12"/>
  <c r="A972" i="12"/>
  <c r="H971" i="12"/>
  <c r="D971" i="12"/>
  <c r="E971" i="12" s="1"/>
  <c r="A971" i="8"/>
  <c r="G970" i="8"/>
  <c r="H970" i="8"/>
  <c r="F970" i="8"/>
  <c r="D970" i="8"/>
  <c r="E970" i="8" s="1"/>
  <c r="C970" i="8"/>
  <c r="C972" i="12" l="1"/>
  <c r="G972" i="12"/>
  <c r="F972" i="12"/>
  <c r="D972" i="12"/>
  <c r="E972" i="12" s="1"/>
  <c r="A973" i="12"/>
  <c r="H972" i="12"/>
  <c r="A972" i="8"/>
  <c r="G971" i="8"/>
  <c r="H971" i="8"/>
  <c r="F971" i="8"/>
  <c r="D971" i="8"/>
  <c r="E971" i="8" s="1"/>
  <c r="C971" i="8"/>
  <c r="D973" i="12" l="1"/>
  <c r="E973" i="12" s="1"/>
  <c r="C973" i="12"/>
  <c r="H973" i="12"/>
  <c r="G973" i="12"/>
  <c r="F973" i="12"/>
  <c r="A973" i="8"/>
  <c r="G972" i="8"/>
  <c r="H972" i="8"/>
  <c r="F972" i="8"/>
  <c r="C972" i="8"/>
  <c r="D972" i="8"/>
  <c r="E972" i="8" s="1"/>
  <c r="A974" i="8" l="1"/>
  <c r="H973" i="8"/>
  <c r="G973" i="8"/>
  <c r="D973" i="8"/>
  <c r="E973" i="8" s="1"/>
  <c r="C973" i="8"/>
  <c r="F973" i="8"/>
  <c r="A975" i="8" l="1"/>
  <c r="G974" i="8"/>
  <c r="H974" i="8"/>
  <c r="F974" i="8"/>
  <c r="C974" i="8"/>
  <c r="D974" i="8"/>
  <c r="E974" i="8" s="1"/>
  <c r="A976" i="8" l="1"/>
  <c r="G975" i="8"/>
  <c r="H975" i="8"/>
  <c r="F975" i="8"/>
  <c r="D975" i="8"/>
  <c r="E975" i="8" s="1"/>
  <c r="C975" i="8"/>
  <c r="A977" i="8" l="1"/>
  <c r="F976" i="8"/>
  <c r="H976" i="8"/>
  <c r="D976" i="8"/>
  <c r="E976" i="8" s="1"/>
  <c r="G976" i="8"/>
  <c r="C976" i="8"/>
  <c r="A978" i="8" l="1"/>
  <c r="H977" i="8"/>
  <c r="G977" i="8"/>
  <c r="F977" i="8"/>
  <c r="C977" i="8"/>
  <c r="D977" i="8"/>
  <c r="E977" i="8" s="1"/>
  <c r="A979" i="8" l="1"/>
  <c r="G978" i="8"/>
  <c r="H978" i="8"/>
  <c r="F978" i="8"/>
  <c r="D978" i="8"/>
  <c r="E978" i="8" s="1"/>
  <c r="C978" i="8"/>
  <c r="A980" i="8" l="1"/>
  <c r="G979" i="8"/>
  <c r="H979" i="8"/>
  <c r="F979" i="8"/>
  <c r="D979" i="8"/>
  <c r="E979" i="8" s="1"/>
  <c r="C979" i="8"/>
  <c r="A981" i="8" l="1"/>
  <c r="G980" i="8"/>
  <c r="F980" i="8"/>
  <c r="H980" i="8"/>
  <c r="D980" i="8"/>
  <c r="E980" i="8" s="1"/>
  <c r="C980" i="8"/>
  <c r="A982" i="8" l="1"/>
  <c r="H981" i="8"/>
  <c r="F981" i="8"/>
  <c r="G981" i="8"/>
  <c r="D981" i="8"/>
  <c r="E981" i="8" s="1"/>
  <c r="C981" i="8"/>
  <c r="A983" i="8" l="1"/>
  <c r="G982" i="8"/>
  <c r="H982" i="8"/>
  <c r="F982" i="8"/>
  <c r="D982" i="8"/>
  <c r="E982" i="8" s="1"/>
  <c r="C982" i="8"/>
  <c r="A984" i="8" l="1"/>
  <c r="G983" i="8"/>
  <c r="H983" i="8"/>
  <c r="F983" i="8"/>
  <c r="D983" i="8"/>
  <c r="E983" i="8" s="1"/>
  <c r="C983" i="8"/>
  <c r="A985" i="8" l="1"/>
  <c r="F984" i="8"/>
  <c r="H984" i="8"/>
  <c r="G984" i="8"/>
  <c r="D984" i="8"/>
  <c r="E984" i="8" s="1"/>
  <c r="C984" i="8"/>
  <c r="A986" i="8" l="1"/>
  <c r="H985" i="8"/>
  <c r="G985" i="8"/>
  <c r="F985" i="8"/>
  <c r="D985" i="8"/>
  <c r="E985" i="8" s="1"/>
  <c r="C985" i="8"/>
  <c r="A987" i="8" l="1"/>
  <c r="G986" i="8"/>
  <c r="H986" i="8"/>
  <c r="F986" i="8"/>
  <c r="D986" i="8"/>
  <c r="E986" i="8" s="1"/>
  <c r="C986" i="8"/>
  <c r="A988" i="8" l="1"/>
  <c r="G987" i="8"/>
  <c r="H987" i="8"/>
  <c r="F987" i="8"/>
  <c r="D987" i="8"/>
  <c r="E987" i="8" s="1"/>
  <c r="C987" i="8"/>
  <c r="A989" i="8" l="1"/>
  <c r="G988" i="8"/>
  <c r="H988" i="8"/>
  <c r="F988" i="8"/>
  <c r="D988" i="8"/>
  <c r="E988" i="8" s="1"/>
  <c r="C988" i="8"/>
  <c r="A990" i="8" l="1"/>
  <c r="H989" i="8"/>
  <c r="G989" i="8"/>
  <c r="F989" i="8"/>
  <c r="D989" i="8"/>
  <c r="E989" i="8" s="1"/>
  <c r="C989" i="8"/>
  <c r="A991" i="8" l="1"/>
  <c r="G990" i="8"/>
  <c r="H990" i="8"/>
  <c r="C990" i="8"/>
  <c r="F990" i="8"/>
  <c r="D990" i="8"/>
  <c r="E990" i="8" s="1"/>
  <c r="A992" i="8" l="1"/>
  <c r="G991" i="8"/>
  <c r="H991" i="8"/>
  <c r="D991" i="8"/>
  <c r="E991" i="8" s="1"/>
  <c r="F991" i="8"/>
  <c r="C991" i="8"/>
  <c r="A993" i="8" l="1"/>
  <c r="F992" i="8"/>
  <c r="H992" i="8"/>
  <c r="D992" i="8"/>
  <c r="E992" i="8" s="1"/>
  <c r="G992" i="8"/>
  <c r="C992" i="8"/>
  <c r="A994" i="8" l="1"/>
  <c r="H993" i="8"/>
  <c r="G993" i="8"/>
  <c r="F993" i="8"/>
  <c r="D993" i="8"/>
  <c r="E993" i="8" s="1"/>
  <c r="C993" i="8"/>
  <c r="A995" i="8" l="1"/>
  <c r="G994" i="8"/>
  <c r="H994" i="8"/>
  <c r="F994" i="8"/>
  <c r="D994" i="8"/>
  <c r="E994" i="8" s="1"/>
  <c r="C994" i="8"/>
  <c r="A996" i="8" l="1"/>
  <c r="G995" i="8"/>
  <c r="H995" i="8"/>
  <c r="F995" i="8"/>
  <c r="C995" i="8"/>
  <c r="D995" i="8"/>
  <c r="E995" i="8" s="1"/>
  <c r="A997" i="8" l="1"/>
  <c r="G996" i="8"/>
  <c r="F996" i="8"/>
  <c r="H996" i="8"/>
  <c r="D996" i="8"/>
  <c r="E996" i="8" s="1"/>
  <c r="C996" i="8"/>
  <c r="A998" i="8" l="1"/>
  <c r="H997" i="8"/>
  <c r="F997" i="8"/>
  <c r="G997" i="8"/>
  <c r="D997" i="8"/>
  <c r="E997" i="8" s="1"/>
  <c r="C997" i="8"/>
  <c r="A999" i="8" l="1"/>
  <c r="G998" i="8"/>
  <c r="H998" i="8"/>
  <c r="F998" i="8"/>
  <c r="C998" i="8"/>
  <c r="D998" i="8"/>
  <c r="E998" i="8" s="1"/>
  <c r="A1000" i="8" l="1"/>
  <c r="G999" i="8"/>
  <c r="H999" i="8"/>
  <c r="F999" i="8"/>
  <c r="D999" i="8"/>
  <c r="E999" i="8" s="1"/>
  <c r="C999" i="8"/>
  <c r="A1001" i="8" l="1"/>
  <c r="F1000" i="8"/>
  <c r="H1000" i="8"/>
  <c r="G1000" i="8"/>
  <c r="D1000" i="8"/>
  <c r="E1000" i="8" s="1"/>
  <c r="C1000" i="8"/>
  <c r="A1002" i="8" l="1"/>
  <c r="H1001" i="8"/>
  <c r="G1001" i="8"/>
  <c r="F1001" i="8"/>
  <c r="D1001" i="8"/>
  <c r="E1001" i="8" s="1"/>
  <c r="C1001" i="8"/>
  <c r="A1003" i="8" l="1"/>
  <c r="G1002" i="8"/>
  <c r="H1002" i="8"/>
  <c r="D1002" i="8"/>
  <c r="E1002" i="8" s="1"/>
  <c r="C1002" i="8"/>
  <c r="F1002" i="8"/>
  <c r="A1004" i="8" l="1"/>
  <c r="G1003" i="8"/>
  <c r="H1003" i="8"/>
  <c r="D1003" i="8"/>
  <c r="E1003" i="8" s="1"/>
  <c r="F1003" i="8"/>
  <c r="C1003" i="8"/>
  <c r="A1005" i="8" l="1"/>
  <c r="G1004" i="8"/>
  <c r="H1004" i="8"/>
  <c r="F1004" i="8"/>
  <c r="D1004" i="8"/>
  <c r="E1004" i="8" s="1"/>
  <c r="C1004" i="8"/>
  <c r="A1006" i="8" l="1"/>
  <c r="H1005" i="8"/>
  <c r="F1005" i="8"/>
  <c r="G1005" i="8"/>
  <c r="D1005" i="8"/>
  <c r="E1005" i="8" s="1"/>
  <c r="C1005" i="8"/>
  <c r="A1007" i="8" l="1"/>
  <c r="G1006" i="8"/>
  <c r="H1006" i="8"/>
  <c r="F1006" i="8"/>
  <c r="C1006" i="8"/>
  <c r="D1006" i="8"/>
  <c r="E1006" i="8" s="1"/>
  <c r="A1008" i="8" l="1"/>
  <c r="G1007" i="8"/>
  <c r="H1007" i="8"/>
  <c r="F1007" i="8"/>
  <c r="D1007" i="8"/>
  <c r="E1007" i="8" s="1"/>
  <c r="C1007" i="8"/>
  <c r="A1009" i="8" l="1"/>
  <c r="F1008" i="8"/>
  <c r="H1008" i="8"/>
  <c r="D1008" i="8"/>
  <c r="E1008" i="8" s="1"/>
  <c r="G1008" i="8"/>
  <c r="C1008" i="8"/>
  <c r="A1010" i="8" l="1"/>
  <c r="H1009" i="8"/>
  <c r="G1009" i="8"/>
  <c r="F1009" i="8"/>
  <c r="C1009" i="8"/>
  <c r="D1009" i="8"/>
  <c r="E1009" i="8" s="1"/>
  <c r="A1011" i="8" l="1"/>
  <c r="G1010" i="8"/>
  <c r="H1010" i="8"/>
  <c r="D1010" i="8"/>
  <c r="E1010" i="8" s="1"/>
  <c r="C1010" i="8"/>
  <c r="F1010" i="8"/>
  <c r="A1012" i="8" l="1"/>
  <c r="G1011" i="8"/>
  <c r="H1011" i="8"/>
  <c r="F1011" i="8"/>
  <c r="D1011" i="8"/>
  <c r="E1011" i="8" s="1"/>
  <c r="C1011" i="8"/>
  <c r="A1013" i="8" l="1"/>
  <c r="G1012" i="8"/>
  <c r="F1012" i="8"/>
  <c r="H1012" i="8"/>
  <c r="D1012" i="8"/>
  <c r="E1012" i="8" s="1"/>
  <c r="C1012" i="8"/>
  <c r="A1014" i="8" l="1"/>
  <c r="H1013" i="8"/>
  <c r="F1013" i="8"/>
  <c r="G1013" i="8"/>
  <c r="C1013" i="8"/>
  <c r="D1013" i="8"/>
  <c r="E1013" i="8" s="1"/>
  <c r="A1015" i="8" l="1"/>
  <c r="G1014" i="8"/>
  <c r="H1014" i="8"/>
  <c r="F1014" i="8"/>
  <c r="C1014" i="8"/>
  <c r="D1014" i="8"/>
  <c r="E1014" i="8" s="1"/>
  <c r="A1016" i="8" l="1"/>
  <c r="G1015" i="8"/>
  <c r="F1015" i="8"/>
  <c r="H1015" i="8"/>
  <c r="D1015" i="8"/>
  <c r="E1015" i="8" s="1"/>
  <c r="C1015" i="8"/>
  <c r="A1017" i="8" l="1"/>
  <c r="F1016" i="8"/>
  <c r="H1016" i="8"/>
  <c r="G1016" i="8"/>
  <c r="D1016" i="8"/>
  <c r="E1016" i="8" s="1"/>
  <c r="C1016" i="8"/>
  <c r="A1018" i="8" l="1"/>
  <c r="H1017" i="8"/>
  <c r="G1017" i="8"/>
  <c r="F1017" i="8"/>
  <c r="D1017" i="8"/>
  <c r="E1017" i="8" s="1"/>
  <c r="C1017" i="8"/>
  <c r="A1019" i="8" l="1"/>
  <c r="G1018" i="8"/>
  <c r="H1018" i="8"/>
  <c r="F1018" i="8"/>
  <c r="D1018" i="8"/>
  <c r="E1018" i="8" s="1"/>
  <c r="C1018" i="8"/>
  <c r="A1020" i="8" l="1"/>
  <c r="G1019" i="8"/>
  <c r="H1019" i="8"/>
  <c r="F1019" i="8"/>
  <c r="D1019" i="8"/>
  <c r="E1019" i="8" s="1"/>
  <c r="C1019" i="8"/>
  <c r="A1021" i="8" l="1"/>
  <c r="G1020" i="8"/>
  <c r="H1020" i="8"/>
  <c r="F1020" i="8"/>
  <c r="D1020" i="8"/>
  <c r="E1020" i="8" s="1"/>
  <c r="C1020" i="8"/>
  <c r="A1022" i="8" l="1"/>
  <c r="H1021" i="8"/>
  <c r="G1021" i="8"/>
  <c r="F1021" i="8"/>
  <c r="D1021" i="8"/>
  <c r="E1021" i="8" s="1"/>
  <c r="C1021" i="8"/>
  <c r="A1023" i="8" l="1"/>
  <c r="G1022" i="8"/>
  <c r="H1022" i="8"/>
  <c r="F1022" i="8"/>
  <c r="C1022" i="8"/>
  <c r="D1022" i="8"/>
  <c r="E1022" i="8" s="1"/>
  <c r="A1024" i="8" l="1"/>
  <c r="G1023" i="8"/>
  <c r="F1023" i="8"/>
  <c r="H1023" i="8"/>
  <c r="D1023" i="8"/>
  <c r="E1023" i="8" s="1"/>
  <c r="C1023" i="8"/>
  <c r="A1025" i="8" l="1"/>
  <c r="F1024" i="8"/>
  <c r="H1024" i="8"/>
  <c r="D1024" i="8"/>
  <c r="E1024" i="8" s="1"/>
  <c r="G1024" i="8"/>
  <c r="C1024" i="8"/>
  <c r="A1026" i="8" l="1"/>
  <c r="H1025" i="8"/>
  <c r="G1025" i="8"/>
  <c r="F1025" i="8"/>
  <c r="D1025" i="8"/>
  <c r="E1025" i="8" s="1"/>
  <c r="C1025" i="8"/>
  <c r="A1027" i="8" l="1"/>
  <c r="G1026" i="8"/>
  <c r="H1026" i="8"/>
  <c r="F1026" i="8"/>
  <c r="D1026" i="8"/>
  <c r="E1026" i="8" s="1"/>
  <c r="C1026" i="8"/>
  <c r="A1028" i="8" l="1"/>
  <c r="G1027" i="8"/>
  <c r="H1027" i="8"/>
  <c r="F1027" i="8"/>
  <c r="C1027" i="8"/>
  <c r="D1027" i="8"/>
  <c r="E1027" i="8" s="1"/>
  <c r="A1029" i="8" l="1"/>
  <c r="G1028" i="8"/>
  <c r="D1028" i="8"/>
  <c r="E1028" i="8" s="1"/>
  <c r="C1028" i="8"/>
  <c r="H1028" i="8"/>
  <c r="F1028" i="8"/>
  <c r="A1030" i="8" l="1"/>
  <c r="H1029" i="8"/>
  <c r="G1029" i="8"/>
  <c r="F1029" i="8"/>
  <c r="D1029" i="8"/>
  <c r="E1029" i="8" s="1"/>
  <c r="C1029" i="8"/>
  <c r="A1031" i="8" l="1"/>
  <c r="G1030" i="8"/>
  <c r="H1030" i="8"/>
  <c r="F1030" i="8"/>
  <c r="C1030" i="8"/>
  <c r="D1030" i="8"/>
  <c r="E1030" i="8" s="1"/>
  <c r="A1032" i="8" l="1"/>
  <c r="G1031" i="8"/>
  <c r="F1031" i="8"/>
  <c r="H1031" i="8"/>
  <c r="C1031" i="8"/>
  <c r="D1031" i="8"/>
  <c r="E1031" i="8" s="1"/>
  <c r="A1033" i="8" l="1"/>
  <c r="F1032" i="8"/>
  <c r="H1032" i="8"/>
  <c r="G1032" i="8"/>
  <c r="D1032" i="8"/>
  <c r="E1032" i="8" s="1"/>
  <c r="C1032" i="8"/>
  <c r="A1034" i="8" l="1"/>
  <c r="H1033" i="8"/>
  <c r="G1033" i="8"/>
  <c r="F1033" i="8"/>
  <c r="D1033" i="8"/>
  <c r="E1033" i="8" s="1"/>
  <c r="C1033" i="8"/>
  <c r="A1035" i="8" l="1"/>
  <c r="G1034" i="8"/>
  <c r="H1034" i="8"/>
  <c r="F1034" i="8"/>
  <c r="D1034" i="8"/>
  <c r="E1034" i="8" s="1"/>
  <c r="C1034" i="8"/>
  <c r="A1036" i="8" l="1"/>
  <c r="G1035" i="8"/>
  <c r="H1035" i="8"/>
  <c r="F1035" i="8"/>
  <c r="D1035" i="8"/>
  <c r="E1035" i="8" s="1"/>
  <c r="C1035" i="8"/>
  <c r="A1037" i="8" l="1"/>
  <c r="G1036" i="8"/>
  <c r="H1036" i="8"/>
  <c r="F1036" i="8"/>
  <c r="D1036" i="8"/>
  <c r="E1036" i="8" s="1"/>
  <c r="C1036" i="8"/>
  <c r="A1038" i="8" l="1"/>
  <c r="H1037" i="8"/>
  <c r="G1037" i="8"/>
  <c r="F1037" i="8"/>
  <c r="D1037" i="8"/>
  <c r="E1037" i="8" s="1"/>
  <c r="C1037" i="8"/>
  <c r="A1039" i="8" l="1"/>
  <c r="G1038" i="8"/>
  <c r="H1038" i="8"/>
  <c r="C1038" i="8"/>
  <c r="D1038" i="8"/>
  <c r="E1038" i="8" s="1"/>
  <c r="F1038" i="8"/>
  <c r="A1040" i="8" l="1"/>
  <c r="G1039" i="8"/>
  <c r="H1039" i="8"/>
  <c r="D1039" i="8"/>
  <c r="E1039" i="8" s="1"/>
  <c r="C1039" i="8"/>
  <c r="F1039" i="8"/>
  <c r="A1041" i="8" l="1"/>
  <c r="F1040" i="8"/>
  <c r="H1040" i="8"/>
  <c r="D1040" i="8"/>
  <c r="E1040" i="8" s="1"/>
  <c r="G1040" i="8"/>
  <c r="C1040" i="8"/>
  <c r="A1042" i="8" l="1"/>
  <c r="H1041" i="8"/>
  <c r="G1041" i="8"/>
  <c r="F1041" i="8"/>
  <c r="C1041" i="8"/>
  <c r="D1041" i="8"/>
  <c r="E1041" i="8" s="1"/>
  <c r="A1043" i="8" l="1"/>
  <c r="G1042" i="8"/>
  <c r="H1042" i="8"/>
  <c r="F1042" i="8"/>
  <c r="D1042" i="8"/>
  <c r="E1042" i="8" s="1"/>
  <c r="C1042" i="8"/>
  <c r="A1044" i="8" l="1"/>
  <c r="G1043" i="8"/>
  <c r="H1043" i="8"/>
  <c r="F1043" i="8"/>
  <c r="D1043" i="8"/>
  <c r="E1043" i="8" s="1"/>
  <c r="C1043" i="8"/>
  <c r="A1045" i="8" l="1"/>
  <c r="G1044" i="8"/>
  <c r="F1044" i="8"/>
  <c r="H1044" i="8"/>
  <c r="D1044" i="8"/>
  <c r="E1044" i="8" s="1"/>
  <c r="C1044" i="8"/>
  <c r="A1046" i="8" l="1"/>
  <c r="C1045" i="8"/>
  <c r="A1047" i="8" l="1"/>
  <c r="A1048" i="8" s="1"/>
  <c r="A1049" i="8" s="1"/>
  <c r="A1050" i="8" s="1"/>
  <c r="C1046" i="8"/>
  <c r="B2" i="7" l="1"/>
  <c r="B22" i="8"/>
  <c r="AG20" i="8" s="1"/>
  <c r="M22" i="8"/>
  <c r="AJ20" i="8" s="1"/>
  <c r="C22" i="8" l="1"/>
  <c r="H8" i="7"/>
  <c r="G8" i="7"/>
  <c r="G22" i="8"/>
  <c r="B3" i="7" l="1"/>
  <c r="N23" i="8"/>
  <c r="N24" i="8"/>
  <c r="D23" i="8"/>
  <c r="N25" i="8"/>
  <c r="N26" i="8"/>
  <c r="D24" i="8"/>
  <c r="N27" i="8"/>
  <c r="N28" i="8"/>
  <c r="D25" i="8"/>
  <c r="N29" i="8"/>
  <c r="N30" i="8"/>
  <c r="D26" i="8"/>
  <c r="N31" i="8"/>
  <c r="D27" i="8"/>
  <c r="N32" i="8"/>
  <c r="D28" i="8"/>
  <c r="N34" i="8"/>
  <c r="N35" i="8"/>
  <c r="D29" i="8"/>
  <c r="N36" i="8"/>
  <c r="N37" i="8"/>
  <c r="D30" i="8"/>
  <c r="N38" i="8"/>
  <c r="N39" i="8"/>
  <c r="D31" i="8"/>
  <c r="N22" i="8"/>
  <c r="Q22" i="8" s="1"/>
  <c r="T22" i="8" s="1"/>
  <c r="O22" i="8"/>
  <c r="D32" i="8"/>
  <c r="D33" i="8"/>
  <c r="N33" i="8"/>
  <c r="D34" i="8"/>
  <c r="D35" i="8"/>
  <c r="D36" i="8"/>
  <c r="D37" i="8"/>
  <c r="D38" i="8"/>
  <c r="D39" i="8"/>
  <c r="D22" i="8"/>
  <c r="E22" i="8"/>
  <c r="H22" i="8" s="1"/>
  <c r="F22" i="8" l="1"/>
  <c r="P23" i="8"/>
  <c r="H13" i="7" s="1"/>
  <c r="R22" i="8"/>
  <c r="H7" i="7"/>
  <c r="H9" i="7"/>
  <c r="G9" i="7"/>
  <c r="G7" i="7"/>
  <c r="AG21" i="8" l="1"/>
  <c r="B23" i="8"/>
  <c r="M23" i="8"/>
  <c r="O23" i="8" s="1"/>
  <c r="AJ21" i="8"/>
  <c r="S23" i="8"/>
  <c r="Q23" i="8"/>
  <c r="T23" i="8" l="1"/>
  <c r="H14" i="7"/>
  <c r="C23" i="8"/>
  <c r="G13" i="7" s="1"/>
  <c r="R23" i="8"/>
  <c r="P24" i="8"/>
  <c r="Q24" i="8" s="1"/>
  <c r="T24" i="8" s="1"/>
  <c r="E23" i="8" l="1"/>
  <c r="G14" i="7" s="1"/>
  <c r="G23" i="8"/>
  <c r="M24" i="8"/>
  <c r="O24" i="8" s="1"/>
  <c r="AJ22" i="8"/>
  <c r="S24" i="8"/>
  <c r="H23" i="8" l="1"/>
  <c r="F23" i="8"/>
  <c r="R24" i="8"/>
  <c r="P25" i="8"/>
  <c r="Q25" i="8" s="1"/>
  <c r="T25" i="8" s="1"/>
  <c r="AG22" i="8" l="1"/>
  <c r="B24" i="8"/>
  <c r="AJ23" i="8"/>
  <c r="M25" i="8"/>
  <c r="O25" i="8" s="1"/>
  <c r="S25" i="8"/>
  <c r="C24" i="8" l="1"/>
  <c r="R25" i="8"/>
  <c r="P26" i="8"/>
  <c r="Q26" i="8" s="1"/>
  <c r="T26" i="8" s="1"/>
  <c r="E24" i="8" l="1"/>
  <c r="G24" i="8"/>
  <c r="AJ24" i="8"/>
  <c r="M26" i="8"/>
  <c r="O26" i="8" s="1"/>
  <c r="S26" i="8"/>
  <c r="H24" i="8" l="1"/>
  <c r="F24" i="8"/>
  <c r="R26" i="8"/>
  <c r="P27" i="8"/>
  <c r="Q27" i="8" s="1"/>
  <c r="T27" i="8" s="1"/>
  <c r="AG23" i="8" l="1"/>
  <c r="B25" i="8"/>
  <c r="AJ25" i="8"/>
  <c r="M27" i="8"/>
  <c r="O27" i="8" s="1"/>
  <c r="S27" i="8"/>
  <c r="C25" i="8" l="1"/>
  <c r="P28" i="8"/>
  <c r="Q28" i="8" s="1"/>
  <c r="T28" i="8" s="1"/>
  <c r="R27" i="8"/>
  <c r="E25" i="8" l="1"/>
  <c r="G25" i="8"/>
  <c r="AJ26" i="8"/>
  <c r="M28" i="8"/>
  <c r="O28" i="8" s="1"/>
  <c r="S28" i="8"/>
  <c r="H25" i="8" l="1"/>
  <c r="F25" i="8"/>
  <c r="R28" i="8"/>
  <c r="P29" i="8"/>
  <c r="Q29" i="8" s="1"/>
  <c r="T29" i="8" s="1"/>
  <c r="B26" i="8" l="1"/>
  <c r="AG24" i="8"/>
  <c r="AJ27" i="8"/>
  <c r="M29" i="8"/>
  <c r="O29" i="8" s="1"/>
  <c r="S29" i="8"/>
  <c r="C26" i="8" l="1"/>
  <c r="P30" i="8"/>
  <c r="Q30" i="8" s="1"/>
  <c r="T30" i="8" s="1"/>
  <c r="R29" i="8"/>
  <c r="E26" i="8" l="1"/>
  <c r="G26" i="8"/>
  <c r="M30" i="8"/>
  <c r="O30" i="8" s="1"/>
  <c r="AJ28" i="8"/>
  <c r="S30" i="8"/>
  <c r="H26" i="8" l="1"/>
  <c r="F26" i="8"/>
  <c r="P31" i="8"/>
  <c r="Q31" i="8" s="1"/>
  <c r="T31" i="8" s="1"/>
  <c r="R30" i="8"/>
  <c r="B27" i="8" l="1"/>
  <c r="AG25" i="8"/>
  <c r="M31" i="8"/>
  <c r="O31" i="8" s="1"/>
  <c r="AJ29" i="8"/>
  <c r="S31" i="8"/>
  <c r="C27" i="8" l="1"/>
  <c r="R31" i="8"/>
  <c r="P32" i="8"/>
  <c r="Q32" i="8" s="1"/>
  <c r="T32" i="8" s="1"/>
  <c r="E27" i="8" l="1"/>
  <c r="G27" i="8"/>
  <c r="M32" i="8"/>
  <c r="O32" i="8" s="1"/>
  <c r="AJ30" i="8"/>
  <c r="S32" i="8"/>
  <c r="H27" i="8" l="1"/>
  <c r="F27" i="8"/>
  <c r="P33" i="8"/>
  <c r="R32" i="8"/>
  <c r="AG26" i="8" l="1"/>
  <c r="B28" i="8"/>
  <c r="AJ31" i="8"/>
  <c r="M33" i="8"/>
  <c r="O33" i="8" s="1"/>
  <c r="Q33" i="8"/>
  <c r="S33" i="8"/>
  <c r="C28" i="8" l="1"/>
  <c r="I8" i="8"/>
  <c r="T33" i="8"/>
  <c r="R33" i="8"/>
  <c r="P34" i="8"/>
  <c r="Q34" i="8" s="1"/>
  <c r="T34" i="8" s="1"/>
  <c r="E28" i="8" l="1"/>
  <c r="G28" i="8"/>
  <c r="M34" i="8"/>
  <c r="O34" i="8" s="1"/>
  <c r="AJ32" i="8"/>
  <c r="S34" i="8"/>
  <c r="H28" i="8" l="1"/>
  <c r="F28" i="8"/>
  <c r="R34" i="8"/>
  <c r="P35" i="8"/>
  <c r="Q35" i="8" s="1"/>
  <c r="T35" i="8" s="1"/>
  <c r="B29" i="8" l="1"/>
  <c r="AG27" i="8"/>
  <c r="AJ33" i="8"/>
  <c r="M35" i="8"/>
  <c r="O35" i="8" s="1"/>
  <c r="S35" i="8"/>
  <c r="C29" i="8" l="1"/>
  <c r="P36" i="8"/>
  <c r="Q36" i="8" s="1"/>
  <c r="T36" i="8" s="1"/>
  <c r="R35" i="8"/>
  <c r="E29" i="8" l="1"/>
  <c r="G29" i="8"/>
  <c r="AJ34" i="8"/>
  <c r="M36" i="8"/>
  <c r="O36" i="8" s="1"/>
  <c r="S36" i="8"/>
  <c r="H29" i="8" l="1"/>
  <c r="F29" i="8"/>
  <c r="P37" i="8"/>
  <c r="Q37" i="8" s="1"/>
  <c r="T37" i="8" s="1"/>
  <c r="R36" i="8"/>
  <c r="S37" i="8"/>
  <c r="B30" i="8" l="1"/>
  <c r="AG28" i="8"/>
  <c r="M37" i="8"/>
  <c r="O37" i="8" s="1"/>
  <c r="AJ35" i="8"/>
  <c r="C30" i="8" l="1"/>
  <c r="P38" i="8"/>
  <c r="R37" i="8"/>
  <c r="E30" i="8" l="1"/>
  <c r="G30" i="8"/>
  <c r="AJ36" i="8"/>
  <c r="M38" i="8"/>
  <c r="O38" i="8" s="1"/>
  <c r="Q38" i="8"/>
  <c r="T38" i="8" s="1"/>
  <c r="S38" i="8"/>
  <c r="H30" i="8" l="1"/>
  <c r="F30" i="8"/>
  <c r="P39" i="8"/>
  <c r="Q39" i="8" s="1"/>
  <c r="T39" i="8" s="1"/>
  <c r="R38" i="8"/>
  <c r="AG29" i="8" l="1"/>
  <c r="B31" i="8"/>
  <c r="M39" i="8"/>
  <c r="O39" i="8" s="1"/>
  <c r="P40" i="8" s="1"/>
  <c r="Q40" i="8" s="1"/>
  <c r="T40" i="8" s="1"/>
  <c r="AJ37" i="8"/>
  <c r="S39" i="8"/>
  <c r="S40" i="8" s="1"/>
  <c r="C31" i="8" l="1"/>
  <c r="R39" i="8"/>
  <c r="AJ38" i="8" l="1"/>
  <c r="M40" i="8"/>
  <c r="O40" i="8" s="1"/>
  <c r="E31" i="8"/>
  <c r="G31" i="8"/>
  <c r="R40" i="8" l="1"/>
  <c r="P41" i="8"/>
  <c r="H31" i="8"/>
  <c r="F31" i="8"/>
  <c r="Q41" i="8" l="1"/>
  <c r="T41" i="8" s="1"/>
  <c r="S41" i="8"/>
  <c r="AJ39" i="8"/>
  <c r="M41" i="8"/>
  <c r="O41" i="8" s="1"/>
  <c r="AG30" i="8"/>
  <c r="B32" i="8"/>
  <c r="R41" i="8" l="1"/>
  <c r="P42" i="8"/>
  <c r="Q42" i="8" s="1"/>
  <c r="T42" i="8" s="1"/>
  <c r="S42" i="8"/>
  <c r="C32" i="8"/>
  <c r="M42" i="8" l="1"/>
  <c r="O42" i="8" s="1"/>
  <c r="AJ40" i="8"/>
  <c r="E32" i="8"/>
  <c r="G32" i="8"/>
  <c r="R42" i="8" l="1"/>
  <c r="P43" i="8"/>
  <c r="H32" i="8"/>
  <c r="F32" i="8"/>
  <c r="Q43" i="8" l="1"/>
  <c r="T43" i="8" s="1"/>
  <c r="S43" i="8"/>
  <c r="M43" i="8"/>
  <c r="O43" i="8" s="1"/>
  <c r="AJ41" i="8"/>
  <c r="AG31" i="8"/>
  <c r="B33" i="8"/>
  <c r="R43" i="8" l="1"/>
  <c r="P44" i="8"/>
  <c r="Q44" i="8" s="1"/>
  <c r="T44" i="8" s="1"/>
  <c r="S44" i="8"/>
  <c r="C33" i="8"/>
  <c r="G11" i="7" s="1"/>
  <c r="AJ42" i="8" l="1"/>
  <c r="M44" i="8"/>
  <c r="O44" i="8" s="1"/>
  <c r="E33" i="8"/>
  <c r="G33" i="8"/>
  <c r="P45" i="8" l="1"/>
  <c r="R44" i="8"/>
  <c r="H33" i="8"/>
  <c r="F33" i="8"/>
  <c r="AJ43" i="8" l="1"/>
  <c r="M45" i="8"/>
  <c r="O45" i="8" s="1"/>
  <c r="Q45" i="8"/>
  <c r="T45" i="8" s="1"/>
  <c r="S45" i="8"/>
  <c r="AG32" i="8"/>
  <c r="B34" i="8"/>
  <c r="R45" i="8" l="1"/>
  <c r="P46" i="8"/>
  <c r="Q46" i="8" s="1"/>
  <c r="T46" i="8" s="1"/>
  <c r="C34" i="8"/>
  <c r="M46" i="8" l="1"/>
  <c r="O46" i="8" s="1"/>
  <c r="AJ44" i="8"/>
  <c r="S46" i="8"/>
  <c r="E34" i="8"/>
  <c r="G34" i="8"/>
  <c r="R46" i="8" l="1"/>
  <c r="P47" i="8"/>
  <c r="Q47" i="8" s="1"/>
  <c r="T47" i="8" s="1"/>
  <c r="H34" i="8"/>
  <c r="F34" i="8"/>
  <c r="M47" i="8" l="1"/>
  <c r="O47" i="8" s="1"/>
  <c r="AJ45" i="8"/>
  <c r="S47" i="8"/>
  <c r="AG33" i="8"/>
  <c r="B35" i="8"/>
  <c r="P48" i="8" l="1"/>
  <c r="Q48" i="8" s="1"/>
  <c r="T48" i="8" s="1"/>
  <c r="R47" i="8"/>
  <c r="C35" i="8"/>
  <c r="AJ46" i="8" l="1"/>
  <c r="M48" i="8"/>
  <c r="O48" i="8" s="1"/>
  <c r="S48" i="8"/>
  <c r="E35" i="8"/>
  <c r="G35" i="8"/>
  <c r="P49" i="8" l="1"/>
  <c r="Q49" i="8" s="1"/>
  <c r="T49" i="8" s="1"/>
  <c r="R48" i="8"/>
  <c r="H35" i="8"/>
  <c r="F35" i="8"/>
  <c r="M49" i="8" l="1"/>
  <c r="O49" i="8" s="1"/>
  <c r="AJ47" i="8"/>
  <c r="S49" i="8"/>
  <c r="B36" i="8"/>
  <c r="AG34" i="8"/>
  <c r="P50" i="8" l="1"/>
  <c r="Q50" i="8" s="1"/>
  <c r="T50" i="8" s="1"/>
  <c r="R49" i="8"/>
  <c r="C36" i="8"/>
  <c r="M50" i="8" l="1"/>
  <c r="O50" i="8" s="1"/>
  <c r="AJ48" i="8"/>
  <c r="S50" i="8"/>
  <c r="E36" i="8"/>
  <c r="G36" i="8"/>
  <c r="R50" i="8" l="1"/>
  <c r="P51" i="8"/>
  <c r="Q51" i="8" s="1"/>
  <c r="T51" i="8" s="1"/>
  <c r="H36" i="8"/>
  <c r="F36" i="8"/>
  <c r="M51" i="8" l="1"/>
  <c r="O51" i="8" s="1"/>
  <c r="AJ49" i="8"/>
  <c r="S51" i="8"/>
  <c r="B37" i="8"/>
  <c r="AG35" i="8"/>
  <c r="R51" i="8" l="1"/>
  <c r="P52" i="8"/>
  <c r="Q52" i="8" s="1"/>
  <c r="T52" i="8" s="1"/>
  <c r="C37" i="8"/>
  <c r="M52" i="8" l="1"/>
  <c r="O52" i="8" s="1"/>
  <c r="AJ50" i="8"/>
  <c r="S52" i="8"/>
  <c r="E37" i="8"/>
  <c r="G37" i="8"/>
  <c r="R52" i="8" l="1"/>
  <c r="M53" i="8" s="1"/>
  <c r="O53" i="8" s="1"/>
  <c r="P53" i="8"/>
  <c r="Q53" i="8" s="1"/>
  <c r="T53" i="8" s="1"/>
  <c r="H37" i="8"/>
  <c r="F37" i="8"/>
  <c r="R53" i="8" l="1"/>
  <c r="M54" i="8" s="1"/>
  <c r="O54" i="8" s="1"/>
  <c r="P54" i="8"/>
  <c r="Q54" i="8" s="1"/>
  <c r="T54" i="8" s="1"/>
  <c r="S53" i="8"/>
  <c r="S54" i="8" s="1"/>
  <c r="B38" i="8"/>
  <c r="AG36" i="8"/>
  <c r="R54" i="8" l="1"/>
  <c r="M55" i="8" s="1"/>
  <c r="O55" i="8" s="1"/>
  <c r="P55" i="8"/>
  <c r="Q55" i="8" s="1"/>
  <c r="T55" i="8" s="1"/>
  <c r="C38" i="8"/>
  <c r="R55" i="8" l="1"/>
  <c r="M56" i="8" s="1"/>
  <c r="O56" i="8" s="1"/>
  <c r="P56" i="8"/>
  <c r="Q56" i="8" s="1"/>
  <c r="T56" i="8" s="1"/>
  <c r="S55" i="8"/>
  <c r="S56" i="8" s="1"/>
  <c r="E38" i="8"/>
  <c r="G38" i="8"/>
  <c r="R56" i="8" l="1"/>
  <c r="M57" i="8" s="1"/>
  <c r="O57" i="8" s="1"/>
  <c r="P57" i="8"/>
  <c r="Q57" i="8" s="1"/>
  <c r="T57" i="8" s="1"/>
  <c r="H38" i="8"/>
  <c r="F38" i="8"/>
  <c r="P58" i="8" l="1"/>
  <c r="Q58" i="8" s="1"/>
  <c r="T58" i="8" s="1"/>
  <c r="R57" i="8"/>
  <c r="M58" i="8" s="1"/>
  <c r="O58" i="8" s="1"/>
  <c r="S57" i="8"/>
  <c r="AG37" i="8"/>
  <c r="B39" i="8"/>
  <c r="S58" i="8" l="1"/>
  <c r="R58" i="8"/>
  <c r="M59" i="8" s="1"/>
  <c r="O59" i="8" s="1"/>
  <c r="P59" i="8"/>
  <c r="Q59" i="8" s="1"/>
  <c r="T59" i="8" s="1"/>
  <c r="C39" i="8"/>
  <c r="P60" i="8" l="1"/>
  <c r="Q60" i="8" s="1"/>
  <c r="T60" i="8" s="1"/>
  <c r="R59" i="8"/>
  <c r="M60" i="8" s="1"/>
  <c r="O60" i="8" s="1"/>
  <c r="S59" i="8"/>
  <c r="E39" i="8"/>
  <c r="G39" i="8"/>
  <c r="S60" i="8" l="1"/>
  <c r="R60" i="8"/>
  <c r="M61" i="8" s="1"/>
  <c r="O61" i="8" s="1"/>
  <c r="P61" i="8"/>
  <c r="Q61" i="8" s="1"/>
  <c r="T61" i="8" s="1"/>
  <c r="H39" i="8"/>
  <c r="F39" i="8"/>
  <c r="AG38" i="8" l="1"/>
  <c r="B40" i="8"/>
  <c r="R61" i="8"/>
  <c r="M62" i="8" s="1"/>
  <c r="O62" i="8" s="1"/>
  <c r="P62" i="8"/>
  <c r="Q62" i="8" s="1"/>
  <c r="T62" i="8" s="1"/>
  <c r="S61" i="8"/>
  <c r="S62" i="8" l="1"/>
  <c r="R62" i="8"/>
  <c r="M63" i="8" s="1"/>
  <c r="O63" i="8" s="1"/>
  <c r="P63" i="8"/>
  <c r="Q63" i="8" s="1"/>
  <c r="T63" i="8" s="1"/>
  <c r="C40" i="8"/>
  <c r="E40" i="8" l="1"/>
  <c r="G40" i="8"/>
  <c r="R63" i="8"/>
  <c r="M64" i="8" s="1"/>
  <c r="O64" i="8" s="1"/>
  <c r="P64" i="8"/>
  <c r="Q64" i="8" s="1"/>
  <c r="T64" i="8" s="1"/>
  <c r="S63" i="8"/>
  <c r="S64" i="8" s="1"/>
  <c r="R64" i="8" l="1"/>
  <c r="M65" i="8" s="1"/>
  <c r="O65" i="8" s="1"/>
  <c r="P65" i="8"/>
  <c r="Q65" i="8" s="1"/>
  <c r="T65" i="8" s="1"/>
  <c r="H40" i="8"/>
  <c r="F40" i="8"/>
  <c r="B41" i="8" l="1"/>
  <c r="AG39" i="8"/>
  <c r="R65" i="8"/>
  <c r="M66" i="8" s="1"/>
  <c r="O66" i="8" s="1"/>
  <c r="P66" i="8"/>
  <c r="Q66" i="8" s="1"/>
  <c r="T66" i="8" s="1"/>
  <c r="S65" i="8"/>
  <c r="S66" i="8" s="1"/>
  <c r="R66" i="8" l="1"/>
  <c r="M67" i="8" s="1"/>
  <c r="O67" i="8" s="1"/>
  <c r="P67" i="8"/>
  <c r="Q67" i="8" s="1"/>
  <c r="T67" i="8" s="1"/>
  <c r="C41" i="8"/>
  <c r="E41" i="8" l="1"/>
  <c r="G41" i="8"/>
  <c r="R67" i="8"/>
  <c r="M68" i="8" s="1"/>
  <c r="O68" i="8" s="1"/>
  <c r="P68" i="8"/>
  <c r="Q68" i="8" s="1"/>
  <c r="T68" i="8" s="1"/>
  <c r="S67" i="8"/>
  <c r="S68" i="8" l="1"/>
  <c r="R68" i="8"/>
  <c r="M69" i="8" s="1"/>
  <c r="O69" i="8" s="1"/>
  <c r="P69" i="8"/>
  <c r="Q69" i="8" s="1"/>
  <c r="T69" i="8" s="1"/>
  <c r="H41" i="8"/>
  <c r="F41" i="8"/>
  <c r="AG40" i="8" l="1"/>
  <c r="B42" i="8"/>
  <c r="R69" i="8"/>
  <c r="M70" i="8" s="1"/>
  <c r="O70" i="8" s="1"/>
  <c r="P70" i="8"/>
  <c r="Q70" i="8" s="1"/>
  <c r="T70" i="8" s="1"/>
  <c r="S69" i="8"/>
  <c r="S70" i="8" s="1"/>
  <c r="R70" i="8" l="1"/>
  <c r="M71" i="8" s="1"/>
  <c r="O71" i="8" s="1"/>
  <c r="P71" i="8"/>
  <c r="Q71" i="8" s="1"/>
  <c r="T71" i="8" s="1"/>
  <c r="C42" i="8"/>
  <c r="E42" i="8" l="1"/>
  <c r="G42" i="8"/>
  <c r="R71" i="8"/>
  <c r="M72" i="8" s="1"/>
  <c r="O72" i="8" s="1"/>
  <c r="P72" i="8"/>
  <c r="Q72" i="8" s="1"/>
  <c r="T72" i="8" s="1"/>
  <c r="S71" i="8"/>
  <c r="S72" i="8" s="1"/>
  <c r="P73" i="8" l="1"/>
  <c r="Q73" i="8" s="1"/>
  <c r="T73" i="8" s="1"/>
  <c r="R72" i="8"/>
  <c r="M73" i="8" s="1"/>
  <c r="O73" i="8" s="1"/>
  <c r="H42" i="8"/>
  <c r="F42" i="8"/>
  <c r="B43" i="8" l="1"/>
  <c r="AG41" i="8"/>
  <c r="R73" i="8"/>
  <c r="M74" i="8" s="1"/>
  <c r="O74" i="8" s="1"/>
  <c r="P74" i="8"/>
  <c r="Q74" i="8" s="1"/>
  <c r="T74" i="8" s="1"/>
  <c r="S73" i="8"/>
  <c r="S74" i="8" s="1"/>
  <c r="R74" i="8" l="1"/>
  <c r="M75" i="8" s="1"/>
  <c r="O75" i="8" s="1"/>
  <c r="P75" i="8"/>
  <c r="Q75" i="8" s="1"/>
  <c r="T75" i="8" s="1"/>
  <c r="C43" i="8"/>
  <c r="E43" i="8" l="1"/>
  <c r="G43" i="8"/>
  <c r="R75" i="8"/>
  <c r="M76" i="8" s="1"/>
  <c r="O76" i="8" s="1"/>
  <c r="P76" i="8"/>
  <c r="Q76" i="8" s="1"/>
  <c r="T76" i="8" s="1"/>
  <c r="S75" i="8"/>
  <c r="S76" i="8" s="1"/>
  <c r="P77" i="8" l="1"/>
  <c r="Q77" i="8" s="1"/>
  <c r="T77" i="8" s="1"/>
  <c r="R76" i="8"/>
  <c r="M77" i="8" s="1"/>
  <c r="O77" i="8" s="1"/>
  <c r="H43" i="8"/>
  <c r="F43" i="8"/>
  <c r="AG42" i="8" l="1"/>
  <c r="B44" i="8"/>
  <c r="R77" i="8"/>
  <c r="M78" i="8" s="1"/>
  <c r="O78" i="8" s="1"/>
  <c r="P78" i="8"/>
  <c r="Q78" i="8" s="1"/>
  <c r="T78" i="8" s="1"/>
  <c r="S77" i="8"/>
  <c r="S78" i="8" s="1"/>
  <c r="R78" i="8" l="1"/>
  <c r="M79" i="8" s="1"/>
  <c r="O79" i="8" s="1"/>
  <c r="P79" i="8"/>
  <c r="Q79" i="8" s="1"/>
  <c r="T79" i="8" s="1"/>
  <c r="C44" i="8"/>
  <c r="E44" i="8" l="1"/>
  <c r="G44" i="8"/>
  <c r="R79" i="8"/>
  <c r="M80" i="8" s="1"/>
  <c r="O80" i="8" s="1"/>
  <c r="P80" i="8"/>
  <c r="Q80" i="8" s="1"/>
  <c r="T80" i="8" s="1"/>
  <c r="S79" i="8"/>
  <c r="S80" i="8" s="1"/>
  <c r="R80" i="8" l="1"/>
  <c r="M81" i="8" s="1"/>
  <c r="O81" i="8" s="1"/>
  <c r="P81" i="8"/>
  <c r="H44" i="8"/>
  <c r="F44" i="8"/>
  <c r="B45" i="8" l="1"/>
  <c r="AG43" i="8"/>
  <c r="Q81" i="8"/>
  <c r="P82" i="8"/>
  <c r="Q82" i="8" s="1"/>
  <c r="R81" i="8"/>
  <c r="S81" i="8"/>
  <c r="S82" i="8" l="1"/>
  <c r="M82" i="8"/>
  <c r="O82" i="8" s="1"/>
  <c r="T81" i="8"/>
  <c r="T82" i="8" s="1"/>
  <c r="C45" i="8"/>
  <c r="E45" i="8" l="1"/>
  <c r="G45" i="8"/>
  <c r="R82" i="8"/>
  <c r="M83" i="8" s="1"/>
  <c r="O83" i="8" s="1"/>
  <c r="P83" i="8"/>
  <c r="Q83" i="8" l="1"/>
  <c r="T83" i="8" s="1"/>
  <c r="S83" i="8"/>
  <c r="R83" i="8"/>
  <c r="M84" i="8" s="1"/>
  <c r="O84" i="8" s="1"/>
  <c r="P84" i="8"/>
  <c r="Q84" i="8" s="1"/>
  <c r="T84" i="8" s="1"/>
  <c r="H45" i="8"/>
  <c r="F45" i="8"/>
  <c r="B46" i="8" l="1"/>
  <c r="AG44" i="8"/>
  <c r="R84" i="8"/>
  <c r="M85" i="8" s="1"/>
  <c r="O85" i="8" s="1"/>
  <c r="P85" i="8"/>
  <c r="Q85" i="8" s="1"/>
  <c r="T85" i="8" s="1"/>
  <c r="S84" i="8"/>
  <c r="S85" i="8" s="1"/>
  <c r="R85" i="8" l="1"/>
  <c r="M86" i="8" s="1"/>
  <c r="O86" i="8" s="1"/>
  <c r="P86" i="8"/>
  <c r="Q86" i="8" s="1"/>
  <c r="T86" i="8" s="1"/>
  <c r="C46" i="8"/>
  <c r="E46" i="8" l="1"/>
  <c r="G46" i="8"/>
  <c r="P87" i="8"/>
  <c r="Q87" i="8" s="1"/>
  <c r="T87" i="8" s="1"/>
  <c r="R86" i="8"/>
  <c r="M87" i="8" s="1"/>
  <c r="O87" i="8" s="1"/>
  <c r="S86" i="8"/>
  <c r="S87" i="8" s="1"/>
  <c r="P88" i="8" l="1"/>
  <c r="Q88" i="8" s="1"/>
  <c r="T88" i="8" s="1"/>
  <c r="R87" i="8"/>
  <c r="M88" i="8" s="1"/>
  <c r="O88" i="8" s="1"/>
  <c r="H46" i="8"/>
  <c r="F46" i="8"/>
  <c r="B47" i="8" l="1"/>
  <c r="AG45" i="8"/>
  <c r="R88" i="8"/>
  <c r="M89" i="8" s="1"/>
  <c r="O89" i="8" s="1"/>
  <c r="P89" i="8"/>
  <c r="Q89" i="8" s="1"/>
  <c r="T89" i="8" s="1"/>
  <c r="S88" i="8"/>
  <c r="S89" i="8" s="1"/>
  <c r="R89" i="8" l="1"/>
  <c r="M90" i="8" s="1"/>
  <c r="O90" i="8" s="1"/>
  <c r="P90" i="8"/>
  <c r="Q90" i="8" s="1"/>
  <c r="T90" i="8" s="1"/>
  <c r="C47" i="8"/>
  <c r="E47" i="8" l="1"/>
  <c r="G47" i="8"/>
  <c r="P91" i="8"/>
  <c r="Q91" i="8" s="1"/>
  <c r="T91" i="8" s="1"/>
  <c r="R90" i="8"/>
  <c r="M91" i="8" s="1"/>
  <c r="O91" i="8" s="1"/>
  <c r="S90" i="8"/>
  <c r="S91" i="8" s="1"/>
  <c r="R91" i="8" l="1"/>
  <c r="M92" i="8" s="1"/>
  <c r="O92" i="8" s="1"/>
  <c r="P92" i="8"/>
  <c r="Q92" i="8" s="1"/>
  <c r="T92" i="8" s="1"/>
  <c r="H47" i="8"/>
  <c r="F47" i="8"/>
  <c r="AG46" i="8" l="1"/>
  <c r="B48" i="8"/>
  <c r="R92" i="8"/>
  <c r="M93" i="8" s="1"/>
  <c r="O93" i="8" s="1"/>
  <c r="P94" i="8" s="1"/>
  <c r="Q94" i="8" s="1"/>
  <c r="P93" i="8"/>
  <c r="Q93" i="8" s="1"/>
  <c r="T93" i="8" s="1"/>
  <c r="S92" i="8"/>
  <c r="S93" i="8" s="1"/>
  <c r="S94" i="8" l="1"/>
  <c r="T94" i="8"/>
  <c r="R93" i="8"/>
  <c r="M94" i="8" s="1"/>
  <c r="O94" i="8" s="1"/>
  <c r="C48" i="8"/>
  <c r="R94" i="8" l="1"/>
  <c r="M95" i="8" s="1"/>
  <c r="O95" i="8" s="1"/>
  <c r="P95" i="8"/>
  <c r="Q95" i="8" s="1"/>
  <c r="T95" i="8" s="1"/>
  <c r="S95" i="8"/>
  <c r="E48" i="8"/>
  <c r="G48" i="8"/>
  <c r="R95" i="8" l="1"/>
  <c r="M96" i="8" s="1"/>
  <c r="O96" i="8" s="1"/>
  <c r="P96" i="8"/>
  <c r="Q96" i="8" s="1"/>
  <c r="T96" i="8" s="1"/>
  <c r="H48" i="8"/>
  <c r="F48" i="8"/>
  <c r="R96" i="8" l="1"/>
  <c r="M97" i="8" s="1"/>
  <c r="O97" i="8" s="1"/>
  <c r="P97" i="8"/>
  <c r="Q97" i="8" s="1"/>
  <c r="T97" i="8" s="1"/>
  <c r="S96" i="8"/>
  <c r="S97" i="8" s="1"/>
  <c r="B49" i="8"/>
  <c r="AG47" i="8"/>
  <c r="R97" i="8" l="1"/>
  <c r="M98" i="8" s="1"/>
  <c r="O98" i="8" s="1"/>
  <c r="P98" i="8"/>
  <c r="Q98" i="8" s="1"/>
  <c r="T98" i="8" s="1"/>
  <c r="C49" i="8"/>
  <c r="R98" i="8" l="1"/>
  <c r="M99" i="8" s="1"/>
  <c r="O99" i="8" s="1"/>
  <c r="P99" i="8"/>
  <c r="Q99" i="8" s="1"/>
  <c r="T99" i="8" s="1"/>
  <c r="S98" i="8"/>
  <c r="S99" i="8" s="1"/>
  <c r="E49" i="8"/>
  <c r="G49" i="8"/>
  <c r="R99" i="8" l="1"/>
  <c r="M100" i="8" s="1"/>
  <c r="O100" i="8" s="1"/>
  <c r="P100" i="8"/>
  <c r="Q100" i="8" s="1"/>
  <c r="T100" i="8" s="1"/>
  <c r="H49" i="8"/>
  <c r="F49" i="8"/>
  <c r="R100" i="8" l="1"/>
  <c r="M101" i="8" s="1"/>
  <c r="O101" i="8" s="1"/>
  <c r="P101" i="8"/>
  <c r="Q101" i="8" s="1"/>
  <c r="T101" i="8" s="1"/>
  <c r="S100" i="8"/>
  <c r="S101" i="8" s="1"/>
  <c r="B50" i="8"/>
  <c r="AG48" i="8"/>
  <c r="R101" i="8" l="1"/>
  <c r="M102" i="8" s="1"/>
  <c r="O102" i="8" s="1"/>
  <c r="P102" i="8"/>
  <c r="Q102" i="8" s="1"/>
  <c r="T102" i="8" s="1"/>
  <c r="C50" i="8"/>
  <c r="R102" i="8" l="1"/>
  <c r="M103" i="8" s="1"/>
  <c r="O103" i="8" s="1"/>
  <c r="P103" i="8"/>
  <c r="Q103" i="8" s="1"/>
  <c r="T103" i="8" s="1"/>
  <c r="S102" i="8"/>
  <c r="S103" i="8" s="1"/>
  <c r="E50" i="8"/>
  <c r="G50" i="8"/>
  <c r="R103" i="8" l="1"/>
  <c r="M104" i="8" s="1"/>
  <c r="O104" i="8" s="1"/>
  <c r="P104" i="8"/>
  <c r="Q104" i="8" s="1"/>
  <c r="T104" i="8" s="1"/>
  <c r="H50" i="8"/>
  <c r="F50" i="8"/>
  <c r="R104" i="8" l="1"/>
  <c r="M105" i="8" s="1"/>
  <c r="O105" i="8" s="1"/>
  <c r="P105" i="8"/>
  <c r="Q105" i="8" s="1"/>
  <c r="T105" i="8" s="1"/>
  <c r="S104" i="8"/>
  <c r="S105" i="8" s="1"/>
  <c r="AG49" i="8"/>
  <c r="B51" i="8"/>
  <c r="R105" i="8" l="1"/>
  <c r="M106" i="8" s="1"/>
  <c r="O106" i="8" s="1"/>
  <c r="P106" i="8"/>
  <c r="Q106" i="8" s="1"/>
  <c r="T106" i="8" s="1"/>
  <c r="C51" i="8"/>
  <c r="R106" i="8" l="1"/>
  <c r="M107" i="8" s="1"/>
  <c r="O107" i="8" s="1"/>
  <c r="P107" i="8"/>
  <c r="Q107" i="8" s="1"/>
  <c r="T107" i="8" s="1"/>
  <c r="S106" i="8"/>
  <c r="S107" i="8" s="1"/>
  <c r="E51" i="8"/>
  <c r="G51" i="8"/>
  <c r="R107" i="8" l="1"/>
  <c r="M108" i="8" s="1"/>
  <c r="O108" i="8" s="1"/>
  <c r="P108" i="8"/>
  <c r="Q108" i="8" s="1"/>
  <c r="T108" i="8" s="1"/>
  <c r="H51" i="8"/>
  <c r="F51" i="8"/>
  <c r="R108" i="8" l="1"/>
  <c r="M109" i="8" s="1"/>
  <c r="O109" i="8" s="1"/>
  <c r="P109" i="8"/>
  <c r="Q109" i="8" s="1"/>
  <c r="T109" i="8" s="1"/>
  <c r="S108" i="8"/>
  <c r="S109" i="8" s="1"/>
  <c r="B52" i="8"/>
  <c r="AG50" i="8"/>
  <c r="R109" i="8" l="1"/>
  <c r="M110" i="8" s="1"/>
  <c r="O110" i="8" s="1"/>
  <c r="P110" i="8"/>
  <c r="Q110" i="8" s="1"/>
  <c r="T110" i="8" s="1"/>
  <c r="C52" i="8"/>
  <c r="R110" i="8" l="1"/>
  <c r="M111" i="8" s="1"/>
  <c r="O111" i="8" s="1"/>
  <c r="P111" i="8"/>
  <c r="S110" i="8"/>
  <c r="S111" i="8" s="1"/>
  <c r="E52" i="8"/>
  <c r="G52" i="8"/>
  <c r="Q111" i="8" l="1"/>
  <c r="H11" i="7"/>
  <c r="R111" i="8"/>
  <c r="P112" i="8"/>
  <c r="Q112" i="8" s="1"/>
  <c r="H52" i="8"/>
  <c r="F52" i="8"/>
  <c r="B53" i="8" s="1"/>
  <c r="S112" i="8" l="1"/>
  <c r="M112" i="8"/>
  <c r="O112" i="8" s="1"/>
  <c r="H10" i="7"/>
  <c r="T111" i="8"/>
  <c r="T112" i="8" s="1"/>
  <c r="H12" i="7"/>
  <c r="C53" i="8"/>
  <c r="R112" i="8" l="1"/>
  <c r="M113" i="8" s="1"/>
  <c r="O113" i="8" s="1"/>
  <c r="P113" i="8"/>
  <c r="Q113" i="8" s="1"/>
  <c r="T113" i="8" s="1"/>
  <c r="E53" i="8"/>
  <c r="G53" i="8"/>
  <c r="R113" i="8" l="1"/>
  <c r="M114" i="8" s="1"/>
  <c r="O114" i="8" s="1"/>
  <c r="P114" i="8"/>
  <c r="Q114" i="8" s="1"/>
  <c r="T114" i="8" s="1"/>
  <c r="S113" i="8"/>
  <c r="S114" i="8" s="1"/>
  <c r="F53" i="8"/>
  <c r="B54" i="8" s="1"/>
  <c r="H53" i="8"/>
  <c r="R114" i="8" l="1"/>
  <c r="M115" i="8" s="1"/>
  <c r="O115" i="8" s="1"/>
  <c r="P115" i="8"/>
  <c r="Q115" i="8" s="1"/>
  <c r="T115" i="8" s="1"/>
  <c r="C54" i="8"/>
  <c r="R115" i="8" l="1"/>
  <c r="M116" i="8" s="1"/>
  <c r="O116" i="8" s="1"/>
  <c r="P116" i="8"/>
  <c r="Q116" i="8" s="1"/>
  <c r="T116" i="8" s="1"/>
  <c r="S115" i="8"/>
  <c r="S116" i="8" s="1"/>
  <c r="E54" i="8"/>
  <c r="G54" i="8"/>
  <c r="R116" i="8" l="1"/>
  <c r="M117" i="8" s="1"/>
  <c r="O117" i="8" s="1"/>
  <c r="P117" i="8"/>
  <c r="Q117" i="8" s="1"/>
  <c r="T117" i="8" s="1"/>
  <c r="H54" i="8"/>
  <c r="F54" i="8"/>
  <c r="B55" i="8" s="1"/>
  <c r="R117" i="8" l="1"/>
  <c r="M118" i="8" s="1"/>
  <c r="O118" i="8" s="1"/>
  <c r="P118" i="8"/>
  <c r="Q118" i="8" s="1"/>
  <c r="T118" i="8" s="1"/>
  <c r="S117" i="8"/>
  <c r="S118" i="8" s="1"/>
  <c r="C55" i="8"/>
  <c r="R118" i="8" l="1"/>
  <c r="M119" i="8" s="1"/>
  <c r="O119" i="8" s="1"/>
  <c r="P119" i="8"/>
  <c r="Q119" i="8" s="1"/>
  <c r="T119" i="8" s="1"/>
  <c r="E55" i="8"/>
  <c r="G55" i="8"/>
  <c r="R119" i="8" l="1"/>
  <c r="M120" i="8" s="1"/>
  <c r="O120" i="8" s="1"/>
  <c r="P120" i="8"/>
  <c r="Q120" i="8" s="1"/>
  <c r="T120" i="8" s="1"/>
  <c r="S119" i="8"/>
  <c r="S120" i="8" s="1"/>
  <c r="F55" i="8"/>
  <c r="B56" i="8" s="1"/>
  <c r="H55" i="8"/>
  <c r="R120" i="8" l="1"/>
  <c r="M121" i="8" s="1"/>
  <c r="O121" i="8" s="1"/>
  <c r="P121" i="8"/>
  <c r="Q121" i="8" s="1"/>
  <c r="T121" i="8" s="1"/>
  <c r="C56" i="8"/>
  <c r="R121" i="8" l="1"/>
  <c r="M122" i="8" s="1"/>
  <c r="O122" i="8" s="1"/>
  <c r="P122" i="8"/>
  <c r="Q122" i="8" s="1"/>
  <c r="T122" i="8" s="1"/>
  <c r="S121" i="8"/>
  <c r="S122" i="8" s="1"/>
  <c r="E56" i="8"/>
  <c r="G56" i="8"/>
  <c r="R122" i="8" l="1"/>
  <c r="M123" i="8" s="1"/>
  <c r="O123" i="8" s="1"/>
  <c r="P123" i="8"/>
  <c r="Q123" i="8" s="1"/>
  <c r="T123" i="8" s="1"/>
  <c r="H56" i="8"/>
  <c r="F56" i="8"/>
  <c r="B57" i="8" s="1"/>
  <c r="R123" i="8" l="1"/>
  <c r="M124" i="8" s="1"/>
  <c r="O124" i="8" s="1"/>
  <c r="P124" i="8"/>
  <c r="Q124" i="8" s="1"/>
  <c r="T124" i="8" s="1"/>
  <c r="S123" i="8"/>
  <c r="S124" i="8" s="1"/>
  <c r="C57" i="8"/>
  <c r="R124" i="8" l="1"/>
  <c r="M125" i="8" s="1"/>
  <c r="O125" i="8" s="1"/>
  <c r="P125" i="8"/>
  <c r="Q125" i="8" s="1"/>
  <c r="T125" i="8" s="1"/>
  <c r="E57" i="8"/>
  <c r="G57" i="8"/>
  <c r="R125" i="8" l="1"/>
  <c r="M126" i="8" s="1"/>
  <c r="O126" i="8" s="1"/>
  <c r="P126" i="8"/>
  <c r="Q126" i="8" s="1"/>
  <c r="T126" i="8" s="1"/>
  <c r="S125" i="8"/>
  <c r="S126" i="8" s="1"/>
  <c r="F57" i="8"/>
  <c r="B58" i="8" s="1"/>
  <c r="C58" i="8" s="1"/>
  <c r="E58" i="8" s="1"/>
  <c r="F58" i="8" s="1"/>
  <c r="B59" i="8" s="1"/>
  <c r="C59" i="8" s="1"/>
  <c r="E59" i="8" s="1"/>
  <c r="F59" i="8" s="1"/>
  <c r="B60" i="8" s="1"/>
  <c r="C60" i="8" s="1"/>
  <c r="E60" i="8" s="1"/>
  <c r="F60" i="8" s="1"/>
  <c r="B61" i="8" s="1"/>
  <c r="C61" i="8" s="1"/>
  <c r="E61" i="8" s="1"/>
  <c r="F61" i="8" s="1"/>
  <c r="B62" i="8" s="1"/>
  <c r="C62" i="8" s="1"/>
  <c r="E62" i="8" s="1"/>
  <c r="F62" i="8" s="1"/>
  <c r="B63" i="8" s="1"/>
  <c r="C63" i="8" s="1"/>
  <c r="E63" i="8" s="1"/>
  <c r="F63" i="8" s="1"/>
  <c r="B64" i="8" s="1"/>
  <c r="C64" i="8" s="1"/>
  <c r="E64" i="8" s="1"/>
  <c r="F64" i="8" s="1"/>
  <c r="B65" i="8" s="1"/>
  <c r="C65" i="8" s="1"/>
  <c r="E65" i="8" s="1"/>
  <c r="F65" i="8" s="1"/>
  <c r="B66" i="8" s="1"/>
  <c r="C66" i="8" s="1"/>
  <c r="E66" i="8" s="1"/>
  <c r="F66" i="8" s="1"/>
  <c r="B67" i="8" s="1"/>
  <c r="C67" i="8" s="1"/>
  <c r="E67" i="8" s="1"/>
  <c r="F67" i="8" s="1"/>
  <c r="B68" i="8" s="1"/>
  <c r="C68" i="8" s="1"/>
  <c r="E68" i="8" s="1"/>
  <c r="F68" i="8" s="1"/>
  <c r="B69" i="8" s="1"/>
  <c r="C69" i="8" s="1"/>
  <c r="E69" i="8" s="1"/>
  <c r="F69" i="8" s="1"/>
  <c r="B70" i="8" s="1"/>
  <c r="H57" i="8"/>
  <c r="R126" i="8" l="1"/>
  <c r="M127" i="8" s="1"/>
  <c r="O127" i="8" s="1"/>
  <c r="P127" i="8"/>
  <c r="Q127" i="8" s="1"/>
  <c r="T127" i="8" s="1"/>
  <c r="H58" i="8"/>
  <c r="H59" i="8" s="1"/>
  <c r="H60" i="8" s="1"/>
  <c r="H61" i="8" s="1"/>
  <c r="H62" i="8" s="1"/>
  <c r="H63" i="8" s="1"/>
  <c r="H64" i="8" s="1"/>
  <c r="H65" i="8" s="1"/>
  <c r="H66" i="8" s="1"/>
  <c r="H67" i="8" s="1"/>
  <c r="H68" i="8" s="1"/>
  <c r="H69" i="8" s="1"/>
  <c r="C70" i="8"/>
  <c r="E70" i="8" s="1"/>
  <c r="F70" i="8" s="1"/>
  <c r="B71" i="8" s="1"/>
  <c r="C71" i="8" s="1"/>
  <c r="E71" i="8" s="1"/>
  <c r="F71" i="8" s="1"/>
  <c r="B72" i="8" s="1"/>
  <c r="C72" i="8" s="1"/>
  <c r="E72" i="8" s="1"/>
  <c r="F72" i="8" s="1"/>
  <c r="B73" i="8" s="1"/>
  <c r="C73" i="8" s="1"/>
  <c r="E73" i="8" s="1"/>
  <c r="F73" i="8" s="1"/>
  <c r="B74" i="8" s="1"/>
  <c r="C74" i="8" s="1"/>
  <c r="E74" i="8" s="1"/>
  <c r="F74" i="8" s="1"/>
  <c r="B75" i="8" s="1"/>
  <c r="C75" i="8" s="1"/>
  <c r="E75" i="8" s="1"/>
  <c r="F75" i="8" s="1"/>
  <c r="B76" i="8" s="1"/>
  <c r="C76" i="8" s="1"/>
  <c r="E76" i="8" s="1"/>
  <c r="F76" i="8" s="1"/>
  <c r="B77" i="8" s="1"/>
  <c r="G58" i="8"/>
  <c r="R127" i="8" l="1"/>
  <c r="M128" i="8" s="1"/>
  <c r="O128" i="8" s="1"/>
  <c r="P128" i="8"/>
  <c r="Q128" i="8" s="1"/>
  <c r="T128" i="8" s="1"/>
  <c r="S127" i="8"/>
  <c r="S128" i="8" s="1"/>
  <c r="G59" i="8"/>
  <c r="G60" i="8" s="1"/>
  <c r="G61" i="8" s="1"/>
  <c r="G62" i="8" s="1"/>
  <c r="G63" i="8" s="1"/>
  <c r="G64" i="8" s="1"/>
  <c r="G65" i="8" s="1"/>
  <c r="G66" i="8" s="1"/>
  <c r="G67" i="8" s="1"/>
  <c r="G68" i="8" s="1"/>
  <c r="G69" i="8" s="1"/>
  <c r="G70" i="8" s="1"/>
  <c r="G71" i="8" s="1"/>
  <c r="G72" i="8" s="1"/>
  <c r="G73" i="8" s="1"/>
  <c r="G74" i="8" s="1"/>
  <c r="G75" i="8" s="1"/>
  <c r="G76" i="8" s="1"/>
  <c r="G77" i="8" s="1"/>
  <c r="G78" i="8" s="1"/>
  <c r="C77" i="8"/>
  <c r="E77" i="8" s="1"/>
  <c r="F77" i="8" s="1"/>
  <c r="B78" i="8" s="1"/>
  <c r="C78" i="8" s="1"/>
  <c r="E78" i="8" s="1"/>
  <c r="F78" i="8" s="1"/>
  <c r="B79" i="8" s="1"/>
  <c r="C79" i="8" s="1"/>
  <c r="E79" i="8" s="1"/>
  <c r="F79" i="8" s="1"/>
  <c r="B80" i="8" s="1"/>
  <c r="C80" i="8" s="1"/>
  <c r="E80" i="8" s="1"/>
  <c r="F80" i="8" s="1"/>
  <c r="B81" i="8" s="1"/>
  <c r="C81" i="8" s="1"/>
  <c r="E81" i="8" s="1"/>
  <c r="H70" i="8"/>
  <c r="H71" i="8" s="1"/>
  <c r="H72" i="8" s="1"/>
  <c r="H73" i="8" s="1"/>
  <c r="H74" i="8" s="1"/>
  <c r="H75" i="8" s="1"/>
  <c r="H76" i="8" s="1"/>
  <c r="G79" i="8" l="1"/>
  <c r="G80" i="8" s="1"/>
  <c r="G81" i="8" s="1"/>
  <c r="H77" i="8"/>
  <c r="H78" i="8" s="1"/>
  <c r="H79" i="8" s="1"/>
  <c r="H80" i="8" s="1"/>
  <c r="H81" i="8" s="1"/>
  <c r="R128" i="8"/>
  <c r="M129" i="8" s="1"/>
  <c r="O129" i="8" s="1"/>
  <c r="P129" i="8"/>
  <c r="Q129" i="8" s="1"/>
  <c r="T129" i="8" s="1"/>
  <c r="F81" i="8"/>
  <c r="R129" i="8" l="1"/>
  <c r="M130" i="8" s="1"/>
  <c r="O130" i="8" s="1"/>
  <c r="P130" i="8"/>
  <c r="Q130" i="8" s="1"/>
  <c r="T130" i="8" s="1"/>
  <c r="S129" i="8"/>
  <c r="S130" i="8" s="1"/>
  <c r="B82" i="8"/>
  <c r="C82" i="8" s="1"/>
  <c r="R130" i="8" l="1"/>
  <c r="M131" i="8" s="1"/>
  <c r="O131" i="8" s="1"/>
  <c r="P131" i="8"/>
  <c r="Q131" i="8" s="1"/>
  <c r="T131" i="8" s="1"/>
  <c r="E82" i="8"/>
  <c r="G82" i="8"/>
  <c r="R131" i="8" l="1"/>
  <c r="M132" i="8" s="1"/>
  <c r="O132" i="8" s="1"/>
  <c r="P132" i="8"/>
  <c r="Q132" i="8" s="1"/>
  <c r="T132" i="8" s="1"/>
  <c r="S131" i="8"/>
  <c r="S132" i="8" s="1"/>
  <c r="F82" i="8"/>
  <c r="B83" i="8" s="1"/>
  <c r="C83" i="8" s="1"/>
  <c r="E83" i="8" s="1"/>
  <c r="F83" i="8" s="1"/>
  <c r="B84" i="8" s="1"/>
  <c r="C84" i="8" s="1"/>
  <c r="E84" i="8" s="1"/>
  <c r="F84" i="8" s="1"/>
  <c r="B85" i="8" s="1"/>
  <c r="H82" i="8"/>
  <c r="H83" i="8" s="1"/>
  <c r="H84" i="8" l="1"/>
  <c r="R132" i="8"/>
  <c r="M133" i="8" s="1"/>
  <c r="O133" i="8" s="1"/>
  <c r="P133" i="8"/>
  <c r="Q133" i="8" s="1"/>
  <c r="T133" i="8" s="1"/>
  <c r="C85" i="8"/>
  <c r="E85" i="8" s="1"/>
  <c r="H85" i="8" s="1"/>
  <c r="F85" i="8"/>
  <c r="B86" i="8" s="1"/>
  <c r="G83" i="8"/>
  <c r="G84" i="8" s="1"/>
  <c r="R133" i="8" l="1"/>
  <c r="M134" i="8" s="1"/>
  <c r="O134" i="8" s="1"/>
  <c r="P134" i="8"/>
  <c r="Q134" i="8" s="1"/>
  <c r="T134" i="8" s="1"/>
  <c r="S133" i="8"/>
  <c r="S134" i="8" s="1"/>
  <c r="G85" i="8"/>
  <c r="C86" i="8"/>
  <c r="E86" i="8" s="1"/>
  <c r="H86" i="8" s="1"/>
  <c r="F86" i="8"/>
  <c r="B87" i="8" s="1"/>
  <c r="R134" i="8" l="1"/>
  <c r="M135" i="8" s="1"/>
  <c r="O135" i="8" s="1"/>
  <c r="P135" i="8"/>
  <c r="Q135" i="8" s="1"/>
  <c r="T135" i="8" s="1"/>
  <c r="C87" i="8"/>
  <c r="E87" i="8" s="1"/>
  <c r="H87" i="8" s="1"/>
  <c r="G86" i="8"/>
  <c r="G87" i="8" s="1"/>
  <c r="F87" i="8" l="1"/>
  <c r="B88" i="8" s="1"/>
  <c r="R135" i="8"/>
  <c r="M136" i="8" s="1"/>
  <c r="O136" i="8" s="1"/>
  <c r="P136" i="8"/>
  <c r="Q136" i="8" s="1"/>
  <c r="T136" i="8" s="1"/>
  <c r="S135" i="8"/>
  <c r="S136" i="8" s="1"/>
  <c r="C88" i="8"/>
  <c r="E88" i="8" s="1"/>
  <c r="H88" i="8" s="1"/>
  <c r="F88" i="8" l="1"/>
  <c r="B89" i="8" s="1"/>
  <c r="C89" i="8" s="1"/>
  <c r="E89" i="8" s="1"/>
  <c r="F89" i="8" s="1"/>
  <c r="B90" i="8" s="1"/>
  <c r="C90" i="8" s="1"/>
  <c r="E90" i="8" s="1"/>
  <c r="F90" i="8" s="1"/>
  <c r="B91" i="8" s="1"/>
  <c r="C91" i="8" s="1"/>
  <c r="E91" i="8" s="1"/>
  <c r="F91" i="8" s="1"/>
  <c r="B92" i="8" s="1"/>
  <c r="C92" i="8" s="1"/>
  <c r="E92" i="8" s="1"/>
  <c r="F92" i="8" s="1"/>
  <c r="B93" i="8" s="1"/>
  <c r="C93" i="8" s="1"/>
  <c r="E93" i="8" s="1"/>
  <c r="F93" i="8" s="1"/>
  <c r="B94" i="8" s="1"/>
  <c r="R136" i="8"/>
  <c r="M137" i="8" s="1"/>
  <c r="O137" i="8" s="1"/>
  <c r="P137" i="8"/>
  <c r="Q137" i="8" s="1"/>
  <c r="T137" i="8" s="1"/>
  <c r="G88" i="8"/>
  <c r="G89" i="8" s="1"/>
  <c r="G90" i="8" s="1"/>
  <c r="C94" i="8" l="1"/>
  <c r="E94" i="8" s="1"/>
  <c r="F94" i="8" s="1"/>
  <c r="B95" i="8" s="1"/>
  <c r="R137" i="8"/>
  <c r="M138" i="8" s="1"/>
  <c r="O138" i="8" s="1"/>
  <c r="P138" i="8"/>
  <c r="Q138" i="8" s="1"/>
  <c r="T138" i="8" s="1"/>
  <c r="G91" i="8"/>
  <c r="G92" i="8" s="1"/>
  <c r="G93" i="8" s="1"/>
  <c r="S137" i="8"/>
  <c r="S138" i="8" s="1"/>
  <c r="H89" i="8"/>
  <c r="H90" i="8" s="1"/>
  <c r="H91" i="8" s="1"/>
  <c r="H92" i="8" s="1"/>
  <c r="H93" i="8"/>
  <c r="C95" i="8" l="1"/>
  <c r="E95" i="8" s="1"/>
  <c r="F95" i="8" s="1"/>
  <c r="B96" i="8" s="1"/>
  <c r="R138" i="8"/>
  <c r="M139" i="8" s="1"/>
  <c r="O139" i="8" s="1"/>
  <c r="P139" i="8"/>
  <c r="Q139" i="8" s="1"/>
  <c r="T139" i="8" s="1"/>
  <c r="G94" i="8"/>
  <c r="H94" i="8"/>
  <c r="H95" i="8" s="1"/>
  <c r="C96" i="8" l="1"/>
  <c r="E96" i="8" s="1"/>
  <c r="F96" i="8" s="1"/>
  <c r="B97" i="8" s="1"/>
  <c r="S139" i="8"/>
  <c r="R139" i="8"/>
  <c r="M140" i="8" s="1"/>
  <c r="O140" i="8" s="1"/>
  <c r="P140" i="8"/>
  <c r="Q140" i="8" s="1"/>
  <c r="T140" i="8" s="1"/>
  <c r="G95" i="8"/>
  <c r="C97" i="8" l="1"/>
  <c r="E97" i="8" s="1"/>
  <c r="F97" i="8" s="1"/>
  <c r="B98" i="8" s="1"/>
  <c r="R140" i="8"/>
  <c r="M141" i="8" s="1"/>
  <c r="O141" i="8" s="1"/>
  <c r="P141" i="8"/>
  <c r="Q141" i="8" s="1"/>
  <c r="T141" i="8" s="1"/>
  <c r="H96" i="8"/>
  <c r="H97" i="8" s="1"/>
  <c r="S140" i="8"/>
  <c r="S141" i="8" s="1"/>
  <c r="G96" i="8"/>
  <c r="G97" i="8" s="1"/>
  <c r="C98" i="8" l="1"/>
  <c r="E98" i="8" s="1"/>
  <c r="F98" i="8" s="1"/>
  <c r="B99" i="8" s="1"/>
  <c r="R141" i="8"/>
  <c r="M142" i="8" s="1"/>
  <c r="O142" i="8" s="1"/>
  <c r="P142" i="8"/>
  <c r="Q142" i="8" s="1"/>
  <c r="T142" i="8" s="1"/>
  <c r="H98" i="8"/>
  <c r="C99" i="8" l="1"/>
  <c r="E99" i="8" s="1"/>
  <c r="F99" i="8"/>
  <c r="B100" i="8" s="1"/>
  <c r="H99" i="8"/>
  <c r="R142" i="8"/>
  <c r="M143" i="8" s="1"/>
  <c r="O143" i="8" s="1"/>
  <c r="P143" i="8"/>
  <c r="Q143" i="8" s="1"/>
  <c r="T143" i="8" s="1"/>
  <c r="S142" i="8"/>
  <c r="S143" i="8" s="1"/>
  <c r="G98" i="8"/>
  <c r="G99" i="8" s="1"/>
  <c r="C100" i="8" l="1"/>
  <c r="E100" i="8" s="1"/>
  <c r="H100" i="8" s="1"/>
  <c r="R143" i="8"/>
  <c r="M144" i="8" s="1"/>
  <c r="O144" i="8" s="1"/>
  <c r="P144" i="8"/>
  <c r="Q144" i="8" s="1"/>
  <c r="T144" i="8" s="1"/>
  <c r="R144" i="8" l="1"/>
  <c r="M145" i="8" s="1"/>
  <c r="O145" i="8" s="1"/>
  <c r="P145" i="8"/>
  <c r="Q145" i="8" s="1"/>
  <c r="T145" i="8" s="1"/>
  <c r="F100" i="8"/>
  <c r="B101" i="8" s="1"/>
  <c r="G100" i="8"/>
  <c r="S144" i="8"/>
  <c r="S145" i="8" s="1"/>
  <c r="C101" i="8" l="1"/>
  <c r="E101" i="8" s="1"/>
  <c r="H101" i="8" s="1"/>
  <c r="G101" i="8"/>
  <c r="R145" i="8"/>
  <c r="M146" i="8" s="1"/>
  <c r="O146" i="8" s="1"/>
  <c r="P146" i="8"/>
  <c r="Q146" i="8" s="1"/>
  <c r="T146" i="8" s="1"/>
  <c r="S146" i="8" l="1"/>
  <c r="F101" i="8"/>
  <c r="B102" i="8" s="1"/>
  <c r="R146" i="8"/>
  <c r="M147" i="8" s="1"/>
  <c r="O147" i="8" s="1"/>
  <c r="P147" i="8"/>
  <c r="Q147" i="8" s="1"/>
  <c r="T147" i="8" s="1"/>
  <c r="R147" i="8" l="1"/>
  <c r="M148" i="8" s="1"/>
  <c r="O148" i="8" s="1"/>
  <c r="P148" i="8"/>
  <c r="Q148" i="8" s="1"/>
  <c r="T148" i="8" s="1"/>
  <c r="C102" i="8"/>
  <c r="S147" i="8"/>
  <c r="S148" i="8" s="1"/>
  <c r="E102" i="8" l="1"/>
  <c r="G102" i="8"/>
  <c r="R148" i="8"/>
  <c r="M149" i="8" s="1"/>
  <c r="O149" i="8" s="1"/>
  <c r="P149" i="8"/>
  <c r="Q149" i="8" s="1"/>
  <c r="T149" i="8" s="1"/>
  <c r="R149" i="8" l="1"/>
  <c r="M150" i="8" s="1"/>
  <c r="O150" i="8" s="1"/>
  <c r="P150" i="8"/>
  <c r="Q150" i="8" s="1"/>
  <c r="T150" i="8" s="1"/>
  <c r="S149" i="8"/>
  <c r="S150" i="8" s="1"/>
  <c r="H102" i="8"/>
  <c r="F102" i="8"/>
  <c r="B103" i="8" s="1"/>
  <c r="C103" i="8" l="1"/>
  <c r="R150" i="8"/>
  <c r="M151" i="8" s="1"/>
  <c r="O151" i="8" s="1"/>
  <c r="P151" i="8"/>
  <c r="Q151" i="8" s="1"/>
  <c r="T151" i="8" s="1"/>
  <c r="R151" i="8" l="1"/>
  <c r="M152" i="8" s="1"/>
  <c r="O152" i="8" s="1"/>
  <c r="P152" i="8"/>
  <c r="Q152" i="8" s="1"/>
  <c r="T152" i="8" s="1"/>
  <c r="E103" i="8"/>
  <c r="G103" i="8"/>
  <c r="S151" i="8"/>
  <c r="S152" i="8" s="1"/>
  <c r="H103" i="8" l="1"/>
  <c r="F103" i="8"/>
  <c r="B104" i="8" s="1"/>
  <c r="R152" i="8"/>
  <c r="M153" i="8" s="1"/>
  <c r="O153" i="8" s="1"/>
  <c r="P153" i="8"/>
  <c r="Q153" i="8" s="1"/>
  <c r="T153" i="8" s="1"/>
  <c r="R153" i="8" l="1"/>
  <c r="M154" i="8" s="1"/>
  <c r="O154" i="8" s="1"/>
  <c r="P154" i="8"/>
  <c r="Q154" i="8" s="1"/>
  <c r="T154" i="8" s="1"/>
  <c r="C104" i="8"/>
  <c r="S153" i="8"/>
  <c r="S154" i="8" s="1"/>
  <c r="E104" i="8" l="1"/>
  <c r="G104" i="8"/>
  <c r="R154" i="8"/>
  <c r="M155" i="8" s="1"/>
  <c r="O155" i="8" s="1"/>
  <c r="P155" i="8"/>
  <c r="Q155" i="8" s="1"/>
  <c r="T155" i="8" s="1"/>
  <c r="R155" i="8" l="1"/>
  <c r="M156" i="8" s="1"/>
  <c r="O156" i="8" s="1"/>
  <c r="P156" i="8"/>
  <c r="Q156" i="8" s="1"/>
  <c r="T156" i="8" s="1"/>
  <c r="S155" i="8"/>
  <c r="S156" i="8" s="1"/>
  <c r="H104" i="8"/>
  <c r="F104" i="8"/>
  <c r="B105" i="8" s="1"/>
  <c r="C105" i="8" l="1"/>
  <c r="R156" i="8"/>
  <c r="M157" i="8" s="1"/>
  <c r="O157" i="8" s="1"/>
  <c r="P157" i="8"/>
  <c r="Q157" i="8" s="1"/>
  <c r="T157" i="8" s="1"/>
  <c r="E105" i="8" l="1"/>
  <c r="G105" i="8"/>
  <c r="R157" i="8"/>
  <c r="M158" i="8" s="1"/>
  <c r="O158" i="8" s="1"/>
  <c r="P158" i="8"/>
  <c r="Q158" i="8" s="1"/>
  <c r="T158" i="8" s="1"/>
  <c r="S157" i="8"/>
  <c r="S158" i="8" l="1"/>
  <c r="R158" i="8"/>
  <c r="M159" i="8" s="1"/>
  <c r="O159" i="8" s="1"/>
  <c r="P159" i="8"/>
  <c r="Q159" i="8" s="1"/>
  <c r="T159" i="8" s="1"/>
  <c r="F105" i="8"/>
  <c r="B106" i="8" s="1"/>
  <c r="H105" i="8"/>
  <c r="C106" i="8" l="1"/>
  <c r="R159" i="8"/>
  <c r="M160" i="8" s="1"/>
  <c r="O160" i="8" s="1"/>
  <c r="P160" i="8"/>
  <c r="Q160" i="8" s="1"/>
  <c r="T160" i="8" s="1"/>
  <c r="S159" i="8"/>
  <c r="S160" i="8" s="1"/>
  <c r="R160" i="8" l="1"/>
  <c r="M161" i="8" s="1"/>
  <c r="O161" i="8" s="1"/>
  <c r="P161" i="8"/>
  <c r="Q161" i="8" s="1"/>
  <c r="T161" i="8" s="1"/>
  <c r="E106" i="8"/>
  <c r="G106" i="8"/>
  <c r="F106" i="8" l="1"/>
  <c r="B107" i="8" s="1"/>
  <c r="H106" i="8"/>
  <c r="R161" i="8"/>
  <c r="M162" i="8" s="1"/>
  <c r="O162" i="8" s="1"/>
  <c r="P162" i="8"/>
  <c r="Q162" i="8" s="1"/>
  <c r="T162" i="8" s="1"/>
  <c r="S161" i="8"/>
  <c r="S162" i="8" s="1"/>
  <c r="R162" i="8" l="1"/>
  <c r="M163" i="8" s="1"/>
  <c r="O163" i="8" s="1"/>
  <c r="P163" i="8"/>
  <c r="Q163" i="8" s="1"/>
  <c r="T163" i="8" s="1"/>
  <c r="C107" i="8"/>
  <c r="E107" i="8" l="1"/>
  <c r="G107" i="8"/>
  <c r="R163" i="8"/>
  <c r="M164" i="8" s="1"/>
  <c r="O164" i="8" s="1"/>
  <c r="P164" i="8"/>
  <c r="Q164" i="8" s="1"/>
  <c r="T164" i="8" s="1"/>
  <c r="S163" i="8"/>
  <c r="S164" i="8" l="1"/>
  <c r="R164" i="8"/>
  <c r="M165" i="8" s="1"/>
  <c r="O165" i="8" s="1"/>
  <c r="P165" i="8"/>
  <c r="Q165" i="8" s="1"/>
  <c r="T165" i="8" s="1"/>
  <c r="H107" i="8"/>
  <c r="F107" i="8"/>
  <c r="B108" i="8" s="1"/>
  <c r="C108" i="8" l="1"/>
  <c r="R165" i="8"/>
  <c r="M166" i="8" s="1"/>
  <c r="O166" i="8" s="1"/>
  <c r="P166" i="8"/>
  <c r="Q166" i="8" s="1"/>
  <c r="T166" i="8" s="1"/>
  <c r="S165" i="8"/>
  <c r="S166" i="8" l="1"/>
  <c r="E108" i="8"/>
  <c r="G108" i="8"/>
  <c r="R166" i="8"/>
  <c r="M167" i="8" s="1"/>
  <c r="O167" i="8" s="1"/>
  <c r="P167" i="8"/>
  <c r="Q167" i="8" s="1"/>
  <c r="T167" i="8" s="1"/>
  <c r="R167" i="8" l="1"/>
  <c r="M168" i="8" s="1"/>
  <c r="O168" i="8" s="1"/>
  <c r="P168" i="8"/>
  <c r="Q168" i="8" s="1"/>
  <c r="T168" i="8" s="1"/>
  <c r="H108" i="8"/>
  <c r="F108" i="8"/>
  <c r="B109" i="8" s="1"/>
  <c r="S167" i="8"/>
  <c r="S168" i="8" l="1"/>
  <c r="C109" i="8"/>
  <c r="R168" i="8"/>
  <c r="M169" i="8" s="1"/>
  <c r="O169" i="8" s="1"/>
  <c r="P169" i="8"/>
  <c r="Q169" i="8" s="1"/>
  <c r="T169" i="8" s="1"/>
  <c r="R169" i="8" l="1"/>
  <c r="M170" i="8" s="1"/>
  <c r="O170" i="8" s="1"/>
  <c r="P170" i="8"/>
  <c r="Q170" i="8" s="1"/>
  <c r="T170" i="8" s="1"/>
  <c r="E109" i="8"/>
  <c r="G109" i="8"/>
  <c r="S169" i="8"/>
  <c r="S170" i="8" s="1"/>
  <c r="F109" i="8" l="1"/>
  <c r="B110" i="8" s="1"/>
  <c r="H109" i="8"/>
  <c r="R170" i="8"/>
  <c r="M171" i="8" s="1"/>
  <c r="O171" i="8" s="1"/>
  <c r="P171" i="8"/>
  <c r="Q171" i="8" s="1"/>
  <c r="T171" i="8" s="1"/>
  <c r="R171" i="8" l="1"/>
  <c r="M172" i="8" s="1"/>
  <c r="O172" i="8" s="1"/>
  <c r="P172" i="8"/>
  <c r="Q172" i="8" s="1"/>
  <c r="T172" i="8" s="1"/>
  <c r="S171" i="8"/>
  <c r="S172" i="8" s="1"/>
  <c r="C110" i="8"/>
  <c r="E110" i="8" l="1"/>
  <c r="G110" i="8"/>
  <c r="R172" i="8"/>
  <c r="M173" i="8" s="1"/>
  <c r="O173" i="8" s="1"/>
  <c r="P173" i="8"/>
  <c r="Q173" i="8" s="1"/>
  <c r="T173" i="8" s="1"/>
  <c r="R173" i="8" l="1"/>
  <c r="M174" i="8" s="1"/>
  <c r="O174" i="8" s="1"/>
  <c r="P174" i="8"/>
  <c r="Q174" i="8" s="1"/>
  <c r="T174" i="8" s="1"/>
  <c r="S173" i="8"/>
  <c r="S174" i="8" s="1"/>
  <c r="H110" i="8"/>
  <c r="F110" i="8"/>
  <c r="B111" i="8" s="1"/>
  <c r="C111" i="8" l="1"/>
  <c r="R174" i="8"/>
  <c r="M175" i="8" s="1"/>
  <c r="O175" i="8" s="1"/>
  <c r="P175" i="8"/>
  <c r="Q175" i="8" s="1"/>
  <c r="T175" i="8" s="1"/>
  <c r="R175" i="8" l="1"/>
  <c r="M176" i="8" s="1"/>
  <c r="O176" i="8" s="1"/>
  <c r="P176" i="8"/>
  <c r="Q176" i="8" s="1"/>
  <c r="T176" i="8" s="1"/>
  <c r="E111" i="8"/>
  <c r="G111" i="8"/>
  <c r="S175" i="8"/>
  <c r="S176" i="8" s="1"/>
  <c r="G12" i="7" l="1"/>
  <c r="F111" i="8"/>
  <c r="H111" i="8"/>
  <c r="R176" i="8"/>
  <c r="M177" i="8" s="1"/>
  <c r="O177" i="8" s="1"/>
  <c r="P177" i="8"/>
  <c r="Q177" i="8" s="1"/>
  <c r="T177" i="8" s="1"/>
  <c r="R177" i="8" l="1"/>
  <c r="M178" i="8" s="1"/>
  <c r="O178" i="8" s="1"/>
  <c r="P178" i="8"/>
  <c r="Q178" i="8" s="1"/>
  <c r="T178" i="8" s="1"/>
  <c r="B112" i="8"/>
  <c r="G10" i="7"/>
  <c r="S177" i="8"/>
  <c r="S178" i="8" s="1"/>
  <c r="C112" i="8" l="1"/>
  <c r="R178" i="8"/>
  <c r="M179" i="8" s="1"/>
  <c r="O179" i="8" s="1"/>
  <c r="P179" i="8"/>
  <c r="Q179" i="8" s="1"/>
  <c r="T179" i="8" s="1"/>
  <c r="R179" i="8" l="1"/>
  <c r="M180" i="8" s="1"/>
  <c r="O180" i="8" s="1"/>
  <c r="P180" i="8"/>
  <c r="Q180" i="8" s="1"/>
  <c r="T180" i="8" s="1"/>
  <c r="S179" i="8"/>
  <c r="S180" i="8" s="1"/>
  <c r="E112" i="8"/>
  <c r="G112" i="8"/>
  <c r="H112" i="8" l="1"/>
  <c r="F112" i="8"/>
  <c r="B113" i="8" s="1"/>
  <c r="R180" i="8"/>
  <c r="M181" i="8" s="1"/>
  <c r="O181" i="8" s="1"/>
  <c r="P181" i="8"/>
  <c r="Q181" i="8" s="1"/>
  <c r="T181" i="8" s="1"/>
  <c r="S181" i="8" l="1"/>
  <c r="C113" i="8"/>
  <c r="R181" i="8"/>
  <c r="M182" i="8" s="1"/>
  <c r="O182" i="8" s="1"/>
  <c r="P182" i="8"/>
  <c r="Q182" i="8" s="1"/>
  <c r="T182" i="8" s="1"/>
  <c r="R182" i="8" l="1"/>
  <c r="M183" i="8" s="1"/>
  <c r="O183" i="8" s="1"/>
  <c r="P183" i="8"/>
  <c r="Q183" i="8" s="1"/>
  <c r="T183" i="8" s="1"/>
  <c r="E113" i="8"/>
  <c r="G113" i="8"/>
  <c r="S182" i="8"/>
  <c r="S183" i="8" s="1"/>
  <c r="F113" i="8" l="1"/>
  <c r="B114" i="8" s="1"/>
  <c r="H113" i="8"/>
  <c r="R183" i="8"/>
  <c r="M184" i="8" s="1"/>
  <c r="O184" i="8" s="1"/>
  <c r="P184" i="8"/>
  <c r="Q184" i="8" s="1"/>
  <c r="T184" i="8" s="1"/>
  <c r="R184" i="8" l="1"/>
  <c r="M185" i="8" s="1"/>
  <c r="O185" i="8" s="1"/>
  <c r="P185" i="8"/>
  <c r="Q185" i="8" s="1"/>
  <c r="T185" i="8" s="1"/>
  <c r="S184" i="8"/>
  <c r="S185" i="8" s="1"/>
  <c r="C114" i="8"/>
  <c r="E114" i="8" l="1"/>
  <c r="G114" i="8"/>
  <c r="R185" i="8"/>
  <c r="M186" i="8" s="1"/>
  <c r="O186" i="8" s="1"/>
  <c r="P186" i="8"/>
  <c r="Q186" i="8" s="1"/>
  <c r="T186" i="8" s="1"/>
  <c r="R186" i="8" l="1"/>
  <c r="M187" i="8" s="1"/>
  <c r="O187" i="8" s="1"/>
  <c r="P187" i="8"/>
  <c r="Q187" i="8" s="1"/>
  <c r="T187" i="8" s="1"/>
  <c r="S186" i="8"/>
  <c r="S187" i="8" s="1"/>
  <c r="H114" i="8"/>
  <c r="F114" i="8"/>
  <c r="B115" i="8" s="1"/>
  <c r="C115" i="8" l="1"/>
  <c r="R187" i="8"/>
  <c r="M188" i="8" s="1"/>
  <c r="O188" i="8" s="1"/>
  <c r="P188" i="8"/>
  <c r="Q188" i="8" s="1"/>
  <c r="T188" i="8" s="1"/>
  <c r="E115" i="8" l="1"/>
  <c r="G115" i="8"/>
  <c r="R188" i="8"/>
  <c r="M189" i="8" s="1"/>
  <c r="O189" i="8" s="1"/>
  <c r="P189" i="8"/>
  <c r="Q189" i="8" s="1"/>
  <c r="T189" i="8" s="1"/>
  <c r="S188" i="8"/>
  <c r="S189" i="8" s="1"/>
  <c r="R189" i="8" l="1"/>
  <c r="M190" i="8" s="1"/>
  <c r="O190" i="8" s="1"/>
  <c r="P190" i="8"/>
  <c r="Q190" i="8" s="1"/>
  <c r="T190" i="8" s="1"/>
  <c r="F115" i="8"/>
  <c r="B116" i="8" s="1"/>
  <c r="H115" i="8"/>
  <c r="C116" i="8" l="1"/>
  <c r="R190" i="8"/>
  <c r="M191" i="8" s="1"/>
  <c r="O191" i="8" s="1"/>
  <c r="P191" i="8"/>
  <c r="Q191" i="8" s="1"/>
  <c r="T191" i="8" s="1"/>
  <c r="S190" i="8"/>
  <c r="S191" i="8" s="1"/>
  <c r="R191" i="8" l="1"/>
  <c r="M192" i="8" s="1"/>
  <c r="O192" i="8" s="1"/>
  <c r="P192" i="8"/>
  <c r="Q192" i="8" s="1"/>
  <c r="T192" i="8" s="1"/>
  <c r="E116" i="8"/>
  <c r="G116" i="8"/>
  <c r="F116" i="8" l="1"/>
  <c r="B117" i="8" s="1"/>
  <c r="H116" i="8"/>
  <c r="R192" i="8"/>
  <c r="M193" i="8" s="1"/>
  <c r="O193" i="8" s="1"/>
  <c r="P193" i="8"/>
  <c r="Q193" i="8" s="1"/>
  <c r="T193" i="8" s="1"/>
  <c r="S192" i="8"/>
  <c r="S193" i="8" s="1"/>
  <c r="R193" i="8" l="1"/>
  <c r="M194" i="8" s="1"/>
  <c r="O194" i="8" s="1"/>
  <c r="P194" i="8"/>
  <c r="Q194" i="8" s="1"/>
  <c r="T194" i="8" s="1"/>
  <c r="C117" i="8"/>
  <c r="E117" i="8" l="1"/>
  <c r="G117" i="8"/>
  <c r="R194" i="8"/>
  <c r="M195" i="8" s="1"/>
  <c r="O195" i="8" s="1"/>
  <c r="P195" i="8"/>
  <c r="Q195" i="8" s="1"/>
  <c r="T195" i="8" s="1"/>
  <c r="S194" i="8"/>
  <c r="S195" i="8" l="1"/>
  <c r="R195" i="8"/>
  <c r="M196" i="8" s="1"/>
  <c r="O196" i="8" s="1"/>
  <c r="P196" i="8"/>
  <c r="Q196" i="8" s="1"/>
  <c r="T196" i="8" s="1"/>
  <c r="H117" i="8"/>
  <c r="F117" i="8"/>
  <c r="B118" i="8" s="1"/>
  <c r="C118" i="8" l="1"/>
  <c r="R196" i="8"/>
  <c r="M197" i="8" s="1"/>
  <c r="O197" i="8" s="1"/>
  <c r="P197" i="8"/>
  <c r="Q197" i="8" s="1"/>
  <c r="T197" i="8" s="1"/>
  <c r="S196" i="8"/>
  <c r="S197" i="8" s="1"/>
  <c r="E118" i="8" l="1"/>
  <c r="G118" i="8"/>
  <c r="R197" i="8"/>
  <c r="M198" i="8" s="1"/>
  <c r="O198" i="8" s="1"/>
  <c r="P198" i="8"/>
  <c r="Q198" i="8" s="1"/>
  <c r="T198" i="8" s="1"/>
  <c r="R198" i="8" l="1"/>
  <c r="M199" i="8" s="1"/>
  <c r="O199" i="8" s="1"/>
  <c r="P199" i="8"/>
  <c r="Q199" i="8" s="1"/>
  <c r="T199" i="8" s="1"/>
  <c r="H118" i="8"/>
  <c r="F118" i="8"/>
  <c r="B119" i="8" s="1"/>
  <c r="S198" i="8"/>
  <c r="S199" i="8" s="1"/>
  <c r="C119" i="8" l="1"/>
  <c r="R199" i="8"/>
  <c r="M200" i="8" s="1"/>
  <c r="O200" i="8" s="1"/>
  <c r="P200" i="8"/>
  <c r="Q200" i="8" s="1"/>
  <c r="T200" i="8" s="1"/>
  <c r="R200" i="8" l="1"/>
  <c r="M201" i="8" s="1"/>
  <c r="O201" i="8" s="1"/>
  <c r="P201" i="8"/>
  <c r="Q201" i="8" s="1"/>
  <c r="T201" i="8" s="1"/>
  <c r="E119" i="8"/>
  <c r="G119" i="8"/>
  <c r="S200" i="8"/>
  <c r="S201" i="8" s="1"/>
  <c r="H119" i="8" l="1"/>
  <c r="F119" i="8"/>
  <c r="B120" i="8" s="1"/>
  <c r="R201" i="8"/>
  <c r="M202" i="8" s="1"/>
  <c r="O202" i="8" s="1"/>
  <c r="P202" i="8"/>
  <c r="Q202" i="8" s="1"/>
  <c r="T202" i="8" s="1"/>
  <c r="R202" i="8" l="1"/>
  <c r="M203" i="8" s="1"/>
  <c r="O203" i="8" s="1"/>
  <c r="P203" i="8"/>
  <c r="Q203" i="8" s="1"/>
  <c r="T203" i="8" s="1"/>
  <c r="C120" i="8"/>
  <c r="S202" i="8"/>
  <c r="S203" i="8" s="1"/>
  <c r="E120" i="8" l="1"/>
  <c r="G120" i="8"/>
  <c r="R203" i="8"/>
  <c r="M204" i="8" s="1"/>
  <c r="O204" i="8" s="1"/>
  <c r="P204" i="8"/>
  <c r="Q204" i="8" s="1"/>
  <c r="T204" i="8" s="1"/>
  <c r="R204" i="8" l="1"/>
  <c r="M205" i="8" s="1"/>
  <c r="O205" i="8" s="1"/>
  <c r="P205" i="8"/>
  <c r="Q205" i="8" s="1"/>
  <c r="T205" i="8" s="1"/>
  <c r="H120" i="8"/>
  <c r="F120" i="8"/>
  <c r="B121" i="8" s="1"/>
  <c r="S204" i="8"/>
  <c r="S205" i="8" s="1"/>
  <c r="C121" i="8" l="1"/>
  <c r="R205" i="8"/>
  <c r="M206" i="8" s="1"/>
  <c r="O206" i="8" s="1"/>
  <c r="P206" i="8"/>
  <c r="Q206" i="8" s="1"/>
  <c r="T206" i="8" s="1"/>
  <c r="S206" i="8"/>
  <c r="R206" i="8" l="1"/>
  <c r="M207" i="8" s="1"/>
  <c r="O207" i="8" s="1"/>
  <c r="P207" i="8"/>
  <c r="Q207" i="8" s="1"/>
  <c r="T207" i="8" s="1"/>
  <c r="E121" i="8"/>
  <c r="G121" i="8"/>
  <c r="F121" i="8" l="1"/>
  <c r="B122" i="8" s="1"/>
  <c r="H121" i="8"/>
  <c r="R207" i="8"/>
  <c r="M208" i="8" s="1"/>
  <c r="O208" i="8" s="1"/>
  <c r="P208" i="8"/>
  <c r="Q208" i="8" s="1"/>
  <c r="T208" i="8" s="1"/>
  <c r="S207" i="8"/>
  <c r="S208" i="8" s="1"/>
  <c r="R208" i="8" l="1"/>
  <c r="M209" i="8" s="1"/>
  <c r="O209" i="8" s="1"/>
  <c r="P209" i="8"/>
  <c r="Q209" i="8" s="1"/>
  <c r="T209" i="8" s="1"/>
  <c r="C122" i="8"/>
  <c r="E122" i="8" l="1"/>
  <c r="G122" i="8"/>
  <c r="R209" i="8"/>
  <c r="M210" i="8" s="1"/>
  <c r="O210" i="8" s="1"/>
  <c r="P210" i="8"/>
  <c r="Q210" i="8" s="1"/>
  <c r="T210" i="8" s="1"/>
  <c r="S209" i="8"/>
  <c r="S210" i="8" s="1"/>
  <c r="R210" i="8" l="1"/>
  <c r="M211" i="8" s="1"/>
  <c r="O211" i="8" s="1"/>
  <c r="P211" i="8"/>
  <c r="Q211" i="8" s="1"/>
  <c r="T211" i="8" s="1"/>
  <c r="H122" i="8"/>
  <c r="F122" i="8"/>
  <c r="B123" i="8" s="1"/>
  <c r="R211" i="8" l="1"/>
  <c r="M212" i="8" s="1"/>
  <c r="O212" i="8" s="1"/>
  <c r="P212" i="8"/>
  <c r="Q212" i="8" s="1"/>
  <c r="T212" i="8" s="1"/>
  <c r="C123" i="8"/>
  <c r="S211" i="8"/>
  <c r="S212" i="8" s="1"/>
  <c r="E123" i="8" l="1"/>
  <c r="G123" i="8"/>
  <c r="R212" i="8"/>
  <c r="M213" i="8" s="1"/>
  <c r="O213" i="8" s="1"/>
  <c r="P213" i="8"/>
  <c r="Q213" i="8" s="1"/>
  <c r="T213" i="8" s="1"/>
  <c r="R213" i="8" l="1"/>
  <c r="M214" i="8" s="1"/>
  <c r="O214" i="8" s="1"/>
  <c r="P214" i="8"/>
  <c r="Q214" i="8" s="1"/>
  <c r="T214" i="8" s="1"/>
  <c r="H123" i="8"/>
  <c r="F123" i="8"/>
  <c r="B124" i="8" s="1"/>
  <c r="S213" i="8"/>
  <c r="S214" i="8" s="1"/>
  <c r="R214" i="8" l="1"/>
  <c r="M215" i="8" s="1"/>
  <c r="O215" i="8" s="1"/>
  <c r="P215" i="8"/>
  <c r="Q215" i="8" s="1"/>
  <c r="T215" i="8" s="1"/>
  <c r="C124" i="8"/>
  <c r="E124" i="8" l="1"/>
  <c r="G124" i="8"/>
  <c r="R215" i="8"/>
  <c r="M216" i="8" s="1"/>
  <c r="O216" i="8" s="1"/>
  <c r="P216" i="8"/>
  <c r="Q216" i="8" s="1"/>
  <c r="T216" i="8" s="1"/>
  <c r="S215" i="8"/>
  <c r="S216" i="8" s="1"/>
  <c r="R216" i="8" l="1"/>
  <c r="M217" i="8" s="1"/>
  <c r="O217" i="8" s="1"/>
  <c r="P217" i="8"/>
  <c r="Q217" i="8" s="1"/>
  <c r="T217" i="8" s="1"/>
  <c r="H124" i="8"/>
  <c r="F124" i="8"/>
  <c r="B125" i="8" s="1"/>
  <c r="R217" i="8" l="1"/>
  <c r="M218" i="8" s="1"/>
  <c r="O218" i="8" s="1"/>
  <c r="P218" i="8"/>
  <c r="Q218" i="8" s="1"/>
  <c r="T218" i="8" s="1"/>
  <c r="C125" i="8"/>
  <c r="S217" i="8"/>
  <c r="S218" i="8" s="1"/>
  <c r="E125" i="8" l="1"/>
  <c r="G125" i="8"/>
  <c r="R218" i="8"/>
  <c r="M219" i="8" s="1"/>
  <c r="O219" i="8" s="1"/>
  <c r="P219" i="8"/>
  <c r="Q219" i="8" s="1"/>
  <c r="T219" i="8" s="1"/>
  <c r="R219" i="8" l="1"/>
  <c r="M220" i="8" s="1"/>
  <c r="O220" i="8" s="1"/>
  <c r="P220" i="8"/>
  <c r="Q220" i="8" s="1"/>
  <c r="T220" i="8" s="1"/>
  <c r="S219" i="8"/>
  <c r="S220" i="8" s="1"/>
  <c r="H125" i="8"/>
  <c r="F125" i="8"/>
  <c r="B126" i="8" s="1"/>
  <c r="C126" i="8" l="1"/>
  <c r="R220" i="8"/>
  <c r="M221" i="8" s="1"/>
  <c r="O221" i="8" s="1"/>
  <c r="P221" i="8"/>
  <c r="Q221" i="8" s="1"/>
  <c r="T221" i="8" s="1"/>
  <c r="R221" i="8" l="1"/>
  <c r="M222" i="8" s="1"/>
  <c r="O222" i="8" s="1"/>
  <c r="P222" i="8"/>
  <c r="Q222" i="8" s="1"/>
  <c r="T222" i="8" s="1"/>
  <c r="S221" i="8"/>
  <c r="S222" i="8" s="1"/>
  <c r="E126" i="8"/>
  <c r="G126" i="8"/>
  <c r="F126" i="8" l="1"/>
  <c r="B127" i="8" s="1"/>
  <c r="H126" i="8"/>
  <c r="R222" i="8"/>
  <c r="M223" i="8" s="1"/>
  <c r="O223" i="8" s="1"/>
  <c r="P223" i="8"/>
  <c r="Q223" i="8" s="1"/>
  <c r="T223" i="8" s="1"/>
  <c r="R223" i="8" l="1"/>
  <c r="M224" i="8" s="1"/>
  <c r="O224" i="8" s="1"/>
  <c r="P224" i="8"/>
  <c r="Q224" i="8" s="1"/>
  <c r="T224" i="8" s="1"/>
  <c r="S223" i="8"/>
  <c r="S224" i="8" s="1"/>
  <c r="C127" i="8"/>
  <c r="E127" i="8" l="1"/>
  <c r="G127" i="8"/>
  <c r="R224" i="8"/>
  <c r="M225" i="8" s="1"/>
  <c r="O225" i="8" s="1"/>
  <c r="P225" i="8"/>
  <c r="Q225" i="8" s="1"/>
  <c r="T225" i="8" s="1"/>
  <c r="R225" i="8" l="1"/>
  <c r="M226" i="8" s="1"/>
  <c r="O226" i="8" s="1"/>
  <c r="P226" i="8"/>
  <c r="Q226" i="8" s="1"/>
  <c r="T226" i="8" s="1"/>
  <c r="H127" i="8"/>
  <c r="F127" i="8"/>
  <c r="B128" i="8" s="1"/>
  <c r="S225" i="8"/>
  <c r="S226" i="8" s="1"/>
  <c r="C128" i="8" l="1"/>
  <c r="R226" i="8"/>
  <c r="M227" i="8" s="1"/>
  <c r="O227" i="8" s="1"/>
  <c r="P227" i="8"/>
  <c r="Q227" i="8" s="1"/>
  <c r="T227" i="8" s="1"/>
  <c r="R227" i="8" l="1"/>
  <c r="M228" i="8" s="1"/>
  <c r="O228" i="8" s="1"/>
  <c r="P228" i="8"/>
  <c r="Q228" i="8" s="1"/>
  <c r="T228" i="8" s="1"/>
  <c r="E128" i="8"/>
  <c r="G128" i="8"/>
  <c r="S227" i="8"/>
  <c r="S228" i="8" s="1"/>
  <c r="H128" i="8" l="1"/>
  <c r="F128" i="8"/>
  <c r="B129" i="8" s="1"/>
  <c r="R228" i="8"/>
  <c r="M229" i="8" s="1"/>
  <c r="O229" i="8" s="1"/>
  <c r="P229" i="8"/>
  <c r="Q229" i="8" s="1"/>
  <c r="T229" i="8" s="1"/>
  <c r="R229" i="8" l="1"/>
  <c r="M230" i="8" s="1"/>
  <c r="O230" i="8" s="1"/>
  <c r="P230" i="8"/>
  <c r="Q230" i="8" s="1"/>
  <c r="T230" i="8" s="1"/>
  <c r="C129" i="8"/>
  <c r="S229" i="8"/>
  <c r="S230" i="8" s="1"/>
  <c r="E129" i="8" l="1"/>
  <c r="G129" i="8"/>
  <c r="R230" i="8"/>
  <c r="M231" i="8" s="1"/>
  <c r="O231" i="8" s="1"/>
  <c r="P231" i="8"/>
  <c r="Q231" i="8" s="1"/>
  <c r="T231" i="8" s="1"/>
  <c r="R231" i="8" l="1"/>
  <c r="M232" i="8" s="1"/>
  <c r="O232" i="8" s="1"/>
  <c r="P232" i="8"/>
  <c r="Q232" i="8" s="1"/>
  <c r="T232" i="8" s="1"/>
  <c r="F129" i="8"/>
  <c r="B130" i="8" s="1"/>
  <c r="H129" i="8"/>
  <c r="S231" i="8"/>
  <c r="S232" i="8" s="1"/>
  <c r="C130" i="8" l="1"/>
  <c r="R232" i="8"/>
  <c r="M233" i="8" s="1"/>
  <c r="O233" i="8" s="1"/>
  <c r="P233" i="8"/>
  <c r="Q233" i="8" s="1"/>
  <c r="T233" i="8" s="1"/>
  <c r="R233" i="8" l="1"/>
  <c r="M234" i="8" s="1"/>
  <c r="O234" i="8" s="1"/>
  <c r="P234" i="8"/>
  <c r="Q234" i="8" s="1"/>
  <c r="T234" i="8" s="1"/>
  <c r="S233" i="8"/>
  <c r="S234" i="8" s="1"/>
  <c r="E130" i="8"/>
  <c r="G130" i="8"/>
  <c r="F130" i="8" l="1"/>
  <c r="B131" i="8" s="1"/>
  <c r="H130" i="8"/>
  <c r="R234" i="8"/>
  <c r="M235" i="8" s="1"/>
  <c r="O235" i="8" s="1"/>
  <c r="P235" i="8"/>
  <c r="Q235" i="8" s="1"/>
  <c r="T235" i="8" s="1"/>
  <c r="R235" i="8" l="1"/>
  <c r="M236" i="8" s="1"/>
  <c r="O236" i="8" s="1"/>
  <c r="P236" i="8"/>
  <c r="Q236" i="8" s="1"/>
  <c r="T236" i="8" s="1"/>
  <c r="S235" i="8"/>
  <c r="S236" i="8" s="1"/>
  <c r="C131" i="8"/>
  <c r="E131" i="8" l="1"/>
  <c r="G131" i="8"/>
  <c r="R236" i="8"/>
  <c r="M237" i="8" s="1"/>
  <c r="O237" i="8" s="1"/>
  <c r="P237" i="8"/>
  <c r="Q237" i="8" s="1"/>
  <c r="T237" i="8" s="1"/>
  <c r="R237" i="8" l="1"/>
  <c r="M238" i="8" s="1"/>
  <c r="O238" i="8" s="1"/>
  <c r="P238" i="8"/>
  <c r="Q238" i="8" s="1"/>
  <c r="T238" i="8" s="1"/>
  <c r="S237" i="8"/>
  <c r="S238" i="8" s="1"/>
  <c r="H131" i="8"/>
  <c r="F131" i="8"/>
  <c r="B132" i="8" s="1"/>
  <c r="C132" i="8" l="1"/>
  <c r="R238" i="8"/>
  <c r="M239" i="8" s="1"/>
  <c r="O239" i="8" s="1"/>
  <c r="P239" i="8"/>
  <c r="Q239" i="8" s="1"/>
  <c r="T239" i="8" s="1"/>
  <c r="R239" i="8" l="1"/>
  <c r="M240" i="8" s="1"/>
  <c r="O240" i="8" s="1"/>
  <c r="P240" i="8"/>
  <c r="Q240" i="8" s="1"/>
  <c r="T240" i="8" s="1"/>
  <c r="S239" i="8"/>
  <c r="S240" i="8" s="1"/>
  <c r="E132" i="8"/>
  <c r="G132" i="8"/>
  <c r="F132" i="8" l="1"/>
  <c r="B133" i="8" s="1"/>
  <c r="H132" i="8"/>
  <c r="S241" i="8"/>
  <c r="R240" i="8"/>
  <c r="M241" i="8" s="1"/>
  <c r="O241" i="8" s="1"/>
  <c r="P241" i="8"/>
  <c r="Q241" i="8" s="1"/>
  <c r="T241" i="8" s="1"/>
  <c r="R241" i="8" l="1"/>
  <c r="M242" i="8" s="1"/>
  <c r="O242" i="8" s="1"/>
  <c r="P242" i="8"/>
  <c r="Q242" i="8" s="1"/>
  <c r="T242" i="8" s="1"/>
  <c r="C133" i="8"/>
  <c r="E133" i="8" l="1"/>
  <c r="G133" i="8"/>
  <c r="R242" i="8"/>
  <c r="M243" i="8" s="1"/>
  <c r="O243" i="8" s="1"/>
  <c r="P243" i="8"/>
  <c r="Q243" i="8" s="1"/>
  <c r="T243" i="8" s="1"/>
  <c r="S242" i="8"/>
  <c r="S243" i="8" l="1"/>
  <c r="R243" i="8"/>
  <c r="M244" i="8" s="1"/>
  <c r="O244" i="8" s="1"/>
  <c r="P244" i="8"/>
  <c r="Q244" i="8" s="1"/>
  <c r="T244" i="8" s="1"/>
  <c r="H133" i="8"/>
  <c r="F133" i="8"/>
  <c r="B134" i="8" s="1"/>
  <c r="C134" i="8" l="1"/>
  <c r="R244" i="8"/>
  <c r="M245" i="8" s="1"/>
  <c r="O245" i="8" s="1"/>
  <c r="P245" i="8"/>
  <c r="Q245" i="8" s="1"/>
  <c r="T245" i="8" s="1"/>
  <c r="S244" i="8"/>
  <c r="S245" i="8" s="1"/>
  <c r="R245" i="8" l="1"/>
  <c r="M246" i="8" s="1"/>
  <c r="O246" i="8" s="1"/>
  <c r="P246" i="8"/>
  <c r="Q246" i="8" s="1"/>
  <c r="T246" i="8" s="1"/>
  <c r="E134" i="8"/>
  <c r="G134" i="8"/>
  <c r="H134" i="8" l="1"/>
  <c r="F134" i="8"/>
  <c r="B135" i="8" s="1"/>
  <c r="R246" i="8"/>
  <c r="M247" i="8" s="1"/>
  <c r="O247" i="8" s="1"/>
  <c r="P247" i="8"/>
  <c r="Q247" i="8" s="1"/>
  <c r="T247" i="8" s="1"/>
  <c r="S246" i="8"/>
  <c r="S247" i="8" s="1"/>
  <c r="C135" i="8" l="1"/>
  <c r="R247" i="8"/>
  <c r="M248" i="8" s="1"/>
  <c r="O248" i="8" s="1"/>
  <c r="P248" i="8"/>
  <c r="Q248" i="8" s="1"/>
  <c r="T248" i="8" s="1"/>
  <c r="R248" i="8" l="1"/>
  <c r="M249" i="8" s="1"/>
  <c r="O249" i="8" s="1"/>
  <c r="P249" i="8"/>
  <c r="Q249" i="8" s="1"/>
  <c r="T249" i="8" s="1"/>
  <c r="E135" i="8"/>
  <c r="G135" i="8"/>
  <c r="S248" i="8"/>
  <c r="S249" i="8" s="1"/>
  <c r="F135" i="8" l="1"/>
  <c r="B136" i="8" s="1"/>
  <c r="H135" i="8"/>
  <c r="R249" i="8"/>
  <c r="M250" i="8" s="1"/>
  <c r="O250" i="8" s="1"/>
  <c r="P250" i="8"/>
  <c r="Q250" i="8" s="1"/>
  <c r="T250" i="8" s="1"/>
  <c r="R250" i="8" l="1"/>
  <c r="M251" i="8" s="1"/>
  <c r="O251" i="8" s="1"/>
  <c r="P251" i="8"/>
  <c r="Q251" i="8" s="1"/>
  <c r="T251" i="8" s="1"/>
  <c r="S250" i="8"/>
  <c r="S251" i="8" s="1"/>
  <c r="C136" i="8"/>
  <c r="E136" i="8" l="1"/>
  <c r="G136" i="8"/>
  <c r="R251" i="8"/>
  <c r="M252" i="8" s="1"/>
  <c r="O252" i="8" s="1"/>
  <c r="P252" i="8"/>
  <c r="Q252" i="8" s="1"/>
  <c r="T252" i="8" s="1"/>
  <c r="R252" i="8" l="1"/>
  <c r="M253" i="8" s="1"/>
  <c r="O253" i="8" s="1"/>
  <c r="P253" i="8"/>
  <c r="Q253" i="8" s="1"/>
  <c r="T253" i="8" s="1"/>
  <c r="S252" i="8"/>
  <c r="S253" i="8" s="1"/>
  <c r="H136" i="8"/>
  <c r="F136" i="8"/>
  <c r="B137" i="8" s="1"/>
  <c r="C137" i="8" l="1"/>
  <c r="R253" i="8"/>
  <c r="M254" i="8" s="1"/>
  <c r="O254" i="8" s="1"/>
  <c r="P254" i="8"/>
  <c r="Q254" i="8" s="1"/>
  <c r="T254" i="8" s="1"/>
  <c r="E137" i="8" l="1"/>
  <c r="G137" i="8"/>
  <c r="R254" i="8"/>
  <c r="M255" i="8" s="1"/>
  <c r="O255" i="8" s="1"/>
  <c r="P255" i="8"/>
  <c r="Q255" i="8" s="1"/>
  <c r="T255" i="8" s="1"/>
  <c r="S254" i="8"/>
  <c r="S255" i="8" s="1"/>
  <c r="R255" i="8" l="1"/>
  <c r="M256" i="8" s="1"/>
  <c r="O256" i="8" s="1"/>
  <c r="P256" i="8"/>
  <c r="Q256" i="8" s="1"/>
  <c r="T256" i="8" s="1"/>
  <c r="F137" i="8"/>
  <c r="B138" i="8" s="1"/>
  <c r="H137" i="8"/>
  <c r="C138" i="8" l="1"/>
  <c r="R256" i="8"/>
  <c r="M257" i="8" s="1"/>
  <c r="O257" i="8" s="1"/>
  <c r="P257" i="8"/>
  <c r="Q257" i="8" s="1"/>
  <c r="T257" i="8" s="1"/>
  <c r="S256" i="8"/>
  <c r="S257" i="8" s="1"/>
  <c r="R257" i="8" l="1"/>
  <c r="M258" i="8" s="1"/>
  <c r="O258" i="8" s="1"/>
  <c r="P258" i="8"/>
  <c r="Q258" i="8" s="1"/>
  <c r="T258" i="8" s="1"/>
  <c r="E138" i="8"/>
  <c r="G138" i="8"/>
  <c r="F138" i="8" l="1"/>
  <c r="B139" i="8" s="1"/>
  <c r="H138" i="8"/>
  <c r="R258" i="8"/>
  <c r="M259" i="8" s="1"/>
  <c r="O259" i="8" s="1"/>
  <c r="P259" i="8"/>
  <c r="Q259" i="8" s="1"/>
  <c r="T259" i="8" s="1"/>
  <c r="S258" i="8"/>
  <c r="S259" i="8" l="1"/>
  <c r="R259" i="8"/>
  <c r="M260" i="8" s="1"/>
  <c r="O260" i="8" s="1"/>
  <c r="P260" i="8"/>
  <c r="Q260" i="8" s="1"/>
  <c r="T260" i="8" s="1"/>
  <c r="C139" i="8"/>
  <c r="R260" i="8" l="1"/>
  <c r="M261" i="8" s="1"/>
  <c r="O261" i="8" s="1"/>
  <c r="P261" i="8"/>
  <c r="Q261" i="8" s="1"/>
  <c r="T261" i="8" s="1"/>
  <c r="E139" i="8"/>
  <c r="G139" i="8"/>
  <c r="S260" i="8"/>
  <c r="S261" i="8" s="1"/>
  <c r="H139" i="8" l="1"/>
  <c r="F139" i="8"/>
  <c r="B140" i="8" s="1"/>
  <c r="R261" i="8"/>
  <c r="M262" i="8" s="1"/>
  <c r="O262" i="8" s="1"/>
  <c r="P262" i="8"/>
  <c r="Q262" i="8" s="1"/>
  <c r="T262" i="8" s="1"/>
  <c r="R262" i="8" l="1"/>
  <c r="M263" i="8" s="1"/>
  <c r="O263" i="8" s="1"/>
  <c r="P263" i="8"/>
  <c r="Q263" i="8" s="1"/>
  <c r="T263" i="8" s="1"/>
  <c r="C140" i="8"/>
  <c r="S262" i="8"/>
  <c r="S263" i="8" s="1"/>
  <c r="E140" i="8" l="1"/>
  <c r="G140" i="8"/>
  <c r="R263" i="8"/>
  <c r="M264" i="8" s="1"/>
  <c r="O264" i="8" s="1"/>
  <c r="P264" i="8"/>
  <c r="Q264" i="8" s="1"/>
  <c r="T264" i="8" s="1"/>
  <c r="R264" i="8" l="1"/>
  <c r="M265" i="8" s="1"/>
  <c r="O265" i="8" s="1"/>
  <c r="P265" i="8"/>
  <c r="Q265" i="8" s="1"/>
  <c r="T265" i="8" s="1"/>
  <c r="S264" i="8"/>
  <c r="S265" i="8" s="1"/>
  <c r="F140" i="8"/>
  <c r="B141" i="8" s="1"/>
  <c r="H140" i="8"/>
  <c r="C141" i="8" l="1"/>
  <c r="R265" i="8"/>
  <c r="M266" i="8" s="1"/>
  <c r="O266" i="8" s="1"/>
  <c r="P266" i="8"/>
  <c r="Q266" i="8" s="1"/>
  <c r="T266" i="8" s="1"/>
  <c r="R266" i="8" l="1"/>
  <c r="M267" i="8" s="1"/>
  <c r="O267" i="8" s="1"/>
  <c r="P267" i="8"/>
  <c r="Q267" i="8" s="1"/>
  <c r="T267" i="8" s="1"/>
  <c r="E141" i="8"/>
  <c r="G141" i="8"/>
  <c r="S266" i="8"/>
  <c r="S267" i="8" s="1"/>
  <c r="H141" i="8" l="1"/>
  <c r="F141" i="8"/>
  <c r="B142" i="8" s="1"/>
  <c r="R267" i="8"/>
  <c r="M268" i="8" s="1"/>
  <c r="O268" i="8" s="1"/>
  <c r="P268" i="8"/>
  <c r="Q268" i="8" s="1"/>
  <c r="T268" i="8" s="1"/>
  <c r="R268" i="8" l="1"/>
  <c r="M269" i="8" s="1"/>
  <c r="O269" i="8" s="1"/>
  <c r="P269" i="8"/>
  <c r="Q269" i="8" s="1"/>
  <c r="T269" i="8" s="1"/>
  <c r="S268" i="8"/>
  <c r="S269" i="8" s="1"/>
  <c r="C142" i="8"/>
  <c r="E142" i="8" l="1"/>
  <c r="G142" i="8"/>
  <c r="R269" i="8"/>
  <c r="M270" i="8" s="1"/>
  <c r="O270" i="8" s="1"/>
  <c r="P270" i="8"/>
  <c r="Q270" i="8" s="1"/>
  <c r="T270" i="8" s="1"/>
  <c r="R270" i="8" l="1"/>
  <c r="M271" i="8" s="1"/>
  <c r="O271" i="8" s="1"/>
  <c r="P271" i="8"/>
  <c r="Q271" i="8" s="1"/>
  <c r="T271" i="8" s="1"/>
  <c r="H142" i="8"/>
  <c r="F142" i="8"/>
  <c r="B143" i="8" s="1"/>
  <c r="S270" i="8"/>
  <c r="S271" i="8" s="1"/>
  <c r="C143" i="8" l="1"/>
  <c r="R271" i="8"/>
  <c r="M272" i="8" s="1"/>
  <c r="O272" i="8" s="1"/>
  <c r="P272" i="8"/>
  <c r="Q272" i="8" s="1"/>
  <c r="T272" i="8" s="1"/>
  <c r="E143" i="8" l="1"/>
  <c r="G143" i="8"/>
  <c r="R272" i="8"/>
  <c r="M273" i="8" s="1"/>
  <c r="O273" i="8" s="1"/>
  <c r="P273" i="8"/>
  <c r="Q273" i="8" s="1"/>
  <c r="T273" i="8" s="1"/>
  <c r="H17" i="7" s="1" a="1"/>
  <c r="H17" i="7" s="1"/>
  <c r="S272" i="8"/>
  <c r="S273" i="8" l="1"/>
  <c r="H16" i="7" a="1"/>
  <c r="H16" i="7" s="1"/>
  <c r="R273" i="8"/>
  <c r="H15" i="7"/>
  <c r="H143" i="8"/>
  <c r="F143" i="8"/>
  <c r="B144" i="8" s="1"/>
  <c r="C144" i="8" l="1"/>
  <c r="E144" i="8" l="1"/>
  <c r="G144" i="8"/>
  <c r="H144" i="8" l="1"/>
  <c r="F144" i="8"/>
  <c r="B145" i="8" s="1"/>
  <c r="C145" i="8" l="1"/>
  <c r="E145" i="8" l="1"/>
  <c r="G145" i="8"/>
  <c r="F145" i="8" l="1"/>
  <c r="B146" i="8" s="1"/>
  <c r="H145" i="8"/>
  <c r="C146" i="8" l="1"/>
  <c r="E146" i="8" l="1"/>
  <c r="G146" i="8"/>
  <c r="H146" i="8" l="1"/>
  <c r="F146" i="8"/>
  <c r="B147" i="8" s="1"/>
  <c r="C147" i="8" l="1"/>
  <c r="E147" i="8" l="1"/>
  <c r="G147" i="8"/>
  <c r="F147" i="8" l="1"/>
  <c r="B148" i="8" s="1"/>
  <c r="H147" i="8"/>
  <c r="C148" i="8" l="1"/>
  <c r="E148" i="8" l="1"/>
  <c r="G148" i="8"/>
  <c r="H148" i="8" l="1"/>
  <c r="F148" i="8"/>
  <c r="B149" i="8" s="1"/>
  <c r="C149" i="8" l="1"/>
  <c r="E149" i="8" l="1"/>
  <c r="G149" i="8"/>
  <c r="F149" i="8" l="1"/>
  <c r="B150" i="8" s="1"/>
  <c r="H149" i="8"/>
  <c r="C150" i="8" l="1"/>
  <c r="E150" i="8" l="1"/>
  <c r="G150" i="8"/>
  <c r="H150" i="8" l="1"/>
  <c r="F150" i="8"/>
  <c r="B151" i="8" s="1"/>
  <c r="C151" i="8" l="1"/>
  <c r="E151" i="8" l="1"/>
  <c r="G151" i="8"/>
  <c r="F151" i="8" l="1"/>
  <c r="B152" i="8" s="1"/>
  <c r="H151" i="8"/>
  <c r="C152" i="8" l="1"/>
  <c r="E152" i="8" l="1"/>
  <c r="G152" i="8"/>
  <c r="H152" i="8" l="1"/>
  <c r="F152" i="8"/>
  <c r="B153" i="8" s="1"/>
  <c r="C153" i="8" l="1"/>
  <c r="E153" i="8" l="1"/>
  <c r="G153" i="8"/>
  <c r="F153" i="8" l="1"/>
  <c r="B154" i="8" s="1"/>
  <c r="H153" i="8"/>
  <c r="C154" i="8" l="1"/>
  <c r="E154" i="8" l="1"/>
  <c r="G154" i="8"/>
  <c r="H154" i="8" l="1"/>
  <c r="F154" i="8"/>
  <c r="B155" i="8" s="1"/>
  <c r="C155" i="8" l="1"/>
  <c r="E155" i="8" l="1"/>
  <c r="G155" i="8"/>
  <c r="F155" i="8" l="1"/>
  <c r="B156" i="8" s="1"/>
  <c r="H155" i="8"/>
  <c r="C156" i="8" l="1"/>
  <c r="E156" i="8" l="1"/>
  <c r="G156" i="8"/>
  <c r="H156" i="8" l="1"/>
  <c r="F156" i="8"/>
  <c r="B157" i="8" s="1"/>
  <c r="C157" i="8" l="1"/>
  <c r="E157" i="8" l="1"/>
  <c r="G157" i="8"/>
  <c r="F157" i="8" l="1"/>
  <c r="B158" i="8" s="1"/>
  <c r="H157" i="8"/>
  <c r="C158" i="8" l="1"/>
  <c r="E158" i="8" l="1"/>
  <c r="G158" i="8"/>
  <c r="H158" i="8" l="1"/>
  <c r="F158" i="8"/>
  <c r="B159" i="8" s="1"/>
  <c r="C159" i="8" l="1"/>
  <c r="E159" i="8" l="1"/>
  <c r="G159" i="8"/>
  <c r="F159" i="8" l="1"/>
  <c r="B160" i="8" s="1"/>
  <c r="H159" i="8"/>
  <c r="C160" i="8" l="1"/>
  <c r="E160" i="8" l="1"/>
  <c r="G160" i="8"/>
  <c r="H160" i="8" l="1"/>
  <c r="F160" i="8"/>
  <c r="B161" i="8" s="1"/>
  <c r="C161" i="8" l="1"/>
  <c r="E161" i="8" l="1"/>
  <c r="G161" i="8"/>
  <c r="F161" i="8" l="1"/>
  <c r="B162" i="8" s="1"/>
  <c r="H161" i="8"/>
  <c r="C162" i="8" l="1"/>
  <c r="E162" i="8" l="1"/>
  <c r="G162" i="8"/>
  <c r="H162" i="8" l="1"/>
  <c r="F162" i="8"/>
  <c r="B163" i="8" s="1"/>
  <c r="C163" i="8" l="1"/>
  <c r="E163" i="8" l="1"/>
  <c r="G163" i="8"/>
  <c r="F163" i="8" l="1"/>
  <c r="B164" i="8" s="1"/>
  <c r="H163" i="8"/>
  <c r="C164" i="8" l="1"/>
  <c r="E164" i="8" l="1"/>
  <c r="G164" i="8"/>
  <c r="H164" i="8" l="1"/>
  <c r="F164" i="8"/>
  <c r="B165" i="8" s="1"/>
  <c r="C165" i="8" l="1"/>
  <c r="E165" i="8" l="1"/>
  <c r="G165" i="8"/>
  <c r="F165" i="8" l="1"/>
  <c r="B166" i="8" s="1"/>
  <c r="H165" i="8"/>
  <c r="C166" i="8" l="1"/>
  <c r="E166" i="8" l="1"/>
  <c r="G166" i="8"/>
  <c r="H166" i="8" l="1"/>
  <c r="F166" i="8"/>
  <c r="B167" i="8" s="1"/>
  <c r="C167" i="8" l="1"/>
  <c r="E167" i="8" l="1"/>
  <c r="G167" i="8"/>
  <c r="F167" i="8" l="1"/>
  <c r="B168" i="8" s="1"/>
  <c r="H167" i="8"/>
  <c r="C168" i="8" l="1"/>
  <c r="E168" i="8" l="1"/>
  <c r="G168" i="8"/>
  <c r="H168" i="8" l="1"/>
  <c r="F168" i="8"/>
  <c r="B169" i="8" s="1"/>
  <c r="C169" i="8" l="1"/>
  <c r="E169" i="8" l="1"/>
  <c r="G169" i="8"/>
  <c r="H169" i="8" l="1"/>
  <c r="F169" i="8"/>
  <c r="B170" i="8" s="1"/>
  <c r="C170" i="8" l="1"/>
  <c r="E170" i="8" l="1"/>
  <c r="G170" i="8"/>
  <c r="F170" i="8" l="1"/>
  <c r="B171" i="8" s="1"/>
  <c r="H170" i="8"/>
  <c r="C171" i="8" l="1"/>
  <c r="E171" i="8" l="1"/>
  <c r="G171" i="8"/>
  <c r="H171" i="8" l="1"/>
  <c r="F171" i="8"/>
  <c r="B172" i="8" s="1"/>
  <c r="C172" i="8" l="1"/>
  <c r="E172" i="8" l="1"/>
  <c r="G172" i="8"/>
  <c r="F172" i="8" l="1"/>
  <c r="B173" i="8" s="1"/>
  <c r="H172" i="8"/>
  <c r="C173" i="8" l="1"/>
  <c r="E173" i="8" l="1"/>
  <c r="G173" i="8"/>
  <c r="H173" i="8" l="1"/>
  <c r="F173" i="8"/>
  <c r="B174" i="8" s="1"/>
  <c r="C174" i="8" l="1"/>
  <c r="E174" i="8" l="1"/>
  <c r="G174" i="8"/>
  <c r="H174" i="8" l="1"/>
  <c r="F174" i="8"/>
  <c r="B175" i="8" s="1"/>
  <c r="C175" i="8" l="1"/>
  <c r="E175" i="8" l="1"/>
  <c r="G175" i="8"/>
  <c r="F175" i="8" l="1"/>
  <c r="B176" i="8" s="1"/>
  <c r="H175" i="8"/>
  <c r="C176" i="8" l="1"/>
  <c r="E176" i="8" l="1"/>
  <c r="G176" i="8"/>
  <c r="H176" i="8" l="1"/>
  <c r="F176" i="8"/>
  <c r="B177" i="8" s="1"/>
  <c r="C177" i="8" l="1"/>
  <c r="E177" i="8" l="1"/>
  <c r="G177" i="8"/>
  <c r="F177" i="8" l="1"/>
  <c r="B178" i="8" s="1"/>
  <c r="H177" i="8"/>
  <c r="C178" i="8" l="1"/>
  <c r="E178" i="8" l="1"/>
  <c r="G178" i="8"/>
  <c r="H178" i="8" l="1"/>
  <c r="F178" i="8"/>
  <c r="B179" i="8" s="1"/>
  <c r="C179" i="8" l="1"/>
  <c r="E179" i="8" l="1"/>
  <c r="G179" i="8"/>
  <c r="F179" i="8" l="1"/>
  <c r="B180" i="8" s="1"/>
  <c r="H179" i="8"/>
  <c r="C180" i="8" l="1"/>
  <c r="E180" i="8" l="1"/>
  <c r="G180" i="8"/>
  <c r="H180" i="8" l="1"/>
  <c r="F180" i="8"/>
  <c r="B181" i="8" s="1"/>
  <c r="C181" i="8" l="1"/>
  <c r="E181" i="8" l="1"/>
  <c r="G181" i="8"/>
  <c r="F181" i="8" l="1"/>
  <c r="B182" i="8" s="1"/>
  <c r="H181" i="8"/>
  <c r="C182" i="8" l="1"/>
  <c r="E182" i="8" l="1"/>
  <c r="G182" i="8"/>
  <c r="H182" i="8" l="1"/>
  <c r="F182" i="8"/>
  <c r="B183" i="8" s="1"/>
  <c r="C183" i="8" l="1"/>
  <c r="E183" i="8" l="1"/>
  <c r="G183" i="8"/>
  <c r="F183" i="8" l="1"/>
  <c r="B184" i="8" s="1"/>
  <c r="H183" i="8"/>
  <c r="C184" i="8" l="1"/>
  <c r="E184" i="8" l="1"/>
  <c r="G184" i="8"/>
  <c r="H184" i="8" l="1"/>
  <c r="F184" i="8"/>
  <c r="B185" i="8" s="1"/>
  <c r="C185" i="8" l="1"/>
  <c r="E185" i="8" l="1"/>
  <c r="G185" i="8"/>
  <c r="F185" i="8" l="1"/>
  <c r="B186" i="8" s="1"/>
  <c r="H185" i="8"/>
  <c r="C186" i="8" l="1"/>
  <c r="E186" i="8" l="1"/>
  <c r="G186" i="8"/>
  <c r="H186" i="8" l="1"/>
  <c r="F186" i="8"/>
  <c r="B187" i="8" s="1"/>
  <c r="C187" i="8" l="1"/>
  <c r="E187" i="8" l="1"/>
  <c r="G187" i="8"/>
  <c r="F187" i="8" l="1"/>
  <c r="B188" i="8" s="1"/>
  <c r="H187" i="8"/>
  <c r="C188" i="8" l="1"/>
  <c r="E188" i="8" l="1"/>
  <c r="G188" i="8"/>
  <c r="H188" i="8" l="1"/>
  <c r="F188" i="8"/>
  <c r="B189" i="8" s="1"/>
  <c r="C189" i="8" l="1"/>
  <c r="E189" i="8" l="1"/>
  <c r="G189" i="8"/>
  <c r="F189" i="8" l="1"/>
  <c r="B190" i="8" s="1"/>
  <c r="H189" i="8"/>
  <c r="C190" i="8" l="1"/>
  <c r="E190" i="8" l="1"/>
  <c r="G190" i="8"/>
  <c r="H190" i="8" l="1"/>
  <c r="F190" i="8"/>
  <c r="B191" i="8" s="1"/>
  <c r="C191" i="8" l="1"/>
  <c r="E191" i="8" l="1"/>
  <c r="G191" i="8"/>
  <c r="F191" i="8" l="1"/>
  <c r="B192" i="8" s="1"/>
  <c r="H191" i="8"/>
  <c r="C192" i="8" l="1"/>
  <c r="E192" i="8" l="1"/>
  <c r="G192" i="8"/>
  <c r="H192" i="8" l="1"/>
  <c r="F192" i="8"/>
  <c r="B193" i="8" s="1"/>
  <c r="C193" i="8" l="1"/>
  <c r="E193" i="8" l="1"/>
  <c r="G193" i="8"/>
  <c r="F193" i="8" l="1"/>
  <c r="B194" i="8" s="1"/>
  <c r="H193" i="8"/>
  <c r="C194" i="8" l="1"/>
  <c r="E194" i="8" l="1"/>
  <c r="G194" i="8"/>
  <c r="H194" i="8" l="1"/>
  <c r="F194" i="8"/>
  <c r="B195" i="8" s="1"/>
  <c r="C195" i="8" l="1"/>
  <c r="E195" i="8" l="1"/>
  <c r="G195" i="8"/>
  <c r="F195" i="8" l="1"/>
  <c r="B196" i="8" s="1"/>
  <c r="H195" i="8"/>
  <c r="C196" i="8" l="1"/>
  <c r="E196" i="8" l="1"/>
  <c r="G196" i="8"/>
  <c r="H196" i="8" l="1"/>
  <c r="F196" i="8"/>
  <c r="B197" i="8" s="1"/>
  <c r="C197" i="8" l="1"/>
  <c r="E197" i="8" l="1"/>
  <c r="G197" i="8"/>
  <c r="F197" i="8" l="1"/>
  <c r="B198" i="8" s="1"/>
  <c r="H197" i="8"/>
  <c r="C198" i="8" l="1"/>
  <c r="E198" i="8" l="1"/>
  <c r="G198" i="8"/>
  <c r="H198" i="8" l="1"/>
  <c r="F198" i="8"/>
  <c r="B199" i="8" s="1"/>
  <c r="C199" i="8" l="1"/>
  <c r="E199" i="8" l="1"/>
  <c r="G199" i="8"/>
  <c r="F199" i="8" l="1"/>
  <c r="B200" i="8" s="1"/>
  <c r="H199" i="8"/>
  <c r="C200" i="8" l="1"/>
  <c r="E200" i="8" l="1"/>
  <c r="G200" i="8"/>
  <c r="H200" i="8" l="1"/>
  <c r="F200" i="8"/>
  <c r="B201" i="8" s="1"/>
  <c r="C201" i="8" l="1"/>
  <c r="E201" i="8" l="1"/>
  <c r="G201" i="8"/>
  <c r="H201" i="8" l="1"/>
  <c r="F201" i="8"/>
  <c r="B202" i="8" s="1"/>
  <c r="C202" i="8" l="1"/>
  <c r="E202" i="8" l="1"/>
  <c r="G202" i="8"/>
  <c r="F202" i="8" l="1"/>
  <c r="B203" i="8" s="1"/>
  <c r="H202" i="8"/>
  <c r="C203" i="8" l="1"/>
  <c r="E203" i="8" l="1"/>
  <c r="G203" i="8"/>
  <c r="H203" i="8" l="1"/>
  <c r="F203" i="8"/>
  <c r="B204" i="8" s="1"/>
  <c r="C204" i="8" l="1"/>
  <c r="E204" i="8" l="1"/>
  <c r="G204" i="8"/>
  <c r="F204" i="8" l="1"/>
  <c r="B205" i="8" s="1"/>
  <c r="H204" i="8"/>
  <c r="C205" i="8" l="1"/>
  <c r="E205" i="8" l="1"/>
  <c r="G205" i="8"/>
  <c r="H205" i="8" l="1"/>
  <c r="F205" i="8"/>
  <c r="B206" i="8" s="1"/>
  <c r="C206" i="8" l="1"/>
  <c r="E206" i="8" l="1"/>
  <c r="G206" i="8"/>
  <c r="F206" i="8" l="1"/>
  <c r="B207" i="8" s="1"/>
  <c r="H206" i="8"/>
  <c r="C207" i="8" l="1"/>
  <c r="E207" i="8" l="1"/>
  <c r="G207" i="8"/>
  <c r="H207" i="8" l="1"/>
  <c r="F207" i="8"/>
  <c r="B208" i="8" s="1"/>
  <c r="C208" i="8" l="1"/>
  <c r="E208" i="8" l="1"/>
  <c r="G208" i="8"/>
  <c r="F208" i="8" l="1"/>
  <c r="B209" i="8" s="1"/>
  <c r="H208" i="8"/>
  <c r="C209" i="8" l="1"/>
  <c r="E209" i="8" l="1"/>
  <c r="G209" i="8"/>
  <c r="H209" i="8" l="1"/>
  <c r="F209" i="8"/>
  <c r="B210" i="8" s="1"/>
  <c r="C210" i="8" l="1"/>
  <c r="E210" i="8" l="1"/>
  <c r="G210" i="8"/>
  <c r="F210" i="8" l="1"/>
  <c r="B211" i="8" s="1"/>
  <c r="H210" i="8"/>
  <c r="C211" i="8" l="1"/>
  <c r="E211" i="8" l="1"/>
  <c r="G211" i="8"/>
  <c r="H211" i="8" l="1"/>
  <c r="F211" i="8"/>
  <c r="B212" i="8" s="1"/>
  <c r="C212" i="8" l="1"/>
  <c r="E212" i="8" l="1"/>
  <c r="G212" i="8"/>
  <c r="H212" i="8" l="1"/>
  <c r="F212" i="8"/>
  <c r="B213" i="8" s="1"/>
  <c r="C213" i="8" l="1"/>
  <c r="E213" i="8" l="1"/>
  <c r="G213" i="8"/>
  <c r="F213" i="8" l="1"/>
  <c r="B214" i="8" s="1"/>
  <c r="H213" i="8"/>
  <c r="C214" i="8" l="1"/>
  <c r="E214" i="8" l="1"/>
  <c r="G214" i="8"/>
  <c r="H214" i="8" l="1"/>
  <c r="F214" i="8"/>
  <c r="B215" i="8" s="1"/>
  <c r="C215" i="8" l="1"/>
  <c r="E215" i="8" l="1"/>
  <c r="G215" i="8"/>
  <c r="F215" i="8" l="1"/>
  <c r="B216" i="8" s="1"/>
  <c r="H215" i="8"/>
  <c r="C216" i="8" l="1"/>
  <c r="E216" i="8" l="1"/>
  <c r="G216" i="8"/>
  <c r="H216" i="8" l="1"/>
  <c r="F216" i="8"/>
  <c r="B217" i="8" s="1"/>
  <c r="C217" i="8" l="1"/>
  <c r="E217" i="8" l="1"/>
  <c r="G217" i="8"/>
  <c r="F217" i="8" l="1"/>
  <c r="B218" i="8" s="1"/>
  <c r="H217" i="8"/>
  <c r="C218" i="8" l="1"/>
  <c r="E218" i="8" l="1"/>
  <c r="G218" i="8"/>
  <c r="H218" i="8" l="1"/>
  <c r="F218" i="8"/>
  <c r="B219" i="8" s="1"/>
  <c r="C219" i="8" l="1"/>
  <c r="E219" i="8" l="1"/>
  <c r="G219" i="8"/>
  <c r="F219" i="8" l="1"/>
  <c r="B220" i="8" s="1"/>
  <c r="H219" i="8"/>
  <c r="C220" i="8" l="1"/>
  <c r="E220" i="8" l="1"/>
  <c r="G220" i="8"/>
  <c r="H220" i="8" l="1"/>
  <c r="F220" i="8"/>
  <c r="B221" i="8" s="1"/>
  <c r="C221" i="8" l="1"/>
  <c r="E221" i="8" l="1"/>
  <c r="G221" i="8"/>
  <c r="H221" i="8" l="1"/>
  <c r="F221" i="8"/>
  <c r="B222" i="8" s="1"/>
  <c r="C222" i="8" l="1"/>
  <c r="E222" i="8" l="1"/>
  <c r="G222" i="8"/>
  <c r="H222" i="8" l="1"/>
  <c r="F222" i="8"/>
  <c r="B223" i="8" s="1"/>
  <c r="C223" i="8" l="1"/>
  <c r="E223" i="8" l="1"/>
  <c r="G223" i="8"/>
  <c r="F223" i="8" l="1"/>
  <c r="B224" i="8" s="1"/>
  <c r="H223" i="8"/>
  <c r="C224" i="8" l="1"/>
  <c r="E224" i="8" l="1"/>
  <c r="G224" i="8"/>
  <c r="H224" i="8" l="1"/>
  <c r="F224" i="8"/>
  <c r="B225" i="8" s="1"/>
  <c r="C225" i="8" l="1"/>
  <c r="E225" i="8" l="1"/>
  <c r="G225" i="8"/>
  <c r="F225" i="8" l="1"/>
  <c r="B226" i="8" s="1"/>
  <c r="H225" i="8"/>
  <c r="C226" i="8" l="1"/>
  <c r="E226" i="8" l="1"/>
  <c r="G226" i="8"/>
  <c r="H226" i="8" l="1"/>
  <c r="F226" i="8"/>
  <c r="B227" i="8" s="1"/>
  <c r="C227" i="8" l="1"/>
  <c r="E227" i="8" l="1"/>
  <c r="G227" i="8"/>
  <c r="F227" i="8" l="1"/>
  <c r="B228" i="8" s="1"/>
  <c r="H227" i="8"/>
  <c r="C228" i="8" l="1"/>
  <c r="E228" i="8" l="1"/>
  <c r="G228" i="8"/>
  <c r="H228" i="8" l="1"/>
  <c r="F228" i="8"/>
  <c r="B229" i="8" s="1"/>
  <c r="C229" i="8" l="1"/>
  <c r="E229" i="8" l="1"/>
  <c r="G229" i="8"/>
  <c r="F229" i="8" l="1"/>
  <c r="B230" i="8" s="1"/>
  <c r="H229" i="8"/>
  <c r="C230" i="8" l="1"/>
  <c r="E230" i="8" l="1"/>
  <c r="G230" i="8"/>
  <c r="H230" i="8" l="1"/>
  <c r="F230" i="8"/>
  <c r="B231" i="8" s="1"/>
  <c r="C231" i="8" l="1"/>
  <c r="E231" i="8" l="1"/>
  <c r="G231" i="8"/>
  <c r="F231" i="8" l="1"/>
  <c r="B232" i="8" s="1"/>
  <c r="H231" i="8"/>
  <c r="C232" i="8" l="1"/>
  <c r="E232" i="8" l="1"/>
  <c r="G232" i="8"/>
  <c r="H232" i="8" l="1"/>
  <c r="F232" i="8"/>
  <c r="B233" i="8" s="1"/>
  <c r="C233" i="8" l="1"/>
  <c r="E233" i="8" l="1"/>
  <c r="G233" i="8"/>
  <c r="F233" i="8" l="1"/>
  <c r="B234" i="8" s="1"/>
  <c r="H233" i="8"/>
  <c r="C234" i="8" l="1"/>
  <c r="E234" i="8" l="1"/>
  <c r="G234" i="8"/>
  <c r="H234" i="8" l="1"/>
  <c r="F234" i="8"/>
  <c r="B235" i="8" s="1"/>
  <c r="C235" i="8" l="1"/>
  <c r="E235" i="8" l="1"/>
  <c r="G235" i="8"/>
  <c r="H235" i="8" l="1"/>
  <c r="F235" i="8"/>
  <c r="B236" i="8" s="1"/>
  <c r="C236" i="8" l="1"/>
  <c r="E236" i="8" l="1"/>
  <c r="G236" i="8"/>
  <c r="F236" i="8" l="1"/>
  <c r="B237" i="8" s="1"/>
  <c r="H236" i="8"/>
  <c r="C237" i="8" l="1"/>
  <c r="E237" i="8" l="1"/>
  <c r="G237" i="8"/>
  <c r="H237" i="8" l="1"/>
  <c r="F237" i="8"/>
  <c r="B238" i="8" s="1"/>
  <c r="C238" i="8" l="1"/>
  <c r="E238" i="8" l="1"/>
  <c r="G238" i="8"/>
  <c r="F238" i="8" l="1"/>
  <c r="B239" i="8" s="1"/>
  <c r="H238" i="8"/>
  <c r="C239" i="8" l="1"/>
  <c r="E239" i="8" l="1"/>
  <c r="G239" i="8"/>
  <c r="H239" i="8" l="1"/>
  <c r="F239" i="8"/>
  <c r="B240" i="8" s="1"/>
  <c r="C240" i="8" l="1"/>
  <c r="E240" i="8" l="1"/>
  <c r="G240" i="8"/>
  <c r="F240" i="8" l="1"/>
  <c r="B241" i="8" s="1"/>
  <c r="H240" i="8"/>
  <c r="C241" i="8" l="1"/>
  <c r="E241" i="8" l="1"/>
  <c r="G241" i="8"/>
  <c r="H241" i="8" l="1"/>
  <c r="F241" i="8"/>
  <c r="B242" i="8" s="1"/>
  <c r="C242" i="8" l="1"/>
  <c r="E242" i="8" l="1"/>
  <c r="G242" i="8"/>
  <c r="F242" i="8" l="1"/>
  <c r="B243" i="8" s="1"/>
  <c r="H242" i="8"/>
  <c r="C243" i="8" l="1"/>
  <c r="E243" i="8" l="1"/>
  <c r="G243" i="8"/>
  <c r="H243" i="8" l="1"/>
  <c r="F243" i="8"/>
  <c r="B244" i="8" s="1"/>
  <c r="C244" i="8" l="1"/>
  <c r="E244" i="8" l="1"/>
  <c r="G244" i="8"/>
  <c r="F244" i="8" l="1"/>
  <c r="B245" i="8" s="1"/>
  <c r="H244" i="8"/>
  <c r="C245" i="8" l="1"/>
  <c r="E245" i="8" l="1"/>
  <c r="G245" i="8"/>
  <c r="H245" i="8" l="1"/>
  <c r="F245" i="8"/>
  <c r="B246" i="8" s="1"/>
  <c r="C246" i="8" l="1"/>
  <c r="E246" i="8" l="1"/>
  <c r="G246" i="8"/>
  <c r="F246" i="8" l="1"/>
  <c r="B247" i="8" s="1"/>
  <c r="H246" i="8"/>
  <c r="C247" i="8" l="1"/>
  <c r="E247" i="8" l="1"/>
  <c r="G247" i="8"/>
  <c r="H247" i="8" l="1"/>
  <c r="F247" i="8"/>
  <c r="B248" i="8" s="1"/>
  <c r="C248" i="8" l="1"/>
  <c r="E248" i="8" l="1"/>
  <c r="G248" i="8"/>
  <c r="F248" i="8" l="1"/>
  <c r="B249" i="8" s="1"/>
  <c r="H248" i="8"/>
  <c r="C249" i="8" l="1"/>
  <c r="E249" i="8" l="1"/>
  <c r="G249" i="8"/>
  <c r="H249" i="8" l="1"/>
  <c r="F249" i="8"/>
  <c r="B250" i="8" s="1"/>
  <c r="C250" i="8" l="1"/>
  <c r="E250" i="8" l="1"/>
  <c r="G250" i="8"/>
  <c r="H250" i="8" l="1"/>
  <c r="F250" i="8"/>
  <c r="B251" i="8" s="1"/>
  <c r="C251" i="8" l="1"/>
  <c r="E251" i="8" l="1"/>
  <c r="G251" i="8"/>
  <c r="H251" i="8" l="1"/>
  <c r="F251" i="8"/>
  <c r="B252" i="8" s="1"/>
  <c r="C252" i="8" l="1"/>
  <c r="E252" i="8" l="1"/>
  <c r="G252" i="8"/>
  <c r="F252" i="8" l="1"/>
  <c r="B253" i="8" s="1"/>
  <c r="H252" i="8"/>
  <c r="C253" i="8" l="1"/>
  <c r="E253" i="8" l="1"/>
  <c r="G253" i="8"/>
  <c r="H253" i="8" l="1"/>
  <c r="F253" i="8"/>
  <c r="B254" i="8" s="1"/>
  <c r="C254" i="8" l="1"/>
  <c r="E254" i="8" l="1"/>
  <c r="G254" i="8"/>
  <c r="F254" i="8" l="1"/>
  <c r="B255" i="8" s="1"/>
  <c r="H254" i="8"/>
  <c r="C255" i="8" l="1"/>
  <c r="E255" i="8" l="1"/>
  <c r="G255" i="8"/>
  <c r="H255" i="8" l="1"/>
  <c r="F255" i="8"/>
  <c r="B256" i="8" s="1"/>
  <c r="C256" i="8" l="1"/>
  <c r="E256" i="8" l="1"/>
  <c r="G256" i="8"/>
  <c r="F256" i="8" l="1"/>
  <c r="B257" i="8" s="1"/>
  <c r="H256" i="8"/>
  <c r="C257" i="8" l="1"/>
  <c r="E257" i="8" l="1"/>
  <c r="G257" i="8"/>
  <c r="H257" i="8" l="1"/>
  <c r="F257" i="8"/>
  <c r="B258" i="8" s="1"/>
  <c r="C258" i="8" l="1"/>
  <c r="E258" i="8" l="1"/>
  <c r="G258" i="8"/>
  <c r="F258" i="8" l="1"/>
  <c r="B259" i="8" s="1"/>
  <c r="H258" i="8"/>
  <c r="C259" i="8" l="1"/>
  <c r="E259" i="8" l="1"/>
  <c r="G259" i="8"/>
  <c r="H259" i="8" l="1"/>
  <c r="F259" i="8"/>
  <c r="B260" i="8" s="1"/>
  <c r="C260" i="8" l="1"/>
  <c r="E260" i="8" l="1"/>
  <c r="G260" i="8"/>
  <c r="F260" i="8" l="1"/>
  <c r="B261" i="8" s="1"/>
  <c r="H260" i="8"/>
  <c r="C261" i="8" l="1"/>
  <c r="E261" i="8" l="1"/>
  <c r="G261" i="8"/>
  <c r="H261" i="8" l="1"/>
  <c r="F261" i="8"/>
  <c r="B262" i="8" s="1"/>
  <c r="C262" i="8" l="1"/>
  <c r="E262" i="8" l="1"/>
  <c r="G262" i="8"/>
  <c r="F262" i="8" l="1"/>
  <c r="B263" i="8" s="1"/>
  <c r="H262" i="8"/>
  <c r="C263" i="8" l="1"/>
  <c r="E263" i="8" l="1"/>
  <c r="G263" i="8"/>
  <c r="H263" i="8" l="1"/>
  <c r="F263" i="8"/>
  <c r="B264" i="8" s="1"/>
  <c r="C264" i="8" l="1"/>
  <c r="E264" i="8" l="1"/>
  <c r="G264" i="8"/>
  <c r="F264" i="8" l="1"/>
  <c r="B265" i="8" s="1"/>
  <c r="H264" i="8"/>
  <c r="C265" i="8" l="1"/>
  <c r="E265" i="8" l="1"/>
  <c r="G265" i="8"/>
  <c r="H265" i="8" l="1"/>
  <c r="F265" i="8"/>
  <c r="B266" i="8" s="1"/>
  <c r="C266" i="8" l="1"/>
  <c r="E266" i="8" l="1"/>
  <c r="G266" i="8"/>
  <c r="F266" i="8" l="1"/>
  <c r="B267" i="8" s="1"/>
  <c r="H266" i="8"/>
  <c r="C267" i="8" l="1"/>
  <c r="E267" i="8" l="1"/>
  <c r="G267" i="8"/>
  <c r="H267" i="8" l="1"/>
  <c r="F267" i="8"/>
  <c r="B268" i="8" s="1"/>
  <c r="C268" i="8" l="1"/>
  <c r="E268" i="8" l="1"/>
  <c r="G268" i="8"/>
  <c r="F268" i="8" l="1"/>
  <c r="B269" i="8" s="1"/>
  <c r="H268" i="8"/>
  <c r="C269" i="8" l="1"/>
  <c r="E269" i="8" l="1"/>
  <c r="G269" i="8"/>
  <c r="H269" i="8" l="1"/>
  <c r="F269" i="8"/>
  <c r="B270" i="8" s="1"/>
  <c r="C270" i="8" l="1"/>
  <c r="E270" i="8" l="1"/>
  <c r="G270" i="8"/>
  <c r="F270" i="8" l="1"/>
  <c r="B271" i="8" s="1"/>
  <c r="H270" i="8"/>
  <c r="C271" i="8" l="1"/>
  <c r="E271" i="8" l="1"/>
  <c r="G271" i="8"/>
  <c r="H271" i="8" l="1"/>
  <c r="F271" i="8"/>
  <c r="B272" i="8" s="1"/>
  <c r="C272" i="8" l="1"/>
  <c r="E272" i="8" l="1"/>
  <c r="G272" i="8"/>
  <c r="F272" i="8" l="1"/>
  <c r="B273" i="8" s="1"/>
  <c r="H272" i="8"/>
  <c r="C273" i="8" l="1"/>
  <c r="G15" i="7"/>
  <c r="E273" i="8" l="1"/>
  <c r="G273" i="8"/>
  <c r="G16" i="7" s="1" a="1"/>
  <c r="G16" i="7" s="1"/>
  <c r="H273" i="8" l="1"/>
  <c r="G17" i="7" s="1" a="1"/>
  <c r="G17" i="7" s="1"/>
  <c r="F273" i="8"/>
  <c r="I11" i="12"/>
  <c r="J1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9" authorId="0" shapeId="0" xr:uid="{AEBAC803-92BF-4368-87D0-6A75B0A5689D}">
      <text>
        <r>
          <rPr>
            <b/>
            <sz val="9"/>
            <color indexed="81"/>
            <rFont val="Tahoma"/>
            <family val="2"/>
          </rPr>
          <t>SYSTEM:</t>
        </r>
        <r>
          <rPr>
            <sz val="9"/>
            <color indexed="81"/>
            <rFont val="Tahoma"/>
            <family val="2"/>
          </rPr>
          <t xml:space="preserve">
for specific Balance at year k
Capital at year k
Interest at year k</t>
        </r>
      </text>
    </comment>
    <comment ref="B9" authorId="0" shapeId="0" xr:uid="{2A1E5D55-F30C-4D13-944C-183D9DA84E67}">
      <text>
        <r>
          <rPr>
            <b/>
            <sz val="9"/>
            <color indexed="81"/>
            <rFont val="Tahoma"/>
            <family val="2"/>
          </rPr>
          <t>SYSTEM:</t>
        </r>
        <r>
          <rPr>
            <sz val="9"/>
            <color indexed="81"/>
            <rFont val="Tahoma"/>
            <family val="2"/>
          </rPr>
          <t xml:space="preserve">
Both specific time can't have a number at the same time!!!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<sst xmlns="http://schemas.openxmlformats.org/spreadsheetml/2006/main" count="558" uniqueCount="202">
  <si>
    <t>Given Interest Rate</t>
  </si>
  <si>
    <t>Compunding Period Given</t>
  </si>
  <si>
    <t>Years</t>
  </si>
  <si>
    <t>Compounding periods</t>
  </si>
  <si>
    <t>Requested</t>
  </si>
  <si>
    <t>From</t>
  </si>
  <si>
    <t>To</t>
  </si>
  <si>
    <t>Simple</t>
  </si>
  <si>
    <t>Effective Annual rate</t>
  </si>
  <si>
    <t>Nominal</t>
  </si>
  <si>
    <t>Effective Periodic</t>
  </si>
  <si>
    <t>Continuous</t>
  </si>
  <si>
    <t>Given Type</t>
  </si>
  <si>
    <t>Given Compound period</t>
  </si>
  <si>
    <t>Number of years</t>
  </si>
  <si>
    <t>Givens</t>
  </si>
  <si>
    <t>Requested Int Rate Type</t>
  </si>
  <si>
    <t>Requested compounding periods</t>
  </si>
  <si>
    <t>The requested rate is:</t>
  </si>
  <si>
    <t>Effective annual</t>
  </si>
  <si>
    <t>Effective periodic</t>
  </si>
  <si>
    <t>Given</t>
  </si>
  <si>
    <t>Future value</t>
  </si>
  <si>
    <t>Present Value</t>
  </si>
  <si>
    <t>Period</t>
  </si>
  <si>
    <t>Interest</t>
  </si>
  <si>
    <t xml:space="preserve">Find </t>
  </si>
  <si>
    <t>Rates</t>
  </si>
  <si>
    <t>Effective Annual</t>
  </si>
  <si>
    <t>Future Value</t>
  </si>
  <si>
    <t>Number of Years</t>
  </si>
  <si>
    <t>Interest RateType</t>
  </si>
  <si>
    <t>Unknown Variable</t>
  </si>
  <si>
    <t>Given Variables:</t>
  </si>
  <si>
    <t>Variable Value</t>
  </si>
  <si>
    <t>Interest Earned</t>
  </si>
  <si>
    <t>Interest Rate Option 2:</t>
  </si>
  <si>
    <t>Interest Rate Option 1:</t>
  </si>
  <si>
    <t>Periods(Years)</t>
  </si>
  <si>
    <t>INVESTMENT CALCULATOR</t>
  </si>
  <si>
    <t>INTEREST COMPARISON TABLES</t>
  </si>
  <si>
    <t>Number of years in date:</t>
  </si>
  <si>
    <t>End Date (yyyy/mm/dd):</t>
  </si>
  <si>
    <t>Start Date (yyyy/mm/dd):</t>
  </si>
  <si>
    <t>Final Number of years</t>
  </si>
  <si>
    <t>Manualy Entered years:</t>
  </si>
  <si>
    <t>Exact years</t>
  </si>
  <si>
    <t>Dates</t>
  </si>
  <si>
    <t>Annuity</t>
  </si>
  <si>
    <t>Future Value in Arrears</t>
  </si>
  <si>
    <t>Present Value in Arrears</t>
  </si>
  <si>
    <t>Present Value in advance</t>
  </si>
  <si>
    <t>Given Future value and Present value</t>
  </si>
  <si>
    <t>Uknowns</t>
  </si>
  <si>
    <t>Present Vaue</t>
  </si>
  <si>
    <t>Anuuity</t>
  </si>
  <si>
    <t>Periods</t>
  </si>
  <si>
    <t>Future Value in Advance</t>
  </si>
  <si>
    <t>Given:</t>
  </si>
  <si>
    <t>Requested Value:</t>
  </si>
  <si>
    <t>Value:</t>
  </si>
  <si>
    <t>Given Values:</t>
  </si>
  <si>
    <t>Difference</t>
  </si>
  <si>
    <t>FV</t>
  </si>
  <si>
    <t>Interest:</t>
  </si>
  <si>
    <t>Minimum:</t>
  </si>
  <si>
    <t>Years By:</t>
  </si>
  <si>
    <t>Exact Year</t>
  </si>
  <si>
    <t>Dates (yyyy/mm/dd):</t>
  </si>
  <si>
    <t>Years:</t>
  </si>
  <si>
    <t>End:</t>
  </si>
  <si>
    <t>Start:</t>
  </si>
  <si>
    <t>Exact Date:</t>
  </si>
  <si>
    <t>ANNUITY GRAPHS</t>
  </si>
  <si>
    <t>Annuity Type:</t>
  </si>
  <si>
    <t>Arears Annuity</t>
  </si>
  <si>
    <t>Advance Annuity</t>
  </si>
  <si>
    <t>To Convert Interest Rates:</t>
  </si>
  <si>
    <t>ANNUITIES CALCULATOR</t>
  </si>
  <si>
    <t>Loan Amount</t>
  </si>
  <si>
    <t>Payment</t>
  </si>
  <si>
    <t>Periods per year</t>
  </si>
  <si>
    <t>Effective Periodic interest rate</t>
  </si>
  <si>
    <t>Loan amount</t>
  </si>
  <si>
    <t>Period to repay</t>
  </si>
  <si>
    <t>Balance at specific time of the year</t>
  </si>
  <si>
    <t>Interest component of payment k</t>
  </si>
  <si>
    <t>Capital component of payment k</t>
  </si>
  <si>
    <t>Interest from payment X1 to X2</t>
  </si>
  <si>
    <t>Capital from payment X1 to X2</t>
  </si>
  <si>
    <t>Arrears</t>
  </si>
  <si>
    <t>Advance</t>
  </si>
  <si>
    <t>Amortization table (Arrears)</t>
  </si>
  <si>
    <t>Balance at Start</t>
  </si>
  <si>
    <t>Capital</t>
  </si>
  <si>
    <t>Interest so far</t>
  </si>
  <si>
    <t>Capital so far</t>
  </si>
  <si>
    <t>Amortization table (Advance)</t>
  </si>
  <si>
    <t>Balance at Start (Before payment)</t>
  </si>
  <si>
    <t>Balance at start (after payment)</t>
  </si>
  <si>
    <t>Balance at the end</t>
  </si>
  <si>
    <t>Effective Periodic or nominal  interest rate</t>
  </si>
  <si>
    <t>Last payment</t>
  </si>
  <si>
    <t>Number of Payment (K)</t>
  </si>
  <si>
    <t>Specific time (Year)</t>
  </si>
  <si>
    <t>Pecific year in periods</t>
  </si>
  <si>
    <t>Loan Type:</t>
  </si>
  <si>
    <t>Unkowns</t>
  </si>
  <si>
    <t>Loan component(Variable):</t>
  </si>
  <si>
    <t>VALUE</t>
  </si>
  <si>
    <t>Comparison Graphs</t>
  </si>
  <si>
    <t>Balance at end</t>
  </si>
  <si>
    <t>Specific time (Periods)</t>
  </si>
  <si>
    <t xml:space="preserve">Continuous </t>
  </si>
  <si>
    <t>Continuous Future Value</t>
  </si>
  <si>
    <t>Continuous Present Value</t>
  </si>
  <si>
    <t>PV</t>
  </si>
  <si>
    <t>Continuous Future</t>
  </si>
  <si>
    <t>Continuous Present</t>
  </si>
  <si>
    <t>Continuous Future (normal)</t>
  </si>
  <si>
    <t>Arrears Annuity</t>
  </si>
  <si>
    <t>For Single invetments</t>
  </si>
  <si>
    <t>Interest converter</t>
  </si>
  <si>
    <t>k</t>
  </si>
  <si>
    <t>m</t>
  </si>
  <si>
    <t>part1</t>
  </si>
  <si>
    <t>part2</t>
  </si>
  <si>
    <t>part3</t>
  </si>
  <si>
    <t>fv</t>
  </si>
  <si>
    <t>x-uninf FV</t>
  </si>
  <si>
    <t>X-using PV</t>
  </si>
  <si>
    <t>Annuity 1</t>
  </si>
  <si>
    <t>Annuity 2</t>
  </si>
  <si>
    <t>Cashflow</t>
  </si>
  <si>
    <t>Annuity Interest</t>
  </si>
  <si>
    <t>Annuity increase interest</t>
  </si>
  <si>
    <t>Annuity  Interest</t>
  </si>
  <si>
    <t>Annuity Increase Interest</t>
  </si>
  <si>
    <t>x-using FV</t>
  </si>
  <si>
    <t>INCREASING ANNUITIES</t>
  </si>
  <si>
    <t>ANUUITY 1</t>
  </si>
  <si>
    <t>ANNUITY 2</t>
  </si>
  <si>
    <t>GIVENS</t>
  </si>
  <si>
    <t>UNKOWNS</t>
  </si>
  <si>
    <t>Annuity type</t>
  </si>
  <si>
    <t>Cashflow-using FV</t>
  </si>
  <si>
    <t>Cashflow-using PV</t>
  </si>
  <si>
    <t>Value</t>
  </si>
  <si>
    <t>Interest Conversion:</t>
  </si>
  <si>
    <t>Single Investment</t>
  </si>
  <si>
    <t>Increasing Annuities</t>
  </si>
  <si>
    <t>GRAPH COMPARISONS</t>
  </si>
  <si>
    <t>years</t>
  </si>
  <si>
    <t>Start period</t>
  </si>
  <si>
    <t>End period</t>
  </si>
  <si>
    <t>Start Period (Interest/capital)</t>
  </si>
  <si>
    <t>End Period (Interest/Capital)</t>
  </si>
  <si>
    <t>Total Interest</t>
  </si>
  <si>
    <t>Total Capital</t>
  </si>
  <si>
    <t>LOANS / WITHDRAWALS</t>
  </si>
  <si>
    <t>INVESTMENTS(Single + Annuity)</t>
  </si>
  <si>
    <t>Initial Single inestment</t>
  </si>
  <si>
    <t>Annuity Cashflow</t>
  </si>
  <si>
    <t>Start Period (Interest)</t>
  </si>
  <si>
    <t>End Period (Interest)</t>
  </si>
  <si>
    <t>Period to of investment</t>
  </si>
  <si>
    <t>Start period (Interest)</t>
  </si>
  <si>
    <t>End period(Interest)</t>
  </si>
  <si>
    <t>Last payment(Balance)</t>
  </si>
  <si>
    <t>Initial Single Investment</t>
  </si>
  <si>
    <t>Total Periods</t>
  </si>
  <si>
    <t>Period per year</t>
  </si>
  <si>
    <t>Investment component(Variable):</t>
  </si>
  <si>
    <t>Investment</t>
  </si>
  <si>
    <t>Loan/Withdrawal</t>
  </si>
  <si>
    <t>Interest at k perion</t>
  </si>
  <si>
    <t>Interest from K to T period</t>
  </si>
  <si>
    <t>Capital from K to T period</t>
  </si>
  <si>
    <t>Period type</t>
  </si>
  <si>
    <t>Years of investment</t>
  </si>
  <si>
    <t>Single Investment Amount</t>
  </si>
  <si>
    <t>Loan/Balance</t>
  </si>
  <si>
    <t>Loans/Withdrawls</t>
  </si>
  <si>
    <t>Loan / Balance</t>
  </si>
  <si>
    <t>Withdrawals / Loan</t>
  </si>
  <si>
    <t>Amortization table (Withdrawals)</t>
  </si>
  <si>
    <t>Period (Start)</t>
  </si>
  <si>
    <t>Period (End)</t>
  </si>
  <si>
    <t>INVESTMENTS</t>
  </si>
  <si>
    <t>Last balance</t>
  </si>
  <si>
    <t xml:space="preserve">Specific Interest/Capital at K </t>
  </si>
  <si>
    <t>Specific interest/ capital at period K</t>
  </si>
  <si>
    <t>Balance at specific period</t>
  </si>
  <si>
    <t>INCREASING ANNUITIES (Investments and Withdrawals) + Single Payments</t>
  </si>
  <si>
    <t>Unkown Value</t>
  </si>
  <si>
    <t>INVESTMENTS AND LOANS (FINANCIAL CALCULATOR)</t>
  </si>
  <si>
    <t>HOME</t>
  </si>
  <si>
    <t>Home</t>
  </si>
  <si>
    <t xml:space="preserve">Real Future value </t>
  </si>
  <si>
    <t>Real Future Value</t>
  </si>
  <si>
    <t>Future</t>
  </si>
  <si>
    <t>REAL FUTURE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</si>
</sst>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000%"/>
    <numFmt numFmtId="165" formatCode="0.0%"/>
    <numFmt numFmtId="166" formatCode="0.0000"/>
    <numFmt numFmtId="167" formatCode="0.000"/>
    <numFmt numFmtId="168" formatCode="0.0"/>
    <numFmt numFmtId="169" formatCode="&quot;R&quot;#,##0.00"/>
    <numFmt numFmtId="170" formatCode="0.00000%"/>
    <numFmt numFmtId="171" formatCode="0.000000%"/>
    <numFmt numFmtId="172" formatCode="0.000%"/>
    <numFmt numFmtId="173" formatCode="0.00000"/>
    <numFmt numFmtId="174" formatCode="0.000000"/>
    <numFmt numFmtId="175" formatCode="0.000000000"/>
    <numFmt numFmtId="176" formatCode="&quot;R&quot;#,##0.0000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6"/>
      <color rgb="FF7030A0"/>
      <name val="Calibri"/>
      <family val="2"/>
      <scheme val="minor"/>
    </font>
    <font>
      <b/>
      <sz val="1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FFFF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5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theme="4" tint="-0.249977111117893"/>
      </left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theme="4" tint="0.39997558519241921"/>
      </left>
      <right style="medium">
        <color theme="4" tint="0.39997558519241921"/>
      </right>
      <top style="medium">
        <color theme="4" tint="0.39997558519241921"/>
      </top>
      <bottom style="medium">
        <color theme="4" tint="0.39997558519241921"/>
      </bottom>
      <diagonal/>
    </border>
    <border>
      <left style="medium">
        <color theme="5" tint="0.39997558519241921"/>
      </left>
      <right style="medium">
        <color theme="5" tint="0.39997558519241921"/>
      </right>
      <top style="medium">
        <color theme="5" tint="0.39997558519241921"/>
      </top>
      <bottom style="medium">
        <color theme="5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01">
    <xf numFmtId="0" fontId="0" fillId="0" borderId="0" xfId="0"/>
    <xf numFmtId="9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165" fontId="0" fillId="0" borderId="0" xfId="0" applyNumberFormat="1"/>
    <xf numFmtId="16" fontId="0" fillId="0" borderId="0" xfId="0" applyNumberFormat="1"/>
    <xf numFmtId="166" fontId="0" fillId="0" borderId="0" xfId="0" applyNumberFormat="1"/>
    <xf numFmtId="164" fontId="0" fillId="0" borderId="0" xfId="1" applyNumberFormat="1" applyFont="1"/>
    <xf numFmtId="0" fontId="4" fillId="0" borderId="0" xfId="0" applyFont="1"/>
    <xf numFmtId="0" fontId="5" fillId="0" borderId="0" xfId="0" applyFont="1"/>
    <xf numFmtId="166" fontId="0" fillId="0" borderId="0" xfId="0" applyNumberFormat="1" applyAlignment="1">
      <alignment horizontal="left" indent="10"/>
    </xf>
    <xf numFmtId="0" fontId="6" fillId="0" borderId="0" xfId="0" applyFont="1"/>
    <xf numFmtId="0" fontId="2" fillId="4" borderId="0" xfId="0" applyFont="1" applyFill="1"/>
    <xf numFmtId="0" fontId="1" fillId="5" borderId="0" xfId="0" applyFont="1" applyFill="1"/>
    <xf numFmtId="2" fontId="0" fillId="0" borderId="0" xfId="0" applyNumberFormat="1"/>
    <xf numFmtId="0" fontId="10" fillId="0" borderId="0" xfId="0" applyFont="1"/>
    <xf numFmtId="0" fontId="11" fillId="0" borderId="0" xfId="0" applyFont="1"/>
    <xf numFmtId="14" fontId="0" fillId="0" borderId="0" xfId="0" applyNumberFormat="1"/>
    <xf numFmtId="167" fontId="0" fillId="0" borderId="0" xfId="0" applyNumberFormat="1"/>
    <xf numFmtId="0" fontId="8" fillId="0" borderId="1" xfId="0" applyFont="1" applyBorder="1"/>
    <xf numFmtId="2" fontId="2" fillId="6" borderId="1" xfId="0" applyNumberFormat="1" applyFont="1" applyFill="1" applyBorder="1" applyAlignment="1">
      <alignment horizontal="left" indent="4"/>
    </xf>
    <xf numFmtId="0" fontId="7" fillId="0" borderId="1" xfId="0" applyFont="1" applyBorder="1"/>
    <xf numFmtId="0" fontId="0" fillId="0" borderId="2" xfId="0" applyBorder="1" applyAlignment="1">
      <alignment horizontal="left" indent="5"/>
    </xf>
    <xf numFmtId="0" fontId="4" fillId="0" borderId="3" xfId="0" applyFont="1" applyBorder="1"/>
    <xf numFmtId="0" fontId="11" fillId="0" borderId="3" xfId="0" applyFont="1" applyBorder="1"/>
    <xf numFmtId="10" fontId="0" fillId="0" borderId="0" xfId="0" applyNumberFormat="1"/>
    <xf numFmtId="168" fontId="0" fillId="0" borderId="0" xfId="0" applyNumberFormat="1"/>
    <xf numFmtId="0" fontId="6" fillId="4" borderId="0" xfId="0" applyFont="1" applyFill="1"/>
    <xf numFmtId="10" fontId="0" fillId="0" borderId="0" xfId="1" applyNumberFormat="1" applyFont="1"/>
    <xf numFmtId="14" fontId="0" fillId="0" borderId="0" xfId="0" applyNumberFormat="1" applyAlignment="1">
      <alignment horizontal="right"/>
    </xf>
    <xf numFmtId="0" fontId="0" fillId="7" borderId="0" xfId="0" applyFill="1"/>
    <xf numFmtId="0" fontId="0" fillId="8" borderId="4" xfId="0" applyFill="1" applyBorder="1"/>
    <xf numFmtId="0" fontId="14" fillId="0" borderId="0" xfId="2"/>
    <xf numFmtId="0" fontId="0" fillId="8" borderId="5" xfId="0" applyFill="1" applyBorder="1"/>
    <xf numFmtId="0" fontId="0" fillId="0" borderId="6" xfId="0" applyBorder="1"/>
    <xf numFmtId="169" fontId="0" fillId="0" borderId="0" xfId="0" applyNumberFormat="1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19" fillId="0" borderId="0" xfId="0" applyFont="1"/>
    <xf numFmtId="0" fontId="1" fillId="0" borderId="4" xfId="0" applyFont="1" applyBorder="1"/>
    <xf numFmtId="2" fontId="22" fillId="0" borderId="4" xfId="0" applyNumberFormat="1" applyFont="1" applyBorder="1"/>
    <xf numFmtId="0" fontId="15" fillId="0" borderId="0" xfId="0" applyFont="1"/>
    <xf numFmtId="171" fontId="0" fillId="0" borderId="0" xfId="0" applyNumberFormat="1"/>
    <xf numFmtId="171" fontId="0" fillId="0" borderId="0" xfId="1" applyNumberFormat="1" applyFont="1"/>
    <xf numFmtId="172" fontId="0" fillId="0" borderId="0" xfId="1" applyNumberFormat="1" applyFont="1"/>
    <xf numFmtId="170" fontId="0" fillId="0" borderId="0" xfId="1" applyNumberFormat="1" applyFont="1"/>
    <xf numFmtId="170" fontId="2" fillId="0" borderId="4" xfId="0" applyNumberFormat="1" applyFont="1" applyBorder="1"/>
    <xf numFmtId="0" fontId="1" fillId="0" borderId="7" xfId="0" applyFont="1" applyBorder="1"/>
    <xf numFmtId="0" fontId="0" fillId="0" borderId="9" xfId="0" applyBorder="1"/>
    <xf numFmtId="0" fontId="1" fillId="0" borderId="8" xfId="0" applyFont="1" applyBorder="1"/>
    <xf numFmtId="166" fontId="12" fillId="0" borderId="4" xfId="0" applyNumberFormat="1" applyFont="1" applyBorder="1"/>
    <xf numFmtId="0" fontId="0" fillId="0" borderId="0" xfId="0" applyAlignment="1">
      <alignment horizontal="center"/>
    </xf>
    <xf numFmtId="173" fontId="0" fillId="0" borderId="0" xfId="0" applyNumberFormat="1"/>
    <xf numFmtId="174" fontId="0" fillId="0" borderId="0" xfId="0" applyNumberFormat="1"/>
    <xf numFmtId="175" fontId="0" fillId="0" borderId="0" xfId="1" applyNumberFormat="1" applyFont="1"/>
    <xf numFmtId="0" fontId="0" fillId="0" borderId="4" xfId="0" applyBorder="1"/>
    <xf numFmtId="0" fontId="1" fillId="9" borderId="0" xfId="0" applyFont="1" applyFill="1"/>
    <xf numFmtId="0" fontId="0" fillId="9" borderId="0" xfId="0" applyFill="1"/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76" fontId="0" fillId="0" borderId="0" xfId="0" applyNumberFormat="1"/>
    <xf numFmtId="0" fontId="1" fillId="0" borderId="0" xfId="0" applyFont="1" applyAlignment="1">
      <alignment horizontal="center"/>
    </xf>
    <xf numFmtId="172" fontId="0" fillId="0" borderId="0" xfId="0" applyNumberFormat="1"/>
    <xf numFmtId="169" fontId="1" fillId="0" borderId="0" xfId="0" applyNumberFormat="1" applyFont="1"/>
    <xf numFmtId="0" fontId="26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6" fillId="2" borderId="0" xfId="0" applyFont="1" applyFill="1" applyAlignment="1">
      <alignment horizontal="center"/>
    </xf>
    <xf numFmtId="0" fontId="20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2" fontId="11" fillId="0" borderId="5" xfId="0" applyNumberFormat="1" applyFont="1" applyBorder="1" applyAlignment="1">
      <alignment horizontal="center"/>
    </xf>
    <xf numFmtId="2" fontId="11" fillId="0" borderId="10" xfId="0" applyNumberFormat="1" applyFont="1" applyBorder="1" applyAlignment="1">
      <alignment horizontal="center"/>
    </xf>
    <xf numFmtId="0" fontId="20" fillId="5" borderId="0" xfId="0" applyFont="1" applyFill="1" applyAlignment="1">
      <alignment horizontal="center"/>
    </xf>
    <xf numFmtId="169" fontId="22" fillId="0" borderId="5" xfId="0" applyNumberFormat="1" applyFont="1" applyBorder="1" applyAlignment="1">
      <alignment horizontal="center"/>
    </xf>
    <xf numFmtId="169" fontId="22" fillId="0" borderId="10" xfId="0" applyNumberFormat="1" applyFont="1" applyBorder="1" applyAlignment="1">
      <alignment horizontal="center"/>
    </xf>
    <xf numFmtId="0" fontId="23" fillId="5" borderId="0" xfId="0" applyFont="1" applyFill="1" applyAlignment="1">
      <alignment horizontal="center" vertical="center"/>
    </xf>
    <xf numFmtId="0" fontId="24" fillId="11" borderId="0" xfId="0" applyFont="1" applyFill="1" applyAlignment="1">
      <alignment horizontal="center"/>
    </xf>
    <xf numFmtId="0" fontId="25" fillId="10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FFFFFF"/>
      <color rgb="FFF1AD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'Assignment2(User Interface)'!$E$19</c:f>
              <c:strCache>
                <c:ptCount val="1"/>
                <c:pt idx="0">
                  <c:v>Effective periodic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'Assignment2(User Interface)'!$D$20:$D$27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'Assignment2(User Interface)'!$E$20:$E$27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7F-4E4C-B0BA-8F0F72378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007215"/>
        <c:axId val="1913999311"/>
      </c:scatterChart>
      <c:valAx>
        <c:axId val="1914007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>
                    <a:solidFill>
                      <a:schemeClr val="accent1">
                        <a:lumMod val="75000"/>
                      </a:schemeClr>
                    </a:solidFill>
                  </a:rPr>
                  <a:t>Reriods (Time)</a:t>
                </a:r>
              </a:p>
            </c:rich>
          </c:tx>
          <c:layout>
            <c:manualLayout>
              <c:xMode val="edge"/>
              <c:yMode val="edge"/>
              <c:x val="0.45346412948381459"/>
              <c:y val="0.88793963254593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999311"/>
        <c:crosses val="autoZero"/>
        <c:crossBetween val="midCat"/>
      </c:valAx>
      <c:valAx>
        <c:axId val="191399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>
                    <a:solidFill>
                      <a:schemeClr val="accent1">
                        <a:lumMod val="75000"/>
                      </a:schemeClr>
                    </a:solidFill>
                  </a:rPr>
                  <a:t>Rand</a:t>
                </a:r>
                <a:r>
                  <a:rPr lang="en-ZA" b="1" baseline="0">
                    <a:solidFill>
                      <a:schemeClr val="accent1">
                        <a:lumMod val="75000"/>
                      </a:schemeClr>
                    </a:solidFill>
                  </a:rPr>
                  <a:t> Value</a:t>
                </a:r>
                <a:endParaRPr lang="en-ZA" b="1">
                  <a:solidFill>
                    <a:schemeClr val="accent1">
                      <a:lumMod val="7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007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'Assignment2(User Interface)'!$B$19</c:f>
              <c:strCache>
                <c:ptCount val="1"/>
                <c:pt idx="0">
                  <c:v>Simple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'Assignment2(User Interface)'!$A$20:$A$27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'Assignment2(User Interface)'!$B$20:$B$27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40-482E-ABA7-5FD0373AC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7412639"/>
        <c:axId val="1907408895"/>
      </c:lineChart>
      <c:catAx>
        <c:axId val="1907412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>
                    <a:solidFill>
                      <a:srgbClr val="7030A0"/>
                    </a:solidFill>
                  </a:rPr>
                  <a:t>Period (Time)</a:t>
                </a:r>
              </a:p>
            </c:rich>
          </c:tx>
          <c:layout>
            <c:manualLayout>
              <c:xMode val="edge"/>
              <c:yMode val="edge"/>
              <c:x val="0.4226933508311461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408895"/>
        <c:crosses val="autoZero"/>
        <c:auto val="1"/>
        <c:lblAlgn val="ctr"/>
        <c:lblOffset val="100"/>
        <c:noMultiLvlLbl val="0"/>
      </c:catAx>
      <c:valAx>
        <c:axId val="190740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>
                    <a:solidFill>
                      <a:srgbClr val="7030A0"/>
                    </a:solidFill>
                  </a:rPr>
                  <a:t>Rand</a:t>
                </a:r>
                <a:r>
                  <a:rPr lang="en-ZA" b="1" baseline="0">
                    <a:solidFill>
                      <a:srgbClr val="7030A0"/>
                    </a:solidFill>
                  </a:rPr>
                  <a:t> Value</a:t>
                </a:r>
                <a:endParaRPr lang="en-ZA" b="1">
                  <a:solidFill>
                    <a:srgbClr val="7030A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41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7030A0"/>
                </a:solidFill>
              </a:rPr>
              <a:t>Arears Annuity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'Assignment3 (User Interface)'!$B$23</c:f>
              <c:strCache>
                <c:ptCount val="1"/>
                <c:pt idx="0">
                  <c:v>Arrears Annuity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'Assignment3 (User Interface)'!$A$24:$A$33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'Assignment3 (User Interface)'!$B$24:$B$33</c:f>
              <c:numCache>
                <c:formatCode>General</c:formatCode>
                <c:ptCount val="10"/>
                <c:pt idx="0">
                  <c:v>600.00000000000057</c:v>
                </c:pt>
                <c:pt idx="1">
                  <c:v>1230.0000000000005</c:v>
                </c:pt>
                <c:pt idx="2">
                  <c:v>1891.5000000000014</c:v>
                </c:pt>
                <c:pt idx="3">
                  <c:v>2586.0749999999998</c:v>
                </c:pt>
                <c:pt idx="4">
                  <c:v>3315.3787500000012</c:v>
                </c:pt>
                <c:pt idx="5">
                  <c:v>4081.1476874999994</c:v>
                </c:pt>
                <c:pt idx="6">
                  <c:v>4885.2050718750024</c:v>
                </c:pt>
                <c:pt idx="7">
                  <c:v>5729.465325468751</c:v>
                </c:pt>
                <c:pt idx="8">
                  <c:v>6615.9385917421887</c:v>
                </c:pt>
                <c:pt idx="9">
                  <c:v>7546.7355213292985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4B-4AD8-8D66-4F9EE9B0E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070511"/>
        <c:axId val="160056367"/>
      </c:lineChart>
      <c:catAx>
        <c:axId val="160070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Period</a:t>
                </a:r>
                <a:r>
                  <a:rPr lang="en-ZA" baseline="0"/>
                  <a:t> Time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56367"/>
        <c:crosses val="autoZero"/>
        <c:auto val="1"/>
        <c:lblAlgn val="ctr"/>
        <c:lblOffset val="100"/>
        <c:noMultiLvlLbl val="0"/>
      </c:catAx>
      <c:valAx>
        <c:axId val="16005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Rand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7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70C0"/>
                </a:solidFill>
              </a:rPr>
              <a:t>Advance Annuity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'Assignment3 (User Interface)'!$J$23</c:f>
              <c:strCache>
                <c:ptCount val="1"/>
                <c:pt idx="0">
                  <c:v>Advance Annuity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'Assignment3 (User Interface)'!$I$24:$I$33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'Assignment3 (User Interface)'!$J$24:$J$33</c:f>
              <c:numCache>
                <c:formatCode>General</c:formatCode>
                <c:ptCount val="10"/>
                <c:pt idx="0">
                  <c:v>630.00000000000057</c:v>
                </c:pt>
                <c:pt idx="1">
                  <c:v>1291.5000000000002</c:v>
                </c:pt>
                <c:pt idx="2">
                  <c:v>1986.0750000000014</c:v>
                </c:pt>
                <c:pt idx="3">
                  <c:v>2715.3787499999999</c:v>
                </c:pt>
                <c:pt idx="4">
                  <c:v>3481.1476875000017</c:v>
                </c:pt>
                <c:pt idx="5">
                  <c:v>4285.2050718749997</c:v>
                </c:pt>
                <c:pt idx="6">
                  <c:v>5129.4653254687528</c:v>
                </c:pt>
                <c:pt idx="7">
                  <c:v>6015.9385917421887</c:v>
                </c:pt>
                <c:pt idx="8">
                  <c:v>6946.7355213292985</c:v>
                </c:pt>
                <c:pt idx="9">
                  <c:v>7924.0722973957627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86-47A5-889D-56C0282CE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516719"/>
        <c:axId val="226508815"/>
      </c:lineChart>
      <c:catAx>
        <c:axId val="226516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Period(Time)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508815"/>
        <c:crosses val="autoZero"/>
        <c:auto val="1"/>
        <c:lblAlgn val="ctr"/>
        <c:lblOffset val="100"/>
        <c:noMultiLvlLbl val="0"/>
      </c:catAx>
      <c:valAx>
        <c:axId val="22650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Rand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516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Arrears Loan projection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'Assignment4 (User Interface)'!$AF$20:$AF$50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'Assignment4 (User Interface)'!$AG$20:$AG$50</c:f>
              <c:numCache>
                <c:formatCode>"R"#\ ##0.00</c:formatCode>
                <c:ptCount val="31"/>
                <c:pt idx="0">
                  <c:v>70000</c:v>
                </c:pt>
                <c:pt idx="1">
                  <c:v>66165.419761625293</c:v>
                </c:pt>
                <c:pt idx="2">
                  <c:v>62324.50640222818</c:v>
                </c:pt>
                <c:pt idx="3">
                  <c:v>58477.249462144391</c:v>
                </c:pt>
                <c:pt idx="4">
                  <c:v>54623.638464434676</c:v>
                </c:pt>
                <c:pt idx="5">
                  <c:v>50763.662914856272</c:v>
                </c:pt>
                <c:pt idx="6">
                  <c:v>46897.31230183431</c:v>
                </c:pt>
                <c:pt idx="7">
                  <c:v>43024.576096433215</c:v>
                </c:pt>
                <c:pt idx="8">
                  <c:v>39145.443752328014</c:v>
                </c:pt>
                <c:pt idx="9">
                  <c:v>35259.904705775611</c:v>
                </c:pt>
                <c:pt idx="10">
                  <c:v>31367.948375586042</c:v>
                </c:pt>
                <c:pt idx="11">
                  <c:v>27469.564163093644</c:v>
                </c:pt>
                <c:pt idx="12">
                  <c:v>23564.74145212819</c:v>
                </c:pt>
                <c:pt idx="13">
                  <c:v>19653.469608985994</c:v>
                </c:pt>
                <c:pt idx="14">
                  <c:v>15735.737982400937</c:v>
                </c:pt>
                <c:pt idx="15">
                  <c:v>11811.535903515471</c:v>
                </c:pt>
                <c:pt idx="16">
                  <c:v>7880.8526858515597</c:v>
                </c:pt>
                <c:pt idx="17">
                  <c:v>3943.6776252815839</c:v>
                </c:pt>
                <c:pt idx="18">
                  <c:v>-8.1581674749031663E-10</c:v>
                </c:pt>
                <c:pt idx="19">
                  <c:v>-3950.1909295099331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C2-4817-975B-8614BB951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7626944"/>
        <c:axId val="1947640672"/>
      </c:lineChart>
      <c:catAx>
        <c:axId val="1947626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Payment 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640672"/>
        <c:crosses val="autoZero"/>
        <c:auto val="1"/>
        <c:lblAlgn val="ctr"/>
        <c:lblOffset val="100"/>
        <c:noMultiLvlLbl val="0"/>
      </c:catAx>
      <c:valAx>
        <c:axId val="194764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Loan Balance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62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Advance</a:t>
            </a:r>
            <a:r>
              <a:rPr lang="en-US" b="1" baseline="0"/>
              <a:t> Laon Projection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'Assignment4 (User Interface)'!$AJ$19</c:f>
              <c:strCache>
                <c:ptCount val="1"/>
                <c:pt idx="0">
                  <c:v>Balance at end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'Assignment4 (User Interface)'!$AI$20:$AI$50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'Assignment4 (User Interface)'!$AJ$20:$AJ$50</c:f>
              <c:numCache>
                <c:formatCode>"R"#\ ##0.00</c:formatCode>
                <c:ptCount val="31"/>
                <c:pt idx="0">
                  <c:v>70000</c:v>
                </c:pt>
                <c:pt idx="1">
                  <c:v>66158.895700147114</c:v>
                </c:pt>
                <c:pt idx="2">
                  <c:v>62311.447504253854</c:v>
                </c:pt>
                <c:pt idx="3">
                  <c:v>58457.644934860153</c:v>
                </c:pt>
                <c:pt idx="4">
                  <c:v>54597.477497201551</c:v>
                </c:pt>
                <c:pt idx="5">
                  <c:v>50730.934679180631</c:v>
                </c:pt>
                <c:pt idx="6">
                  <c:v>46858.005951338389</c:v>
                </c:pt>
                <c:pt idx="7">
                  <c:v>42978.680766825579</c:v>
                </c:pt>
                <c:pt idx="8">
                  <c:v>39092.94856137396</c:v>
                </c:pt>
                <c:pt idx="9">
                  <c:v>35200.798753267547</c:v>
                </c:pt>
                <c:pt idx="10">
                  <c:v>31302.220743313792</c:v>
                </c:pt>
                <c:pt idx="11">
                  <c:v>27397.20391481472</c:v>
                </c:pt>
                <c:pt idx="12">
                  <c:v>23485.737633538014</c:v>
                </c:pt>
                <c:pt idx="13">
                  <c:v>19567.81124768806</c:v>
                </c:pt>
                <c:pt idx="14">
                  <c:v>15643.414087876938</c:v>
                </c:pt>
                <c:pt idx="15">
                  <c:v>11712.535467095364</c:v>
                </c:pt>
                <c:pt idx="16">
                  <c:v>7775.1646806835888</c:v>
                </c:pt>
                <c:pt idx="17">
                  <c:v>3831.2910063022482</c:v>
                </c:pt>
                <c:pt idx="18">
                  <c:v>-119.09629609683591</c:v>
                </c:pt>
                <c:pt idx="19">
                  <c:v>-4076.0079842999053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37-4352-B07A-0EFB188CE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1724704"/>
        <c:axId val="1901727616"/>
      </c:lineChart>
      <c:catAx>
        <c:axId val="1901724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Payment</a:t>
                </a:r>
                <a:r>
                  <a:rPr lang="en-ZA" b="1" baseline="0"/>
                  <a:t> period</a:t>
                </a:r>
                <a:endParaRPr lang="en-ZA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727616"/>
        <c:crosses val="autoZero"/>
        <c:auto val="1"/>
        <c:lblAlgn val="ctr"/>
        <c:lblOffset val="100"/>
        <c:noMultiLvlLbl val="0"/>
      </c:catAx>
      <c:valAx>
        <c:axId val="190172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Loan balance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72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Total</a:t>
            </a:r>
            <a:r>
              <a:rPr lang="en-ZA" b="1" baseline="0"/>
              <a:t> Future value of Annuity 1 and 2</a:t>
            </a:r>
            <a:endParaRPr lang="en-Z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'Assignment6 (Back Office)'!$G$9:$M$9</c:f>
              <c:strCache>
                <c:ptCount val="1"/>
                <c:pt idx="0">
                  <c:v>Annuity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'Assignment6 (Back Office)'!$F$11:$F$12</c:f>
              <c:strCache>
                <c:ptCount val="2"/>
                <c:pt idx="0">
                  <c:v>Arrears</c:v>
                </c:pt>
                <c:pt idx="1">
                  <c:v>Advance</c:v>
                </c:pt>
              </c:strCache>
            </c:strRef>
          </c:cat>
          <c:val>
            <c:numRef>
              <c:f>'Assignment6 (Back Office)'!$J$11:$J$12</c:f>
              <c:numCache>
                <c:formatCode>0.00</c:formatCode>
                <c:ptCount val="2"/>
                <c:pt idx="0">
                  <c:v>736000.56764315697</c:v>
                </c:pt>
                <c:pt idx="1">
                  <c:v>750720.57899602014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3-4695-9361-FE998FC151B5}"/>
            </c:ext>
          </c:extLst>
        </c:ser>
        <c:ser>
          <c:idx val="1"/>
          <c:order val="1"/>
          <c:tx>
            <c:strRef>
              <c:f>'Assignment6 (Back Office)'!$G$23:$M$23</c:f>
              <c:strCache>
                <c:ptCount val="1"/>
                <c:pt idx="0">
                  <c:v>Annuity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'Assignment6 (Back Office)'!$F$11:$F$12</c:f>
              <c:strCache>
                <c:ptCount val="2"/>
                <c:pt idx="0">
                  <c:v>Arrears</c:v>
                </c:pt>
                <c:pt idx="1">
                  <c:v>Advance</c:v>
                </c:pt>
              </c:strCache>
            </c:strRef>
          </c:cat>
          <c:val>
            <c:numRef>
              <c:f>'Assignment6 (Back Office)'!$J$25:$J$26</c:f>
              <c:numCache>
                <c:formatCode>0.00</c:formatCode>
                <c:ptCount val="2"/>
                <c:pt idx="0">
                  <c:v>106347.04806351528</c:v>
                </c:pt>
                <c:pt idx="1">
                  <c:v>107410.51854415044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03-4695-9361-FE998FC15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0667792"/>
        <c:axId val="940668208"/>
      </c:barChart>
      <c:catAx>
        <c:axId val="940667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Type of Annuity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668208"/>
        <c:crosses val="autoZero"/>
        <c:auto val="1"/>
        <c:lblAlgn val="ctr"/>
        <c:lblOffset val="100"/>
        <c:noMultiLvlLbl val="0"/>
      </c:catAx>
      <c:valAx>
        <c:axId val="94066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Monetrary</a:t>
                </a:r>
                <a:r>
                  <a:rPr lang="en-ZA" b="1" baseline="0"/>
                  <a:t> amount</a:t>
                </a:r>
                <a:endParaRPr lang="en-ZA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6677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Assignment3 (User Interface)'!A1"/><Relationship Id="rId7" Type="http://schemas.openxmlformats.org/officeDocument/2006/relationships/hyperlink" Target="#'Single + Increasing Annuity'!A1"/><Relationship Id="rId2" Type="http://schemas.openxmlformats.org/officeDocument/2006/relationships/hyperlink" Target="#'Assignment2(User Interface)'!A1"/><Relationship Id="rId1" Type="http://schemas.openxmlformats.org/officeDocument/2006/relationships/hyperlink" Target="#'Assignment1(User Interface)'!A1"/><Relationship Id="rId6" Type="http://schemas.openxmlformats.org/officeDocument/2006/relationships/hyperlink" Target="#'Assignment6 (User Interface)'!A1"/><Relationship Id="rId5" Type="http://schemas.openxmlformats.org/officeDocument/2006/relationships/hyperlink" Target="#'Investment(Single + Annuity)'!A1"/><Relationship Id="rId4" Type="http://schemas.openxmlformats.org/officeDocument/2006/relationships/hyperlink" Target="#'Assignment4 (User Interface)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Assignment2(User Interface)'!A1"/><Relationship Id="rId7" Type="http://schemas.openxmlformats.org/officeDocument/2006/relationships/hyperlink" Target="#'Single + Increasing Annuity'!A1"/><Relationship Id="rId2" Type="http://schemas.openxmlformats.org/officeDocument/2006/relationships/hyperlink" Target="#'Assignment4 (User Interface)'!A1"/><Relationship Id="rId1" Type="http://schemas.openxmlformats.org/officeDocument/2006/relationships/hyperlink" Target="#'Assignment3 (User Interface)'!A1"/><Relationship Id="rId6" Type="http://schemas.openxmlformats.org/officeDocument/2006/relationships/hyperlink" Target="#'Investment(Single + Annuity)'!A1"/><Relationship Id="rId5" Type="http://schemas.openxmlformats.org/officeDocument/2006/relationships/hyperlink" Target="#'HOME PAGE'!A1"/><Relationship Id="rId4" Type="http://schemas.openxmlformats.org/officeDocument/2006/relationships/hyperlink" Target="#'Assignment6 (User Interface)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Assignment1(User Interface)'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hyperlink" Target="#'HOME PAGE'!A1"/><Relationship Id="rId4" Type="http://schemas.openxmlformats.org/officeDocument/2006/relationships/hyperlink" Target="#'Assignment6 (User Interface)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Assignment1(User Interface)'!A1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hyperlink" Target="#'HOME PAGE'!A1"/><Relationship Id="rId4" Type="http://schemas.openxmlformats.org/officeDocument/2006/relationships/hyperlink" Target="#'Assignment2(User Interface)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hyperlink" Target="#'Assignment1(User Interface)'!A1"/><Relationship Id="rId4" Type="http://schemas.openxmlformats.org/officeDocument/2006/relationships/hyperlink" Target="#'HOME PAGE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'HOME PAGE'!A1"/><Relationship Id="rId1" Type="http://schemas.openxmlformats.org/officeDocument/2006/relationships/hyperlink" Target="#'Assignment1(User Interface)'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hyperlink" Target="#'Assignment2(User Interface)'!A1"/><Relationship Id="rId1" Type="http://schemas.openxmlformats.org/officeDocument/2006/relationships/hyperlink" Target="#'Assignment1(User Interface)'!A1"/><Relationship Id="rId4" Type="http://schemas.openxmlformats.org/officeDocument/2006/relationships/hyperlink" Target="#'HOME PAGE'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'HOME PAGE'!A1"/><Relationship Id="rId2" Type="http://schemas.openxmlformats.org/officeDocument/2006/relationships/hyperlink" Target="#'Assignment2(User Interface)'!A1"/><Relationship Id="rId1" Type="http://schemas.openxmlformats.org/officeDocument/2006/relationships/hyperlink" Target="#'Assignment1(User Interface)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14</xdr:row>
      <xdr:rowOff>20108</xdr:rowOff>
    </xdr:from>
    <xdr:to>
      <xdr:col>7</xdr:col>
      <xdr:colOff>3175</xdr:colOff>
      <xdr:row>22</xdr:row>
      <xdr:rowOff>10583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D77F4D-31BC-4DEC-B360-474B0F32A685}"/>
            </a:ext>
          </a:extLst>
        </xdr:cNvPr>
        <xdr:cNvSpPr/>
      </xdr:nvSpPr>
      <xdr:spPr>
        <a:xfrm>
          <a:off x="677333" y="2687108"/>
          <a:ext cx="3622675" cy="1514475"/>
        </a:xfrm>
        <a:prstGeom prst="roundRect">
          <a:avLst/>
        </a:prstGeom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ZA" sz="3200" b="1"/>
            <a:t>INTEREST CONVERTER</a:t>
          </a:r>
        </a:p>
      </xdr:txBody>
    </xdr:sp>
    <xdr:clientData/>
  </xdr:twoCellAnchor>
  <xdr:twoCellAnchor>
    <xdr:from>
      <xdr:col>9</xdr:col>
      <xdr:colOff>10582</xdr:colOff>
      <xdr:row>14</xdr:row>
      <xdr:rowOff>31750</xdr:rowOff>
    </xdr:from>
    <xdr:to>
      <xdr:col>15</xdr:col>
      <xdr:colOff>0</xdr:colOff>
      <xdr:row>22</xdr:row>
      <xdr:rowOff>10584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60A45E-9A79-4BF1-854C-21B319280D3E}"/>
            </a:ext>
          </a:extLst>
        </xdr:cNvPr>
        <xdr:cNvSpPr/>
      </xdr:nvSpPr>
      <xdr:spPr>
        <a:xfrm>
          <a:off x="5535082" y="2698750"/>
          <a:ext cx="3672418" cy="1502834"/>
        </a:xfrm>
        <a:prstGeom prst="roundRect">
          <a:avLst/>
        </a:prstGeom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ZA" sz="3200" b="1"/>
            <a:t>SINGLE</a:t>
          </a:r>
          <a:r>
            <a:rPr lang="en-ZA" sz="3200" b="1" baseline="0"/>
            <a:t> INVESTEMENTS</a:t>
          </a:r>
          <a:endParaRPr lang="en-ZA" sz="3200" b="1"/>
        </a:p>
      </xdr:txBody>
    </xdr:sp>
    <xdr:clientData/>
  </xdr:twoCellAnchor>
  <xdr:twoCellAnchor>
    <xdr:from>
      <xdr:col>17</xdr:col>
      <xdr:colOff>10581</xdr:colOff>
      <xdr:row>14</xdr:row>
      <xdr:rowOff>10585</xdr:rowOff>
    </xdr:from>
    <xdr:to>
      <xdr:col>23</xdr:col>
      <xdr:colOff>10582</xdr:colOff>
      <xdr:row>21</xdr:row>
      <xdr:rowOff>179917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89003AD-55CE-4067-8F5C-07C5077CCFD7}"/>
            </a:ext>
          </a:extLst>
        </xdr:cNvPr>
        <xdr:cNvSpPr/>
      </xdr:nvSpPr>
      <xdr:spPr>
        <a:xfrm>
          <a:off x="10445748" y="2677585"/>
          <a:ext cx="3683001" cy="1502832"/>
        </a:xfrm>
        <a:prstGeom prst="roundRect">
          <a:avLst/>
        </a:prstGeom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ZA" sz="3200" b="1"/>
            <a:t>STANDARD</a:t>
          </a:r>
          <a:r>
            <a:rPr lang="en-ZA" sz="3200" b="1" baseline="0"/>
            <a:t> ANNUITY</a:t>
          </a:r>
          <a:endParaRPr lang="en-ZA" sz="3200" b="1"/>
        </a:p>
      </xdr:txBody>
    </xdr:sp>
    <xdr:clientData/>
  </xdr:twoCellAnchor>
  <xdr:twoCellAnchor>
    <xdr:from>
      <xdr:col>24</xdr:col>
      <xdr:colOff>603249</xdr:colOff>
      <xdr:row>14</xdr:row>
      <xdr:rowOff>21165</xdr:rowOff>
    </xdr:from>
    <xdr:to>
      <xdr:col>30</xdr:col>
      <xdr:colOff>571498</xdr:colOff>
      <xdr:row>21</xdr:row>
      <xdr:rowOff>179916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D0D1FD1-5802-4755-A595-E47D03AD1900}"/>
            </a:ext>
          </a:extLst>
        </xdr:cNvPr>
        <xdr:cNvSpPr/>
      </xdr:nvSpPr>
      <xdr:spPr>
        <a:xfrm>
          <a:off x="15335249" y="2688165"/>
          <a:ext cx="3651249" cy="1492251"/>
        </a:xfrm>
        <a:prstGeom prst="roundRect">
          <a:avLst/>
        </a:prstGeom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ZA" sz="2000" b="1"/>
            <a:t>LOANS</a:t>
          </a:r>
          <a:r>
            <a:rPr lang="en-ZA" sz="2000" b="1" baseline="0"/>
            <a:t> / WITHDRAWALS WITH A STANDARD ANNUITY</a:t>
          </a:r>
          <a:endParaRPr lang="en-ZA" sz="2000" b="1"/>
        </a:p>
      </xdr:txBody>
    </xdr:sp>
    <xdr:clientData/>
  </xdr:twoCellAnchor>
  <xdr:twoCellAnchor>
    <xdr:from>
      <xdr:col>4</xdr:col>
      <xdr:colOff>603251</xdr:colOff>
      <xdr:row>27</xdr:row>
      <xdr:rowOff>158750</xdr:rowOff>
    </xdr:from>
    <xdr:to>
      <xdr:col>10</xdr:col>
      <xdr:colOff>592668</xdr:colOff>
      <xdr:row>36</xdr:row>
      <xdr:rowOff>52917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AF0B8CE-0ADA-4B07-8C41-68846C2A8289}"/>
            </a:ext>
          </a:extLst>
        </xdr:cNvPr>
        <xdr:cNvSpPr/>
      </xdr:nvSpPr>
      <xdr:spPr>
        <a:xfrm>
          <a:off x="3058584" y="5302250"/>
          <a:ext cx="3672417" cy="1608667"/>
        </a:xfrm>
        <a:prstGeom prst="roundRect">
          <a:avLst/>
        </a:prstGeom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ZA" sz="2800" b="1"/>
            <a:t>SINGLE</a:t>
          </a:r>
          <a:r>
            <a:rPr lang="en-ZA" sz="2800" b="1" baseline="0"/>
            <a:t> INVESTMENT + ANNUITY</a:t>
          </a:r>
          <a:endParaRPr lang="en-ZA" sz="2800" b="1"/>
        </a:p>
      </xdr:txBody>
    </xdr:sp>
    <xdr:clientData/>
  </xdr:twoCellAnchor>
  <xdr:twoCellAnchor>
    <xdr:from>
      <xdr:col>13</xdr:col>
      <xdr:colOff>0</xdr:colOff>
      <xdr:row>27</xdr:row>
      <xdr:rowOff>127001</xdr:rowOff>
    </xdr:from>
    <xdr:to>
      <xdr:col>19</xdr:col>
      <xdr:colOff>21167</xdr:colOff>
      <xdr:row>36</xdr:row>
      <xdr:rowOff>1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21506FB-0C27-4716-BE26-67A7220F73BE}"/>
            </a:ext>
          </a:extLst>
        </xdr:cNvPr>
        <xdr:cNvSpPr/>
      </xdr:nvSpPr>
      <xdr:spPr>
        <a:xfrm>
          <a:off x="7979833" y="5270501"/>
          <a:ext cx="3704167" cy="1587500"/>
        </a:xfrm>
        <a:prstGeom prst="roundRect">
          <a:avLst/>
        </a:prstGeom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ZA" sz="2800" b="1"/>
            <a:t>INCREASING</a:t>
          </a:r>
          <a:r>
            <a:rPr lang="en-ZA" sz="2800" b="1" baseline="0"/>
            <a:t> ANNUITIES BY PERIODS</a:t>
          </a:r>
          <a:endParaRPr lang="en-ZA" sz="2800" b="1"/>
        </a:p>
      </xdr:txBody>
    </xdr:sp>
    <xdr:clientData/>
  </xdr:twoCellAnchor>
  <xdr:twoCellAnchor>
    <xdr:from>
      <xdr:col>21</xdr:col>
      <xdr:colOff>21166</xdr:colOff>
      <xdr:row>28</xdr:row>
      <xdr:rowOff>21167</xdr:rowOff>
    </xdr:from>
    <xdr:to>
      <xdr:col>27</xdr:col>
      <xdr:colOff>42333</xdr:colOff>
      <xdr:row>35</xdr:row>
      <xdr:rowOff>169334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C6A8C96-51EE-408D-98E6-5FF590C52588}"/>
            </a:ext>
          </a:extLst>
        </xdr:cNvPr>
        <xdr:cNvSpPr/>
      </xdr:nvSpPr>
      <xdr:spPr>
        <a:xfrm>
          <a:off x="12911666" y="5355167"/>
          <a:ext cx="3704167" cy="1481667"/>
        </a:xfrm>
        <a:prstGeom prst="roundRect">
          <a:avLst/>
        </a:prstGeom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ZA" sz="1800" b="1"/>
            <a:t>RATE</a:t>
          </a:r>
          <a:r>
            <a:rPr lang="en-ZA" sz="1800" b="1" baseline="0"/>
            <a:t> INCREASING ANNUITIES + SINGLE PAYMENT</a:t>
          </a:r>
          <a:br>
            <a:rPr lang="en-ZA" sz="1800" b="1" baseline="0"/>
          </a:br>
          <a:r>
            <a:rPr lang="en-ZA" sz="1800" b="1" baseline="0"/>
            <a:t>(iNVESTMENT &amp; WITHDRAWALS)</a:t>
          </a:r>
          <a:endParaRPr lang="en-ZA" sz="1800" b="1"/>
        </a:p>
      </xdr:txBody>
    </xdr:sp>
    <xdr:clientData/>
  </xdr:twoCellAnchor>
  <xdr:twoCellAnchor>
    <xdr:from>
      <xdr:col>0</xdr:col>
      <xdr:colOff>1</xdr:colOff>
      <xdr:row>8</xdr:row>
      <xdr:rowOff>52916</xdr:rowOff>
    </xdr:from>
    <xdr:to>
      <xdr:col>3</xdr:col>
      <xdr:colOff>158751</xdr:colOff>
      <xdr:row>12</xdr:row>
      <xdr:rowOff>179917</xdr:rowOff>
    </xdr:to>
    <xdr:sp macro="" textlink="">
      <xdr:nvSpPr>
        <xdr:cNvPr id="10" name="Thought Bubble: Cloud 9">
          <a:extLst>
            <a:ext uri="{FF2B5EF4-FFF2-40B4-BE49-F238E27FC236}">
              <a16:creationId xmlns:a16="http://schemas.microsoft.com/office/drawing/2014/main" id="{D7633E64-424D-41DD-A0F1-D9F03429D83E}"/>
            </a:ext>
          </a:extLst>
        </xdr:cNvPr>
        <xdr:cNvSpPr/>
      </xdr:nvSpPr>
      <xdr:spPr>
        <a:xfrm>
          <a:off x="1" y="1576916"/>
          <a:ext cx="2000250" cy="889001"/>
        </a:xfrm>
        <a:prstGeom prst="cloudCallo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Please click on the Application you need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8</xdr:row>
      <xdr:rowOff>9524</xdr:rowOff>
    </xdr:from>
    <xdr:to>
      <xdr:col>1</xdr:col>
      <xdr:colOff>1400175</xdr:colOff>
      <xdr:row>10</xdr:row>
      <xdr:rowOff>38099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882181-03FF-1A54-B254-C5312B2DAC9B}"/>
            </a:ext>
          </a:extLst>
        </xdr:cNvPr>
        <xdr:cNvSpPr/>
      </xdr:nvSpPr>
      <xdr:spPr>
        <a:xfrm>
          <a:off x="1543050" y="1619249"/>
          <a:ext cx="1390650" cy="4095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1"/>
            <a:t>Standard</a:t>
          </a:r>
          <a:r>
            <a:rPr lang="en-GB" sz="1100" b="1" baseline="0"/>
            <a:t> Annuities</a:t>
          </a:r>
          <a:endParaRPr lang="en-GB" sz="1100" b="1"/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1428750</xdr:colOff>
      <xdr:row>10</xdr:row>
      <xdr:rowOff>38100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8AF05C-9462-42B8-A621-515A82BF8300}"/>
            </a:ext>
          </a:extLst>
        </xdr:cNvPr>
        <xdr:cNvSpPr/>
      </xdr:nvSpPr>
      <xdr:spPr>
        <a:xfrm>
          <a:off x="0" y="1609725"/>
          <a:ext cx="1428750" cy="419100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ZA" sz="1100" b="1"/>
            <a:t>Loans/Withdrawals</a:t>
          </a:r>
        </a:p>
      </xdr:txBody>
    </xdr:sp>
    <xdr:clientData/>
  </xdr:twoCellAnchor>
  <xdr:twoCellAnchor>
    <xdr:from>
      <xdr:col>0</xdr:col>
      <xdr:colOff>0</xdr:colOff>
      <xdr:row>11</xdr:row>
      <xdr:rowOff>9525</xdr:rowOff>
    </xdr:from>
    <xdr:to>
      <xdr:col>0</xdr:col>
      <xdr:colOff>1447800</xdr:colOff>
      <xdr:row>13</xdr:row>
      <xdr:rowOff>9525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3E68B09-83FE-4E7A-96C0-EBAD0A6F500D}"/>
            </a:ext>
          </a:extLst>
        </xdr:cNvPr>
        <xdr:cNvSpPr/>
      </xdr:nvSpPr>
      <xdr:spPr>
        <a:xfrm>
          <a:off x="0" y="2190750"/>
          <a:ext cx="1447800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ZA" sz="1100" b="1"/>
            <a:t>Single</a:t>
          </a:r>
          <a:r>
            <a:rPr lang="en-ZA" sz="1100" b="1" baseline="0"/>
            <a:t> Investments</a:t>
          </a:r>
          <a:endParaRPr lang="en-ZA" sz="1100" b="1"/>
        </a:p>
        <a:p>
          <a:pPr algn="ctr"/>
          <a:endParaRPr lang="en-ZA" sz="1100"/>
        </a:p>
      </xdr:txBody>
    </xdr:sp>
    <xdr:clientData/>
  </xdr:twoCellAnchor>
  <xdr:twoCellAnchor>
    <xdr:from>
      <xdr:col>0</xdr:col>
      <xdr:colOff>1524001</xdr:colOff>
      <xdr:row>11</xdr:row>
      <xdr:rowOff>19050</xdr:rowOff>
    </xdr:from>
    <xdr:to>
      <xdr:col>1</xdr:col>
      <xdr:colOff>1400176</xdr:colOff>
      <xdr:row>13</xdr:row>
      <xdr:rowOff>9525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57C5EBB-9357-434E-8552-8D083C4B5182}"/>
            </a:ext>
          </a:extLst>
        </xdr:cNvPr>
        <xdr:cNvSpPr/>
      </xdr:nvSpPr>
      <xdr:spPr>
        <a:xfrm>
          <a:off x="1524001" y="2200275"/>
          <a:ext cx="1409700" cy="3714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100"/>
            <a:t>Increasing Annuities</a:t>
          </a:r>
        </a:p>
        <a:p>
          <a:pPr algn="ctr"/>
          <a:endParaRPr lang="en-ZA" sz="1100"/>
        </a:p>
        <a:p>
          <a:pPr algn="ctr"/>
          <a:endParaRPr lang="en-ZA" sz="1100"/>
        </a:p>
      </xdr:txBody>
    </xdr:sp>
    <xdr:clientData/>
  </xdr:twoCellAnchor>
  <xdr:twoCellAnchor>
    <xdr:from>
      <xdr:col>0</xdr:col>
      <xdr:colOff>0</xdr:colOff>
      <xdr:row>5</xdr:row>
      <xdr:rowOff>161925</xdr:rowOff>
    </xdr:from>
    <xdr:to>
      <xdr:col>0</xdr:col>
      <xdr:colOff>1352550</xdr:colOff>
      <xdr:row>7</xdr:row>
      <xdr:rowOff>38100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6B13164-3CAF-444B-953F-77BE54ECA135}"/>
            </a:ext>
          </a:extLst>
        </xdr:cNvPr>
        <xdr:cNvSpPr/>
      </xdr:nvSpPr>
      <xdr:spPr>
        <a:xfrm>
          <a:off x="0" y="1200150"/>
          <a:ext cx="1352550" cy="2571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ZA" sz="1100"/>
            <a:t>HOME</a:t>
          </a:r>
        </a:p>
      </xdr:txBody>
    </xdr:sp>
    <xdr:clientData/>
  </xdr:twoCellAnchor>
  <xdr:twoCellAnchor>
    <xdr:from>
      <xdr:col>0</xdr:col>
      <xdr:colOff>0</xdr:colOff>
      <xdr:row>14</xdr:row>
      <xdr:rowOff>28574</xdr:rowOff>
    </xdr:from>
    <xdr:to>
      <xdr:col>0</xdr:col>
      <xdr:colOff>1457325</xdr:colOff>
      <xdr:row>16</xdr:row>
      <xdr:rowOff>133349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E7152F2-9954-4EE7-AA1E-E8F94C7EC817}"/>
            </a:ext>
          </a:extLst>
        </xdr:cNvPr>
        <xdr:cNvSpPr/>
      </xdr:nvSpPr>
      <xdr:spPr>
        <a:xfrm>
          <a:off x="0" y="2781299"/>
          <a:ext cx="1457325" cy="4857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 b="1"/>
            <a:t>Investment + Standard  Annuity</a:t>
          </a:r>
        </a:p>
      </xdr:txBody>
    </xdr:sp>
    <xdr:clientData/>
  </xdr:twoCellAnchor>
  <xdr:twoCellAnchor>
    <xdr:from>
      <xdr:col>1</xdr:col>
      <xdr:colOff>9525</xdr:colOff>
      <xdr:row>14</xdr:row>
      <xdr:rowOff>28575</xdr:rowOff>
    </xdr:from>
    <xdr:to>
      <xdr:col>2</xdr:col>
      <xdr:colOff>171450</xdr:colOff>
      <xdr:row>17</xdr:row>
      <xdr:rowOff>161925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3D39DF1-368A-4C9C-82AD-02908703DCB8}"/>
            </a:ext>
          </a:extLst>
        </xdr:cNvPr>
        <xdr:cNvSpPr/>
      </xdr:nvSpPr>
      <xdr:spPr>
        <a:xfrm>
          <a:off x="1543050" y="2781300"/>
          <a:ext cx="1571625" cy="7048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 b="1"/>
            <a:t>Single</a:t>
          </a:r>
          <a:r>
            <a:rPr lang="en-ZA" sz="1100" b="1" baseline="0"/>
            <a:t> + Increasing Annuity (Inest/Withdraw)</a:t>
          </a:r>
          <a:endParaRPr lang="en-ZA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333375</xdr:colOff>
      <xdr:row>10</xdr:row>
      <xdr:rowOff>4762</xdr:rowOff>
    </xdr:from>
    <xdr:to>
      <xdr:col>20</xdr:col>
      <xdr:colOff>638175</xdr:colOff>
      <xdr:row>23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FA3167-DCE8-41B0-A5B2-FC26C9FF4C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285750</xdr:colOff>
      <xdr:row>10</xdr:row>
      <xdr:rowOff>61912</xdr:rowOff>
    </xdr:from>
    <xdr:to>
      <xdr:col>12</xdr:col>
      <xdr:colOff>590550</xdr:colOff>
      <xdr:row>24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152557-2544-4569-937E-DD134F695D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57150</xdr:colOff>
      <xdr:row>5</xdr:row>
      <xdr:rowOff>114300</xdr:rowOff>
    </xdr:from>
    <xdr:to>
      <xdr:col>8</xdr:col>
      <xdr:colOff>514350</xdr:colOff>
      <xdr:row>7</xdr:row>
      <xdr:rowOff>76200</xdr:rowOff>
    </xdr:to>
    <xdr:sp macro="" textlink="">
      <xdr:nvSpPr>
        <xdr:cNvPr id="3" name="Rectangle: Rounded Corner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C1E45CB-F8A4-4EA5-9006-5CC40BD28490}"/>
            </a:ext>
          </a:extLst>
        </xdr:cNvPr>
        <xdr:cNvSpPr/>
      </xdr:nvSpPr>
      <xdr:spPr>
        <a:xfrm>
          <a:off x="9553575" y="1171575"/>
          <a:ext cx="1047750" cy="342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ZA" sz="1100" b="1"/>
            <a:t>CLICK</a:t>
          </a:r>
          <a:r>
            <a:rPr lang="en-ZA" sz="1100"/>
            <a:t> </a:t>
          </a:r>
          <a:r>
            <a:rPr lang="en-ZA" sz="1100" b="1"/>
            <a:t>HERE</a:t>
          </a:r>
        </a:p>
      </xdr:txBody>
    </xdr:sp>
    <xdr:clientData/>
  </xdr:twoCellAnchor>
  <xdr:twoCellAnchor>
    <xdr:from>
      <xdr:col>7</xdr:col>
      <xdr:colOff>9526</xdr:colOff>
      <xdr:row>3</xdr:row>
      <xdr:rowOff>200025</xdr:rowOff>
    </xdr:from>
    <xdr:to>
      <xdr:col>8</xdr:col>
      <xdr:colOff>542926</xdr:colOff>
      <xdr:row>5</xdr:row>
      <xdr:rowOff>28575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3596A54-E84A-4173-AD2D-3C34774ED92F}"/>
            </a:ext>
          </a:extLst>
        </xdr:cNvPr>
        <xdr:cNvSpPr/>
      </xdr:nvSpPr>
      <xdr:spPr>
        <a:xfrm>
          <a:off x="9648826" y="800100"/>
          <a:ext cx="1123950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100" b="1"/>
            <a:t>CLICK HERE</a:t>
          </a:r>
        </a:p>
      </xdr:txBody>
    </xdr:sp>
    <xdr:clientData/>
  </xdr:twoCellAnchor>
  <xdr:twoCellAnchor>
    <xdr:from>
      <xdr:col>7</xdr:col>
      <xdr:colOff>57151</xdr:colOff>
      <xdr:row>8</xdr:row>
      <xdr:rowOff>38100</xdr:rowOff>
    </xdr:from>
    <xdr:to>
      <xdr:col>8</xdr:col>
      <xdr:colOff>571501</xdr:colOff>
      <xdr:row>9</xdr:row>
      <xdr:rowOff>180975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D4EFD0B-DA2B-41E6-951F-3DA09D70E49E}"/>
            </a:ext>
          </a:extLst>
        </xdr:cNvPr>
        <xdr:cNvSpPr/>
      </xdr:nvSpPr>
      <xdr:spPr>
        <a:xfrm>
          <a:off x="9696451" y="1666875"/>
          <a:ext cx="1104900" cy="3333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 b="1"/>
            <a:t>CLICK</a:t>
          </a:r>
          <a:r>
            <a:rPr lang="en-ZA" sz="1100" b="1" baseline="0"/>
            <a:t> HERE</a:t>
          </a:r>
          <a:endParaRPr lang="en-ZA" sz="1100" b="1"/>
        </a:p>
      </xdr:txBody>
    </xdr:sp>
    <xdr:clientData/>
  </xdr:twoCellAnchor>
  <xdr:twoCellAnchor>
    <xdr:from>
      <xdr:col>10</xdr:col>
      <xdr:colOff>142875</xdr:colOff>
      <xdr:row>0</xdr:row>
      <xdr:rowOff>95250</xdr:rowOff>
    </xdr:from>
    <xdr:to>
      <xdr:col>13</xdr:col>
      <xdr:colOff>466725</xdr:colOff>
      <xdr:row>3</xdr:row>
      <xdr:rowOff>161925</xdr:rowOff>
    </xdr:to>
    <xdr:sp macro="" textlink="">
      <xdr:nvSpPr>
        <xdr:cNvPr id="7" name="Thought Bubble: Cloud 6">
          <a:extLst>
            <a:ext uri="{FF2B5EF4-FFF2-40B4-BE49-F238E27FC236}">
              <a16:creationId xmlns:a16="http://schemas.microsoft.com/office/drawing/2014/main" id="{7A89FCB7-267E-4B65-BA31-069606CB84DD}"/>
            </a:ext>
          </a:extLst>
        </xdr:cNvPr>
        <xdr:cNvSpPr/>
      </xdr:nvSpPr>
      <xdr:spPr>
        <a:xfrm>
          <a:off x="11553825" y="95250"/>
          <a:ext cx="2095500" cy="666750"/>
        </a:xfrm>
        <a:prstGeom prst="cloudCallo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Inflation is assumed at 5% per year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476250</xdr:colOff>
      <xdr:row>13</xdr:row>
      <xdr:rowOff>119062</xdr:rowOff>
    </xdr:from>
    <xdr:to>
      <xdr:col>17</xdr:col>
      <xdr:colOff>381000</xdr:colOff>
      <xdr:row>25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201E6D-3566-439A-ABB7-5C3193CF3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509587</xdr:colOff>
      <xdr:row>13</xdr:row>
      <xdr:rowOff>52387</xdr:rowOff>
    </xdr:from>
    <xdr:to>
      <xdr:col>22</xdr:col>
      <xdr:colOff>114300</xdr:colOff>
      <xdr:row>25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0B0FC6-4E2F-4CCA-BB2C-EF5AE6504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12700</xdr:colOff>
      <xdr:row>7</xdr:row>
      <xdr:rowOff>165100</xdr:rowOff>
    </xdr:from>
    <xdr:to>
      <xdr:col>10</xdr:col>
      <xdr:colOff>101600</xdr:colOff>
      <xdr:row>9</xdr:row>
      <xdr:rowOff>76200</xdr:rowOff>
    </xdr:to>
    <xdr:sp macro="" textlink="">
      <xdr:nvSpPr>
        <xdr:cNvPr id="2" name="Rounded Rectangle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B8BBB90-E4A1-0A94-D714-6590A137362F}"/>
            </a:ext>
          </a:extLst>
        </xdr:cNvPr>
        <xdr:cNvSpPr/>
      </xdr:nvSpPr>
      <xdr:spPr>
        <a:xfrm>
          <a:off x="7696200" y="1676400"/>
          <a:ext cx="1485900" cy="292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         CLICK HERE</a:t>
          </a:r>
        </a:p>
      </xdr:txBody>
    </xdr:sp>
    <xdr:clientData/>
  </xdr:twoCellAnchor>
  <xdr:twoCellAnchor>
    <xdr:from>
      <xdr:col>8</xdr:col>
      <xdr:colOff>1447800</xdr:colOff>
      <xdr:row>9</xdr:row>
      <xdr:rowOff>171450</xdr:rowOff>
    </xdr:from>
    <xdr:to>
      <xdr:col>10</xdr:col>
      <xdr:colOff>38100</xdr:colOff>
      <xdr:row>11</xdr:row>
      <xdr:rowOff>38100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36B2F50-B9CD-445E-979A-A64F57581814}"/>
            </a:ext>
          </a:extLst>
        </xdr:cNvPr>
        <xdr:cNvSpPr/>
      </xdr:nvSpPr>
      <xdr:spPr>
        <a:xfrm>
          <a:off x="7419975" y="2057400"/>
          <a:ext cx="1276350" cy="2571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ZA" sz="1100"/>
            <a:t>CLICK HERE</a:t>
          </a:r>
        </a:p>
      </xdr:txBody>
    </xdr:sp>
    <xdr:clientData/>
  </xdr:twoCellAnchor>
  <xdr:twoCellAnchor>
    <xdr:from>
      <xdr:col>8</xdr:col>
      <xdr:colOff>1447800</xdr:colOff>
      <xdr:row>11</xdr:row>
      <xdr:rowOff>190500</xdr:rowOff>
    </xdr:from>
    <xdr:to>
      <xdr:col>10</xdr:col>
      <xdr:colOff>38100</xdr:colOff>
      <xdr:row>13</xdr:row>
      <xdr:rowOff>28575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29F1100-288C-4653-9659-C604B18308C0}"/>
            </a:ext>
          </a:extLst>
        </xdr:cNvPr>
        <xdr:cNvSpPr/>
      </xdr:nvSpPr>
      <xdr:spPr>
        <a:xfrm>
          <a:off x="7419975" y="2466975"/>
          <a:ext cx="1276350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ZA" sz="1100"/>
            <a:t>CLICK</a:t>
          </a:r>
          <a:r>
            <a:rPr lang="en-ZA" sz="1100" baseline="0"/>
            <a:t> HERE</a:t>
          </a:r>
          <a:endParaRPr lang="en-ZA" sz="1100"/>
        </a:p>
      </xdr:txBody>
    </xdr:sp>
    <xdr:clientData/>
  </xdr:twoCellAnchor>
  <xdr:twoCellAnchor>
    <xdr:from>
      <xdr:col>12</xdr:col>
      <xdr:colOff>152400</xdr:colOff>
      <xdr:row>0</xdr:row>
      <xdr:rowOff>142875</xdr:rowOff>
    </xdr:from>
    <xdr:to>
      <xdr:col>15</xdr:col>
      <xdr:colOff>476250</xdr:colOff>
      <xdr:row>3</xdr:row>
      <xdr:rowOff>152400</xdr:rowOff>
    </xdr:to>
    <xdr:sp macro="" textlink="">
      <xdr:nvSpPr>
        <xdr:cNvPr id="7" name="Thought Bubble: Cloud 6">
          <a:extLst>
            <a:ext uri="{FF2B5EF4-FFF2-40B4-BE49-F238E27FC236}">
              <a16:creationId xmlns:a16="http://schemas.microsoft.com/office/drawing/2014/main" id="{2B5C176D-12A3-4570-B207-3E48DFDB077F}"/>
            </a:ext>
          </a:extLst>
        </xdr:cNvPr>
        <xdr:cNvSpPr/>
      </xdr:nvSpPr>
      <xdr:spPr>
        <a:xfrm>
          <a:off x="9991725" y="142875"/>
          <a:ext cx="2095500" cy="666750"/>
        </a:xfrm>
        <a:prstGeom prst="cloudCallo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Inflation is assumed at 5% per year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1609725</xdr:colOff>
      <xdr:row>12</xdr:row>
      <xdr:rowOff>152400</xdr:rowOff>
    </xdr:from>
    <xdr:to>
      <xdr:col>6</xdr:col>
      <xdr:colOff>123825</xdr:colOff>
      <xdr:row>14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06FDAA-0A0F-44C3-A589-0FBADC813259}"/>
            </a:ext>
          </a:extLst>
        </xdr:cNvPr>
        <xdr:cNvSpPr/>
      </xdr:nvSpPr>
      <xdr:spPr>
        <a:xfrm>
          <a:off x="6238875" y="2476500"/>
          <a:ext cx="962025" cy="2286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ZA" sz="1100"/>
            <a:t>CLICK HERE</a:t>
          </a:r>
        </a:p>
      </xdr:txBody>
    </xdr:sp>
    <xdr:clientData/>
  </xdr:twoCellAnchor>
  <xdr:twoCellAnchor>
    <xdr:from>
      <xdr:col>11</xdr:col>
      <xdr:colOff>9525</xdr:colOff>
      <xdr:row>2</xdr:row>
      <xdr:rowOff>114300</xdr:rowOff>
    </xdr:from>
    <xdr:to>
      <xdr:col>15</xdr:col>
      <xdr:colOff>552450</xdr:colOff>
      <xdr:row>15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451852-F4E8-4FAC-8E33-C54231A18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661987</xdr:colOff>
      <xdr:row>2</xdr:row>
      <xdr:rowOff>109537</xdr:rowOff>
    </xdr:from>
    <xdr:to>
      <xdr:col>20</xdr:col>
      <xdr:colOff>209550</xdr:colOff>
      <xdr:row>15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32791FD-36B4-49F7-894B-74A872FF4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15</xdr:row>
      <xdr:rowOff>0</xdr:rowOff>
    </xdr:from>
    <xdr:to>
      <xdr:col>6</xdr:col>
      <xdr:colOff>105834</xdr:colOff>
      <xdr:row>16</xdr:row>
      <xdr:rowOff>42333</xdr:rowOff>
    </xdr:to>
    <xdr:sp macro="" textlink="">
      <xdr:nvSpPr>
        <xdr:cNvPr id="3" name="Rectangle: Rounded Corner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187D0B6-98BF-448D-B184-59F8F3E94D04}"/>
            </a:ext>
          </a:extLst>
        </xdr:cNvPr>
        <xdr:cNvSpPr/>
      </xdr:nvSpPr>
      <xdr:spPr>
        <a:xfrm>
          <a:off x="6254750" y="3175000"/>
          <a:ext cx="1037167" cy="23283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ZA" sz="1100" b="1"/>
            <a:t>CLICK HERE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12</xdr:row>
      <xdr:rowOff>152400</xdr:rowOff>
    </xdr:from>
    <xdr:to>
      <xdr:col>6</xdr:col>
      <xdr:colOff>123825</xdr:colOff>
      <xdr:row>14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F22252-C07A-4614-8E33-46235279A7AB}"/>
            </a:ext>
          </a:extLst>
        </xdr:cNvPr>
        <xdr:cNvSpPr/>
      </xdr:nvSpPr>
      <xdr:spPr>
        <a:xfrm>
          <a:off x="6238875" y="2752725"/>
          <a:ext cx="1066800" cy="2286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ZA" sz="1100"/>
            <a:t>CLICK HERE</a:t>
          </a:r>
        </a:p>
      </xdr:txBody>
    </xdr:sp>
    <xdr:clientData/>
  </xdr:twoCellAnchor>
  <xdr:twoCellAnchor>
    <xdr:from>
      <xdr:col>5</xdr:col>
      <xdr:colOff>0</xdr:colOff>
      <xdr:row>14</xdr:row>
      <xdr:rowOff>152400</xdr:rowOff>
    </xdr:from>
    <xdr:to>
      <xdr:col>6</xdr:col>
      <xdr:colOff>133349</xdr:colOff>
      <xdr:row>16</xdr:row>
      <xdr:rowOff>9525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606D1D-FFB7-4F30-917A-4C3FFA162D2E}"/>
            </a:ext>
          </a:extLst>
        </xdr:cNvPr>
        <xdr:cNvSpPr/>
      </xdr:nvSpPr>
      <xdr:spPr>
        <a:xfrm>
          <a:off x="6181725" y="3009900"/>
          <a:ext cx="1219199" cy="2381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ZA" sz="1100" b="1"/>
            <a:t>CLICK HERE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1514475</xdr:colOff>
      <xdr:row>11</xdr:row>
      <xdr:rowOff>161925</xdr:rowOff>
    </xdr:from>
    <xdr:to>
      <xdr:col>1</xdr:col>
      <xdr:colOff>971550</xdr:colOff>
      <xdr:row>13</xdr:row>
      <xdr:rowOff>47625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0A6456-3E82-429A-B58A-0E1D181A6C34}"/>
            </a:ext>
          </a:extLst>
        </xdr:cNvPr>
        <xdr:cNvSpPr/>
      </xdr:nvSpPr>
      <xdr:spPr>
        <a:xfrm>
          <a:off x="1514475" y="2419350"/>
          <a:ext cx="1038225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100" b="1"/>
            <a:t>CLICK HERE</a:t>
          </a:r>
        </a:p>
      </xdr:txBody>
    </xdr:sp>
    <xdr:clientData/>
  </xdr:twoCellAnchor>
  <xdr:twoCellAnchor>
    <xdr:from>
      <xdr:col>0</xdr:col>
      <xdr:colOff>1485900</xdr:colOff>
      <xdr:row>13</xdr:row>
      <xdr:rowOff>171450</xdr:rowOff>
    </xdr:from>
    <xdr:to>
      <xdr:col>2</xdr:col>
      <xdr:colOff>9525</xdr:colOff>
      <xdr:row>15</xdr:row>
      <xdr:rowOff>47625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5293C0-6FA5-4EF1-8F23-7859854F2CB7}"/>
            </a:ext>
          </a:extLst>
        </xdr:cNvPr>
        <xdr:cNvSpPr/>
      </xdr:nvSpPr>
      <xdr:spPr>
        <a:xfrm>
          <a:off x="1485900" y="2809875"/>
          <a:ext cx="1095375" cy="2571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100" b="1"/>
            <a:t>CLICK</a:t>
          </a:r>
          <a:r>
            <a:rPr lang="en-ZA" sz="1100"/>
            <a:t> </a:t>
          </a:r>
          <a:r>
            <a:rPr lang="en-ZA" sz="1100" b="1"/>
            <a:t>HERE</a:t>
          </a:r>
        </a:p>
      </xdr:txBody>
    </xdr:sp>
    <xdr:clientData/>
  </xdr:twoCellAnchor>
  <xdr:twoCellAnchor>
    <xdr:from>
      <xdr:col>0</xdr:col>
      <xdr:colOff>457200</xdr:colOff>
      <xdr:row>19</xdr:row>
      <xdr:rowOff>57150</xdr:rowOff>
    </xdr:from>
    <xdr:to>
      <xdr:col>4</xdr:col>
      <xdr:colOff>942975</xdr:colOff>
      <xdr:row>33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76C276-D348-40D7-AB8D-BA0D5907D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1485901</xdr:colOff>
      <xdr:row>15</xdr:row>
      <xdr:rowOff>180975</xdr:rowOff>
    </xdr:from>
    <xdr:to>
      <xdr:col>2</xdr:col>
      <xdr:colOff>1</xdr:colOff>
      <xdr:row>17</xdr:row>
      <xdr:rowOff>57150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1280295-06C6-4B84-BEE7-D6840439B286}"/>
            </a:ext>
          </a:extLst>
        </xdr:cNvPr>
        <xdr:cNvSpPr/>
      </xdr:nvSpPr>
      <xdr:spPr>
        <a:xfrm>
          <a:off x="1485901" y="3200400"/>
          <a:ext cx="1085850" cy="2571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ZA" sz="1100" b="1"/>
            <a:t>CLICK</a:t>
          </a:r>
          <a:r>
            <a:rPr lang="en-ZA" sz="1100" b="1" baseline="0"/>
            <a:t> HERE</a:t>
          </a:r>
          <a:endParaRPr lang="en-ZA" sz="11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1949903</xdr:colOff>
      <xdr:row>12</xdr:row>
      <xdr:rowOff>12247</xdr:rowOff>
    </xdr:from>
    <xdr:to>
      <xdr:col>2</xdr:col>
      <xdr:colOff>87085</xdr:colOff>
      <xdr:row>13</xdr:row>
      <xdr:rowOff>88447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F94825-4B3A-4B69-A174-2A8128BED947}"/>
            </a:ext>
          </a:extLst>
        </xdr:cNvPr>
        <xdr:cNvSpPr/>
      </xdr:nvSpPr>
      <xdr:spPr>
        <a:xfrm>
          <a:off x="1949903" y="2992211"/>
          <a:ext cx="1729468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100" b="1"/>
            <a:t>CLICK HERE</a:t>
          </a:r>
        </a:p>
      </xdr:txBody>
    </xdr:sp>
    <xdr:clientData/>
  </xdr:twoCellAnchor>
  <xdr:twoCellAnchor>
    <xdr:from>
      <xdr:col>0</xdr:col>
      <xdr:colOff>1934937</xdr:colOff>
      <xdr:row>13</xdr:row>
      <xdr:rowOff>157843</xdr:rowOff>
    </xdr:from>
    <xdr:to>
      <xdr:col>2</xdr:col>
      <xdr:colOff>95251</xdr:colOff>
      <xdr:row>15</xdr:row>
      <xdr:rowOff>95250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5975A2-0430-479A-BCB1-A84B1B34CE85}"/>
            </a:ext>
          </a:extLst>
        </xdr:cNvPr>
        <xdr:cNvSpPr/>
      </xdr:nvSpPr>
      <xdr:spPr>
        <a:xfrm>
          <a:off x="1934937" y="3328307"/>
          <a:ext cx="1752600" cy="31840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100" b="1"/>
            <a:t>CLICK</a:t>
          </a:r>
          <a:r>
            <a:rPr lang="en-ZA" sz="1100"/>
            <a:t> </a:t>
          </a:r>
          <a:r>
            <a:rPr lang="en-ZA" sz="1100" b="1"/>
            <a:t>HERE</a:t>
          </a:r>
        </a:p>
      </xdr:txBody>
    </xdr:sp>
    <xdr:clientData/>
  </xdr:twoCellAnchor>
  <xdr:twoCellAnchor>
    <xdr:from>
      <xdr:col>0</xdr:col>
      <xdr:colOff>1932214</xdr:colOff>
      <xdr:row>16</xdr:row>
      <xdr:rowOff>108857</xdr:rowOff>
    </xdr:from>
    <xdr:to>
      <xdr:col>2</xdr:col>
      <xdr:colOff>95250</xdr:colOff>
      <xdr:row>18</xdr:row>
      <xdr:rowOff>13607</xdr:rowOff>
    </xdr:to>
    <xdr:sp macro="" textlink="">
      <xdr:nvSpPr>
        <xdr:cNvPr id="2" name="Rectangle: Rounded Corners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273BA62-3A34-4E50-A81B-66DA260742B0}"/>
            </a:ext>
          </a:extLst>
        </xdr:cNvPr>
        <xdr:cNvSpPr/>
      </xdr:nvSpPr>
      <xdr:spPr>
        <a:xfrm>
          <a:off x="1932214" y="3850821"/>
          <a:ext cx="1755322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100" b="1"/>
            <a:t>CLICK HERE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0580-CEA8-444B-8046-A346AFD87C72}">
  <dimension ref="A1:AG8"/>
  <sheetViews>
    <sheetView tabSelected="1" zoomScale="90" zoomScaleNormal="90" workbookViewId="0">
      <selection sqref="A1:AG8"/>
    </sheetView>
  </sheetViews>
  <sheetFormatPr baseColWidth="10" defaultColWidth="8.83203125" defaultRowHeight="15" x14ac:dyDescent="0.2"/>
  <sheetData>
    <row r="1" spans="1:33" ht="15" customHeight="1" x14ac:dyDescent="0.2">
      <c r="A1" s="68" t="s">
        <v>195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</row>
    <row r="2" spans="1:33" ht="15" customHeight="1" x14ac:dyDescent="0.2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</row>
    <row r="3" spans="1:33" ht="15" customHeight="1" x14ac:dyDescent="0.2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</row>
    <row r="4" spans="1:33" ht="15" customHeight="1" x14ac:dyDescent="0.2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</row>
    <row r="5" spans="1:33" ht="15" customHeight="1" x14ac:dyDescent="0.2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</row>
    <row r="6" spans="1:33" ht="15" customHeight="1" x14ac:dyDescent="0.2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</row>
    <row r="7" spans="1:33" ht="15" customHeight="1" x14ac:dyDescent="0.2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</row>
    <row r="8" spans="1:33" ht="15" customHeight="1" x14ac:dyDescent="0.2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</row>
  </sheetData>
  <mergeCells count="1">
    <mergeCell ref="A1:AG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workbookViewId="0">
      <selection activeCell="I11" sqref="I11"/>
    </sheetView>
  </sheetViews>
  <sheetFormatPr baseColWidth="10" defaultColWidth="8.83203125" defaultRowHeight="15" x14ac:dyDescent="0.2"/>
  <cols>
    <col min="1" max="1" width="26.83203125" customWidth="1"/>
    <col min="4" max="9" width="21" customWidth="1"/>
  </cols>
  <sheetData>
    <row r="1" spans="1:9" x14ac:dyDescent="0.2">
      <c r="A1" s="6" t="s">
        <v>0</v>
      </c>
      <c r="B1" s="7">
        <f>'Assignment1(User Interface)'!B3</f>
        <v>0</v>
      </c>
      <c r="D1" s="5" t="s">
        <v>4</v>
      </c>
    </row>
    <row r="2" spans="1:9" x14ac:dyDescent="0.2">
      <c r="A2" s="6" t="s">
        <v>1</v>
      </c>
      <c r="B2">
        <f>'Assignment1(User Interface)'!B4</f>
        <v>0</v>
      </c>
      <c r="D2" s="5" t="s">
        <v>3</v>
      </c>
      <c r="E2">
        <f>'Assignment1(User Interface)'!G3</f>
        <v>0</v>
      </c>
    </row>
    <row r="3" spans="1:9" x14ac:dyDescent="0.2">
      <c r="A3" s="6" t="s">
        <v>2</v>
      </c>
      <c r="B3">
        <f>'Assignment1(User Interface)'!B5</f>
        <v>0</v>
      </c>
      <c r="D3" s="5" t="s">
        <v>2</v>
      </c>
      <c r="E3">
        <f>'Assignment1(User Interface)'!B5</f>
        <v>0</v>
      </c>
    </row>
    <row r="6" spans="1:9" ht="19" x14ac:dyDescent="0.25">
      <c r="E6" s="70" t="s">
        <v>5</v>
      </c>
      <c r="F6" s="70"/>
      <c r="G6" s="70"/>
      <c r="H6" s="70"/>
      <c r="I6" s="70"/>
    </row>
    <row r="7" spans="1:9" ht="19" x14ac:dyDescent="0.25">
      <c r="D7" s="4"/>
      <c r="E7" s="5" t="s">
        <v>7</v>
      </c>
      <c r="F7" s="5" t="s">
        <v>8</v>
      </c>
      <c r="G7" s="5" t="s">
        <v>9</v>
      </c>
      <c r="H7" s="5" t="s">
        <v>10</v>
      </c>
      <c r="I7" s="5" t="s">
        <v>113</v>
      </c>
    </row>
    <row r="8" spans="1:9" x14ac:dyDescent="0.2">
      <c r="C8" s="69" t="s">
        <v>6</v>
      </c>
      <c r="D8" s="6" t="s">
        <v>7</v>
      </c>
      <c r="E8" s="2" t="e">
        <f>(B1*B2*B3)/(E2*B3)</f>
        <v>#DIV/0!</v>
      </c>
      <c r="F8" s="2" t="e">
        <f>((((1+B1)^B3))-1)/(E2)</f>
        <v>#DIV/0!</v>
      </c>
      <c r="G8" s="2" t="e">
        <f>(((1+$B$1/$B$2))^($B$3*$B$2)-1)/$E$2*$B$3</f>
        <v>#DIV/0!</v>
      </c>
      <c r="H8" s="2" t="e">
        <f>(((1+B1))^(B3*B2)-1)/E2*B3</f>
        <v>#DIV/0!</v>
      </c>
      <c r="I8" s="47" t="e">
        <f>(EXP(B1*B3)-1)/(B3*B2)</f>
        <v>#DIV/0!</v>
      </c>
    </row>
    <row r="9" spans="1:9" x14ac:dyDescent="0.2">
      <c r="C9" s="69"/>
      <c r="D9" s="6" t="s">
        <v>8</v>
      </c>
      <c r="E9" s="2" t="e">
        <f>((1+B1*B3*B2)^(1/E2))-1</f>
        <v>#DIV/0!</v>
      </c>
      <c r="F9" s="2" t="e">
        <f>((1+B1)^(B3/E3))-1</f>
        <v>#DIV/0!</v>
      </c>
      <c r="G9" s="2" t="e">
        <f>((((1+(B1/B2))^(B2*B3)))^(1/E2))-1</f>
        <v>#DIV/0!</v>
      </c>
      <c r="H9" s="2" t="e">
        <f>(((1+(B1))^((B2*B3)/E3)))-1</f>
        <v>#DIV/0!</v>
      </c>
      <c r="I9" s="46">
        <f>(EXP(B1)-1)</f>
        <v>0</v>
      </c>
    </row>
    <row r="10" spans="1:9" x14ac:dyDescent="0.2">
      <c r="C10" s="69"/>
      <c r="D10" s="6" t="s">
        <v>9</v>
      </c>
      <c r="E10" s="2" t="e">
        <f>((1+(B1*B3*B2))^(1/(E3*E2))-1)*E2</f>
        <v>#DIV/0!</v>
      </c>
      <c r="F10" s="2" t="e">
        <f>((((1+B1)^B3)^(1/E2*E3))-1)*E2</f>
        <v>#DIV/0!</v>
      </c>
      <c r="G10" s="2" t="e">
        <f>((((1+(B1/B2))^((B2*B3)/(E2*E3))))-1)*E2</f>
        <v>#DIV/0!</v>
      </c>
      <c r="H10" s="2" t="e">
        <f>(((1+(B1))^((B2*B3)/(E2*E3))-1))*E2</f>
        <v>#DIV/0!</v>
      </c>
      <c r="I10" s="47" t="e">
        <f>((EXP(B1/E2))-1)*E2</f>
        <v>#DIV/0!</v>
      </c>
    </row>
    <row r="11" spans="1:9" x14ac:dyDescent="0.2">
      <c r="C11" s="69"/>
      <c r="D11" s="6" t="s">
        <v>10</v>
      </c>
      <c r="E11" s="2" t="e">
        <f>((1+(B1*B3*B2))^(1/(E3*E2))-1)</f>
        <v>#DIV/0!</v>
      </c>
      <c r="F11" s="2" t="e">
        <f>(((1+B1)^(B3))^(1/(E2*E3)))-1</f>
        <v>#DIV/0!</v>
      </c>
      <c r="G11" s="2" t="e">
        <f>((((1+(B1/B2))^((B2*B3)/(E2*E3))))-1)</f>
        <v>#DIV/0!</v>
      </c>
      <c r="H11" s="2" t="e">
        <f>(((1+(B1))^(B2*B3))^(1/(E2*E3)))-1</f>
        <v>#DIV/0!</v>
      </c>
      <c r="I11" s="47" t="e">
        <f>((EXP(B1/E2))-1)</f>
        <v>#DIV/0!</v>
      </c>
    </row>
    <row r="12" spans="1:9" x14ac:dyDescent="0.2">
      <c r="C12" s="69"/>
      <c r="D12" s="6" t="s">
        <v>11</v>
      </c>
      <c r="E12" s="2" t="e">
        <f>(LN(1+B1*B3*B2))/E3</f>
        <v>#DIV/0!</v>
      </c>
      <c r="F12" s="2">
        <f>(LN((1+B1)^B3))</f>
        <v>0</v>
      </c>
      <c r="G12" s="2" t="e">
        <f>(LN((1+(B1/B2))^(B2*B3)))/E3</f>
        <v>#DIV/0!</v>
      </c>
      <c r="H12" s="2" t="e">
        <f>((LN((1+(B1/B2)^B3))))/E3</f>
        <v>#DIV/0!</v>
      </c>
      <c r="I12" s="2">
        <f>LN(EXP(B3*B1))</f>
        <v>0</v>
      </c>
    </row>
    <row r="15" spans="1:9" x14ac:dyDescent="0.2">
      <c r="I15" s="49"/>
    </row>
    <row r="16" spans="1:9" x14ac:dyDescent="0.2">
      <c r="I16" s="2"/>
    </row>
    <row r="17" spans="9:9" x14ac:dyDescent="0.2">
      <c r="I17" s="49"/>
    </row>
  </sheetData>
  <mergeCells count="2">
    <mergeCell ref="C8:C12"/>
    <mergeCell ref="E6:I6"/>
  </mergeCells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"/>
  <sheetViews>
    <sheetView workbookViewId="0">
      <selection activeCell="F16" sqref="F16"/>
    </sheetView>
  </sheetViews>
  <sheetFormatPr baseColWidth="10" defaultColWidth="8.83203125" defaultRowHeight="15" x14ac:dyDescent="0.2"/>
  <cols>
    <col min="1" max="1" width="23" customWidth="1"/>
    <col min="2" max="2" width="21.1640625" customWidth="1"/>
    <col min="6" max="6" width="30.83203125" customWidth="1"/>
    <col min="7" max="7" width="16.1640625" customWidth="1"/>
    <col min="14" max="14" width="16.33203125" customWidth="1"/>
  </cols>
  <sheetData>
    <row r="1" spans="1:14" ht="16" thickBot="1" x14ac:dyDescent="0.25">
      <c r="A1" s="71" t="s">
        <v>15</v>
      </c>
      <c r="B1" s="71"/>
      <c r="F1" s="72" t="s">
        <v>4</v>
      </c>
      <c r="G1" s="72"/>
    </row>
    <row r="2" spans="1:14" ht="16" thickBot="1" x14ac:dyDescent="0.25">
      <c r="A2" t="s">
        <v>12</v>
      </c>
      <c r="B2" s="51" t="s">
        <v>11</v>
      </c>
      <c r="F2" t="s">
        <v>16</v>
      </c>
      <c r="G2" s="53" t="s">
        <v>20</v>
      </c>
    </row>
    <row r="3" spans="1:14" ht="16" thickBot="1" x14ac:dyDescent="0.25">
      <c r="A3" t="s">
        <v>0</v>
      </c>
      <c r="B3" s="28"/>
      <c r="F3" t="s">
        <v>17</v>
      </c>
      <c r="G3" s="52"/>
      <c r="N3" s="45" t="s">
        <v>7</v>
      </c>
    </row>
    <row r="4" spans="1:14" ht="20" thickBot="1" x14ac:dyDescent="0.3">
      <c r="A4" t="s">
        <v>13</v>
      </c>
      <c r="F4" s="19" t="s">
        <v>18</v>
      </c>
      <c r="G4" s="50" t="e">
        <f>IF(AND(B2=N3,G2=N3),'Assignment1(Back End)'!E8,IF(AND(B2=N3,G2=N4),'Assignment1(Back End)'!E9,IF(AND(B2=N3,G2=N5),'Assignment1(Back End)'!E10,IF(AND(B2=N3,G2=N6),'Assignment1(Back End)'!E11,IF(AND(B2=N3,G2=N7),'Assignment1(Back End)'!E12,IF(AND(B2=N4,G2=N3),'Assignment1(Back End)'!F8,IF(AND(B2=N4,G2=N4),'Assignment1(Back End)'!F9,IF(AND(B2=N4,G2=N5),'Assignment1(Back End)'!F10,IF(AND(B2=N4,G2=N6),'Assignment1(Back End)'!F11,IF(AND(B2=N4,G2=N7),'Assignment1(Back End)'!F12,IF(AND(B2=N5,G2=N3),'Assignment1(Back End)'!G8,IF(AND(B2=N5,G2=N4),'Assignment1(Back End)'!G9,IF(AND(B2=N5,G2=N5),'Assignment1(Back End)'!G10,IF(AND(B2=N5,G2=N6),'Assignment1(Back End)'!G11,IF(AND(B2=N5,G2=N7),'Assignment1(Back End)'!G12,IF(AND(B2=N6,G2=N3),'Assignment1(Back End)'!H8,IF(AND(B2=N6,G2=N4),'Assignment1(Back End)'!H9,IF(AND(B2=N6,G2=N5),'Assignment1(Back End)'!H10,IF(AND(B2=N6,G2=N6),'Assignment1(Back End)'!H11,IF(AND(B2=N6,G2=N7),'Assignment1(Back End)'!H12,IF(AND(B2=N7,G2=N3),'Assignment1(Back End)'!I8,IF(AND(B2=N7,G2=N4),'Assignment1(Back End)'!I9,IF(AND(B2=N7,G2=N5),'Assignment1(Back End)'!I10,IF(AND(B2=N7,G2=N6),'Assignment1(Back End)'!I11,IF(AND(B2=N7,G2=N7),'Assignment1(Back End)'!I12,"Still work to do")))))))))))))))))))))))))</f>
        <v>#DIV/0!</v>
      </c>
      <c r="N4" s="45" t="s">
        <v>19</v>
      </c>
    </row>
    <row r="5" spans="1:14" x14ac:dyDescent="0.2">
      <c r="A5" t="s">
        <v>14</v>
      </c>
      <c r="N5" s="45" t="s">
        <v>9</v>
      </c>
    </row>
    <row r="6" spans="1:14" x14ac:dyDescent="0.2">
      <c r="N6" s="45" t="s">
        <v>20</v>
      </c>
    </row>
    <row r="7" spans="1:14" x14ac:dyDescent="0.2">
      <c r="N7" s="45" t="s">
        <v>11</v>
      </c>
    </row>
    <row r="9" spans="1:14" x14ac:dyDescent="0.2">
      <c r="A9" s="3"/>
    </row>
    <row r="10" spans="1:14" x14ac:dyDescent="0.2">
      <c r="B10" s="8"/>
    </row>
    <row r="12" spans="1:14" x14ac:dyDescent="0.2">
      <c r="A12" s="3"/>
    </row>
    <row r="14" spans="1:14" x14ac:dyDescent="0.2">
      <c r="A14" s="3"/>
    </row>
    <row r="16" spans="1:14" x14ac:dyDescent="0.2">
      <c r="A16" s="3"/>
    </row>
  </sheetData>
  <mergeCells count="2">
    <mergeCell ref="A1:B1"/>
    <mergeCell ref="F1:G1"/>
  </mergeCells>
  <dataValidations count="1">
    <dataValidation type="list" allowBlank="1" showInputMessage="1" showErrorMessage="1" sqref="G2 B2" xr:uid="{00000000-0002-0000-0100-000000000000}">
      <formula1>$N$3:$N$7</formula1>
    </dataValidation>
  </dataValidations>
  <pageMargins left="0.7" right="0.7" top="0.75" bottom="0.75" header="0.3" footer="0.3"/>
  <pageSetup paperSize="9" orientation="portrait" horizontalDpi="30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>
      <selection activeCell="C13" sqref="C13"/>
    </sheetView>
  </sheetViews>
  <sheetFormatPr baseColWidth="10" defaultColWidth="8.83203125" defaultRowHeight="15" x14ac:dyDescent="0.2"/>
  <cols>
    <col min="1" max="1" width="15.6640625" customWidth="1"/>
    <col min="2" max="2" width="19.1640625" customWidth="1"/>
    <col min="3" max="7" width="19.83203125" customWidth="1"/>
    <col min="8" max="8" width="16.33203125" customWidth="1"/>
    <col min="9" max="9" width="9.6640625" customWidth="1"/>
  </cols>
  <sheetData>
    <row r="1" spans="1:9" ht="19" x14ac:dyDescent="0.25">
      <c r="A1" s="15" t="s">
        <v>21</v>
      </c>
    </row>
    <row r="2" spans="1:9" x14ac:dyDescent="0.2">
      <c r="A2" s="3" t="s">
        <v>22</v>
      </c>
      <c r="B2">
        <f>'Assignment2(User Interface)'!B7</f>
        <v>0</v>
      </c>
    </row>
    <row r="3" spans="1:9" x14ac:dyDescent="0.2">
      <c r="A3" s="3" t="s">
        <v>23</v>
      </c>
      <c r="B3">
        <f>'Assignment2(User Interface)'!B8</f>
        <v>0</v>
      </c>
    </row>
    <row r="4" spans="1:9" x14ac:dyDescent="0.2">
      <c r="A4" s="3" t="s">
        <v>14</v>
      </c>
      <c r="B4">
        <f>IF('Assignment2(User Interface)'!B9='Assignment2(User Interface)'!W2,'Assignment2(User Interface)'!D12,IF('Assignment2(User Interface)'!B9='Assignment2(User Interface)'!W3,'Assignment2(User Interface)'!B12))</f>
        <v>8</v>
      </c>
    </row>
    <row r="5" spans="1:9" x14ac:dyDescent="0.2">
      <c r="A5" s="3" t="s">
        <v>25</v>
      </c>
      <c r="B5" s="66">
        <f>'Assignment2(User Interface)'!B10</f>
        <v>0</v>
      </c>
    </row>
    <row r="6" spans="1:9" x14ac:dyDescent="0.2">
      <c r="A6" s="3" t="s">
        <v>24</v>
      </c>
      <c r="B6">
        <f>'Assignment2(User Interface)'!B11</f>
        <v>0</v>
      </c>
    </row>
    <row r="7" spans="1:9" x14ac:dyDescent="0.2">
      <c r="A7" s="3" t="s">
        <v>152</v>
      </c>
    </row>
    <row r="8" spans="1:9" ht="19" x14ac:dyDescent="0.25">
      <c r="B8" s="73" t="s">
        <v>26</v>
      </c>
      <c r="C8" s="73"/>
      <c r="D8" s="73"/>
      <c r="E8" s="73"/>
      <c r="F8" s="73"/>
      <c r="G8" s="73"/>
      <c r="H8" s="73"/>
      <c r="I8" s="4"/>
    </row>
    <row r="9" spans="1:9" x14ac:dyDescent="0.2">
      <c r="A9" s="74" t="s">
        <v>27</v>
      </c>
      <c r="C9" s="11" t="s">
        <v>29</v>
      </c>
      <c r="D9" s="11" t="s">
        <v>23</v>
      </c>
      <c r="E9" s="11" t="s">
        <v>30</v>
      </c>
      <c r="F9" s="11" t="s">
        <v>25</v>
      </c>
      <c r="G9" s="11" t="s">
        <v>24</v>
      </c>
      <c r="H9" s="11" t="s">
        <v>35</v>
      </c>
    </row>
    <row r="10" spans="1:9" x14ac:dyDescent="0.2">
      <c r="A10" s="74"/>
      <c r="B10" s="12" t="s">
        <v>7</v>
      </c>
      <c r="C10" s="9">
        <f>((B3)*(1+(B5*B4*B6)))</f>
        <v>0</v>
      </c>
      <c r="D10" s="9">
        <f>B2/(1+(B5*B6*B4))</f>
        <v>0</v>
      </c>
      <c r="E10" s="9" t="e">
        <f>((B2/B3)-1)/(B5*B6)</f>
        <v>#DIV/0!</v>
      </c>
      <c r="F10" s="2" t="e">
        <f>((B2/B3)-1)/(B4*B6)</f>
        <v>#DIV/0!</v>
      </c>
      <c r="G10" s="9" t="e">
        <f>((B2/B3)-1)/(B5*B4)</f>
        <v>#DIV/0!</v>
      </c>
      <c r="H10" s="9">
        <f>C10-D10</f>
        <v>0</v>
      </c>
    </row>
    <row r="11" spans="1:9" x14ac:dyDescent="0.2">
      <c r="A11" s="74"/>
      <c r="B11" s="12" t="s">
        <v>28</v>
      </c>
      <c r="C11" s="9">
        <f>B3*(1+B5)^B4</f>
        <v>0</v>
      </c>
      <c r="D11" s="9">
        <f>B2/((1+B5)^B4)</f>
        <v>0</v>
      </c>
      <c r="E11" s="9" t="e">
        <f>LOG((B2/B3), (1+B5))</f>
        <v>#DIV/0!</v>
      </c>
      <c r="F11" s="10" t="e">
        <f>((B2/B3)^(1/B4))-1</f>
        <v>#DIV/0!</v>
      </c>
      <c r="G11" s="13">
        <v>1</v>
      </c>
      <c r="H11" s="9">
        <f>C11-D11</f>
        <v>0</v>
      </c>
    </row>
    <row r="12" spans="1:9" x14ac:dyDescent="0.2">
      <c r="A12" s="74"/>
      <c r="B12" s="12" t="s">
        <v>20</v>
      </c>
      <c r="C12" s="9">
        <f>B3*(1+B5)^(B6*B4)</f>
        <v>0</v>
      </c>
      <c r="D12" s="9">
        <f>B2/((1+B5)^(B4*B6))</f>
        <v>0</v>
      </c>
      <c r="E12" s="9" t="e">
        <f>LOG((B2/B3),(1+B5))/B4</f>
        <v>#DIV/0!</v>
      </c>
      <c r="F12" s="10" t="e">
        <f>((B2/B3)^(1/(B4*B6)))-1</f>
        <v>#DIV/0!</v>
      </c>
      <c r="G12" s="9" t="e">
        <f>LOG((B2/B3),(1+B5))/B4</f>
        <v>#DIV/0!</v>
      </c>
      <c r="H12" s="9">
        <f>C12-D12</f>
        <v>0</v>
      </c>
    </row>
    <row r="13" spans="1:9" x14ac:dyDescent="0.2">
      <c r="A13" s="74"/>
      <c r="B13" s="12" t="s">
        <v>9</v>
      </c>
      <c r="C13" s="9" t="e">
        <f>B3*((1+(B5/B6))^(B4*B6))</f>
        <v>#DIV/0!</v>
      </c>
      <c r="D13" s="9" t="e">
        <f>B2/((1+(B5/B6))^(B4*B6))</f>
        <v>#DIV/0!</v>
      </c>
      <c r="E13" s="9" t="e">
        <f>LOG((B2/B3), (1+(B5/B6)))/B6</f>
        <v>#DIV/0!</v>
      </c>
      <c r="F13" s="10" t="e">
        <f>(((B2/B3)^(1/(B4*B6)))-1)*B6</f>
        <v>#DIV/0!</v>
      </c>
      <c r="G13" s="9" t="e">
        <f>LOG((B2/B3), (1+(B5/B6)))/B4</f>
        <v>#DIV/0!</v>
      </c>
      <c r="H13" s="9" t="e">
        <f>C13-D13</f>
        <v>#DIV/0!</v>
      </c>
    </row>
    <row r="14" spans="1:9" x14ac:dyDescent="0.2">
      <c r="A14" s="74"/>
      <c r="B14" s="12" t="s">
        <v>11</v>
      </c>
      <c r="C14" s="9">
        <f>B3*(EXP(B5*B4))</f>
        <v>0</v>
      </c>
      <c r="D14">
        <f>B3*(EXP(-B5*B4))</f>
        <v>0</v>
      </c>
      <c r="E14" t="e">
        <f>(LN(B2/B3))/B5</f>
        <v>#DIV/0!</v>
      </c>
      <c r="F14" s="10" t="e">
        <f>(LN(B2/B3))/B4</f>
        <v>#DIV/0!</v>
      </c>
      <c r="G14" t="e">
        <f>(LN(B2/B3))/B5</f>
        <v>#DIV/0!</v>
      </c>
      <c r="H14" s="9">
        <f>C14-D14</f>
        <v>0</v>
      </c>
    </row>
  </sheetData>
  <mergeCells count="2">
    <mergeCell ref="B8:H8"/>
    <mergeCell ref="A9:A14"/>
  </mergeCells>
  <pageMargins left="0.7" right="0.7" top="0.75" bottom="0.75" header="0.3" footer="0.3"/>
  <pageSetup paperSize="9"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7"/>
  <sheetViews>
    <sheetView zoomScaleNormal="100" workbookViewId="0">
      <selection activeCell="D27" sqref="D27"/>
    </sheetView>
  </sheetViews>
  <sheetFormatPr baseColWidth="10" defaultColWidth="8.83203125" defaultRowHeight="15" x14ac:dyDescent="0.2"/>
  <cols>
    <col min="1" max="1" width="23" customWidth="1"/>
    <col min="2" max="2" width="18.1640625" customWidth="1"/>
    <col min="3" max="3" width="26.33203125" customWidth="1"/>
    <col min="4" max="4" width="22.6640625" customWidth="1"/>
    <col min="5" max="5" width="26.83203125" customWidth="1"/>
    <col min="7" max="7" width="18.6640625" customWidth="1"/>
    <col min="21" max="21" width="18.5" customWidth="1"/>
    <col min="22" max="22" width="16.1640625" customWidth="1"/>
  </cols>
  <sheetData>
    <row r="1" spans="1:23" x14ac:dyDescent="0.2">
      <c r="A1" s="75" t="s">
        <v>39</v>
      </c>
      <c r="B1" s="75"/>
      <c r="C1" s="75"/>
      <c r="D1" s="75"/>
      <c r="E1" s="75"/>
    </row>
    <row r="2" spans="1:23" ht="16" thickBot="1" x14ac:dyDescent="0.25">
      <c r="A2" s="75"/>
      <c r="B2" s="75"/>
      <c r="C2" s="75"/>
      <c r="D2" s="75"/>
      <c r="E2" s="75"/>
      <c r="U2" s="12" t="s">
        <v>7</v>
      </c>
      <c r="V2" s="3" t="s">
        <v>22</v>
      </c>
      <c r="W2" s="3" t="s">
        <v>46</v>
      </c>
    </row>
    <row r="3" spans="1:23" ht="17" thickBot="1" x14ac:dyDescent="0.25">
      <c r="A3" s="14" t="s">
        <v>31</v>
      </c>
      <c r="B3" s="22" t="s">
        <v>20</v>
      </c>
      <c r="D3" s="14" t="s">
        <v>32</v>
      </c>
      <c r="E3" s="24" t="s">
        <v>22</v>
      </c>
      <c r="U3" s="12" t="s">
        <v>28</v>
      </c>
      <c r="V3" s="3" t="s">
        <v>23</v>
      </c>
      <c r="W3" s="3" t="s">
        <v>47</v>
      </c>
    </row>
    <row r="4" spans="1:23" ht="17" thickBot="1" x14ac:dyDescent="0.25">
      <c r="D4" s="18"/>
      <c r="U4" s="12" t="s">
        <v>20</v>
      </c>
      <c r="V4" s="3" t="s">
        <v>14</v>
      </c>
    </row>
    <row r="5" spans="1:23" ht="20" thickBot="1" x14ac:dyDescent="0.3">
      <c r="D5" s="14" t="s">
        <v>34</v>
      </c>
      <c r="E5" s="23">
        <f>IF(AND(B3=U2,E3=V2),'Assignment2 (Back End)'!C10,IF(AND(B3=U2,E3=V3),'Assignment2 (Back End)'!D10,IF(AND(B3=U2,E3=V4),'Assignment2 (Back End)'!E10,IF(AND(B3=U2,E3=V5),TEXT('Assignment2 (Back End)'!$F$10,"0.0000%"),IF(AND(B3=U2,E3=V6),'Assignment2 (Back End)'!G10,IF(AND(B3=U2,E3=V7),'Assignment2 (Back End)'!H10,IF(AND(B3=U3,E3=V2),'Assignment2 (Back End)'!C11,IF(AND(B3=U3,E3=V3),'Assignment2 (Back End)'!D10,IF(AND(B3=U3,E3=V4),'Assignment2 (Back End)'!E11,IF(AND(B3=U3,E3=V5),TEXT('Assignment2 (Back End)'!F11,"0.0000%"),IF(AND(B3=U3,E3=V6),'Assignment2 (Back End)'!G11,IF(AND(B3=U3,E3=V7),'Assignment2 (Back End)'!H11,IF(AND(B3=U4,E3=V2),'Assignment2 (Back End)'!C12,IF(AND(B3=U4,E3=V3),'Assignment2 (Back End)'!D11,IF(AND(B3=U4,E3=V4),'Assignment2 (Back End)'!E12,IF(AND(B3=U4,E3=V5),TEXT('Assignment2 (Back End)'!F12,"0.0000%"),IF(AND(B3=U4,E3=V6),'Assignment2 (Back End)'!G12,IF(AND(B3=U4,E3=V7),'Assignment2 (Back End)'!H12,IF(AND(B3=U5,E3=V2),'Assignment2 (Back End)'!C13,IF(AND(B3=U5,E3=V3),'Assignment2 (Back End)'!D13,IF(AND(B3=U5,E3=V4),'Assignment2 (Back End)'!E13,IF(AND(B3=U5,E3=V5),TEXT('Assignment2 (Back End)'!F13,"0.0000%"),IF(AND(B3=U5,E3=V6),'Assignment2 (Back End)'!G13,IF(AND(B3=U5,E3=V7),'Assignment2 (Back End)'!H13,IF(AND(B3=U6,E3=V2),'Assignment2 (Back End)'!C14,IF(AND(B3=U6,E3=V3),'Assignment2 (Back End)'!D14,IF(AND(B3=U6,E3=V5),TEXT('Assignment2 (Back End)'!F14,"0.0000%"),IF(AND(B3=U6,E3=V4),'Assignment2 (Back End)'!E14,IF(AND(B3=U6,E3=V6),'Assignment2 (Back End)'!G14,IF(AND(B3=U6,E3=V7),'Assignment2 (Back End)'!H14,"Not Applicable"))))))))))))))))))))))))))))))</f>
        <v>0</v>
      </c>
      <c r="G5" s="3" t="s">
        <v>150</v>
      </c>
      <c r="U5" s="12" t="s">
        <v>9</v>
      </c>
      <c r="V5" s="3" t="s">
        <v>25</v>
      </c>
    </row>
    <row r="6" spans="1:23" x14ac:dyDescent="0.2">
      <c r="A6" s="16" t="s">
        <v>33</v>
      </c>
      <c r="U6" s="12" t="s">
        <v>11</v>
      </c>
      <c r="V6" s="3" t="s">
        <v>24</v>
      </c>
    </row>
    <row r="7" spans="1:23" x14ac:dyDescent="0.2">
      <c r="A7" s="3" t="s">
        <v>22</v>
      </c>
      <c r="B7" s="17"/>
      <c r="D7" s="3" t="s">
        <v>198</v>
      </c>
      <c r="E7">
        <f>IF(E3=V2,E5*(1+5%)^(-'Assignment2 (Back End)'!B4)," ")</f>
        <v>0</v>
      </c>
      <c r="G7" s="3" t="s">
        <v>122</v>
      </c>
      <c r="V7" s="3" t="s">
        <v>35</v>
      </c>
    </row>
    <row r="8" spans="1:23" x14ac:dyDescent="0.2">
      <c r="A8" s="3" t="s">
        <v>23</v>
      </c>
      <c r="B8" s="17"/>
    </row>
    <row r="9" spans="1:23" x14ac:dyDescent="0.2">
      <c r="A9" s="3" t="s">
        <v>44</v>
      </c>
      <c r="B9" s="25" t="s">
        <v>46</v>
      </c>
      <c r="G9" s="3" t="s">
        <v>196</v>
      </c>
    </row>
    <row r="10" spans="1:23" x14ac:dyDescent="0.2">
      <c r="A10" s="3" t="s">
        <v>25</v>
      </c>
      <c r="B10" s="10"/>
    </row>
    <row r="11" spans="1:23" x14ac:dyDescent="0.2">
      <c r="A11" s="3" t="s">
        <v>24</v>
      </c>
    </row>
    <row r="12" spans="1:23" x14ac:dyDescent="0.2">
      <c r="A12" s="19" t="s">
        <v>41</v>
      </c>
      <c r="B12" s="21"/>
      <c r="C12" s="3" t="s">
        <v>45</v>
      </c>
      <c r="D12">
        <v>8</v>
      </c>
    </row>
    <row r="13" spans="1:23" x14ac:dyDescent="0.2">
      <c r="A13" s="3" t="s">
        <v>43</v>
      </c>
      <c r="B13" s="20"/>
    </row>
    <row r="14" spans="1:23" x14ac:dyDescent="0.2">
      <c r="A14" s="3" t="s">
        <v>42</v>
      </c>
      <c r="B14" s="20"/>
    </row>
    <row r="15" spans="1:23" ht="21" customHeight="1" x14ac:dyDescent="0.2">
      <c r="A15" s="76" t="s">
        <v>40</v>
      </c>
      <c r="B15" s="76"/>
      <c r="C15" s="76"/>
      <c r="D15" s="76"/>
      <c r="E15" s="76"/>
    </row>
    <row r="16" spans="1:23" ht="16" thickBot="1" x14ac:dyDescent="0.25">
      <c r="A16" s="76"/>
      <c r="B16" s="76"/>
      <c r="C16" s="76"/>
      <c r="D16" s="76"/>
      <c r="E16" s="76"/>
    </row>
    <row r="17" spans="1:5" ht="17" thickBot="1" x14ac:dyDescent="0.25">
      <c r="A17" s="14" t="s">
        <v>37</v>
      </c>
      <c r="B17" s="26" t="s">
        <v>7</v>
      </c>
      <c r="D17" s="14" t="s">
        <v>36</v>
      </c>
      <c r="E17" s="27" t="s">
        <v>20</v>
      </c>
    </row>
    <row r="19" spans="1:5" x14ac:dyDescent="0.2">
      <c r="A19" s="3" t="s">
        <v>38</v>
      </c>
      <c r="B19" s="3" t="str">
        <f>B17</f>
        <v>Simple</v>
      </c>
      <c r="C19" s="3"/>
      <c r="D19" s="3" t="s">
        <v>38</v>
      </c>
      <c r="E19" s="3" t="str">
        <f>E17</f>
        <v>Effective periodic</v>
      </c>
    </row>
    <row r="20" spans="1:5" x14ac:dyDescent="0.2">
      <c r="A20">
        <v>1</v>
      </c>
      <c r="B20" s="17">
        <f>IF($B$17=$U$2,$B$8*(1+($B$10*1*$B$11)),IF($B$17=$U$3,$B$8*((1+$B$10)^1),IF($B$17=$U$4,$B$8*((1+$B$10)^(1*$B$11)),IF($B$17=$U$5,$B$8*((1+($B$10/$B$11))^(1*$B$11)),IF($B$17=$U$6,$B$8*EXP($B$10*1),"Not Applicable")))))</f>
        <v>0</v>
      </c>
      <c r="D20">
        <v>1</v>
      </c>
      <c r="E20" s="17">
        <f>IF($E$17=$U$2,$B$8*(1+($B$10*1*$B$11)),IF($E$17=$U$3,$B$8*((1+$B$10)^1),IF($E$17=$U$4,$B$8*((1+$B$10)^(1*$B$11)),IF($E$17=$U$5,$B$8*((1+($B$10/$B$11))^(1*$B$11)),"Not Applicable"))))</f>
        <v>0</v>
      </c>
    </row>
    <row r="21" spans="1:5" x14ac:dyDescent="0.2">
      <c r="A21">
        <v>2</v>
      </c>
      <c r="B21" s="17">
        <f>IF($B$17=$U$2,$B$8*(1+($B$10*2*$B$11)),IF($B$17=$U$3,$B$8*((1+$B$10)^2),IF($B$17=$U$4,$B$8*((1+$B$10)^(2*$B$11)),IF($B$17=$U$5,$B$8*((1+($B$10/$B$11))^(2*$B$11)),IF($B$17=$U$6,$B$8*EXP($B$10*2),"Not Applicable")))))</f>
        <v>0</v>
      </c>
      <c r="D21">
        <v>2</v>
      </c>
      <c r="E21" s="17">
        <f>IF($E$17=$U$2,$B$8*(1+($B$10*2*$B$11)),IF($E$17=$U$3,$B$8*((1+$B$10)^2),IF($E$17=$U$4,$B$8*((1+$B$10)^(2*$B$11)),IF($E$17=$U$5,$B$8*((1+($B$10/$B$11))^(2*$B$11)),"Not Applicable"))))</f>
        <v>0</v>
      </c>
    </row>
    <row r="22" spans="1:5" x14ac:dyDescent="0.2">
      <c r="A22">
        <v>3</v>
      </c>
      <c r="B22" s="17">
        <f>IF($B$17=$U$2,$B$8*(1+($B$10*3*$B$11)),IF($B$17=$U$3,$B$8*((1+$B$10)^3),IF($B$17=$U$4,$B$8*((1+$B$10)^(3*$B$11)),IF($B$17=$U$5,$B$8*((1+($B$10/$B$11))^(3*$B$11)),IF($B$17=$U$6,$B$8*EXP($B$10*3),"Not Applicable")))))</f>
        <v>0</v>
      </c>
      <c r="D22">
        <v>3</v>
      </c>
      <c r="E22" s="17">
        <f>IF($E$17=$U$2,$B$8*(1+($B$10*3*$B$11)),IF($E$17=$U$3,$B$8*((1+$B$10)^3),IF($E$17=$U$4,$B$8*((1+$B$10)^(3*$B$11)),IF($E$17=$U$5,$B$8*((1+($B$10/$B$11))^(3*$B$11)),"Not Applicable"))))</f>
        <v>0</v>
      </c>
    </row>
    <row r="23" spans="1:5" x14ac:dyDescent="0.2">
      <c r="A23">
        <v>4</v>
      </c>
      <c r="B23" s="17">
        <f>IF($B$17=$U$2,$B$8*(1+($B$10*4*$B$11)),IF($B$17=$U$3,$B$8*((1+$B$10)^4),IF($B$17=$U$4,$B$8*((1+$B$10)^(4*$B$11)),IF($B$17=$U$5,$B$8*((1+($B$10/$B$11))^(4*$B$11)),IF($B$17=$U$6,$B$8*EXP($B$10*4),"Not Applicable")))))</f>
        <v>0</v>
      </c>
      <c r="D23">
        <v>4</v>
      </c>
      <c r="E23" s="17">
        <f>IF($E$17=$U$2,$B$8*(1+($B$10*4*$B$11)),IF($E$17=$U$3,$B$8*((1+$B$10)^4),IF($E$17=$U$4,$B$8*((1+$B$10)^(4*$B$11)),IF($E$17=$U$5,$B$8*((1+($B$10/$B$11))^(4*$B$11)),"Not Applicable"))))</f>
        <v>0</v>
      </c>
    </row>
    <row r="24" spans="1:5" x14ac:dyDescent="0.2">
      <c r="A24">
        <v>5</v>
      </c>
      <c r="B24" s="17">
        <f>IF($B$17=$U$2,$B$8*(1+($B$10*5*$B$11)),IF($B$17=$U$3,$B$8*((1+$B$10)^5),IF($B$17=$U$4,$B$8*((1+$B$10)^(5*$B$11)),IF($B$17=$U$5,$B$8*((1+($B$10/$B$11))^(5*$B$11)),IF($B$17=$U$6,$B$8*EXP($B$10*5),"Not Applicable")))))</f>
        <v>0</v>
      </c>
      <c r="D24">
        <v>5</v>
      </c>
      <c r="E24" s="17">
        <f>IF($E$17=$U$2,$B$8*(1+($B$10*5*$B$11)),IF($E$17=$U$3,$B$8*((1+$B$10)^5),IF($E$17=$U$4,$B$8*((1+$B$10)^(5*$B$11)),IF($E$17=$U$5,$B$8*((1+($B$10/$B$11))^(5*$B$11)),"Not Applicable"))))</f>
        <v>0</v>
      </c>
    </row>
    <row r="25" spans="1:5" x14ac:dyDescent="0.2">
      <c r="A25">
        <v>6</v>
      </c>
      <c r="B25" s="17">
        <f>IF($B$17=$U$2,$B$8*(1+($B$10*6*$B$11)),IF($B$17=$U$3,$B$8*((1+$B$10)^6),IF($B$17=$U$4,$B$8*((1+$B$10)^(6*$B$11)),IF($B$17=$U$5,$B$8*((1+($B$10/$B$11))^(6*$B$11)),IF($B$17=$U$6,$B$8*EXP($B$10*6),"Not Applicable")))))</f>
        <v>0</v>
      </c>
      <c r="D25">
        <v>6</v>
      </c>
      <c r="E25" s="17">
        <f>IF($E$17=$U$2,$B$8*(1+($B$10*6*$B$11)),IF($E$17=$U$3,$B$8*((1+$B$10)^6),IF($E$17=$U$4,$B$8*((1+$B$10)^(6*$B$11)),IF($E$17=$U$5,$B$8*((1+($B$10/$B$11))^(6*$B$11)),"Not Applicable"))))</f>
        <v>0</v>
      </c>
    </row>
    <row r="26" spans="1:5" x14ac:dyDescent="0.2">
      <c r="A26">
        <v>7</v>
      </c>
      <c r="B26" s="17">
        <f>IF($B$17=$U$2,$B$8*(1+($B$10*7*$B$11)),IF($B$17=$U$3,$B$8*((1+$B$10)^7),IF($B$17=$U$4,$B$8*((1+$B$10)^(7*$B$11)),IF($B$17=$U$5,$B$8*((1+($B$10/$B$11))^(7*$B$11)),IF($B$17=$U$6,$B$8*EXP($B$10*7),"Not Applicable")))))</f>
        <v>0</v>
      </c>
      <c r="D26">
        <v>7</v>
      </c>
      <c r="E26" s="17">
        <f>IF($E$17=$U$2,$B$8*(1+($B$10*7*$B$11)),IF($E$17=$U$3,$B$8*((1+$B$10)^7),IF($E$17=$U$4,$B$8*((1+$B$10)^(7*$B$11)),IF($E$17=$U$5,$B$8*((1+($B$10/$B$11))^(7*$B$11)),"Not Applicable"))))</f>
        <v>0</v>
      </c>
    </row>
    <row r="27" spans="1:5" x14ac:dyDescent="0.2">
      <c r="A27">
        <v>8</v>
      </c>
      <c r="B27" s="17">
        <f>IF($B$17=$U$2,$B$8*(1+($B$10*8*$B$11)),IF($B$17=$U$3,$B$8*((1+$B$10)^8),IF($B$17=$U$4,$B$8*((1+$B$10)^(8*$B$11)),IF($B$17=$U$5,$B$8*((1+($B$10/$B$11))^(8*$B$11)),IF($B$17=$U$6,$B$8*EXP($B$10*8),"Not Applicable")))))</f>
        <v>0</v>
      </c>
      <c r="D27">
        <v>8</v>
      </c>
      <c r="E27" s="17">
        <f>IF($E$17=$U$2,$B$8*(1+($B$10*8*$B$11)),IF($E$17=$U$3,$B$8*((1+$B$10)^8),IF($E$17=$U$4,$B$8*((1+$B$10)^(8*$B$11)),IF($E$17=$U$5,$B$8*((1+($B$10/$B$11))^(8*$B$11)),"Not Applicable"))))</f>
        <v>0</v>
      </c>
    </row>
  </sheetData>
  <mergeCells count="2">
    <mergeCell ref="A1:E2"/>
    <mergeCell ref="A15:E16"/>
  </mergeCells>
  <dataValidations count="4">
    <dataValidation type="list" allowBlank="1" showInputMessage="1" showErrorMessage="1" sqref="E17" xr:uid="{00000000-0002-0000-0300-000000000000}">
      <formula1>$U$2:$U$5</formula1>
    </dataValidation>
    <dataValidation type="list" allowBlank="1" showInputMessage="1" showErrorMessage="1" sqref="E3" xr:uid="{00000000-0002-0000-0300-000001000000}">
      <formula1>$V$2:$V$7</formula1>
    </dataValidation>
    <dataValidation type="list" allowBlank="1" showInputMessage="1" showErrorMessage="1" sqref="B9" xr:uid="{BB76FEC3-A925-483A-B8C4-138624B997FE}">
      <formula1>$W$2:$W$3</formula1>
    </dataValidation>
    <dataValidation type="list" allowBlank="1" showInputMessage="1" showErrorMessage="1" sqref="B3 B17" xr:uid="{51EEA79A-3B95-4E89-84F5-B16317D6A838}">
      <formula1>$U$2:$U$6</formula1>
    </dataValidation>
  </dataValidations>
  <pageMargins left="0.7" right="0.7" top="0.75" bottom="0.75" header="0.3" footer="0.3"/>
  <pageSetup paperSize="9" orientation="portrait" horizont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E6548-62C0-4E9A-8093-582FA40D2286}">
  <dimension ref="A1:AB1254"/>
  <sheetViews>
    <sheetView workbookViewId="0">
      <selection activeCell="J13" sqref="J13"/>
    </sheetView>
  </sheetViews>
  <sheetFormatPr baseColWidth="10" defaultColWidth="8.83203125" defaultRowHeight="15" x14ac:dyDescent="0.2"/>
  <cols>
    <col min="1" max="1" width="13.6640625" customWidth="1"/>
    <col min="2" max="2" width="11.5" customWidth="1"/>
    <col min="3" max="3" width="18.83203125" customWidth="1"/>
    <col min="4" max="4" width="22" customWidth="1"/>
    <col min="5" max="5" width="22.5" customWidth="1"/>
    <col min="6" max="6" width="22.33203125" customWidth="1"/>
    <col min="7" max="7" width="23.5" customWidth="1"/>
    <col min="8" max="8" width="34.83203125" customWidth="1"/>
    <col min="9" max="9" width="19" customWidth="1"/>
    <col min="10" max="10" width="16.83203125" customWidth="1"/>
    <col min="11" max="12" width="13.6640625" customWidth="1"/>
    <col min="13" max="16" width="12.1640625" customWidth="1"/>
    <col min="17" max="17" width="22.83203125" customWidth="1"/>
    <col min="18" max="20" width="12.1640625" customWidth="1"/>
    <col min="21" max="24" width="19.1640625" customWidth="1"/>
    <col min="25" max="28" width="17.5" customWidth="1"/>
  </cols>
  <sheetData>
    <row r="1" spans="1:10" ht="16" x14ac:dyDescent="0.2">
      <c r="A1" s="30" t="s">
        <v>21</v>
      </c>
    </row>
    <row r="2" spans="1:10" x14ac:dyDescent="0.2">
      <c r="A2" t="s">
        <v>29</v>
      </c>
      <c r="B2" s="9">
        <f>'Assignment3 (User Interface)'!B8</f>
        <v>6600</v>
      </c>
    </row>
    <row r="3" spans="1:10" x14ac:dyDescent="0.2">
      <c r="A3" t="s">
        <v>23</v>
      </c>
      <c r="B3">
        <f>'Assignment3 (User Interface)'!B9</f>
        <v>600</v>
      </c>
    </row>
    <row r="4" spans="1:10" x14ac:dyDescent="0.2">
      <c r="A4" t="s">
        <v>48</v>
      </c>
      <c r="B4">
        <f>'Assignment3 (User Interface)'!B10</f>
        <v>600</v>
      </c>
    </row>
    <row r="5" spans="1:10" x14ac:dyDescent="0.2">
      <c r="A5" t="s">
        <v>24</v>
      </c>
      <c r="B5">
        <f>'Assignment3 (User Interface)'!B11</f>
        <v>2.5</v>
      </c>
    </row>
    <row r="6" spans="1:10" x14ac:dyDescent="0.2">
      <c r="A6" t="s">
        <v>2</v>
      </c>
      <c r="B6">
        <f>'Assignment3 (User Interface)'!B13</f>
        <v>18.7378507871321</v>
      </c>
    </row>
    <row r="7" spans="1:10" x14ac:dyDescent="0.2">
      <c r="A7" t="s">
        <v>25</v>
      </c>
      <c r="B7" s="28">
        <f>'Assignment3 (User Interface)'!B17</f>
        <v>0.05</v>
      </c>
    </row>
    <row r="9" spans="1:10" ht="16" x14ac:dyDescent="0.2">
      <c r="D9" s="77" t="s">
        <v>15</v>
      </c>
      <c r="E9" s="77"/>
      <c r="F9" s="77"/>
      <c r="G9" s="77"/>
      <c r="H9" s="77"/>
      <c r="I9" s="77"/>
    </row>
    <row r="10" spans="1:10" x14ac:dyDescent="0.2">
      <c r="D10" s="11" t="s">
        <v>49</v>
      </c>
      <c r="E10" s="11" t="s">
        <v>50</v>
      </c>
      <c r="F10" s="11" t="s">
        <v>57</v>
      </c>
      <c r="G10" s="11" t="s">
        <v>51</v>
      </c>
      <c r="H10" s="11" t="s">
        <v>52</v>
      </c>
      <c r="I10" s="11" t="s">
        <v>117</v>
      </c>
      <c r="J10" s="11" t="s">
        <v>118</v>
      </c>
    </row>
    <row r="11" spans="1:10" x14ac:dyDescent="0.2">
      <c r="B11" s="81" t="s">
        <v>53</v>
      </c>
      <c r="C11" s="19" t="s">
        <v>29</v>
      </c>
      <c r="D11">
        <f>($B$4)*(((1+$B$7)^($B$6*$B$5))-1)/$B$7</f>
        <v>105973.93261325017</v>
      </c>
      <c r="E11">
        <f>($B$4)*(((1+$B$7)^($B$6*$B$5))-1)/$B$7</f>
        <v>105973.93261325017</v>
      </c>
      <c r="F11">
        <f>($B$4*(1+$B$7)*(((1+$B$7)^($B$6*$B$5))-1))/$B$7</f>
        <v>111272.62924391268</v>
      </c>
      <c r="G11">
        <f>($B$4*(1+$B$7)*(((1+$B$7)^($B$6*$B$5))-1))/$B$7</f>
        <v>111272.62924391268</v>
      </c>
      <c r="H11" s="9">
        <f>$B$3*((1+$B$7)^($B$6*$B$5))</f>
        <v>5898.6966306625091</v>
      </c>
      <c r="I11">
        <f>(B4*(EXP(B7*B6)-1))/B7</f>
        <v>18624.464688244811</v>
      </c>
    </row>
    <row r="12" spans="1:10" x14ac:dyDescent="0.2">
      <c r="B12" s="81"/>
      <c r="C12" s="19" t="s">
        <v>54</v>
      </c>
      <c r="D12">
        <f>$B$4*(((1-(1+$B$7)^(-$B$5*$B$6)))/$B$7)</f>
        <v>10779.391372227368</v>
      </c>
      <c r="E12">
        <f>$B$4*(((1-(1+$B$7)^(-$B$5*$B$6)))/$B$7)</f>
        <v>10779.391372227368</v>
      </c>
      <c r="F12">
        <f>($B$4*(1+$B$7)*(1-((1+$B$7)^(-$B$6*$B$5))))/$B$7</f>
        <v>11318.360940838738</v>
      </c>
      <c r="G12">
        <f>($B$4*(1+$B$7)*(1-((1+$B$7)^(-$B$6*$B$5))))/$B$7</f>
        <v>11318.360940838738</v>
      </c>
      <c r="H12" s="9">
        <f>B2/((1+$B$7)^($B$6*$B$5))</f>
        <v>671.33474527494639</v>
      </c>
      <c r="I12">
        <f>B4*(1-EXP(-B7*B6))/B7</f>
        <v>7297.8769925968918</v>
      </c>
      <c r="J12" s="3">
        <f>B3</f>
        <v>600</v>
      </c>
    </row>
    <row r="13" spans="1:10" x14ac:dyDescent="0.2">
      <c r="B13" s="81"/>
      <c r="C13" s="19" t="s">
        <v>55</v>
      </c>
      <c r="D13" s="9">
        <f>B2/(((1+B7)^(B6*B5)-1)/B7)</f>
        <v>37.367679978924095</v>
      </c>
      <c r="E13" s="9">
        <f>B3/((1-(1+B7)^(-B6*B5))/B7)</f>
        <v>33.397061816265833</v>
      </c>
      <c r="F13" s="9">
        <f>$B$2/((((1+$B$7)*(((1+$B$7)^($B$6*$B$5))-1))/$B$7))</f>
        <v>35.588266646594377</v>
      </c>
      <c r="G13" s="9">
        <f>$B$3/(((1+$B$7)*(1-((1+$B$7)^(-$B$5*$B$6))))/$B$7)</f>
        <v>31.806725539300789</v>
      </c>
      <c r="H13">
        <f>B3/((1-(1+B7)^(-B6*B5))/B7)</f>
        <v>33.397061816265833</v>
      </c>
      <c r="I13">
        <f>B2/((EXP(B7*B6)-1)/B7)</f>
        <v>212.62356079954503</v>
      </c>
      <c r="J13">
        <f>B3/((1-(EXP(-B7*B6)))/B7)</f>
        <v>49.329414618140447</v>
      </c>
    </row>
    <row r="14" spans="1:10" x14ac:dyDescent="0.2">
      <c r="B14" s="81"/>
      <c r="C14" s="19" t="s">
        <v>2</v>
      </c>
      <c r="D14" s="29">
        <f>LOG(((B7*B2)/B4)+1, 1+B7)/B5</f>
        <v>3.5929777109110872</v>
      </c>
      <c r="E14" s="9">
        <f>-LOG10(1-(B3*B7)/B4)/(B5*LOG10(1+B7))</f>
        <v>0.4205215970122666</v>
      </c>
      <c r="F14" s="21">
        <f>(LOG((($B$2*$B$7)/($B$4*(1+$B$7)))+1, 1+$B$7))/B5</f>
        <v>3.4532654049989988</v>
      </c>
      <c r="G14" s="9">
        <f>(LOG((1-(($B$3*$B$7)/($B$4*(1+$B$7)))), 1+$B$7))/-$B$5</f>
        <v>0.40000000000000008</v>
      </c>
      <c r="H14" s="29">
        <f>(LOG(($B$2/$B$3), 1+$B$7))/$B$5</f>
        <v>19.658841601526703</v>
      </c>
      <c r="I14">
        <f>(1/B7)*(LN(((B2*B7)/B4)+1))</f>
        <v>8.7650986186231066</v>
      </c>
      <c r="J14">
        <f>(-1/B7)*((LN(1-((B3*B7)/B4))))</f>
        <v>1.0258658877510116</v>
      </c>
    </row>
    <row r="15" spans="1:10" x14ac:dyDescent="0.2">
      <c r="B15" s="81"/>
      <c r="C15" s="19" t="s">
        <v>56</v>
      </c>
      <c r="D15" s="21">
        <f>LOG(((B7*B2)/B4)+1, 1+B7)/B6</f>
        <v>0.47937430921620205</v>
      </c>
      <c r="E15" s="17">
        <f>LOG((1-((B3*B7)/B4)), (1+B7))/-B6</f>
        <v>5.6105900536502912E-2</v>
      </c>
      <c r="F15" s="21">
        <f>(LOG((($B$2*$B$7)/($B$4*(1+$B$7)))+1, 1+$B$7))/B6</f>
        <v>0.46073392357389115</v>
      </c>
      <c r="G15" s="9">
        <f>(LOG((1-(($B$3*$B$7)/($B$4*(1+$B$7)))), 1+$B$7))/-$B$6</f>
        <v>5.3367913500876697E-2</v>
      </c>
      <c r="H15" s="29">
        <f>(LOG(($B$2/$B$3), 1+$B$7))/$B$6</f>
        <v>2.6228783952942827</v>
      </c>
      <c r="I15">
        <f>(1/B7)*(LN(((B2*B7)/B4)+1))</f>
        <v>8.7650986186231066</v>
      </c>
      <c r="J15">
        <f>(-1/B7)*((LN(1-((B3*B7)/B4))))</f>
        <v>1.0258658877510116</v>
      </c>
    </row>
    <row r="16" spans="1:10" x14ac:dyDescent="0.2">
      <c r="B16" s="81"/>
      <c r="C16" s="19" t="s">
        <v>25</v>
      </c>
      <c r="D16" s="2">
        <f>D21</f>
        <v>0.05</v>
      </c>
      <c r="E16" s="10">
        <f>H21</f>
        <v>0.05</v>
      </c>
      <c r="F16" s="2">
        <f>L21</f>
        <v>0.05</v>
      </c>
      <c r="G16" s="2">
        <f>P21</f>
        <v>0.05</v>
      </c>
      <c r="H16" s="2">
        <f>T21</f>
        <v>0.05</v>
      </c>
      <c r="I16" s="10">
        <f>X21</f>
        <v>0.05</v>
      </c>
      <c r="J16" s="48">
        <f>AB21</f>
        <v>0.05</v>
      </c>
    </row>
    <row r="19" spans="1:28" x14ac:dyDescent="0.2">
      <c r="A19" s="80" t="s">
        <v>49</v>
      </c>
      <c r="B19" s="80"/>
      <c r="C19" s="80"/>
      <c r="D19" s="80"/>
      <c r="E19" s="78" t="s">
        <v>50</v>
      </c>
      <c r="F19" s="78"/>
      <c r="G19" s="78"/>
      <c r="H19" s="78"/>
      <c r="I19" s="80" t="s">
        <v>57</v>
      </c>
      <c r="J19" s="80"/>
      <c r="K19" s="80"/>
      <c r="L19" s="80"/>
      <c r="M19" s="78" t="s">
        <v>51</v>
      </c>
      <c r="N19" s="78"/>
      <c r="O19" s="78"/>
      <c r="P19" s="78"/>
      <c r="Q19" s="80" t="s">
        <v>52</v>
      </c>
      <c r="R19" s="80"/>
      <c r="S19" s="80"/>
      <c r="T19" s="80"/>
      <c r="U19" s="78" t="s">
        <v>114</v>
      </c>
      <c r="V19" s="78"/>
      <c r="W19" s="78"/>
      <c r="X19" s="78"/>
      <c r="Y19" s="79" t="s">
        <v>115</v>
      </c>
      <c r="Z19" s="79"/>
      <c r="AA19" s="79"/>
      <c r="AB19" s="79"/>
    </row>
    <row r="20" spans="1:28" x14ac:dyDescent="0.2">
      <c r="A20" s="3" t="s">
        <v>62</v>
      </c>
      <c r="B20" s="3"/>
      <c r="C20" s="3" t="s">
        <v>29</v>
      </c>
      <c r="D20" s="3" t="s">
        <v>64</v>
      </c>
      <c r="E20" s="3" t="s">
        <v>62</v>
      </c>
      <c r="F20" s="3"/>
      <c r="G20" s="3" t="s">
        <v>23</v>
      </c>
      <c r="H20" s="3" t="s">
        <v>64</v>
      </c>
      <c r="I20" s="3" t="s">
        <v>62</v>
      </c>
      <c r="J20" s="3"/>
      <c r="K20" s="3" t="s">
        <v>29</v>
      </c>
      <c r="L20" s="3" t="s">
        <v>64</v>
      </c>
      <c r="M20" s="3" t="s">
        <v>62</v>
      </c>
      <c r="N20" s="3"/>
      <c r="O20" s="3" t="s">
        <v>23</v>
      </c>
      <c r="P20" s="3" t="s">
        <v>64</v>
      </c>
      <c r="Q20" s="3" t="s">
        <v>62</v>
      </c>
      <c r="R20" s="3"/>
      <c r="S20" s="3" t="s">
        <v>63</v>
      </c>
      <c r="T20" s="3" t="s">
        <v>64</v>
      </c>
      <c r="U20" s="3" t="s">
        <v>62</v>
      </c>
      <c r="V20" s="3"/>
      <c r="W20" s="3" t="s">
        <v>63</v>
      </c>
      <c r="X20" s="3" t="s">
        <v>64</v>
      </c>
      <c r="Y20" s="3" t="s">
        <v>62</v>
      </c>
      <c r="Z20" s="3"/>
      <c r="AA20" s="3" t="s">
        <v>116</v>
      </c>
      <c r="AB20" s="3" t="s">
        <v>64</v>
      </c>
    </row>
    <row r="21" spans="1:28" x14ac:dyDescent="0.2">
      <c r="A21">
        <f>ABS($D$11-C21)</f>
        <v>77213.146905696864</v>
      </c>
      <c r="B21" s="28">
        <v>1E-3</v>
      </c>
      <c r="C21">
        <f>($B$4)*(((1+B21)^($B$6*$B$5))-1)/B21</f>
        <v>28760.785707553317</v>
      </c>
      <c r="D21" s="31">
        <f>VLOOKUP(D23, A21:B1020,2,FALSE)</f>
        <v>0.05</v>
      </c>
      <c r="E21">
        <f>ABS($E$12-G21)</f>
        <v>16665.818025036569</v>
      </c>
      <c r="F21" s="28">
        <v>1E-3</v>
      </c>
      <c r="G21">
        <f>$B$4*(((1-(1+F21)^(-$B$5*$B$6)))/F21)</f>
        <v>27445.209397263938</v>
      </c>
      <c r="H21" s="31">
        <f>VLOOKUP(H23,E21:F1020, 2, FALSE)</f>
        <v>0.05</v>
      </c>
      <c r="I21">
        <f>ABS($F$11-K21)</f>
        <v>82483.082750651825</v>
      </c>
      <c r="J21" s="28">
        <v>1E-3</v>
      </c>
      <c r="K21">
        <f>($B$4*(1+J21)*(((1+J21)^($B$6*$B$5))-1))/J21</f>
        <v>28789.546493260863</v>
      </c>
      <c r="L21" s="31">
        <f>VLOOKUP(L23, I21:J1020, 2, FALSE)</f>
        <v>0.05</v>
      </c>
      <c r="M21">
        <f>ABS($G$12-O21)</f>
        <v>16154.293665822461</v>
      </c>
      <c r="N21" s="28">
        <v>1E-3</v>
      </c>
      <c r="O21">
        <f>($B$4*(1+N21)*(1-((1+N21)^(-$B$6*$B$5))))/N21</f>
        <v>27472.654606661199</v>
      </c>
      <c r="P21" s="31">
        <f>VLOOKUP(P23, M21:N1020, 2, FALSE)</f>
        <v>0.05</v>
      </c>
      <c r="Q21" s="9">
        <f>ABS($H$11-S21)</f>
        <v>5269.9358449549554</v>
      </c>
      <c r="R21" s="28">
        <v>1E-3</v>
      </c>
      <c r="S21">
        <f>$B$3*((1+R21)^($B$6*$B$5))</f>
        <v>628.76078570755328</v>
      </c>
      <c r="T21" s="31">
        <f>VLOOKUP(T23, Q21:R1020, 2, FALSE)</f>
        <v>0.05</v>
      </c>
      <c r="U21">
        <f>ABS($I$11-W21)</f>
        <v>7275.7611076841949</v>
      </c>
      <c r="V21" s="48">
        <v>1E-3</v>
      </c>
      <c r="W21">
        <f>($B$4*(EXP(V21*$B$6)-1))/V21</f>
        <v>11348.703580560616</v>
      </c>
      <c r="X21" s="48">
        <f>VLOOKUP(X23, U21:V1020, 2, FALSE)</f>
        <v>0.05</v>
      </c>
      <c r="Y21">
        <f>ABS($I$12-AA21)</f>
        <v>3840.1561928110204</v>
      </c>
      <c r="Z21" s="28">
        <v>1E-3</v>
      </c>
      <c r="AA21">
        <f>$B$4*(1-EXP(-Z21*$B$6))/Z21</f>
        <v>11138.033185407912</v>
      </c>
      <c r="AB21" s="10">
        <f>VLOOKUP(AB23, Y21:Z1020, 2, FALSE)</f>
        <v>0.05</v>
      </c>
    </row>
    <row r="22" spans="1:28" x14ac:dyDescent="0.2">
      <c r="A22">
        <f t="shared" ref="A22:A85" si="0">ABS($D$11-C22)</f>
        <v>76539.229705483129</v>
      </c>
      <c r="B22" s="28">
        <v>2E-3</v>
      </c>
      <c r="C22">
        <f t="shared" ref="C22:C85" si="1">($B$4)*(((1+B22)^($B$6*$B$5))-1)/B22</f>
        <v>29434.702907767038</v>
      </c>
      <c r="D22" s="3" t="s">
        <v>65</v>
      </c>
      <c r="E22">
        <f t="shared" ref="E22:E85" si="2">ABS($E$12-G22)</f>
        <v>16025.346545144974</v>
      </c>
      <c r="F22" s="28">
        <v>2E-3</v>
      </c>
      <c r="G22">
        <f t="shared" ref="G22:G85" si="3">$B$4*(((1-(1+F22)^(-$B$5*$B$6)))/F22)</f>
        <v>26804.737917372342</v>
      </c>
      <c r="H22" s="3" t="s">
        <v>65</v>
      </c>
      <c r="I22">
        <f t="shared" ref="I22:I85" si="4">ABS($F$11-K22)</f>
        <v>81779.056930330116</v>
      </c>
      <c r="J22" s="28">
        <v>2E-3</v>
      </c>
      <c r="K22">
        <f t="shared" ref="K22:K85" si="5">($B$4*(1+J22)*(((1+J22)^($B$6*$B$5))-1))/J22</f>
        <v>29493.572313582576</v>
      </c>
      <c r="L22" s="3" t="s">
        <v>65</v>
      </c>
      <c r="M22">
        <f t="shared" ref="M22:M85" si="6">ABS($G$12-O22)</f>
        <v>15539.986452368354</v>
      </c>
      <c r="N22" s="28">
        <v>2E-3</v>
      </c>
      <c r="O22">
        <f t="shared" ref="O22:O85" si="7">($B$4*(1+N22)*(1-((1+N22)^(-$B$6*$B$5))))/N22</f>
        <v>26858.347393207092</v>
      </c>
      <c r="P22" s="3" t="s">
        <v>65</v>
      </c>
      <c r="Q22" s="9">
        <f t="shared" ref="Q22:Q85" si="8">ABS($H$11-S22)</f>
        <v>5239.8272248469748</v>
      </c>
      <c r="R22" s="28">
        <v>2E-3</v>
      </c>
      <c r="S22">
        <f t="shared" ref="S22:S85" si="9">$B$3*((1+R22)^($B$6*$B$5))</f>
        <v>658.86940581553404</v>
      </c>
      <c r="T22" s="3" t="s">
        <v>65</v>
      </c>
      <c r="U22">
        <f t="shared" ref="U22:U85" si="10">ABS($I$11-W22)</f>
        <v>7168.4335468846093</v>
      </c>
      <c r="V22" s="48">
        <v>2E-3</v>
      </c>
      <c r="W22">
        <f t="shared" ref="W22:W85" si="11">($B$4*(EXP(V22*$B$6)-1))/V22</f>
        <v>11456.031141360201</v>
      </c>
      <c r="X22" s="3" t="s">
        <v>65</v>
      </c>
      <c r="Y22">
        <f t="shared" ref="Y22:Y85" si="12">ABS($I$12-AA22)</f>
        <v>3736.7763734449873</v>
      </c>
      <c r="Z22" s="28">
        <v>2E-3</v>
      </c>
      <c r="AA22">
        <f t="shared" ref="AA22:AA85" si="13">$B$4*(1-EXP(-Z22*$B$6))/Z22</f>
        <v>11034.653366041879</v>
      </c>
      <c r="AB22" s="3" t="s">
        <v>65</v>
      </c>
    </row>
    <row r="23" spans="1:28" x14ac:dyDescent="0.2">
      <c r="A23">
        <f t="shared" si="0"/>
        <v>75844.737918139755</v>
      </c>
      <c r="B23" s="28">
        <v>3.0000000000000001E-3</v>
      </c>
      <c r="C23">
        <f t="shared" si="1"/>
        <v>30129.194695110418</v>
      </c>
      <c r="D23">
        <f>MIN(A21:A1020)</f>
        <v>0</v>
      </c>
      <c r="E23">
        <f t="shared" si="2"/>
        <v>15405.200056971742</v>
      </c>
      <c r="F23" s="28">
        <v>3.0000000000000001E-3</v>
      </c>
      <c r="G23">
        <f t="shared" si="3"/>
        <v>26184.59142919911</v>
      </c>
      <c r="H23">
        <f>MIN(E21:E1020)</f>
        <v>0</v>
      </c>
      <c r="I23">
        <f t="shared" si="4"/>
        <v>81053.046964716938</v>
      </c>
      <c r="J23" s="28">
        <v>3.0000000000000001E-3</v>
      </c>
      <c r="K23">
        <f t="shared" si="5"/>
        <v>30219.582279195747</v>
      </c>
      <c r="L23">
        <f>MIN(I21:I1020)</f>
        <v>0</v>
      </c>
      <c r="M23">
        <f t="shared" si="6"/>
        <v>14944.784262647965</v>
      </c>
      <c r="N23" s="28">
        <v>3.0000000000000001E-3</v>
      </c>
      <c r="O23">
        <f t="shared" si="7"/>
        <v>26263.145203486703</v>
      </c>
      <c r="P23">
        <f>MIN(M21:M1020)</f>
        <v>0</v>
      </c>
      <c r="Q23" s="9">
        <f t="shared" si="8"/>
        <v>5208.3090465771775</v>
      </c>
      <c r="R23" s="28">
        <v>3.0000000000000001E-3</v>
      </c>
      <c r="S23">
        <f t="shared" si="9"/>
        <v>690.38758408533124</v>
      </c>
      <c r="T23" s="9">
        <f>MIN(Q21:Q1020)</f>
        <v>0</v>
      </c>
      <c r="U23">
        <f t="shared" si="10"/>
        <v>7059.7526208922663</v>
      </c>
      <c r="V23" s="48">
        <v>3.0000000000000001E-3</v>
      </c>
      <c r="W23">
        <f t="shared" si="11"/>
        <v>11564.712067352544</v>
      </c>
      <c r="X23">
        <f>MIN(U21:U1020)</f>
        <v>0</v>
      </c>
      <c r="Y23">
        <f t="shared" si="12"/>
        <v>3634.6759405887315</v>
      </c>
      <c r="Z23" s="28">
        <v>3.0000000000000001E-3</v>
      </c>
      <c r="AA23">
        <f t="shared" si="13"/>
        <v>10932.552933185623</v>
      </c>
      <c r="AB23">
        <f>MIN(Y21:Y1020)</f>
        <v>0</v>
      </c>
    </row>
    <row r="24" spans="1:28" x14ac:dyDescent="0.2">
      <c r="A24">
        <f t="shared" si="0"/>
        <v>75128.981347187699</v>
      </c>
      <c r="B24" s="28">
        <v>4.0000000000000001E-3</v>
      </c>
      <c r="C24">
        <f t="shared" si="1"/>
        <v>30844.951266062479</v>
      </c>
      <c r="E24">
        <f t="shared" si="2"/>
        <v>14804.638801235549</v>
      </c>
      <c r="F24" s="28">
        <v>4.0000000000000001E-3</v>
      </c>
      <c r="G24">
        <f t="shared" si="3"/>
        <v>25584.030173462917</v>
      </c>
      <c r="I24">
        <f t="shared" si="4"/>
        <v>80304.298172785959</v>
      </c>
      <c r="J24" s="28">
        <v>4.0000000000000001E-3</v>
      </c>
      <c r="K24">
        <f t="shared" si="5"/>
        <v>30968.33107112673</v>
      </c>
      <c r="M24">
        <f t="shared" si="6"/>
        <v>14368.005353318033</v>
      </c>
      <c r="N24" s="28">
        <v>4.0000000000000001E-3</v>
      </c>
      <c r="O24">
        <f t="shared" si="7"/>
        <v>25686.366294156771</v>
      </c>
      <c r="Q24" s="9">
        <f t="shared" si="8"/>
        <v>5175.3168255982591</v>
      </c>
      <c r="R24" s="28">
        <v>4.0000000000000001E-3</v>
      </c>
      <c r="S24">
        <f t="shared" si="9"/>
        <v>723.37980506424992</v>
      </c>
      <c r="U24">
        <f t="shared" si="10"/>
        <v>6949.6991310315825</v>
      </c>
      <c r="V24" s="48">
        <v>4.0000000000000001E-3</v>
      </c>
      <c r="W24">
        <f t="shared" si="11"/>
        <v>11674.765557213228</v>
      </c>
      <c r="Y24">
        <f t="shared" si="12"/>
        <v>3533.8370819304946</v>
      </c>
      <c r="Z24" s="28">
        <v>4.0000000000000001E-3</v>
      </c>
      <c r="AA24">
        <f t="shared" si="13"/>
        <v>10831.714074527386</v>
      </c>
    </row>
    <row r="25" spans="1:28" x14ac:dyDescent="0.2">
      <c r="A25">
        <f t="shared" si="0"/>
        <v>74391.245687001705</v>
      </c>
      <c r="B25" s="28">
        <v>5.0000000000000001E-3</v>
      </c>
      <c r="C25">
        <f t="shared" si="1"/>
        <v>31582.686926248469</v>
      </c>
      <c r="E25">
        <f t="shared" si="2"/>
        <v>14222.952285882991</v>
      </c>
      <c r="F25" s="28">
        <v>5.0000000000000001E-3</v>
      </c>
      <c r="G25">
        <f t="shared" si="3"/>
        <v>25002.34365811036</v>
      </c>
      <c r="I25">
        <f t="shared" si="4"/>
        <v>79532.028883032981</v>
      </c>
      <c r="J25" s="28">
        <v>5.0000000000000001E-3</v>
      </c>
      <c r="K25">
        <f t="shared" si="5"/>
        <v>31740.600360879704</v>
      </c>
      <c r="M25">
        <f t="shared" si="6"/>
        <v>13808.99443556217</v>
      </c>
      <c r="N25" s="28">
        <v>5.0000000000000001E-3</v>
      </c>
      <c r="O25">
        <f t="shared" si="7"/>
        <v>25127.355376400908</v>
      </c>
      <c r="Q25" s="9">
        <f t="shared" si="8"/>
        <v>5140.7831960312669</v>
      </c>
      <c r="R25" s="28">
        <v>5.0000000000000001E-3</v>
      </c>
      <c r="S25">
        <f t="shared" si="9"/>
        <v>757.91343463124235</v>
      </c>
      <c r="U25">
        <f t="shared" si="10"/>
        <v>6838.2535881202894</v>
      </c>
      <c r="V25" s="48">
        <v>5.0000000000000001E-3</v>
      </c>
      <c r="W25">
        <f t="shared" si="11"/>
        <v>11786.211100124521</v>
      </c>
      <c r="Y25">
        <f t="shared" si="12"/>
        <v>3434.2422496840263</v>
      </c>
      <c r="Z25" s="28">
        <v>5.0000000000000001E-3</v>
      </c>
      <c r="AA25">
        <f t="shared" si="13"/>
        <v>10732.119242280918</v>
      </c>
    </row>
    <row r="26" spans="1:28" x14ac:dyDescent="0.2">
      <c r="A26">
        <f t="shared" si="0"/>
        <v>73630.791666891892</v>
      </c>
      <c r="B26" s="28">
        <v>6.0000000000000001E-3</v>
      </c>
      <c r="C26">
        <f t="shared" si="1"/>
        <v>32343.140946358286</v>
      </c>
      <c r="E26">
        <f t="shared" si="2"/>
        <v>13659.458057428903</v>
      </c>
      <c r="F26" s="28">
        <v>6.0000000000000001E-3</v>
      </c>
      <c r="G26">
        <f t="shared" si="3"/>
        <v>24438.849429656271</v>
      </c>
      <c r="I26">
        <f t="shared" si="4"/>
        <v>78735.429451876247</v>
      </c>
      <c r="J26" s="28">
        <v>6.0000000000000001E-3</v>
      </c>
      <c r="K26">
        <f t="shared" si="5"/>
        <v>32537.199792036437</v>
      </c>
      <c r="M26">
        <f t="shared" si="6"/>
        <v>13267.121585395471</v>
      </c>
      <c r="N26" s="28">
        <v>6.0000000000000001E-3</v>
      </c>
      <c r="O26">
        <f t="shared" si="7"/>
        <v>24585.482526234209</v>
      </c>
      <c r="Q26" s="9">
        <f t="shared" si="8"/>
        <v>5104.6377849843593</v>
      </c>
      <c r="R26" s="28">
        <v>6.0000000000000001E-3</v>
      </c>
      <c r="S26">
        <f t="shared" si="9"/>
        <v>794.05884567814974</v>
      </c>
      <c r="U26">
        <f t="shared" si="10"/>
        <v>6725.3962078903423</v>
      </c>
      <c r="V26" s="48">
        <v>6.0000000000000001E-3</v>
      </c>
      <c r="W26">
        <f t="shared" si="11"/>
        <v>11899.068480354468</v>
      </c>
      <c r="Y26">
        <f t="shared" si="12"/>
        <v>3335.8741564964712</v>
      </c>
      <c r="Z26" s="28">
        <v>6.0000000000000001E-3</v>
      </c>
      <c r="AA26">
        <f t="shared" si="13"/>
        <v>10633.751149093363</v>
      </c>
    </row>
    <row r="27" spans="1:28" x14ac:dyDescent="0.2">
      <c r="A27">
        <f t="shared" si="0"/>
        <v>72846.854164742515</v>
      </c>
      <c r="B27" s="28">
        <v>7.0000000000000001E-3</v>
      </c>
      <c r="C27">
        <f t="shared" si="1"/>
        <v>33127.078448507666</v>
      </c>
      <c r="E27">
        <f t="shared" si="2"/>
        <v>13113.500526298281</v>
      </c>
      <c r="F27" s="28">
        <v>7.0000000000000001E-3</v>
      </c>
      <c r="G27">
        <f t="shared" si="3"/>
        <v>23892.89189852565</v>
      </c>
      <c r="I27">
        <f t="shared" si="4"/>
        <v>77913.661246265474</v>
      </c>
      <c r="J27" s="28">
        <v>7.0000000000000001E-3</v>
      </c>
      <c r="K27">
        <f t="shared" si="5"/>
        <v>33358.967997647211</v>
      </c>
      <c r="M27">
        <f t="shared" si="6"/>
        <v>12741.781200976591</v>
      </c>
      <c r="N27" s="28">
        <v>7.0000000000000001E-3</v>
      </c>
      <c r="O27">
        <f t="shared" si="7"/>
        <v>24060.14214181533</v>
      </c>
      <c r="Q27" s="9">
        <f t="shared" si="8"/>
        <v>5066.8070815229557</v>
      </c>
      <c r="R27" s="28">
        <v>7.0000000000000001E-3</v>
      </c>
      <c r="S27">
        <f t="shared" si="9"/>
        <v>831.88954913955365</v>
      </c>
      <c r="U27">
        <f t="shared" si="10"/>
        <v>6611.1069063346931</v>
      </c>
      <c r="V27" s="48">
        <v>7.0000000000000001E-3</v>
      </c>
      <c r="W27">
        <f t="shared" si="11"/>
        <v>12013.357781910117</v>
      </c>
      <c r="Y27">
        <f t="shared" si="12"/>
        <v>3238.7157714214572</v>
      </c>
      <c r="Z27" s="28">
        <v>7.0000000000000001E-3</v>
      </c>
      <c r="AA27">
        <f t="shared" si="13"/>
        <v>10536.592764018349</v>
      </c>
    </row>
    <row r="28" spans="1:28" x14ac:dyDescent="0.2">
      <c r="A28">
        <f t="shared" si="0"/>
        <v>72038.64128906955</v>
      </c>
      <c r="B28" s="28">
        <v>8.0000000000000002E-3</v>
      </c>
      <c r="C28">
        <f t="shared" si="1"/>
        <v>33935.291324180624</v>
      </c>
      <c r="E28">
        <f t="shared" si="2"/>
        <v>12584.449843742233</v>
      </c>
      <c r="F28" s="28">
        <v>8.0000000000000002E-3</v>
      </c>
      <c r="G28">
        <f t="shared" si="3"/>
        <v>23363.841215969602</v>
      </c>
      <c r="I28">
        <f t="shared" si="4"/>
        <v>77065.85558913862</v>
      </c>
      <c r="J28" s="28">
        <v>8.0000000000000002E-3</v>
      </c>
      <c r="K28">
        <f t="shared" si="5"/>
        <v>34206.773654774064</v>
      </c>
      <c r="M28">
        <f t="shared" si="6"/>
        <v>12232.391004858619</v>
      </c>
      <c r="N28" s="28">
        <v>8.0000000000000002E-3</v>
      </c>
      <c r="O28">
        <f t="shared" si="7"/>
        <v>23550.751945697357</v>
      </c>
      <c r="Q28" s="9">
        <f t="shared" si="8"/>
        <v>5027.2143000690639</v>
      </c>
      <c r="R28" s="28">
        <v>8.0000000000000002E-3</v>
      </c>
      <c r="S28">
        <f t="shared" si="9"/>
        <v>871.482330593445</v>
      </c>
      <c r="U28">
        <f t="shared" si="10"/>
        <v>6495.3652949786192</v>
      </c>
      <c r="V28" s="48">
        <v>8.0000000000000002E-3</v>
      </c>
      <c r="W28">
        <f t="shared" si="11"/>
        <v>12129.099393266191</v>
      </c>
      <c r="Y28">
        <f t="shared" si="12"/>
        <v>3142.7503159561184</v>
      </c>
      <c r="Z28" s="28">
        <v>8.0000000000000002E-3</v>
      </c>
      <c r="AA28">
        <f t="shared" si="13"/>
        <v>10440.62730855301</v>
      </c>
    </row>
    <row r="29" spans="1:28" x14ac:dyDescent="0.2">
      <c r="A29">
        <f t="shared" si="0"/>
        <v>71205.333428428188</v>
      </c>
      <c r="B29" s="28">
        <v>8.9999999999999993E-3</v>
      </c>
      <c r="C29">
        <f t="shared" si="1"/>
        <v>34768.599184821986</v>
      </c>
      <c r="E29">
        <f t="shared" si="2"/>
        <v>12071.700827946013</v>
      </c>
      <c r="F29" s="28">
        <v>8.9999999999999993E-3</v>
      </c>
      <c r="G29">
        <f t="shared" si="3"/>
        <v>22851.092200173382</v>
      </c>
      <c r="I29">
        <f t="shared" si="4"/>
        <v>76191.112666427303</v>
      </c>
      <c r="J29" s="28">
        <v>8.9999999999999993E-3</v>
      </c>
      <c r="K29">
        <f t="shared" si="5"/>
        <v>35081.516577485381</v>
      </c>
      <c r="M29">
        <f t="shared" si="6"/>
        <v>11738.391089136199</v>
      </c>
      <c r="N29" s="28">
        <v>8.9999999999999993E-3</v>
      </c>
      <c r="O29">
        <f t="shared" si="7"/>
        <v>23056.752029974938</v>
      </c>
      <c r="Q29" s="9">
        <f t="shared" si="8"/>
        <v>4985.7792379991115</v>
      </c>
      <c r="R29" s="28">
        <v>8.9999999999999993E-3</v>
      </c>
      <c r="S29">
        <f t="shared" si="9"/>
        <v>912.91739266339778</v>
      </c>
      <c r="U29">
        <f t="shared" si="10"/>
        <v>6378.1506760742832</v>
      </c>
      <c r="V29" s="48">
        <v>8.9999999999999993E-3</v>
      </c>
      <c r="W29">
        <f t="shared" si="11"/>
        <v>12246.314012170527</v>
      </c>
      <c r="Y29">
        <f t="shared" si="12"/>
        <v>3047.9612601412773</v>
      </c>
      <c r="Z29" s="28">
        <v>8.9999999999999993E-3</v>
      </c>
      <c r="AA29">
        <f t="shared" si="13"/>
        <v>10345.838252738169</v>
      </c>
    </row>
    <row r="30" spans="1:28" x14ac:dyDescent="0.2">
      <c r="A30">
        <f t="shared" si="0"/>
        <v>70346.082266971061</v>
      </c>
      <c r="B30" s="28">
        <v>0.01</v>
      </c>
      <c r="C30">
        <f t="shared" si="1"/>
        <v>35627.850346279105</v>
      </c>
      <c r="E30">
        <f t="shared" si="2"/>
        <v>11574.671937111925</v>
      </c>
      <c r="F30" s="28">
        <v>0.01</v>
      </c>
      <c r="G30">
        <f t="shared" si="3"/>
        <v>22354.063309339293</v>
      </c>
      <c r="I30">
        <f t="shared" si="4"/>
        <v>75288.500394170784</v>
      </c>
      <c r="J30" s="28">
        <v>0.01</v>
      </c>
      <c r="K30">
        <f t="shared" si="5"/>
        <v>35984.128849741901</v>
      </c>
      <c r="M30">
        <f t="shared" si="6"/>
        <v>11259.243001593946</v>
      </c>
      <c r="N30" s="28">
        <v>0.01</v>
      </c>
      <c r="O30">
        <f t="shared" si="7"/>
        <v>22577.603942432685</v>
      </c>
      <c r="Q30" s="9">
        <f t="shared" si="8"/>
        <v>4942.4181271997177</v>
      </c>
      <c r="R30" s="28">
        <v>0.01</v>
      </c>
      <c r="S30">
        <f t="shared" si="9"/>
        <v>956.27850346279115</v>
      </c>
      <c r="U30">
        <f t="shared" si="10"/>
        <v>6259.442037717381</v>
      </c>
      <c r="V30" s="48">
        <v>0.01</v>
      </c>
      <c r="W30">
        <f t="shared" si="11"/>
        <v>12365.02265052743</v>
      </c>
      <c r="Y30">
        <f t="shared" si="12"/>
        <v>2954.33231872346</v>
      </c>
      <c r="Z30" s="28">
        <v>0.01</v>
      </c>
      <c r="AA30">
        <f t="shared" si="13"/>
        <v>10252.209311320352</v>
      </c>
    </row>
    <row r="31" spans="1:28" x14ac:dyDescent="0.2">
      <c r="A31">
        <f t="shared" si="0"/>
        <v>69460.009764998933</v>
      </c>
      <c r="B31" s="28">
        <v>1.0999999999999999E-2</v>
      </c>
      <c r="C31">
        <f t="shared" si="1"/>
        <v>36513.922848251241</v>
      </c>
      <c r="E31">
        <f t="shared" si="2"/>
        <v>11092.804287362</v>
      </c>
      <c r="F31" s="28">
        <v>1.0999999999999999E-2</v>
      </c>
      <c r="G31">
        <f t="shared" si="3"/>
        <v>21872.195659589368</v>
      </c>
      <c r="I31">
        <f t="shared" si="4"/>
        <v>74357.053244330687</v>
      </c>
      <c r="J31" s="28">
        <v>1.0999999999999999E-2</v>
      </c>
      <c r="K31">
        <f t="shared" si="5"/>
        <v>36915.575999581997</v>
      </c>
      <c r="M31">
        <f t="shared" si="6"/>
        <v>10794.428871006112</v>
      </c>
      <c r="N31" s="28">
        <v>1.0999999999999999E-2</v>
      </c>
      <c r="O31">
        <f t="shared" si="7"/>
        <v>22112.78981184485</v>
      </c>
      <c r="Q31" s="9">
        <f t="shared" si="8"/>
        <v>4897.0434793317454</v>
      </c>
      <c r="R31" s="28">
        <v>1.0999999999999999E-2</v>
      </c>
      <c r="S31">
        <f t="shared" si="9"/>
        <v>1001.6531513307636</v>
      </c>
      <c r="U31">
        <f t="shared" si="10"/>
        <v>6139.2180488844297</v>
      </c>
      <c r="V31" s="48">
        <v>1.0999999999999999E-2</v>
      </c>
      <c r="W31">
        <f t="shared" si="11"/>
        <v>12485.246639360381</v>
      </c>
      <c r="Y31">
        <f t="shared" si="12"/>
        <v>2861.8474473780389</v>
      </c>
      <c r="Z31" s="28">
        <v>1.0999999999999999E-2</v>
      </c>
      <c r="AA31">
        <f t="shared" si="13"/>
        <v>10159.724439974931</v>
      </c>
    </row>
    <row r="32" spans="1:28" x14ac:dyDescent="0.2">
      <c r="A32">
        <f t="shared" si="0"/>
        <v>68546.207103229448</v>
      </c>
      <c r="B32" s="28">
        <v>1.2E-2</v>
      </c>
      <c r="C32">
        <f t="shared" si="1"/>
        <v>37427.725510020733</v>
      </c>
      <c r="E32">
        <f t="shared" si="2"/>
        <v>10625.560713441879</v>
      </c>
      <c r="F32" s="28">
        <v>1.2E-2</v>
      </c>
      <c r="G32">
        <f t="shared" si="3"/>
        <v>21404.952085669247</v>
      </c>
      <c r="I32">
        <f t="shared" si="4"/>
        <v>73395.771027771698</v>
      </c>
      <c r="J32" s="28">
        <v>1.2E-2</v>
      </c>
      <c r="K32">
        <f t="shared" si="5"/>
        <v>37876.858216140987</v>
      </c>
      <c r="M32">
        <f t="shared" si="6"/>
        <v>10343.450569858542</v>
      </c>
      <c r="N32" s="28">
        <v>1.2E-2</v>
      </c>
      <c r="O32">
        <f t="shared" si="7"/>
        <v>21661.81151069728</v>
      </c>
      <c r="Q32" s="9">
        <f t="shared" si="8"/>
        <v>4849.5639245422599</v>
      </c>
      <c r="R32" s="28">
        <v>1.2E-2</v>
      </c>
      <c r="S32">
        <f t="shared" si="9"/>
        <v>1049.1327061202489</v>
      </c>
      <c r="U32">
        <f t="shared" si="10"/>
        <v>6017.457054389517</v>
      </c>
      <c r="V32" s="48">
        <v>1.2E-2</v>
      </c>
      <c r="W32">
        <f t="shared" si="11"/>
        <v>12607.007633855294</v>
      </c>
      <c r="Y32">
        <f t="shared" si="12"/>
        <v>2770.4908389922548</v>
      </c>
      <c r="Z32" s="28">
        <v>1.2E-2</v>
      </c>
      <c r="AA32">
        <f t="shared" si="13"/>
        <v>10068.367831589147</v>
      </c>
    </row>
    <row r="33" spans="1:27" x14ac:dyDescent="0.2">
      <c r="A33">
        <f t="shared" si="0"/>
        <v>67603.733589534459</v>
      </c>
      <c r="B33" s="28">
        <v>1.2999999999999999E-2</v>
      </c>
      <c r="C33">
        <f t="shared" si="1"/>
        <v>38370.199023715715</v>
      </c>
      <c r="E33">
        <f t="shared" si="2"/>
        <v>10172.424870272494</v>
      </c>
      <c r="F33" s="28">
        <v>1.2999999999999999E-2</v>
      </c>
      <c r="G33">
        <f t="shared" si="3"/>
        <v>20951.816242499863</v>
      </c>
      <c r="I33">
        <f t="shared" si="4"/>
        <v>72403.617632888665</v>
      </c>
      <c r="J33" s="28">
        <v>1.2999999999999999E-2</v>
      </c>
      <c r="K33">
        <f t="shared" si="5"/>
        <v>38869.01161102402</v>
      </c>
      <c r="M33">
        <f t="shared" si="6"/>
        <v>9905.8289128136203</v>
      </c>
      <c r="N33" s="28">
        <v>1.2999999999999999E-2</v>
      </c>
      <c r="O33">
        <f t="shared" si="7"/>
        <v>21224.189853652359</v>
      </c>
      <c r="Q33" s="9">
        <f t="shared" si="8"/>
        <v>4799.8840433542046</v>
      </c>
      <c r="R33" s="28">
        <v>1.2999999999999999E-2</v>
      </c>
      <c r="S33">
        <f t="shared" si="9"/>
        <v>1098.8125873083043</v>
      </c>
      <c r="U33">
        <f t="shared" si="10"/>
        <v>5894.1370697591192</v>
      </c>
      <c r="V33" s="48">
        <v>1.2999999999999999E-2</v>
      </c>
      <c r="W33">
        <f t="shared" si="11"/>
        <v>12730.327618485691</v>
      </c>
      <c r="Y33">
        <f t="shared" si="12"/>
        <v>2680.2469200073374</v>
      </c>
      <c r="Z33" s="28">
        <v>1.2999999999999999E-2</v>
      </c>
      <c r="AA33">
        <f t="shared" si="13"/>
        <v>9978.1239126042292</v>
      </c>
    </row>
    <row r="34" spans="1:27" x14ac:dyDescent="0.2">
      <c r="A34">
        <f t="shared" si="0"/>
        <v>66631.615526788431</v>
      </c>
      <c r="B34" s="28">
        <v>1.4E-2</v>
      </c>
      <c r="C34">
        <f t="shared" si="1"/>
        <v>39342.31708646175</v>
      </c>
      <c r="E34">
        <f t="shared" si="2"/>
        <v>9732.900373512839</v>
      </c>
      <c r="F34" s="28">
        <v>1.4E-2</v>
      </c>
      <c r="G34">
        <f t="shared" si="3"/>
        <v>20512.291745740207</v>
      </c>
      <c r="I34">
        <f t="shared" si="4"/>
        <v>71379.519718240466</v>
      </c>
      <c r="J34" s="28">
        <v>1.4E-2</v>
      </c>
      <c r="K34">
        <f t="shared" si="5"/>
        <v>39893.109525672218</v>
      </c>
      <c r="M34">
        <f t="shared" si="6"/>
        <v>9481.1028893418334</v>
      </c>
      <c r="N34" s="28">
        <v>1.4E-2</v>
      </c>
      <c r="O34">
        <f t="shared" si="7"/>
        <v>20799.463830180572</v>
      </c>
      <c r="Q34" s="9">
        <f t="shared" si="8"/>
        <v>4747.904191452044</v>
      </c>
      <c r="R34" s="28">
        <v>1.4E-2</v>
      </c>
      <c r="S34">
        <f t="shared" si="9"/>
        <v>1150.7924392104646</v>
      </c>
      <c r="U34">
        <f t="shared" si="10"/>
        <v>5769.2357760236355</v>
      </c>
      <c r="V34" s="48">
        <v>1.4E-2</v>
      </c>
      <c r="W34">
        <f t="shared" si="11"/>
        <v>12855.228912221175</v>
      </c>
      <c r="Y34">
        <f t="shared" si="12"/>
        <v>2591.1003468186645</v>
      </c>
      <c r="Z34" s="28">
        <v>1.4E-2</v>
      </c>
      <c r="AA34">
        <f t="shared" si="13"/>
        <v>9888.9773394155563</v>
      </c>
    </row>
    <row r="35" spans="1:27" x14ac:dyDescent="0.2">
      <c r="A35">
        <f t="shared" si="0"/>
        <v>65628.845040483415</v>
      </c>
      <c r="B35" s="28">
        <v>1.4999999999999999E-2</v>
      </c>
      <c r="C35">
        <f t="shared" si="1"/>
        <v>40345.087572766759</v>
      </c>
      <c r="E35">
        <f t="shared" si="2"/>
        <v>9306.5099773614857</v>
      </c>
      <c r="F35" s="28">
        <v>1.4999999999999999E-2</v>
      </c>
      <c r="G35">
        <f t="shared" si="3"/>
        <v>20085.901349588854</v>
      </c>
      <c r="I35">
        <f t="shared" si="4"/>
        <v>70322.36535755443</v>
      </c>
      <c r="J35" s="28">
        <v>1.4999999999999999E-2</v>
      </c>
      <c r="K35">
        <f t="shared" si="5"/>
        <v>40950.263886358254</v>
      </c>
      <c r="M35">
        <f t="shared" si="6"/>
        <v>9068.8289289939421</v>
      </c>
      <c r="N35" s="28">
        <v>1.4999999999999999E-2</v>
      </c>
      <c r="O35">
        <f t="shared" si="7"/>
        <v>20387.18986983268</v>
      </c>
      <c r="Q35" s="9">
        <f t="shared" si="8"/>
        <v>4693.5203170710074</v>
      </c>
      <c r="R35" s="28">
        <v>1.4999999999999999E-2</v>
      </c>
      <c r="S35">
        <f t="shared" si="9"/>
        <v>1205.1763135915014</v>
      </c>
      <c r="U35">
        <f t="shared" si="10"/>
        <v>5642.7305144242546</v>
      </c>
      <c r="V35" s="48">
        <v>1.4999999999999999E-2</v>
      </c>
      <c r="W35">
        <f t="shared" si="11"/>
        <v>12981.734173820556</v>
      </c>
      <c r="Y35">
        <f t="shared" si="12"/>
        <v>2503.0360022330242</v>
      </c>
      <c r="Z35" s="28">
        <v>1.4999999999999999E-2</v>
      </c>
      <c r="AA35">
        <f t="shared" si="13"/>
        <v>9800.912994829916</v>
      </c>
    </row>
    <row r="36" spans="1:27" x14ac:dyDescent="0.2">
      <c r="A36">
        <f t="shared" si="0"/>
        <v>64594.378864661339</v>
      </c>
      <c r="B36" s="28">
        <v>1.6E-2</v>
      </c>
      <c r="C36">
        <f t="shared" si="1"/>
        <v>41379.553748588834</v>
      </c>
      <c r="E36">
        <f t="shared" si="2"/>
        <v>8892.7947879262283</v>
      </c>
      <c r="F36" s="28">
        <v>1.6E-2</v>
      </c>
      <c r="G36">
        <f t="shared" si="3"/>
        <v>19672.186160153597</v>
      </c>
      <c r="I36">
        <f t="shared" si="4"/>
        <v>69231.002635346435</v>
      </c>
      <c r="J36" s="28">
        <v>1.6E-2</v>
      </c>
      <c r="K36">
        <f t="shared" si="5"/>
        <v>42041.62660856625</v>
      </c>
      <c r="M36">
        <f t="shared" si="6"/>
        <v>8668.5801978773197</v>
      </c>
      <c r="N36" s="28">
        <v>1.6E-2</v>
      </c>
      <c r="O36">
        <f t="shared" si="7"/>
        <v>19986.941138716058</v>
      </c>
      <c r="Q36" s="9">
        <f t="shared" si="8"/>
        <v>4636.6237706850879</v>
      </c>
      <c r="R36" s="28">
        <v>1.6E-2</v>
      </c>
      <c r="S36">
        <f t="shared" si="9"/>
        <v>1262.0728599774213</v>
      </c>
      <c r="U36">
        <f t="shared" si="10"/>
        <v>5514.5982810337464</v>
      </c>
      <c r="V36" s="48">
        <v>1.6E-2</v>
      </c>
      <c r="W36">
        <f t="shared" si="11"/>
        <v>13109.866407211064</v>
      </c>
      <c r="Y36">
        <f t="shared" si="12"/>
        <v>2416.0389919821027</v>
      </c>
      <c r="Z36" s="28">
        <v>1.6E-2</v>
      </c>
      <c r="AA36">
        <f t="shared" si="13"/>
        <v>9713.9159845789945</v>
      </c>
    </row>
    <row r="37" spans="1:27" x14ac:dyDescent="0.2">
      <c r="A37">
        <f t="shared" si="0"/>
        <v>63527.137084719732</v>
      </c>
      <c r="B37" s="28">
        <v>1.7000000000000001E-2</v>
      </c>
      <c r="C37">
        <f t="shared" si="1"/>
        <v>42446.795528530442</v>
      </c>
      <c r="E37">
        <f t="shared" si="2"/>
        <v>8491.3135105526308</v>
      </c>
      <c r="F37" s="28">
        <v>1.7000000000000001E-2</v>
      </c>
      <c r="G37">
        <f t="shared" si="3"/>
        <v>19270.704882779999</v>
      </c>
      <c r="I37">
        <f t="shared" si="4"/>
        <v>68104.23819139722</v>
      </c>
      <c r="J37" s="28">
        <v>1.7000000000000001E-2</v>
      </c>
      <c r="K37">
        <f t="shared" si="5"/>
        <v>43168.391052515457</v>
      </c>
      <c r="M37">
        <f t="shared" si="6"/>
        <v>8279.9459249485153</v>
      </c>
      <c r="N37" s="28">
        <v>1.7000000000000001E-2</v>
      </c>
      <c r="O37">
        <f t="shared" si="7"/>
        <v>19598.306865787254</v>
      </c>
      <c r="Q37" s="9">
        <f t="shared" si="8"/>
        <v>4577.1011066774918</v>
      </c>
      <c r="R37" s="28">
        <v>1.7000000000000001E-2</v>
      </c>
      <c r="S37">
        <f t="shared" si="9"/>
        <v>1321.5955239850175</v>
      </c>
      <c r="U37">
        <f t="shared" si="10"/>
        <v>5384.8157212897495</v>
      </c>
      <c r="V37" s="48">
        <v>1.7000000000000001E-2</v>
      </c>
      <c r="W37">
        <f t="shared" si="11"/>
        <v>13239.648966955061</v>
      </c>
      <c r="Y37">
        <f t="shared" si="12"/>
        <v>2330.0946412912454</v>
      </c>
      <c r="Z37" s="28">
        <v>1.7000000000000001E-2</v>
      </c>
      <c r="AA37">
        <f t="shared" si="13"/>
        <v>9627.9716338881371</v>
      </c>
    </row>
    <row r="38" spans="1:27" x14ac:dyDescent="0.2">
      <c r="A38">
        <f t="shared" si="0"/>
        <v>62426.001835542149</v>
      </c>
      <c r="B38" s="28">
        <v>1.7999999999999999E-2</v>
      </c>
      <c r="C38">
        <f t="shared" si="1"/>
        <v>43547.930777708025</v>
      </c>
      <c r="E38">
        <f t="shared" si="2"/>
        <v>8101.6417295917199</v>
      </c>
      <c r="F38" s="28">
        <v>1.7999999999999999E-2</v>
      </c>
      <c r="G38">
        <f t="shared" si="3"/>
        <v>18881.033101819088</v>
      </c>
      <c r="I38">
        <f t="shared" si="4"/>
        <v>66940.83571220591</v>
      </c>
      <c r="J38" s="28">
        <v>1.7999999999999999E-2</v>
      </c>
      <c r="K38">
        <f t="shared" si="5"/>
        <v>44331.793531706768</v>
      </c>
      <c r="M38">
        <f t="shared" si="6"/>
        <v>7902.530756813092</v>
      </c>
      <c r="N38" s="28">
        <v>1.7999999999999999E-2</v>
      </c>
      <c r="O38">
        <f t="shared" si="7"/>
        <v>19220.89169765183</v>
      </c>
      <c r="Q38" s="9">
        <f t="shared" si="8"/>
        <v>4514.8338766637644</v>
      </c>
      <c r="R38" s="28">
        <v>1.7999999999999999E-2</v>
      </c>
      <c r="S38">
        <f t="shared" si="9"/>
        <v>1383.8627539987444</v>
      </c>
      <c r="U38">
        <f t="shared" si="10"/>
        <v>5253.3591244391573</v>
      </c>
      <c r="V38" s="48">
        <v>1.7999999999999999E-2</v>
      </c>
      <c r="W38">
        <f t="shared" si="11"/>
        <v>13371.105563805653</v>
      </c>
      <c r="Y38">
        <f t="shared" si="12"/>
        <v>2245.1884915026239</v>
      </c>
      <c r="Z38" s="28">
        <v>1.7999999999999999E-2</v>
      </c>
      <c r="AA38">
        <f t="shared" si="13"/>
        <v>9543.0654840995157</v>
      </c>
    </row>
    <row r="39" spans="1:27" x14ac:dyDescent="0.2">
      <c r="A39">
        <f t="shared" si="0"/>
        <v>61289.81595340393</v>
      </c>
      <c r="B39" s="28">
        <v>1.9E-2</v>
      </c>
      <c r="C39">
        <f t="shared" si="1"/>
        <v>44684.116659846244</v>
      </c>
      <c r="E39">
        <f t="shared" si="2"/>
        <v>7723.3712191451486</v>
      </c>
      <c r="F39" s="28">
        <v>1.9E-2</v>
      </c>
      <c r="G39">
        <f t="shared" si="3"/>
        <v>18502.762591372517</v>
      </c>
      <c r="I39">
        <f t="shared" si="4"/>
        <v>65739.514367529366</v>
      </c>
      <c r="J39" s="28">
        <v>1.9E-2</v>
      </c>
      <c r="K39">
        <f t="shared" si="5"/>
        <v>45533.114876383326</v>
      </c>
      <c r="M39">
        <f t="shared" si="6"/>
        <v>7535.9541397698522</v>
      </c>
      <c r="N39" s="28">
        <v>1.9E-2</v>
      </c>
      <c r="O39">
        <f t="shared" si="7"/>
        <v>18854.315080608591</v>
      </c>
      <c r="Q39">
        <f t="shared" si="8"/>
        <v>4449.6984141254306</v>
      </c>
      <c r="R39" s="28">
        <v>1.9E-2</v>
      </c>
      <c r="S39">
        <f t="shared" si="9"/>
        <v>1448.9982165370786</v>
      </c>
      <c r="U39">
        <f t="shared" si="10"/>
        <v>5120.204417892026</v>
      </c>
      <c r="V39" s="48">
        <v>1.9E-2</v>
      </c>
      <c r="W39">
        <f t="shared" si="11"/>
        <v>13504.260270352785</v>
      </c>
      <c r="Y39">
        <f t="shared" si="12"/>
        <v>2161.3062967518727</v>
      </c>
      <c r="Z39" s="28">
        <v>1.9E-2</v>
      </c>
      <c r="AA39">
        <f t="shared" si="13"/>
        <v>9459.1832893487644</v>
      </c>
    </row>
    <row r="40" spans="1:27" x14ac:dyDescent="0.2">
      <c r="A40">
        <f t="shared" si="0"/>
        <v>60117.381579997156</v>
      </c>
      <c r="B40" s="28">
        <v>0.02</v>
      </c>
      <c r="C40">
        <f t="shared" si="1"/>
        <v>45856.551033253018</v>
      </c>
      <c r="E40">
        <f t="shared" si="2"/>
        <v>7356.1092834052652</v>
      </c>
      <c r="F40" s="28">
        <v>0.02</v>
      </c>
      <c r="G40">
        <f t="shared" si="3"/>
        <v>18135.500655632633</v>
      </c>
      <c r="I40">
        <f t="shared" si="4"/>
        <v>64498.947189994615</v>
      </c>
      <c r="J40" s="28">
        <v>0.02</v>
      </c>
      <c r="K40">
        <f t="shared" si="5"/>
        <v>46773.68205391807</v>
      </c>
      <c r="M40">
        <f t="shared" si="6"/>
        <v>7179.849727906545</v>
      </c>
      <c r="N40" s="28">
        <v>0.02</v>
      </c>
      <c r="O40">
        <f t="shared" si="7"/>
        <v>18498.210668745283</v>
      </c>
      <c r="Q40">
        <f t="shared" si="8"/>
        <v>4381.5656099974485</v>
      </c>
      <c r="R40" s="28">
        <v>0.02</v>
      </c>
      <c r="S40">
        <f t="shared" si="9"/>
        <v>1517.1310206650603</v>
      </c>
      <c r="U40">
        <f t="shared" si="10"/>
        <v>4985.3271614835812</v>
      </c>
      <c r="V40" s="48">
        <v>0.02</v>
      </c>
      <c r="W40">
        <f t="shared" si="11"/>
        <v>13639.137526761229</v>
      </c>
      <c r="Y40">
        <f t="shared" si="12"/>
        <v>2078.4340206974284</v>
      </c>
      <c r="Z40" s="28">
        <v>0.02</v>
      </c>
      <c r="AA40">
        <f t="shared" si="13"/>
        <v>9376.3110132943202</v>
      </c>
    </row>
    <row r="41" spans="1:27" x14ac:dyDescent="0.2">
      <c r="A41">
        <f t="shared" si="0"/>
        <v>58907.458716913512</v>
      </c>
      <c r="B41" s="28">
        <v>2.1000000000000001E-2</v>
      </c>
      <c r="C41">
        <f t="shared" si="1"/>
        <v>47066.473896336662</v>
      </c>
      <c r="E41">
        <f t="shared" si="2"/>
        <v>6999.4781252615103</v>
      </c>
      <c r="F41" s="28">
        <v>2.1000000000000001E-2</v>
      </c>
      <c r="G41">
        <f t="shared" si="3"/>
        <v>17778.869497488879</v>
      </c>
      <c r="I41">
        <f t="shared" si="4"/>
        <v>63217.759395752961</v>
      </c>
      <c r="J41" s="28">
        <v>2.1000000000000001E-2</v>
      </c>
      <c r="K41">
        <f t="shared" si="5"/>
        <v>48054.869848159724</v>
      </c>
      <c r="M41">
        <f t="shared" si="6"/>
        <v>6833.8648160974044</v>
      </c>
      <c r="N41" s="28">
        <v>2.1000000000000001E-2</v>
      </c>
      <c r="O41">
        <f t="shared" si="7"/>
        <v>18152.225756936143</v>
      </c>
      <c r="Q41">
        <f t="shared" si="8"/>
        <v>4310.3006788394396</v>
      </c>
      <c r="R41" s="28">
        <v>2.1000000000000001E-2</v>
      </c>
      <c r="S41">
        <f t="shared" si="9"/>
        <v>1588.3959518230699</v>
      </c>
      <c r="U41">
        <f t="shared" si="10"/>
        <v>4848.702541642795</v>
      </c>
      <c r="V41" s="48">
        <v>2.1000000000000001E-2</v>
      </c>
      <c r="W41">
        <f t="shared" si="11"/>
        <v>13775.762146602015</v>
      </c>
      <c r="Y41">
        <f t="shared" si="12"/>
        <v>1996.5578333016038</v>
      </c>
      <c r="Z41" s="28">
        <v>2.1000000000000001E-2</v>
      </c>
      <c r="AA41">
        <f t="shared" si="13"/>
        <v>9294.4348258984955</v>
      </c>
    </row>
    <row r="42" spans="1:27" x14ac:dyDescent="0.2">
      <c r="A42">
        <f t="shared" si="0"/>
        <v>57658.763728813516</v>
      </c>
      <c r="B42" s="28">
        <v>2.1999999999999999E-2</v>
      </c>
      <c r="C42">
        <f t="shared" si="1"/>
        <v>48315.168884436658</v>
      </c>
      <c r="E42">
        <f t="shared" si="2"/>
        <v>6653.1142419153875</v>
      </c>
      <c r="F42" s="28">
        <v>2.1999999999999999E-2</v>
      </c>
      <c r="G42">
        <f t="shared" si="3"/>
        <v>17432.505614142756</v>
      </c>
      <c r="I42">
        <f t="shared" si="4"/>
        <v>61894.52664401842</v>
      </c>
      <c r="J42" s="28">
        <v>2.1999999999999999E-2</v>
      </c>
      <c r="K42">
        <f t="shared" si="5"/>
        <v>49378.102599894264</v>
      </c>
      <c r="M42">
        <f t="shared" si="6"/>
        <v>6497.6597968151618</v>
      </c>
      <c r="N42" s="28">
        <v>2.1999999999999999E-2</v>
      </c>
      <c r="O42">
        <f t="shared" si="7"/>
        <v>17816.0207376539</v>
      </c>
      <c r="Q42">
        <f t="shared" si="8"/>
        <v>4235.762915204903</v>
      </c>
      <c r="R42" s="28">
        <v>2.1999999999999999E-2</v>
      </c>
      <c r="S42">
        <f t="shared" si="9"/>
        <v>1662.9337154576065</v>
      </c>
      <c r="U42">
        <f t="shared" si="10"/>
        <v>4710.3053654658852</v>
      </c>
      <c r="V42" s="48">
        <v>2.1999999999999999E-2</v>
      </c>
      <c r="W42">
        <f t="shared" si="11"/>
        <v>13914.159322778925</v>
      </c>
      <c r="Y42">
        <f t="shared" si="12"/>
        <v>1915.6641076626511</v>
      </c>
      <c r="Z42" s="28">
        <v>2.1999999999999999E-2</v>
      </c>
      <c r="AA42">
        <f t="shared" si="13"/>
        <v>9213.5411002595429</v>
      </c>
    </row>
    <row r="43" spans="1:27" x14ac:dyDescent="0.2">
      <c r="A43">
        <f t="shared" si="0"/>
        <v>56369.967793501273</v>
      </c>
      <c r="B43" s="28">
        <v>2.3E-2</v>
      </c>
      <c r="C43">
        <f t="shared" si="1"/>
        <v>49603.9648197489</v>
      </c>
      <c r="E43">
        <f t="shared" si="2"/>
        <v>6316.6678462959135</v>
      </c>
      <c r="F43" s="28">
        <v>2.3E-2</v>
      </c>
      <c r="G43">
        <f t="shared" si="3"/>
        <v>17096.059218523282</v>
      </c>
      <c r="I43">
        <f t="shared" si="4"/>
        <v>60527.773233309563</v>
      </c>
      <c r="J43" s="28">
        <v>2.3E-2</v>
      </c>
      <c r="K43">
        <f t="shared" si="5"/>
        <v>50744.856010603122</v>
      </c>
      <c r="M43">
        <f t="shared" si="6"/>
        <v>6170.9076397105782</v>
      </c>
      <c r="N43" s="28">
        <v>2.3E-2</v>
      </c>
      <c r="O43">
        <f t="shared" si="7"/>
        <v>17489.268580549317</v>
      </c>
      <c r="Q43">
        <f t="shared" si="8"/>
        <v>4157.8054398082841</v>
      </c>
      <c r="R43" s="28">
        <v>2.3E-2</v>
      </c>
      <c r="S43">
        <f t="shared" si="9"/>
        <v>1740.8911908542248</v>
      </c>
      <c r="U43">
        <f t="shared" si="10"/>
        <v>4570.110054693343</v>
      </c>
      <c r="V43" s="48">
        <v>2.3E-2</v>
      </c>
      <c r="W43">
        <f t="shared" si="11"/>
        <v>14054.354633551467</v>
      </c>
      <c r="Y43">
        <f t="shared" si="12"/>
        <v>1835.7394168969404</v>
      </c>
      <c r="Z43" s="28">
        <v>2.3E-2</v>
      </c>
      <c r="AA43">
        <f t="shared" si="13"/>
        <v>9133.6164094938322</v>
      </c>
    </row>
    <row r="44" spans="1:27" x14ac:dyDescent="0.2">
      <c r="A44">
        <f t="shared" si="0"/>
        <v>55039.695297009603</v>
      </c>
      <c r="B44" s="28">
        <v>2.4E-2</v>
      </c>
      <c r="C44">
        <f t="shared" si="1"/>
        <v>50934.237316240571</v>
      </c>
      <c r="E44">
        <f t="shared" si="2"/>
        <v>5989.8023131311202</v>
      </c>
      <c r="F44" s="28">
        <v>2.4E-2</v>
      </c>
      <c r="G44">
        <f t="shared" si="3"/>
        <v>16769.193685358488</v>
      </c>
      <c r="I44">
        <f t="shared" si="4"/>
        <v>59115.970232082342</v>
      </c>
      <c r="J44" s="28">
        <v>2.4E-2</v>
      </c>
      <c r="K44">
        <f t="shared" si="5"/>
        <v>52156.659011830343</v>
      </c>
      <c r="M44">
        <f t="shared" si="6"/>
        <v>5853.2933929683531</v>
      </c>
      <c r="N44" s="28">
        <v>2.4E-2</v>
      </c>
      <c r="O44">
        <f t="shared" si="7"/>
        <v>17171.654333807091</v>
      </c>
      <c r="Q44">
        <f t="shared" si="8"/>
        <v>4076.2749350727354</v>
      </c>
      <c r="R44" s="28">
        <v>2.4E-2</v>
      </c>
      <c r="S44">
        <f t="shared" si="9"/>
        <v>1822.4216955897737</v>
      </c>
      <c r="U44">
        <f t="shared" si="10"/>
        <v>4428.0906395886595</v>
      </c>
      <c r="V44" s="48">
        <v>2.4E-2</v>
      </c>
      <c r="W44">
        <f t="shared" si="11"/>
        <v>14196.374048656151</v>
      </c>
      <c r="Y44">
        <f t="shared" si="12"/>
        <v>1756.7705310704623</v>
      </c>
      <c r="Z44" s="28">
        <v>2.4E-2</v>
      </c>
      <c r="AA44">
        <f t="shared" si="13"/>
        <v>9054.6475236673541</v>
      </c>
    </row>
    <row r="45" spans="1:27" x14ac:dyDescent="0.2">
      <c r="A45">
        <f t="shared" si="0"/>
        <v>53666.522171787023</v>
      </c>
      <c r="B45" s="28">
        <v>2.5000000000000001E-2</v>
      </c>
      <c r="C45">
        <f t="shared" si="1"/>
        <v>52307.410441463151</v>
      </c>
      <c r="E45">
        <f t="shared" si="2"/>
        <v>5672.1936485766018</v>
      </c>
      <c r="F45" s="28">
        <v>2.5000000000000001E-2</v>
      </c>
      <c r="G45">
        <f t="shared" si="3"/>
        <v>16451.58502080397</v>
      </c>
      <c r="I45">
        <f t="shared" si="4"/>
        <v>57657.533541412959</v>
      </c>
      <c r="J45" s="28">
        <v>2.5000000000000001E-2</v>
      </c>
      <c r="K45">
        <f t="shared" si="5"/>
        <v>53615.095702499726</v>
      </c>
      <c r="M45">
        <f t="shared" si="6"/>
        <v>5544.5137054853294</v>
      </c>
      <c r="N45" s="28">
        <v>2.5000000000000001E-2</v>
      </c>
      <c r="O45">
        <f t="shared" si="7"/>
        <v>16862.874646324068</v>
      </c>
      <c r="Q45">
        <f t="shared" si="8"/>
        <v>3991.0113696259305</v>
      </c>
      <c r="R45" s="28">
        <v>2.5000000000000001E-2</v>
      </c>
      <c r="S45">
        <f t="shared" si="9"/>
        <v>1907.6852610365788</v>
      </c>
      <c r="U45">
        <f t="shared" si="10"/>
        <v>4284.2207527173396</v>
      </c>
      <c r="V45" s="48">
        <v>2.5000000000000001E-2</v>
      </c>
      <c r="W45">
        <f t="shared" si="11"/>
        <v>14340.243935527471</v>
      </c>
      <c r="Y45">
        <f t="shared" si="12"/>
        <v>1678.7444141788401</v>
      </c>
      <c r="Z45" s="28">
        <v>2.5000000000000001E-2</v>
      </c>
      <c r="AA45">
        <f t="shared" si="13"/>
        <v>8976.6214067757319</v>
      </c>
    </row>
    <row r="46" spans="1:27" x14ac:dyDescent="0.2">
      <c r="A46">
        <f t="shared" si="0"/>
        <v>52248.974175959156</v>
      </c>
      <c r="B46" s="28">
        <v>2.5999999999999999E-2</v>
      </c>
      <c r="C46">
        <f t="shared" si="1"/>
        <v>53724.958437291018</v>
      </c>
      <c r="E46">
        <f t="shared" si="2"/>
        <v>5363.5299823594596</v>
      </c>
      <c r="F46" s="28">
        <v>2.5999999999999999E-2</v>
      </c>
      <c r="G46">
        <f t="shared" si="3"/>
        <v>16142.921354586828</v>
      </c>
      <c r="I46">
        <f t="shared" si="4"/>
        <v>56150.821887252103</v>
      </c>
      <c r="J46" s="28">
        <v>2.5999999999999999E-2</v>
      </c>
      <c r="K46">
        <f t="shared" si="5"/>
        <v>55121.807356660582</v>
      </c>
      <c r="M46">
        <f t="shared" si="6"/>
        <v>5244.2763689673484</v>
      </c>
      <c r="N46" s="28">
        <v>2.5999999999999999E-2</v>
      </c>
      <c r="O46">
        <f t="shared" si="7"/>
        <v>16562.637309806087</v>
      </c>
      <c r="Q46">
        <f t="shared" si="8"/>
        <v>3901.8477112929427</v>
      </c>
      <c r="R46" s="28">
        <v>2.5999999999999999E-2</v>
      </c>
      <c r="S46">
        <f t="shared" si="9"/>
        <v>1996.8489193695664</v>
      </c>
      <c r="U46">
        <f t="shared" si="10"/>
        <v>4138.4736226243404</v>
      </c>
      <c r="V46" s="48">
        <v>2.5999999999999999E-2</v>
      </c>
      <c r="W46">
        <f t="shared" si="11"/>
        <v>14485.99106562047</v>
      </c>
      <c r="Y46">
        <f t="shared" si="12"/>
        <v>1601.6482211750917</v>
      </c>
      <c r="Z46" s="28">
        <v>2.5999999999999999E-2</v>
      </c>
      <c r="AA46">
        <f t="shared" si="13"/>
        <v>8899.5252137719835</v>
      </c>
    </row>
    <row r="47" spans="1:27" x14ac:dyDescent="0.2">
      <c r="A47">
        <f t="shared" si="0"/>
        <v>50785.52511161923</v>
      </c>
      <c r="B47" s="28">
        <v>2.7E-2</v>
      </c>
      <c r="C47">
        <f t="shared" si="1"/>
        <v>55188.407501630943</v>
      </c>
      <c r="E47">
        <f t="shared" si="2"/>
        <v>5063.5110814377949</v>
      </c>
      <c r="F47" s="28">
        <v>2.7E-2</v>
      </c>
      <c r="G47">
        <f t="shared" si="3"/>
        <v>15842.902453665163</v>
      </c>
      <c r="I47">
        <f t="shared" si="4"/>
        <v>54594.134739737718</v>
      </c>
      <c r="J47" s="28">
        <v>2.7E-2</v>
      </c>
      <c r="K47">
        <f t="shared" si="5"/>
        <v>56678.494504174967</v>
      </c>
      <c r="M47">
        <f t="shared" si="6"/>
        <v>4952.2998790753809</v>
      </c>
      <c r="N47" s="28">
        <v>2.7E-2</v>
      </c>
      <c r="O47">
        <f t="shared" si="7"/>
        <v>16270.660819914119</v>
      </c>
      <c r="Q47">
        <f t="shared" si="8"/>
        <v>3808.6096281184737</v>
      </c>
      <c r="R47" s="28">
        <v>2.7E-2</v>
      </c>
      <c r="S47">
        <f t="shared" si="9"/>
        <v>2090.0870025440354</v>
      </c>
      <c r="U47">
        <f t="shared" si="10"/>
        <v>3990.8220674084187</v>
      </c>
      <c r="V47" s="48">
        <v>2.7E-2</v>
      </c>
      <c r="W47">
        <f t="shared" si="11"/>
        <v>14633.642620836392</v>
      </c>
      <c r="Y47">
        <f t="shared" si="12"/>
        <v>1525.4692950443532</v>
      </c>
      <c r="Z47" s="28">
        <v>2.7E-2</v>
      </c>
      <c r="AA47">
        <f t="shared" si="13"/>
        <v>8823.346287641245</v>
      </c>
    </row>
    <row r="48" spans="1:27" x14ac:dyDescent="0.2">
      <c r="A48">
        <f t="shared" si="0"/>
        <v>49274.594979979302</v>
      </c>
      <c r="B48" s="28">
        <v>2.8000000000000001E-2</v>
      </c>
      <c r="C48">
        <f t="shared" si="1"/>
        <v>56699.337633270872</v>
      </c>
      <c r="E48">
        <f t="shared" si="2"/>
        <v>4771.8478842271779</v>
      </c>
      <c r="F48" s="28">
        <v>2.8000000000000001E-2</v>
      </c>
      <c r="G48">
        <f t="shared" si="3"/>
        <v>15551.239256454546</v>
      </c>
      <c r="I48">
        <f t="shared" si="4"/>
        <v>52985.710156910231</v>
      </c>
      <c r="J48" s="28">
        <v>2.8000000000000001E-2</v>
      </c>
      <c r="K48">
        <f t="shared" si="5"/>
        <v>58286.919087002454</v>
      </c>
      <c r="M48">
        <f t="shared" si="6"/>
        <v>4668.3130147965367</v>
      </c>
      <c r="N48" s="28">
        <v>2.8000000000000001E-2</v>
      </c>
      <c r="O48">
        <f t="shared" si="7"/>
        <v>15986.673955635275</v>
      </c>
      <c r="Q48">
        <f t="shared" si="8"/>
        <v>3711.1151769309249</v>
      </c>
      <c r="R48" s="28">
        <v>2.8000000000000001E-2</v>
      </c>
      <c r="S48">
        <f t="shared" si="9"/>
        <v>2187.5814537315841</v>
      </c>
      <c r="U48">
        <f t="shared" si="10"/>
        <v>3841.238488191555</v>
      </c>
      <c r="V48" s="48">
        <v>2.8000000000000001E-2</v>
      </c>
      <c r="W48">
        <f t="shared" si="11"/>
        <v>14783.226200053256</v>
      </c>
      <c r="Y48">
        <f t="shared" si="12"/>
        <v>1450.1951639247982</v>
      </c>
      <c r="Z48" s="28">
        <v>2.8000000000000001E-2</v>
      </c>
      <c r="AA48">
        <f t="shared" si="13"/>
        <v>8748.07215652169</v>
      </c>
    </row>
    <row r="49" spans="1:27" x14ac:dyDescent="0.2">
      <c r="A49">
        <f t="shared" si="0"/>
        <v>47714.548071190067</v>
      </c>
      <c r="B49" s="28">
        <v>2.9000000000000001E-2</v>
      </c>
      <c r="C49">
        <f t="shared" si="1"/>
        <v>58259.384542060106</v>
      </c>
      <c r="E49">
        <f t="shared" si="2"/>
        <v>4488.2620544842357</v>
      </c>
      <c r="F49" s="28">
        <v>2.9000000000000001E-2</v>
      </c>
      <c r="G49">
        <f t="shared" si="3"/>
        <v>15267.653426711604</v>
      </c>
      <c r="I49">
        <f t="shared" si="4"/>
        <v>51323.722550132843</v>
      </c>
      <c r="J49" s="28">
        <v>2.9000000000000001E-2</v>
      </c>
      <c r="K49">
        <f t="shared" si="5"/>
        <v>59948.906693779842</v>
      </c>
      <c r="M49">
        <f t="shared" si="6"/>
        <v>4392.0544352475008</v>
      </c>
      <c r="N49" s="28">
        <v>2.9000000000000001E-2</v>
      </c>
      <c r="O49">
        <f t="shared" si="7"/>
        <v>15710.415376086239</v>
      </c>
      <c r="Q49">
        <f t="shared" si="8"/>
        <v>3609.1744789427657</v>
      </c>
      <c r="R49" s="28">
        <v>2.9000000000000001E-2</v>
      </c>
      <c r="S49">
        <f t="shared" si="9"/>
        <v>2289.5221517197433</v>
      </c>
      <c r="U49">
        <f t="shared" si="10"/>
        <v>3689.6948624817651</v>
      </c>
      <c r="V49" s="48">
        <v>2.9000000000000001E-2</v>
      </c>
      <c r="W49">
        <f t="shared" si="11"/>
        <v>14934.769825763045</v>
      </c>
      <c r="Y49">
        <f t="shared" si="12"/>
        <v>1375.8135382740311</v>
      </c>
      <c r="Z49" s="28">
        <v>2.9000000000000001E-2</v>
      </c>
      <c r="AA49">
        <f t="shared" si="13"/>
        <v>8673.6905308709229</v>
      </c>
    </row>
    <row r="50" spans="1:27" x14ac:dyDescent="0.2">
      <c r="A50">
        <f t="shared" si="0"/>
        <v>46103.690986510082</v>
      </c>
      <c r="B50" s="28">
        <v>0.03</v>
      </c>
      <c r="C50">
        <f t="shared" si="1"/>
        <v>59870.241626740091</v>
      </c>
      <c r="E50">
        <f t="shared" si="2"/>
        <v>4212.4855539833807</v>
      </c>
      <c r="F50" s="28">
        <v>0.03</v>
      </c>
      <c r="G50">
        <f t="shared" si="3"/>
        <v>14991.876926210749</v>
      </c>
      <c r="I50">
        <f t="shared" si="4"/>
        <v>49606.28036837039</v>
      </c>
      <c r="J50" s="28">
        <v>0.03</v>
      </c>
      <c r="K50">
        <f t="shared" si="5"/>
        <v>61666.348875542295</v>
      </c>
      <c r="M50">
        <f t="shared" si="6"/>
        <v>4123.2722931583321</v>
      </c>
      <c r="N50" s="28">
        <v>0.03</v>
      </c>
      <c r="O50">
        <f t="shared" si="7"/>
        <v>15441.63323399707</v>
      </c>
      <c r="Q50">
        <f t="shared" si="8"/>
        <v>3502.5893818603063</v>
      </c>
      <c r="R50" s="28">
        <v>0.03</v>
      </c>
      <c r="S50">
        <f t="shared" si="9"/>
        <v>2396.1072488022028</v>
      </c>
      <c r="U50">
        <f t="shared" si="10"/>
        <v>3536.1627374275049</v>
      </c>
      <c r="V50" s="48">
        <v>0.03</v>
      </c>
      <c r="W50">
        <f t="shared" si="11"/>
        <v>15088.301950817306</v>
      </c>
      <c r="Y50">
        <f t="shared" si="12"/>
        <v>1302.3123080801997</v>
      </c>
      <c r="Z50" s="28">
        <v>0.03</v>
      </c>
      <c r="AA50">
        <f t="shared" si="13"/>
        <v>8600.1893006770915</v>
      </c>
    </row>
    <row r="51" spans="1:27" x14ac:dyDescent="0.2">
      <c r="A51">
        <f t="shared" si="0"/>
        <v>44440.270590475979</v>
      </c>
      <c r="B51" s="28">
        <v>3.1E-2</v>
      </c>
      <c r="C51">
        <f t="shared" si="1"/>
        <v>61533.662022774195</v>
      </c>
      <c r="E51">
        <f t="shared" si="2"/>
        <v>3944.260233158253</v>
      </c>
      <c r="F51" s="28">
        <v>3.1E-2</v>
      </c>
      <c r="G51">
        <f t="shared" si="3"/>
        <v>14723.651605385621</v>
      </c>
      <c r="I51">
        <f t="shared" si="4"/>
        <v>47831.423698432496</v>
      </c>
      <c r="J51" s="28">
        <v>3.1E-2</v>
      </c>
      <c r="K51">
        <f t="shared" si="5"/>
        <v>63441.205545480188</v>
      </c>
      <c r="M51">
        <f t="shared" si="6"/>
        <v>3861.7238643138353</v>
      </c>
      <c r="N51" s="28">
        <v>3.1E-2</v>
      </c>
      <c r="O51">
        <f t="shared" si="7"/>
        <v>15180.084805152574</v>
      </c>
      <c r="Q51">
        <f t="shared" si="8"/>
        <v>3391.1531079565088</v>
      </c>
      <c r="R51" s="28">
        <v>3.1E-2</v>
      </c>
      <c r="S51">
        <f t="shared" si="9"/>
        <v>2507.5435227060002</v>
      </c>
      <c r="U51">
        <f t="shared" si="10"/>
        <v>3380.6132229618815</v>
      </c>
      <c r="V51" s="48">
        <v>3.1E-2</v>
      </c>
      <c r="W51">
        <f t="shared" si="11"/>
        <v>15243.851465282929</v>
      </c>
      <c r="Y51">
        <f t="shared" si="12"/>
        <v>1229.6795401171112</v>
      </c>
      <c r="Z51" s="28">
        <v>3.1E-2</v>
      </c>
      <c r="AA51">
        <f t="shared" si="13"/>
        <v>8527.556532714003</v>
      </c>
    </row>
    <row r="52" spans="1:27" x14ac:dyDescent="0.2">
      <c r="A52">
        <f t="shared" si="0"/>
        <v>42722.471890592562</v>
      </c>
      <c r="B52" s="28">
        <v>3.2000000000000001E-2</v>
      </c>
      <c r="C52">
        <f t="shared" si="1"/>
        <v>63251.460722657612</v>
      </c>
      <c r="E52">
        <f t="shared" si="2"/>
        <v>3683.3374389209821</v>
      </c>
      <c r="F52" s="28">
        <v>3.2000000000000001E-2</v>
      </c>
      <c r="G52">
        <f t="shared" si="3"/>
        <v>14462.72881114835</v>
      </c>
      <c r="I52">
        <f t="shared" si="4"/>
        <v>45997.121778130037</v>
      </c>
      <c r="J52" s="28">
        <v>3.2000000000000001E-2</v>
      </c>
      <c r="K52">
        <f t="shared" si="5"/>
        <v>65275.507465782648</v>
      </c>
      <c r="M52">
        <f t="shared" si="6"/>
        <v>3607.1751922663607</v>
      </c>
      <c r="N52" s="28">
        <v>3.2000000000000001E-2</v>
      </c>
      <c r="O52">
        <f t="shared" si="7"/>
        <v>14925.536133105099</v>
      </c>
      <c r="Q52">
        <f t="shared" si="8"/>
        <v>3274.6498875374655</v>
      </c>
      <c r="R52" s="28">
        <v>3.2000000000000001E-2</v>
      </c>
      <c r="S52">
        <f t="shared" si="9"/>
        <v>2624.0467431250436</v>
      </c>
      <c r="U52">
        <f t="shared" si="10"/>
        <v>3223.0169848347996</v>
      </c>
      <c r="V52" s="48">
        <v>3.2000000000000001E-2</v>
      </c>
      <c r="W52">
        <f t="shared" si="11"/>
        <v>15401.447703410011</v>
      </c>
      <c r="Y52">
        <f t="shared" si="12"/>
        <v>1157.9034752426433</v>
      </c>
      <c r="Z52" s="28">
        <v>3.2000000000000001E-2</v>
      </c>
      <c r="AA52">
        <f t="shared" si="13"/>
        <v>8455.780467839535</v>
      </c>
    </row>
    <row r="53" spans="1:27" x14ac:dyDescent="0.2">
      <c r="A53">
        <f t="shared" si="0"/>
        <v>40948.415842027287</v>
      </c>
      <c r="B53" s="28">
        <v>3.3000000000000002E-2</v>
      </c>
      <c r="C53">
        <f t="shared" si="1"/>
        <v>65025.516771222887</v>
      </c>
      <c r="E53">
        <f t="shared" si="2"/>
        <v>3429.4776389046037</v>
      </c>
      <c r="F53" s="28">
        <v>3.3000000000000002E-2</v>
      </c>
      <c r="G53">
        <f t="shared" si="3"/>
        <v>14208.869011131972</v>
      </c>
      <c r="I53">
        <f t="shared" si="4"/>
        <v>44101.270419239459</v>
      </c>
      <c r="J53" s="28">
        <v>3.3000000000000002E-2</v>
      </c>
      <c r="K53">
        <f t="shared" si="5"/>
        <v>67171.358824673225</v>
      </c>
      <c r="M53">
        <f t="shared" si="6"/>
        <v>3359.4007476605875</v>
      </c>
      <c r="N53" s="28">
        <v>3.3000000000000002E-2</v>
      </c>
      <c r="O53">
        <f t="shared" si="7"/>
        <v>14677.761688499326</v>
      </c>
      <c r="Q53">
        <f t="shared" si="8"/>
        <v>3152.8545772121538</v>
      </c>
      <c r="R53" s="28">
        <v>3.3000000000000002E-2</v>
      </c>
      <c r="S53">
        <f t="shared" si="9"/>
        <v>2745.8420534503553</v>
      </c>
      <c r="U53">
        <f t="shared" si="10"/>
        <v>3063.3442375312297</v>
      </c>
      <c r="V53" s="48">
        <v>3.3000000000000002E-2</v>
      </c>
      <c r="W53">
        <f t="shared" si="11"/>
        <v>15561.120450713581</v>
      </c>
      <c r="Y53">
        <f t="shared" si="12"/>
        <v>1086.9725257397531</v>
      </c>
      <c r="Z53" s="28">
        <v>3.3000000000000002E-2</v>
      </c>
      <c r="AA53">
        <f t="shared" si="13"/>
        <v>8384.8495183366449</v>
      </c>
    </row>
    <row r="54" spans="1:27" x14ac:dyDescent="0.2">
      <c r="A54">
        <f t="shared" si="0"/>
        <v>39116.157074655057</v>
      </c>
      <c r="B54" s="28">
        <v>3.4000000000000002E-2</v>
      </c>
      <c r="C54">
        <f t="shared" si="1"/>
        <v>66857.775538595117</v>
      </c>
      <c r="E54">
        <f t="shared" si="2"/>
        <v>3182.450061411666</v>
      </c>
      <c r="F54" s="28">
        <v>3.4000000000000002E-2</v>
      </c>
      <c r="G54">
        <f t="shared" si="3"/>
        <v>13961.841433639034</v>
      </c>
      <c r="I54">
        <f t="shared" si="4"/>
        <v>42141.689337005315</v>
      </c>
      <c r="J54" s="28">
        <v>3.4000000000000002E-2</v>
      </c>
      <c r="K54">
        <f t="shared" si="5"/>
        <v>69130.93990690737</v>
      </c>
      <c r="M54">
        <f t="shared" si="6"/>
        <v>3118.1831015440221</v>
      </c>
      <c r="N54" s="28">
        <v>3.4000000000000002E-2</v>
      </c>
      <c r="O54">
        <f t="shared" si="7"/>
        <v>14436.54404238276</v>
      </c>
      <c r="Q54">
        <f t="shared" si="8"/>
        <v>3025.5322623502748</v>
      </c>
      <c r="R54" s="28">
        <v>3.4000000000000002E-2</v>
      </c>
      <c r="S54">
        <f t="shared" si="9"/>
        <v>2873.1643683122343</v>
      </c>
      <c r="U54">
        <f t="shared" si="10"/>
        <v>2901.5647370736606</v>
      </c>
      <c r="V54" s="48">
        <v>3.4000000000000002E-2</v>
      </c>
      <c r="W54">
        <f t="shared" si="11"/>
        <v>15722.89995117115</v>
      </c>
      <c r="Y54">
        <f t="shared" si="12"/>
        <v>1016.875272699388</v>
      </c>
      <c r="Z54" s="28">
        <v>3.4000000000000002E-2</v>
      </c>
      <c r="AA54">
        <f t="shared" si="13"/>
        <v>8314.7522652962798</v>
      </c>
    </row>
    <row r="55" spans="1:27" x14ac:dyDescent="0.2">
      <c r="A55">
        <f t="shared" si="0"/>
        <v>37223.681539759695</v>
      </c>
      <c r="B55" s="28">
        <v>3.5000000000000003E-2</v>
      </c>
      <c r="C55">
        <f t="shared" si="1"/>
        <v>68750.251073490479</v>
      </c>
      <c r="E55">
        <f t="shared" si="2"/>
        <v>2942.0323503815598</v>
      </c>
      <c r="F55" s="28">
        <v>3.5000000000000003E-2</v>
      </c>
      <c r="G55">
        <f t="shared" si="3"/>
        <v>13721.423722608928</v>
      </c>
      <c r="I55">
        <f t="shared" si="4"/>
        <v>40116.119382850025</v>
      </c>
      <c r="J55" s="28">
        <v>3.5000000000000003E-2</v>
      </c>
      <c r="K55">
        <f t="shared" si="5"/>
        <v>71156.509861062659</v>
      </c>
      <c r="M55">
        <f t="shared" si="6"/>
        <v>2883.3126120615034</v>
      </c>
      <c r="N55" s="28">
        <v>3.5000000000000003E-2</v>
      </c>
      <c r="O55">
        <f t="shared" si="7"/>
        <v>14201.673552900242</v>
      </c>
      <c r="Q55">
        <f t="shared" si="8"/>
        <v>2892.4378430903421</v>
      </c>
      <c r="R55" s="28">
        <v>3.5000000000000003E-2</v>
      </c>
      <c r="S55">
        <f t="shared" si="9"/>
        <v>3006.258787572167</v>
      </c>
      <c r="U55">
        <f t="shared" si="10"/>
        <v>2737.6477737068071</v>
      </c>
      <c r="V55" s="48">
        <v>3.5000000000000003E-2</v>
      </c>
      <c r="W55">
        <f t="shared" si="11"/>
        <v>15886.816914538003</v>
      </c>
      <c r="Y55">
        <f t="shared" si="12"/>
        <v>947.60046344463808</v>
      </c>
      <c r="Z55" s="28">
        <v>3.5000000000000003E-2</v>
      </c>
      <c r="AA55">
        <f t="shared" si="13"/>
        <v>8245.4774560415299</v>
      </c>
    </row>
    <row r="56" spans="1:27" x14ac:dyDescent="0.2">
      <c r="A56">
        <f t="shared" si="0"/>
        <v>35268.904073551661</v>
      </c>
      <c r="B56" s="28">
        <v>3.5999999999999997E-2</v>
      </c>
      <c r="C56">
        <f t="shared" si="1"/>
        <v>70705.028539698513</v>
      </c>
      <c r="E56">
        <f t="shared" si="2"/>
        <v>2708.0102347230113</v>
      </c>
      <c r="F56" s="28">
        <v>3.5999999999999997E-2</v>
      </c>
      <c r="G56">
        <f t="shared" si="3"/>
        <v>13487.40160695038</v>
      </c>
      <c r="I56">
        <f t="shared" si="4"/>
        <v>38022.219676785026</v>
      </c>
      <c r="J56" s="28">
        <v>3.5999999999999997E-2</v>
      </c>
      <c r="K56">
        <f t="shared" si="5"/>
        <v>73250.409567127659</v>
      </c>
      <c r="M56">
        <f t="shared" si="6"/>
        <v>2654.5871239618555</v>
      </c>
      <c r="N56" s="28">
        <v>3.5999999999999997E-2</v>
      </c>
      <c r="O56">
        <f t="shared" si="7"/>
        <v>13972.948064800594</v>
      </c>
      <c r="Q56">
        <f t="shared" si="8"/>
        <v>2753.3156032333627</v>
      </c>
      <c r="R56" s="28">
        <v>3.5999999999999997E-2</v>
      </c>
      <c r="S56">
        <f t="shared" si="9"/>
        <v>3145.3810274291463</v>
      </c>
      <c r="U56">
        <f t="shared" si="10"/>
        <v>2571.5621644626372</v>
      </c>
      <c r="V56" s="48">
        <v>3.5999999999999997E-2</v>
      </c>
      <c r="W56">
        <f t="shared" si="11"/>
        <v>16052.902523782173</v>
      </c>
      <c r="Y56">
        <f t="shared" si="12"/>
        <v>879.13700899544892</v>
      </c>
      <c r="Z56" s="28">
        <v>3.5999999999999997E-2</v>
      </c>
      <c r="AA56">
        <f t="shared" si="13"/>
        <v>8177.0140015923407</v>
      </c>
    </row>
    <row r="57" spans="1:27" x14ac:dyDescent="0.2">
      <c r="A57">
        <f t="shared" si="0"/>
        <v>33249.665874619357</v>
      </c>
      <c r="B57" s="28">
        <v>3.6999999999999998E-2</v>
      </c>
      <c r="C57">
        <f t="shared" si="1"/>
        <v>72724.266738630817</v>
      </c>
      <c r="E57">
        <f t="shared" si="2"/>
        <v>2480.1772113851966</v>
      </c>
      <c r="F57" s="28">
        <v>3.6999999999999998E-2</v>
      </c>
      <c r="G57">
        <f t="shared" si="3"/>
        <v>13259.568583612565</v>
      </c>
      <c r="I57">
        <f t="shared" si="4"/>
        <v>35857.564635952527</v>
      </c>
      <c r="J57" s="28">
        <v>3.6999999999999998E-2</v>
      </c>
      <c r="K57">
        <f t="shared" si="5"/>
        <v>75415.064607960157</v>
      </c>
      <c r="M57">
        <f t="shared" si="6"/>
        <v>2431.8116803674911</v>
      </c>
      <c r="N57" s="28">
        <v>3.6999999999999998E-2</v>
      </c>
      <c r="O57">
        <f t="shared" si="7"/>
        <v>13750.172621206229</v>
      </c>
      <c r="Q57">
        <f t="shared" si="8"/>
        <v>2607.8987613331687</v>
      </c>
      <c r="R57" s="28">
        <v>3.6999999999999998E-2</v>
      </c>
      <c r="S57">
        <f t="shared" si="9"/>
        <v>3290.7978693293403</v>
      </c>
      <c r="U57">
        <f t="shared" si="10"/>
        <v>2403.2762456036944</v>
      </c>
      <c r="V57" s="48">
        <v>3.6999999999999998E-2</v>
      </c>
      <c r="W57">
        <f t="shared" si="11"/>
        <v>16221.188442641116</v>
      </c>
      <c r="Y57">
        <f t="shared" si="12"/>
        <v>811.4739815732537</v>
      </c>
      <c r="Z57" s="28">
        <v>3.6999999999999998E-2</v>
      </c>
      <c r="AA57">
        <f t="shared" si="13"/>
        <v>8109.3509741701455</v>
      </c>
    </row>
    <row r="58" spans="1:27" x14ac:dyDescent="0.2">
      <c r="A58">
        <f t="shared" si="0"/>
        <v>31163.731892274183</v>
      </c>
      <c r="B58" s="28">
        <v>3.7999999999999999E-2</v>
      </c>
      <c r="C58">
        <f t="shared" si="1"/>
        <v>74810.20072097599</v>
      </c>
      <c r="E58">
        <f t="shared" si="2"/>
        <v>2258.3342415717179</v>
      </c>
      <c r="F58" s="28">
        <v>3.7999999999999999E-2</v>
      </c>
      <c r="G58">
        <f t="shared" si="3"/>
        <v>13037.725613799086</v>
      </c>
      <c r="I58">
        <f t="shared" si="4"/>
        <v>33619.640895539604</v>
      </c>
      <c r="J58" s="28">
        <v>3.7999999999999999E-2</v>
      </c>
      <c r="K58">
        <f t="shared" si="5"/>
        <v>77652.988348373081</v>
      </c>
      <c r="M58">
        <f t="shared" si="6"/>
        <v>2214.798246284714</v>
      </c>
      <c r="N58" s="28">
        <v>3.7999999999999999E-2</v>
      </c>
      <c r="O58">
        <f t="shared" si="7"/>
        <v>13533.159187123452</v>
      </c>
      <c r="Q58">
        <f t="shared" si="8"/>
        <v>2455.9090032654217</v>
      </c>
      <c r="R58" s="28">
        <v>3.7999999999999999E-2</v>
      </c>
      <c r="S58">
        <f t="shared" si="9"/>
        <v>3442.7876273970874</v>
      </c>
      <c r="U58">
        <f t="shared" si="10"/>
        <v>2232.7578649427342</v>
      </c>
      <c r="V58" s="48">
        <v>3.7999999999999999E-2</v>
      </c>
      <c r="W58">
        <f t="shared" si="11"/>
        <v>16391.706823302076</v>
      </c>
      <c r="Y58">
        <f t="shared" si="12"/>
        <v>744.60061214487177</v>
      </c>
      <c r="Z58" s="28">
        <v>3.7999999999999999E-2</v>
      </c>
      <c r="AA58">
        <f t="shared" si="13"/>
        <v>8042.4776047417636</v>
      </c>
    </row>
    <row r="59" spans="1:27" x14ac:dyDescent="0.2">
      <c r="A59">
        <f t="shared" si="0"/>
        <v>29008.788122703219</v>
      </c>
      <c r="B59" s="28">
        <v>3.9E-2</v>
      </c>
      <c r="C59">
        <f t="shared" si="1"/>
        <v>76965.144490546954</v>
      </c>
      <c r="E59">
        <f t="shared" si="2"/>
        <v>2042.2894595262096</v>
      </c>
      <c r="F59" s="28">
        <v>3.9E-2</v>
      </c>
      <c r="G59">
        <f t="shared" si="3"/>
        <v>12821.680831753578</v>
      </c>
      <c r="I59">
        <f t="shared" si="4"/>
        <v>31305.844118234396</v>
      </c>
      <c r="J59" s="28">
        <v>3.9E-2</v>
      </c>
      <c r="K59">
        <f t="shared" si="5"/>
        <v>79966.785125678289</v>
      </c>
      <c r="M59">
        <f t="shared" si="6"/>
        <v>2003.3654433532301</v>
      </c>
      <c r="N59" s="28">
        <v>3.9E-2</v>
      </c>
      <c r="O59">
        <f t="shared" si="7"/>
        <v>13321.726384191968</v>
      </c>
      <c r="Q59">
        <f t="shared" si="8"/>
        <v>2297.0559955311778</v>
      </c>
      <c r="R59" s="28">
        <v>3.9E-2</v>
      </c>
      <c r="S59">
        <f t="shared" si="9"/>
        <v>3601.6406351313312</v>
      </c>
      <c r="U59">
        <f t="shared" si="10"/>
        <v>2059.9743740365266</v>
      </c>
      <c r="V59" s="48">
        <v>3.9E-2</v>
      </c>
      <c r="W59">
        <f t="shared" si="11"/>
        <v>16564.490314208284</v>
      </c>
      <c r="Y59">
        <f t="shared" si="12"/>
        <v>678.50628800504819</v>
      </c>
      <c r="Z59" s="28">
        <v>3.9E-2</v>
      </c>
      <c r="AA59">
        <f t="shared" si="13"/>
        <v>7976.38328060194</v>
      </c>
    </row>
    <row r="60" spans="1:27" x14ac:dyDescent="0.2">
      <c r="A60">
        <f t="shared" si="0"/>
        <v>26782.43880967841</v>
      </c>
      <c r="B60" s="28">
        <v>0.04</v>
      </c>
      <c r="C60">
        <f t="shared" si="1"/>
        <v>79191.493803571764</v>
      </c>
      <c r="E60">
        <f t="shared" si="2"/>
        <v>1831.8578933462504</v>
      </c>
      <c r="F60" s="28">
        <v>0.04</v>
      </c>
      <c r="G60">
        <f t="shared" si="3"/>
        <v>12611.249265573619</v>
      </c>
      <c r="I60">
        <f t="shared" si="4"/>
        <v>28913.475688198057</v>
      </c>
      <c r="J60" s="28">
        <v>0.04</v>
      </c>
      <c r="K60">
        <f t="shared" si="5"/>
        <v>82359.153555714627</v>
      </c>
      <c r="M60">
        <f t="shared" si="6"/>
        <v>1797.3382953578239</v>
      </c>
      <c r="N60" s="28">
        <v>0.04</v>
      </c>
      <c r="O60">
        <f t="shared" si="7"/>
        <v>13115.699236196562</v>
      </c>
      <c r="Q60">
        <f t="shared" si="8"/>
        <v>2131.0368785196383</v>
      </c>
      <c r="R60" s="28">
        <v>0.04</v>
      </c>
      <c r="S60">
        <f t="shared" si="9"/>
        <v>3767.6597521428707</v>
      </c>
      <c r="U60">
        <f t="shared" si="10"/>
        <v>1884.8926202518123</v>
      </c>
      <c r="V60" s="48">
        <v>0.04</v>
      </c>
      <c r="W60">
        <f t="shared" si="11"/>
        <v>16739.572067992998</v>
      </c>
      <c r="Y60">
        <f t="shared" si="12"/>
        <v>613.18055039702267</v>
      </c>
      <c r="Z60" s="28">
        <v>0.04</v>
      </c>
      <c r="AA60">
        <f t="shared" si="13"/>
        <v>7911.0575429939145</v>
      </c>
    </row>
    <row r="61" spans="1:27" x14ac:dyDescent="0.2">
      <c r="A61">
        <f t="shared" si="0"/>
        <v>24482.203546517601</v>
      </c>
      <c r="B61" s="28">
        <v>4.1000000000000002E-2</v>
      </c>
      <c r="C61">
        <f t="shared" si="1"/>
        <v>81491.729066732572</v>
      </c>
      <c r="E61">
        <f t="shared" si="2"/>
        <v>1626.8611973047155</v>
      </c>
      <c r="F61" s="28">
        <v>4.1000000000000002E-2</v>
      </c>
      <c r="G61">
        <f t="shared" si="3"/>
        <v>12406.252569532084</v>
      </c>
      <c r="I61">
        <f t="shared" si="4"/>
        <v>26439.73928544407</v>
      </c>
      <c r="J61" s="28">
        <v>4.1000000000000002E-2</v>
      </c>
      <c r="K61">
        <f t="shared" si="5"/>
        <v>84832.889958468615</v>
      </c>
      <c r="M61">
        <f t="shared" si="6"/>
        <v>1596.5479840441567</v>
      </c>
      <c r="N61" s="28">
        <v>4.1000000000000002E-2</v>
      </c>
      <c r="O61">
        <f t="shared" si="7"/>
        <v>12914.908924882895</v>
      </c>
      <c r="Q61">
        <f t="shared" si="8"/>
        <v>1957.5357389264732</v>
      </c>
      <c r="R61" s="28">
        <v>4.1000000000000002E-2</v>
      </c>
      <c r="S61">
        <f t="shared" si="9"/>
        <v>3941.1608917360359</v>
      </c>
      <c r="U61">
        <f t="shared" si="10"/>
        <v>1707.4789387012388</v>
      </c>
      <c r="V61" s="48">
        <v>4.1000000000000002E-2</v>
      </c>
      <c r="W61">
        <f t="shared" si="11"/>
        <v>16916.985749543572</v>
      </c>
      <c r="Y61">
        <f t="shared" si="12"/>
        <v>548.61309217047437</v>
      </c>
      <c r="Z61" s="28">
        <v>4.1000000000000002E-2</v>
      </c>
      <c r="AA61">
        <f t="shared" si="13"/>
        <v>7846.4900847673662</v>
      </c>
    </row>
    <row r="62" spans="1:27" x14ac:dyDescent="0.2">
      <c r="A62">
        <f t="shared" si="0"/>
        <v>22105.514275820286</v>
      </c>
      <c r="B62" s="28">
        <v>4.2000000000000003E-2</v>
      </c>
      <c r="C62">
        <f t="shared" si="1"/>
        <v>83868.418337429888</v>
      </c>
      <c r="E62">
        <f t="shared" si="2"/>
        <v>1427.1273951828807</v>
      </c>
      <c r="F62" s="28">
        <v>4.2000000000000003E-2</v>
      </c>
      <c r="G62">
        <f t="shared" si="3"/>
        <v>12206.518767410249</v>
      </c>
      <c r="I62">
        <f t="shared" si="4"/>
        <v>23881.737336310718</v>
      </c>
      <c r="J62" s="28">
        <v>4.2000000000000003E-2</v>
      </c>
      <c r="K62">
        <f t="shared" si="5"/>
        <v>87390.891907601967</v>
      </c>
      <c r="M62">
        <f t="shared" si="6"/>
        <v>1400.8316148027425</v>
      </c>
      <c r="N62" s="28">
        <v>4.2000000000000003E-2</v>
      </c>
      <c r="O62">
        <f t="shared" si="7"/>
        <v>12719.192555641481</v>
      </c>
      <c r="Q62">
        <f t="shared" si="8"/>
        <v>1776.2230604904535</v>
      </c>
      <c r="R62" s="28">
        <v>4.2000000000000003E-2</v>
      </c>
      <c r="S62">
        <f t="shared" si="9"/>
        <v>4122.4735701720556</v>
      </c>
      <c r="U62">
        <f t="shared" si="10"/>
        <v>1527.6991440471138</v>
      </c>
      <c r="V62" s="48">
        <v>4.2000000000000003E-2</v>
      </c>
      <c r="W62">
        <f t="shared" si="11"/>
        <v>17096.765544197697</v>
      </c>
      <c r="Y62">
        <f t="shared" si="12"/>
        <v>484.7937554762957</v>
      </c>
      <c r="Z62" s="28">
        <v>4.2000000000000003E-2</v>
      </c>
      <c r="AA62">
        <f t="shared" si="13"/>
        <v>7782.6707480731875</v>
      </c>
    </row>
    <row r="63" spans="1:27" x14ac:dyDescent="0.2">
      <c r="A63">
        <f t="shared" si="0"/>
        <v>19649.712183440657</v>
      </c>
      <c r="B63" s="28">
        <v>4.2999999999999997E-2</v>
      </c>
      <c r="C63">
        <f t="shared" si="1"/>
        <v>86324.220429809517</v>
      </c>
      <c r="E63">
        <f t="shared" si="2"/>
        <v>1232.490634140222</v>
      </c>
      <c r="F63" s="28">
        <v>4.2999999999999997E-2</v>
      </c>
      <c r="G63">
        <f t="shared" si="3"/>
        <v>12011.88200636759</v>
      </c>
      <c r="I63">
        <f t="shared" si="4"/>
        <v>21236.467335621361</v>
      </c>
      <c r="J63" s="28">
        <v>4.2999999999999997E-2</v>
      </c>
      <c r="K63">
        <f t="shared" si="5"/>
        <v>90036.161908291324</v>
      </c>
      <c r="M63">
        <f t="shared" si="6"/>
        <v>1210.031991802658</v>
      </c>
      <c r="N63" s="28">
        <v>4.2999999999999997E-2</v>
      </c>
      <c r="O63">
        <f t="shared" si="7"/>
        <v>12528.392932641396</v>
      </c>
      <c r="Q63">
        <f t="shared" si="8"/>
        <v>1586.7551521807</v>
      </c>
      <c r="R63" s="28">
        <v>4.2999999999999997E-2</v>
      </c>
      <c r="S63">
        <f t="shared" si="9"/>
        <v>4311.9414784818091</v>
      </c>
      <c r="U63">
        <f t="shared" si="10"/>
        <v>1345.518522170747</v>
      </c>
      <c r="V63" s="48">
        <v>4.2999999999999997E-2</v>
      </c>
      <c r="W63">
        <f t="shared" si="11"/>
        <v>17278.946166074064</v>
      </c>
      <c r="Y63">
        <f t="shared" si="12"/>
        <v>421.71252949756854</v>
      </c>
      <c r="Z63" s="28">
        <v>4.2999999999999997E-2</v>
      </c>
      <c r="AA63">
        <f t="shared" si="13"/>
        <v>7719.5895220944603</v>
      </c>
    </row>
    <row r="64" spans="1:27" x14ac:dyDescent="0.2">
      <c r="A64">
        <f t="shared" si="0"/>
        <v>17112.044482978483</v>
      </c>
      <c r="B64" s="28">
        <v>4.3999999999999997E-2</v>
      </c>
      <c r="C64">
        <f t="shared" si="1"/>
        <v>88861.888130271691</v>
      </c>
      <c r="E64">
        <f t="shared" si="2"/>
        <v>1042.7909486685057</v>
      </c>
      <c r="F64" s="28">
        <v>4.3999999999999997E-2</v>
      </c>
      <c r="G64">
        <f t="shared" si="3"/>
        <v>11822.182320895874</v>
      </c>
      <c r="I64">
        <f t="shared" si="4"/>
        <v>18500.818035909047</v>
      </c>
      <c r="J64" s="28">
        <v>4.3999999999999997E-2</v>
      </c>
      <c r="K64">
        <f t="shared" si="5"/>
        <v>92771.811208003637</v>
      </c>
      <c r="M64">
        <f t="shared" si="6"/>
        <v>1023.9974021765538</v>
      </c>
      <c r="N64" s="28">
        <v>4.3999999999999997E-2</v>
      </c>
      <c r="O64">
        <f t="shared" si="7"/>
        <v>12342.358343015292</v>
      </c>
      <c r="Q64">
        <f t="shared" si="8"/>
        <v>1388.7735529305546</v>
      </c>
      <c r="R64" s="28">
        <v>4.3999999999999997E-2</v>
      </c>
      <c r="S64">
        <f t="shared" si="9"/>
        <v>4509.9230777319544</v>
      </c>
      <c r="U64">
        <f t="shared" si="10"/>
        <v>1160.9018217051671</v>
      </c>
      <c r="V64" s="48">
        <v>4.3999999999999997E-2</v>
      </c>
      <c r="W64">
        <f t="shared" si="11"/>
        <v>17463.562866539643</v>
      </c>
      <c r="Y64">
        <f t="shared" si="12"/>
        <v>359.35954821616906</v>
      </c>
      <c r="Z64" s="28">
        <v>4.3999999999999997E-2</v>
      </c>
      <c r="AA64">
        <f t="shared" si="13"/>
        <v>7657.2365408130609</v>
      </c>
    </row>
    <row r="65" spans="1:27" x14ac:dyDescent="0.2">
      <c r="A65">
        <f t="shared" si="0"/>
        <v>14489.661087001674</v>
      </c>
      <c r="B65" s="28">
        <v>4.4999999999999998E-2</v>
      </c>
      <c r="C65">
        <f t="shared" si="1"/>
        <v>91484.2715262485</v>
      </c>
      <c r="E65">
        <f t="shared" si="2"/>
        <v>857.87403419677321</v>
      </c>
      <c r="F65" s="28">
        <v>4.4999999999999998E-2</v>
      </c>
      <c r="G65">
        <f t="shared" si="3"/>
        <v>11637.265406424141</v>
      </c>
      <c r="I65">
        <f t="shared" si="4"/>
        <v>15671.565498983022</v>
      </c>
      <c r="J65" s="28">
        <v>4.4999999999999998E-2</v>
      </c>
      <c r="K65">
        <f t="shared" si="5"/>
        <v>95601.063744929663</v>
      </c>
      <c r="M65">
        <f t="shared" si="6"/>
        <v>842.58140887449008</v>
      </c>
      <c r="N65" s="28">
        <v>4.4999999999999998E-2</v>
      </c>
      <c r="O65">
        <f t="shared" si="7"/>
        <v>12160.942349713228</v>
      </c>
      <c r="Q65">
        <f t="shared" si="8"/>
        <v>1181.904411981327</v>
      </c>
      <c r="R65" s="28">
        <v>4.4999999999999998E-2</v>
      </c>
      <c r="S65">
        <f t="shared" si="9"/>
        <v>4716.792218681182</v>
      </c>
      <c r="U65">
        <f t="shared" si="10"/>
        <v>973.81324542895163</v>
      </c>
      <c r="V65" s="48">
        <v>4.4999999999999998E-2</v>
      </c>
      <c r="W65">
        <f t="shared" si="11"/>
        <v>17650.651442815859</v>
      </c>
      <c r="Y65">
        <f t="shared" si="12"/>
        <v>297.72508821441988</v>
      </c>
      <c r="Z65" s="28">
        <v>4.4999999999999998E-2</v>
      </c>
      <c r="AA65">
        <f t="shared" si="13"/>
        <v>7595.6020808113117</v>
      </c>
    </row>
    <row r="66" spans="1:27" x14ac:dyDescent="0.2">
      <c r="A66">
        <f t="shared" si="0"/>
        <v>11779.611161022971</v>
      </c>
      <c r="B66" s="28">
        <v>4.5999999999999999E-2</v>
      </c>
      <c r="C66">
        <f t="shared" si="1"/>
        <v>94194.321452227203</v>
      </c>
      <c r="E66">
        <f t="shared" si="2"/>
        <v>677.59102993428132</v>
      </c>
      <c r="F66" s="28">
        <v>4.5999999999999999E-2</v>
      </c>
      <c r="G66">
        <f t="shared" si="3"/>
        <v>11456.98240216165</v>
      </c>
      <c r="I66">
        <f t="shared" si="4"/>
        <v>12745.369004883018</v>
      </c>
      <c r="J66" s="28">
        <v>4.5999999999999999E-2</v>
      </c>
      <c r="K66">
        <f t="shared" si="5"/>
        <v>98527.260239029667</v>
      </c>
      <c r="M66">
        <f t="shared" si="6"/>
        <v>665.64265182234885</v>
      </c>
      <c r="N66" s="28">
        <v>4.5999999999999999E-2</v>
      </c>
      <c r="O66">
        <f t="shared" si="7"/>
        <v>11984.003592661087</v>
      </c>
      <c r="Q66">
        <f t="shared" si="8"/>
        <v>965.75784386005762</v>
      </c>
      <c r="R66" s="28">
        <v>4.5999999999999999E-2</v>
      </c>
      <c r="S66">
        <f t="shared" si="9"/>
        <v>4932.9387868024514</v>
      </c>
      <c r="U66">
        <f t="shared" si="10"/>
        <v>784.21644151877263</v>
      </c>
      <c r="V66" s="48">
        <v>4.5999999999999999E-2</v>
      </c>
      <c r="W66">
        <f t="shared" si="11"/>
        <v>17840.248246726038</v>
      </c>
      <c r="Y66">
        <f t="shared" si="12"/>
        <v>236.79956651125303</v>
      </c>
      <c r="Z66" s="28">
        <v>4.5999999999999999E-2</v>
      </c>
      <c r="AA66">
        <f t="shared" si="13"/>
        <v>7534.6765591081448</v>
      </c>
    </row>
    <row r="67" spans="1:27" x14ac:dyDescent="0.2">
      <c r="A67">
        <f t="shared" si="0"/>
        <v>8978.8395561777143</v>
      </c>
      <c r="B67" s="28">
        <v>4.7E-2</v>
      </c>
      <c r="C67">
        <f t="shared" si="1"/>
        <v>96995.093057072459</v>
      </c>
      <c r="E67">
        <f t="shared" si="2"/>
        <v>501.7983105557505</v>
      </c>
      <c r="F67" s="28">
        <v>4.7E-2</v>
      </c>
      <c r="G67">
        <f t="shared" si="3"/>
        <v>11281.189682783119</v>
      </c>
      <c r="I67">
        <f t="shared" si="4"/>
        <v>9718.7668131578394</v>
      </c>
      <c r="J67" s="28">
        <v>4.7E-2</v>
      </c>
      <c r="K67">
        <f t="shared" si="5"/>
        <v>101553.86243075485</v>
      </c>
      <c r="M67">
        <f t="shared" si="6"/>
        <v>493.04465703518326</v>
      </c>
      <c r="N67" s="28">
        <v>4.7E-2</v>
      </c>
      <c r="O67">
        <f t="shared" si="7"/>
        <v>11811.405597873922</v>
      </c>
      <c r="Q67">
        <f t="shared" si="8"/>
        <v>739.92725698010327</v>
      </c>
      <c r="R67" s="28">
        <v>4.7E-2</v>
      </c>
      <c r="S67">
        <f t="shared" si="9"/>
        <v>5158.7693736824058</v>
      </c>
      <c r="U67">
        <f t="shared" si="10"/>
        <v>592.0744946583618</v>
      </c>
      <c r="V67" s="48">
        <v>4.7E-2</v>
      </c>
      <c r="W67">
        <f t="shared" si="11"/>
        <v>18032.390193586449</v>
      </c>
      <c r="Y67">
        <f t="shared" si="12"/>
        <v>176.57353843229612</v>
      </c>
      <c r="Z67" s="28">
        <v>4.7E-2</v>
      </c>
      <c r="AA67">
        <f t="shared" si="13"/>
        <v>7474.4505310291879</v>
      </c>
    </row>
    <row r="68" spans="1:27" x14ac:dyDescent="0.2">
      <c r="A68">
        <f t="shared" si="0"/>
        <v>6084.1831163495954</v>
      </c>
      <c r="B68" s="28">
        <v>4.8000000000000001E-2</v>
      </c>
      <c r="C68">
        <f t="shared" si="1"/>
        <v>99889.749496900578</v>
      </c>
      <c r="E68">
        <f t="shared" si="2"/>
        <v>330.35728635195301</v>
      </c>
      <c r="F68" s="28">
        <v>4.8000000000000001E-2</v>
      </c>
      <c r="G68">
        <f t="shared" si="3"/>
        <v>11109.748658579321</v>
      </c>
      <c r="I68">
        <f t="shared" si="4"/>
        <v>6588.1717711608508</v>
      </c>
      <c r="J68" s="28">
        <v>4.8000000000000001E-2</v>
      </c>
      <c r="K68">
        <f t="shared" si="5"/>
        <v>104684.45747275183</v>
      </c>
      <c r="M68">
        <f t="shared" si="6"/>
        <v>324.65565335239262</v>
      </c>
      <c r="N68" s="28">
        <v>4.8000000000000001E-2</v>
      </c>
      <c r="O68">
        <f t="shared" si="7"/>
        <v>11643.016594191131</v>
      </c>
      <c r="Q68">
        <f t="shared" si="8"/>
        <v>503.98865481128087</v>
      </c>
      <c r="R68" s="28">
        <v>4.8000000000000001E-2</v>
      </c>
      <c r="S68">
        <f t="shared" si="9"/>
        <v>5394.7079758512282</v>
      </c>
      <c r="U68">
        <f t="shared" si="10"/>
        <v>397.34991700150204</v>
      </c>
      <c r="V68" s="48">
        <v>4.8000000000000001E-2</v>
      </c>
      <c r="W68">
        <f t="shared" si="11"/>
        <v>18227.114771243308</v>
      </c>
      <c r="Y68">
        <f t="shared" si="12"/>
        <v>117.03769551335427</v>
      </c>
      <c r="Z68" s="28">
        <v>4.8000000000000001E-2</v>
      </c>
      <c r="AA68">
        <f t="shared" si="13"/>
        <v>7414.9146881102461</v>
      </c>
    </row>
    <row r="69" spans="1:27" x14ac:dyDescent="0.2">
      <c r="A69">
        <f t="shared" si="0"/>
        <v>3092.3668554068572</v>
      </c>
      <c r="B69" s="28">
        <v>4.9000000000000002E-2</v>
      </c>
      <c r="C69">
        <f t="shared" si="1"/>
        <v>102881.56575784332</v>
      </c>
      <c r="E69">
        <f t="shared" si="2"/>
        <v>163.13421148443376</v>
      </c>
      <c r="F69" s="28">
        <v>4.9000000000000002E-2</v>
      </c>
      <c r="G69">
        <f t="shared" si="3"/>
        <v>10942.525583711802</v>
      </c>
      <c r="I69">
        <f t="shared" si="4"/>
        <v>3349.866763935046</v>
      </c>
      <c r="J69" s="28">
        <v>4.9000000000000002E-2</v>
      </c>
      <c r="K69">
        <f t="shared" si="5"/>
        <v>107922.76247997764</v>
      </c>
      <c r="M69">
        <f t="shared" si="6"/>
        <v>160.348396474943</v>
      </c>
      <c r="N69" s="28">
        <v>4.9000000000000002E-2</v>
      </c>
      <c r="O69">
        <f t="shared" si="7"/>
        <v>11478.709337313681</v>
      </c>
      <c r="Q69">
        <f t="shared" si="8"/>
        <v>257.4999085281861</v>
      </c>
      <c r="R69" s="28">
        <v>4.9000000000000002E-2</v>
      </c>
      <c r="S69">
        <f t="shared" si="9"/>
        <v>5641.196722134323</v>
      </c>
      <c r="U69">
        <f t="shared" si="10"/>
        <v>200.00463898654198</v>
      </c>
      <c r="V69" s="48">
        <v>4.9000000000000002E-2</v>
      </c>
      <c r="W69">
        <f t="shared" si="11"/>
        <v>18424.460049258269</v>
      </c>
      <c r="Y69">
        <f t="shared" si="12"/>
        <v>58.182863436751177</v>
      </c>
      <c r="Z69" s="28">
        <v>4.9000000000000002E-2</v>
      </c>
      <c r="AA69">
        <f t="shared" si="13"/>
        <v>7356.059856033643</v>
      </c>
    </row>
    <row r="70" spans="1:27" x14ac:dyDescent="0.2">
      <c r="A70">
        <f t="shared" si="0"/>
        <v>0</v>
      </c>
      <c r="B70" s="28">
        <v>0.05</v>
      </c>
      <c r="C70">
        <f t="shared" si="1"/>
        <v>105973.93261325017</v>
      </c>
      <c r="E70">
        <f t="shared" si="2"/>
        <v>0</v>
      </c>
      <c r="F70" s="28">
        <v>0.05</v>
      </c>
      <c r="G70">
        <f t="shared" si="3"/>
        <v>10779.391372227368</v>
      </c>
      <c r="I70">
        <f t="shared" si="4"/>
        <v>0</v>
      </c>
      <c r="J70" s="28">
        <v>0.05</v>
      </c>
      <c r="K70">
        <f t="shared" si="5"/>
        <v>111272.62924391268</v>
      </c>
      <c r="M70">
        <f t="shared" si="6"/>
        <v>0</v>
      </c>
      <c r="N70" s="28">
        <v>0.05</v>
      </c>
      <c r="O70">
        <f t="shared" si="7"/>
        <v>11318.360940838738</v>
      </c>
      <c r="Q70">
        <f t="shared" si="8"/>
        <v>0</v>
      </c>
      <c r="R70" s="28">
        <v>0.05</v>
      </c>
      <c r="S70">
        <f t="shared" si="9"/>
        <v>5898.6966306625091</v>
      </c>
      <c r="U70">
        <f t="shared" si="10"/>
        <v>0</v>
      </c>
      <c r="V70" s="48">
        <v>0.05</v>
      </c>
      <c r="W70">
        <f t="shared" si="11"/>
        <v>18624.464688244811</v>
      </c>
      <c r="Y70">
        <f t="shared" si="12"/>
        <v>0</v>
      </c>
      <c r="Z70" s="28">
        <v>0.05</v>
      </c>
      <c r="AA70">
        <f t="shared" si="13"/>
        <v>7297.8769925968918</v>
      </c>
    </row>
    <row r="71" spans="1:27" x14ac:dyDescent="0.2">
      <c r="A71">
        <f t="shared" si="0"/>
        <v>3196.4281067186676</v>
      </c>
      <c r="B71" s="28">
        <v>5.0999999999999997E-2</v>
      </c>
      <c r="C71">
        <f t="shared" si="1"/>
        <v>109170.36071996884</v>
      </c>
      <c r="E71">
        <f t="shared" si="2"/>
        <v>159.16995072486316</v>
      </c>
      <c r="F71" s="28">
        <v>5.0999999999999997E-2</v>
      </c>
      <c r="G71">
        <f t="shared" si="3"/>
        <v>10620.221421502505</v>
      </c>
      <c r="I71">
        <f t="shared" si="4"/>
        <v>3465.4198727745534</v>
      </c>
      <c r="J71" s="28">
        <v>5.0999999999999997E-2</v>
      </c>
      <c r="K71">
        <f t="shared" si="5"/>
        <v>114738.04911668724</v>
      </c>
      <c r="M71">
        <f t="shared" si="6"/>
        <v>156.50822683960723</v>
      </c>
      <c r="N71" s="28">
        <v>5.0999999999999997E-2</v>
      </c>
      <c r="O71">
        <f t="shared" si="7"/>
        <v>11161.852713999131</v>
      </c>
      <c r="Q71">
        <f t="shared" si="8"/>
        <v>268.99176605590128</v>
      </c>
      <c r="R71" s="28">
        <v>5.0999999999999997E-2</v>
      </c>
      <c r="S71">
        <f t="shared" si="9"/>
        <v>6167.6883967184103</v>
      </c>
      <c r="U71">
        <f t="shared" si="10"/>
        <v>202.70326111323448</v>
      </c>
      <c r="V71" s="48">
        <v>5.0999999999999997E-2</v>
      </c>
      <c r="W71">
        <f t="shared" si="11"/>
        <v>18827.167949358045</v>
      </c>
      <c r="Y71">
        <f t="shared" si="12"/>
        <v>57.519806883719866</v>
      </c>
      <c r="Z71" s="28">
        <v>5.0999999999999997E-2</v>
      </c>
      <c r="AA71">
        <f t="shared" si="13"/>
        <v>7240.3571857131719</v>
      </c>
    </row>
    <row r="72" spans="1:27" x14ac:dyDescent="0.2">
      <c r="A72">
        <f t="shared" si="0"/>
        <v>6500.5522453203157</v>
      </c>
      <c r="B72" s="28">
        <v>5.1999999999999998E-2</v>
      </c>
      <c r="C72">
        <f t="shared" si="1"/>
        <v>112474.48485857049</v>
      </c>
      <c r="E72">
        <f t="shared" si="2"/>
        <v>314.49592942422896</v>
      </c>
      <c r="F72" s="28">
        <v>5.1999999999999998E-2</v>
      </c>
      <c r="G72">
        <f t="shared" si="3"/>
        <v>10464.895442803139</v>
      </c>
      <c r="I72">
        <f t="shared" si="4"/>
        <v>7050.5288273034967</v>
      </c>
      <c r="J72" s="28">
        <v>5.1999999999999998E-2</v>
      </c>
      <c r="K72">
        <f t="shared" si="5"/>
        <v>118323.15807121618</v>
      </c>
      <c r="M72">
        <f t="shared" si="6"/>
        <v>309.29093500983436</v>
      </c>
      <c r="N72" s="28">
        <v>5.1999999999999998E-2</v>
      </c>
      <c r="O72">
        <f t="shared" si="7"/>
        <v>11009.070005828904</v>
      </c>
      <c r="Q72">
        <f t="shared" si="8"/>
        <v>549.97658198315639</v>
      </c>
      <c r="R72" s="28">
        <v>5.1999999999999998E-2</v>
      </c>
      <c r="S72">
        <f t="shared" si="9"/>
        <v>6448.6732126456654</v>
      </c>
      <c r="U72">
        <f t="shared" si="10"/>
        <v>408.1450156957726</v>
      </c>
      <c r="V72" s="48">
        <v>5.1999999999999998E-2</v>
      </c>
      <c r="W72">
        <f t="shared" si="11"/>
        <v>19032.609703940583</v>
      </c>
      <c r="Y72">
        <f t="shared" si="12"/>
        <v>114.38534115377934</v>
      </c>
      <c r="Z72" s="28">
        <v>5.1999999999999998E-2</v>
      </c>
      <c r="AA72">
        <f t="shared" si="13"/>
        <v>7183.4916514431125</v>
      </c>
    </row>
    <row r="73" spans="1:27" x14ac:dyDescent="0.2">
      <c r="A73">
        <f t="shared" si="0"/>
        <v>9916.1357092318067</v>
      </c>
      <c r="B73" s="28">
        <v>5.2999999999999999E-2</v>
      </c>
      <c r="C73">
        <f t="shared" si="1"/>
        <v>115890.06832248198</v>
      </c>
      <c r="E73">
        <f t="shared" si="2"/>
        <v>466.09407356899283</v>
      </c>
      <c r="F73" s="28">
        <v>5.2999999999999999E-2</v>
      </c>
      <c r="G73">
        <f t="shared" si="3"/>
        <v>10313.297298658375</v>
      </c>
      <c r="I73">
        <f t="shared" si="4"/>
        <v>10759.612699660851</v>
      </c>
      <c r="J73" s="28">
        <v>5.2999999999999999E-2</v>
      </c>
      <c r="K73">
        <f t="shared" si="5"/>
        <v>122032.24194357354</v>
      </c>
      <c r="M73">
        <f t="shared" si="6"/>
        <v>458.4588853514706</v>
      </c>
      <c r="N73" s="28">
        <v>5.2999999999999999E-2</v>
      </c>
      <c r="O73">
        <f t="shared" si="7"/>
        <v>10859.902055487268</v>
      </c>
      <c r="Q73">
        <f t="shared" si="8"/>
        <v>843.47699042903605</v>
      </c>
      <c r="R73" s="28">
        <v>5.2999999999999999E-2</v>
      </c>
      <c r="S73">
        <f t="shared" si="9"/>
        <v>6742.1736210915451</v>
      </c>
      <c r="U73">
        <f t="shared" si="10"/>
        <v>616.36575508216629</v>
      </c>
      <c r="V73" s="48">
        <v>5.2999999999999999E-2</v>
      </c>
      <c r="W73">
        <f t="shared" si="11"/>
        <v>19240.830443326977</v>
      </c>
      <c r="Y73">
        <f t="shared" si="12"/>
        <v>170.60526053952071</v>
      </c>
      <c r="Z73" s="28">
        <v>5.2999999999999999E-2</v>
      </c>
      <c r="AA73">
        <f t="shared" si="13"/>
        <v>7127.2717320573711</v>
      </c>
    </row>
    <row r="74" spans="1:27" x14ac:dyDescent="0.2">
      <c r="A74">
        <f t="shared" si="0"/>
        <v>13447.074847979908</v>
      </c>
      <c r="B74" s="28">
        <v>5.3999999999999999E-2</v>
      </c>
      <c r="C74">
        <f t="shared" si="1"/>
        <v>119421.00746123008</v>
      </c>
      <c r="E74">
        <f t="shared" si="2"/>
        <v>614.07652546660393</v>
      </c>
      <c r="F74" s="28">
        <v>5.3999999999999999E-2</v>
      </c>
      <c r="G74">
        <f t="shared" si="3"/>
        <v>10165.314846760764</v>
      </c>
      <c r="I74">
        <f t="shared" si="4"/>
        <v>14597.112620223808</v>
      </c>
      <c r="J74" s="28">
        <v>5.3999999999999999E-2</v>
      </c>
      <c r="K74">
        <f t="shared" si="5"/>
        <v>125869.74186413649</v>
      </c>
      <c r="M74">
        <f t="shared" si="6"/>
        <v>604.11909235289204</v>
      </c>
      <c r="N74" s="28">
        <v>5.3999999999999999E-2</v>
      </c>
      <c r="O74">
        <f t="shared" si="7"/>
        <v>10714.241848485846</v>
      </c>
      <c r="Q74">
        <f t="shared" si="8"/>
        <v>1150.0377722439152</v>
      </c>
      <c r="R74" s="28">
        <v>5.3999999999999999E-2</v>
      </c>
      <c r="S74">
        <f t="shared" si="9"/>
        <v>7048.7344029064243</v>
      </c>
      <c r="U74">
        <f t="shared" si="10"/>
        <v>827.40660056466368</v>
      </c>
      <c r="V74" s="48">
        <v>5.3999999999999999E-2</v>
      </c>
      <c r="W74">
        <f t="shared" si="11"/>
        <v>19451.871288809474</v>
      </c>
      <c r="Y74">
        <f t="shared" si="12"/>
        <v>226.18809846737986</v>
      </c>
      <c r="Z74" s="28">
        <v>5.3999999999999999E-2</v>
      </c>
      <c r="AA74">
        <f t="shared" si="13"/>
        <v>7071.6888941295119</v>
      </c>
    </row>
    <row r="75" spans="1:27" x14ac:dyDescent="0.2">
      <c r="A75">
        <f t="shared" si="0"/>
        <v>17097.403769855111</v>
      </c>
      <c r="B75" s="28">
        <v>5.5E-2</v>
      </c>
      <c r="C75">
        <f t="shared" si="1"/>
        <v>123071.33638310528</v>
      </c>
      <c r="E75">
        <f t="shared" si="2"/>
        <v>758.55158210972695</v>
      </c>
      <c r="F75" s="28">
        <v>5.5E-2</v>
      </c>
      <c r="G75">
        <f t="shared" si="3"/>
        <v>10020.839790117641</v>
      </c>
      <c r="I75">
        <f t="shared" si="4"/>
        <v>18567.630640263393</v>
      </c>
      <c r="J75" s="28">
        <v>5.5E-2</v>
      </c>
      <c r="K75">
        <f t="shared" si="5"/>
        <v>129840.25988417608</v>
      </c>
      <c r="M75">
        <f t="shared" si="6"/>
        <v>746.37496226462827</v>
      </c>
      <c r="N75" s="28">
        <v>5.5E-2</v>
      </c>
      <c r="O75">
        <f t="shared" si="7"/>
        <v>10571.98597857411</v>
      </c>
      <c r="Q75">
        <f t="shared" si="8"/>
        <v>1470.2268704082817</v>
      </c>
      <c r="R75" s="28">
        <v>5.5E-2</v>
      </c>
      <c r="S75">
        <f t="shared" si="9"/>
        <v>7368.9235010707907</v>
      </c>
      <c r="U75">
        <f t="shared" si="10"/>
        <v>1041.3093135229137</v>
      </c>
      <c r="V75" s="48">
        <v>5.5E-2</v>
      </c>
      <c r="W75">
        <f t="shared" si="11"/>
        <v>19665.774001767724</v>
      </c>
      <c r="Y75">
        <f t="shared" si="12"/>
        <v>281.14226593818148</v>
      </c>
      <c r="Z75" s="28">
        <v>5.5E-2</v>
      </c>
      <c r="AA75">
        <f t="shared" si="13"/>
        <v>7016.7347266587103</v>
      </c>
    </row>
    <row r="76" spans="1:27" x14ac:dyDescent="0.2">
      <c r="A76">
        <f t="shared" si="0"/>
        <v>20871.299209562087</v>
      </c>
      <c r="B76" s="28">
        <v>5.6000000000000001E-2</v>
      </c>
      <c r="C76">
        <f t="shared" si="1"/>
        <v>126845.23182281226</v>
      </c>
      <c r="E76">
        <f t="shared" si="2"/>
        <v>899.62383903652335</v>
      </c>
      <c r="F76" s="28">
        <v>5.6000000000000001E-2</v>
      </c>
      <c r="G76">
        <f t="shared" si="3"/>
        <v>9879.7675331908449</v>
      </c>
      <c r="I76">
        <f t="shared" si="4"/>
        <v>22675.935560977072</v>
      </c>
      <c r="J76" s="28">
        <v>5.6000000000000001E-2</v>
      </c>
      <c r="K76">
        <f t="shared" si="5"/>
        <v>133948.56480488976</v>
      </c>
      <c r="M76">
        <f t="shared" si="6"/>
        <v>885.32642578920604</v>
      </c>
      <c r="N76" s="28">
        <v>5.6000000000000001E-2</v>
      </c>
      <c r="O76">
        <f t="shared" si="7"/>
        <v>10433.034515049532</v>
      </c>
      <c r="Q76">
        <f t="shared" si="8"/>
        <v>1804.636351414978</v>
      </c>
      <c r="R76" s="28">
        <v>5.6000000000000001E-2</v>
      </c>
      <c r="S76">
        <f t="shared" si="9"/>
        <v>7703.332982077487</v>
      </c>
      <c r="U76">
        <f t="shared" si="10"/>
        <v>1258.116305720403</v>
      </c>
      <c r="V76" s="48">
        <v>5.6000000000000001E-2</v>
      </c>
      <c r="W76">
        <f t="shared" si="11"/>
        <v>19882.580993965214</v>
      </c>
      <c r="Y76">
        <f t="shared" si="12"/>
        <v>335.47605337510413</v>
      </c>
      <c r="Z76" s="28">
        <v>5.6000000000000001E-2</v>
      </c>
      <c r="AA76">
        <f t="shared" si="13"/>
        <v>6962.4009392217877</v>
      </c>
    </row>
    <row r="77" spans="1:27" x14ac:dyDescent="0.2">
      <c r="A77">
        <f t="shared" si="0"/>
        <v>24773.085566532332</v>
      </c>
      <c r="B77" s="28">
        <v>5.7000000000000002E-2</v>
      </c>
      <c r="C77">
        <f t="shared" si="1"/>
        <v>130747.01817978251</v>
      </c>
      <c r="E77">
        <f t="shared" si="2"/>
        <v>1037.3943284543839</v>
      </c>
      <c r="F77" s="28">
        <v>5.7000000000000002E-2</v>
      </c>
      <c r="G77">
        <f t="shared" si="3"/>
        <v>9741.9970437729844</v>
      </c>
      <c r="I77">
        <f t="shared" si="4"/>
        <v>26926.968972117422</v>
      </c>
      <c r="J77" s="28">
        <v>5.7000000000000002E-2</v>
      </c>
      <c r="K77">
        <f t="shared" si="5"/>
        <v>138199.59821603011</v>
      </c>
      <c r="M77">
        <f t="shared" si="6"/>
        <v>1021.0700655706951</v>
      </c>
      <c r="N77" s="28">
        <v>5.7000000000000002E-2</v>
      </c>
      <c r="O77">
        <f t="shared" si="7"/>
        <v>10297.290875268043</v>
      </c>
      <c r="Q77">
        <f t="shared" si="8"/>
        <v>2153.8834055850939</v>
      </c>
      <c r="R77" s="28">
        <v>5.7000000000000002E-2</v>
      </c>
      <c r="S77">
        <f t="shared" si="9"/>
        <v>8052.5800362476029</v>
      </c>
      <c r="U77">
        <f t="shared" si="10"/>
        <v>1477.8706497703824</v>
      </c>
      <c r="V77" s="48">
        <v>5.7000000000000002E-2</v>
      </c>
      <c r="W77">
        <f t="shared" si="11"/>
        <v>20102.335338015193</v>
      </c>
      <c r="Y77">
        <f t="shared" si="12"/>
        <v>389.19763244275509</v>
      </c>
      <c r="Z77" s="28">
        <v>5.7000000000000002E-2</v>
      </c>
      <c r="AA77">
        <f t="shared" si="13"/>
        <v>6908.6793601541367</v>
      </c>
    </row>
    <row r="78" spans="1:27" x14ac:dyDescent="0.2">
      <c r="A78">
        <f t="shared" si="0"/>
        <v>28807.240119852315</v>
      </c>
      <c r="B78" s="28">
        <v>5.8000000000000003E-2</v>
      </c>
      <c r="C78">
        <f t="shared" si="1"/>
        <v>134781.17273310249</v>
      </c>
      <c r="E78">
        <f t="shared" si="2"/>
        <v>1171.9606518673172</v>
      </c>
      <c r="F78" s="28">
        <v>5.8000000000000003E-2</v>
      </c>
      <c r="G78">
        <f t="shared" si="3"/>
        <v>9607.4307203600511</v>
      </c>
      <c r="I78">
        <f t="shared" si="4"/>
        <v>31325.851507709755</v>
      </c>
      <c r="J78" s="28">
        <v>5.8000000000000003E-2</v>
      </c>
      <c r="K78">
        <f t="shared" si="5"/>
        <v>142598.48075162244</v>
      </c>
      <c r="M78">
        <f t="shared" si="6"/>
        <v>1153.6992386978054</v>
      </c>
      <c r="N78" s="28">
        <v>5.8000000000000003E-2</v>
      </c>
      <c r="O78">
        <f t="shared" si="7"/>
        <v>10164.661702140933</v>
      </c>
      <c r="Q78">
        <f t="shared" si="8"/>
        <v>2518.6113878574361</v>
      </c>
      <c r="R78" s="28">
        <v>5.8000000000000003E-2</v>
      </c>
      <c r="S78">
        <f t="shared" si="9"/>
        <v>8417.3080185199451</v>
      </c>
      <c r="U78">
        <f t="shared" si="10"/>
        <v>1700.6160897741938</v>
      </c>
      <c r="V78" s="48">
        <v>5.8000000000000003E-2</v>
      </c>
      <c r="W78">
        <f t="shared" si="11"/>
        <v>20325.080778019004</v>
      </c>
      <c r="Y78">
        <f t="shared" si="12"/>
        <v>442.31505783786724</v>
      </c>
      <c r="Z78" s="28">
        <v>5.8000000000000003E-2</v>
      </c>
      <c r="AA78">
        <f t="shared" si="13"/>
        <v>6855.5619347590246</v>
      </c>
    </row>
    <row r="79" spans="1:27" x14ac:dyDescent="0.2">
      <c r="A79">
        <f t="shared" si="0"/>
        <v>32978.398425877545</v>
      </c>
      <c r="B79" s="28">
        <v>5.8999999999999997E-2</v>
      </c>
      <c r="C79">
        <f t="shared" si="1"/>
        <v>138952.33103912772</v>
      </c>
      <c r="E79">
        <f t="shared" si="2"/>
        <v>1303.4171074372898</v>
      </c>
      <c r="F79" s="28">
        <v>5.8999999999999997E-2</v>
      </c>
      <c r="G79">
        <f t="shared" si="3"/>
        <v>9475.9742647900785</v>
      </c>
      <c r="I79">
        <f t="shared" si="4"/>
        <v>35877.889326523538</v>
      </c>
      <c r="J79" s="28">
        <v>5.8999999999999997E-2</v>
      </c>
      <c r="K79">
        <f t="shared" si="5"/>
        <v>147150.51857043622</v>
      </c>
      <c r="M79">
        <f t="shared" si="6"/>
        <v>1283.3041944260458</v>
      </c>
      <c r="N79" s="28">
        <v>5.8999999999999997E-2</v>
      </c>
      <c r="O79">
        <f t="shared" si="7"/>
        <v>10035.056746412693</v>
      </c>
      <c r="Q79">
        <f t="shared" si="8"/>
        <v>2899.4909006460257</v>
      </c>
      <c r="R79" s="28">
        <v>5.8999999999999997E-2</v>
      </c>
      <c r="S79">
        <f t="shared" si="9"/>
        <v>8798.1875313085347</v>
      </c>
      <c r="U79">
        <f t="shared" si="10"/>
        <v>1926.3970521347765</v>
      </c>
      <c r="V79" s="48">
        <v>5.8999999999999997E-2</v>
      </c>
      <c r="W79">
        <f t="shared" si="11"/>
        <v>20550.861740379587</v>
      </c>
      <c r="Y79">
        <f t="shared" si="12"/>
        <v>494.83626905200981</v>
      </c>
      <c r="Z79" s="28">
        <v>5.8999999999999997E-2</v>
      </c>
      <c r="AA79">
        <f t="shared" si="13"/>
        <v>6803.040723544882</v>
      </c>
    </row>
    <row r="80" spans="1:27" x14ac:dyDescent="0.2">
      <c r="A80">
        <f t="shared" si="0"/>
        <v>37291.359904897734</v>
      </c>
      <c r="B80" s="28">
        <v>0.06</v>
      </c>
      <c r="C80">
        <f t="shared" si="1"/>
        <v>143265.29251814791</v>
      </c>
      <c r="E80">
        <f t="shared" si="2"/>
        <v>1431.8548122991579</v>
      </c>
      <c r="F80" s="28">
        <v>0.06</v>
      </c>
      <c r="G80">
        <f t="shared" si="3"/>
        <v>9347.5365599282104</v>
      </c>
      <c r="I80">
        <f t="shared" si="4"/>
        <v>40588.580825324098</v>
      </c>
      <c r="J80" s="28">
        <v>0.06</v>
      </c>
      <c r="K80">
        <f t="shared" si="5"/>
        <v>151861.21006923678</v>
      </c>
      <c r="M80">
        <f t="shared" si="6"/>
        <v>1409.9721873148355</v>
      </c>
      <c r="N80" s="28">
        <v>0.06</v>
      </c>
      <c r="O80">
        <f t="shared" si="7"/>
        <v>9908.3887535239028</v>
      </c>
      <c r="Q80">
        <f t="shared" si="8"/>
        <v>3297.2209204263654</v>
      </c>
      <c r="R80" s="28">
        <v>0.06</v>
      </c>
      <c r="S80">
        <f t="shared" si="9"/>
        <v>9195.9175510888745</v>
      </c>
      <c r="U80">
        <f t="shared" si="10"/>
        <v>2155.2586565484271</v>
      </c>
      <c r="V80" s="48">
        <v>0.06</v>
      </c>
      <c r="W80">
        <f t="shared" si="11"/>
        <v>20779.723344793238</v>
      </c>
      <c r="Y80">
        <f t="shared" si="12"/>
        <v>546.76909210681788</v>
      </c>
      <c r="Z80" s="28">
        <v>0.06</v>
      </c>
      <c r="AA80">
        <f t="shared" si="13"/>
        <v>6751.1079004900739</v>
      </c>
    </row>
    <row r="81" spans="1:27" x14ac:dyDescent="0.2">
      <c r="A81">
        <f t="shared" si="0"/>
        <v>41751.093623343811</v>
      </c>
      <c r="B81" s="28">
        <v>6.0999999999999999E-2</v>
      </c>
      <c r="C81">
        <f t="shared" si="1"/>
        <v>147725.02623659399</v>
      </c>
      <c r="E81">
        <f t="shared" si="2"/>
        <v>1557.361820039896</v>
      </c>
      <c r="F81" s="28">
        <v>6.0999999999999999E-2</v>
      </c>
      <c r="G81">
        <f t="shared" si="3"/>
        <v>9222.0295521874723</v>
      </c>
      <c r="I81">
        <f t="shared" si="4"/>
        <v>45463.623593113545</v>
      </c>
      <c r="J81" s="28">
        <v>6.0999999999999999E-2</v>
      </c>
      <c r="K81">
        <f t="shared" si="5"/>
        <v>156736.25283702623</v>
      </c>
      <c r="M81">
        <f t="shared" si="6"/>
        <v>1533.7875859678297</v>
      </c>
      <c r="N81" s="28">
        <v>6.0999999999999999E-2</v>
      </c>
      <c r="O81">
        <f t="shared" si="7"/>
        <v>9784.5733548709086</v>
      </c>
      <c r="Q81">
        <f t="shared" si="8"/>
        <v>3712.5299697697246</v>
      </c>
      <c r="R81" s="28">
        <v>6.0999999999999999E-2</v>
      </c>
      <c r="S81">
        <f t="shared" si="9"/>
        <v>9611.2266004322337</v>
      </c>
      <c r="U81">
        <f t="shared" si="10"/>
        <v>2387.2467271775931</v>
      </c>
      <c r="V81" s="48">
        <v>6.0999999999999999E-2</v>
      </c>
      <c r="W81">
        <f t="shared" si="11"/>
        <v>21011.711415422404</v>
      </c>
      <c r="Y81">
        <f t="shared" si="12"/>
        <v>598.12124126214439</v>
      </c>
      <c r="Z81" s="28">
        <v>6.0999999999999999E-2</v>
      </c>
      <c r="AA81">
        <f t="shared" si="13"/>
        <v>6699.7557513347474</v>
      </c>
    </row>
    <row r="82" spans="1:27" x14ac:dyDescent="0.2">
      <c r="A82">
        <f t="shared" si="0"/>
        <v>46362.744278343147</v>
      </c>
      <c r="B82" s="28">
        <v>6.2E-2</v>
      </c>
      <c r="C82">
        <f t="shared" si="1"/>
        <v>152336.67689159332</v>
      </c>
      <c r="E82">
        <f t="shared" si="2"/>
        <v>1680.0232335430646</v>
      </c>
      <c r="F82" s="28">
        <v>6.2E-2</v>
      </c>
      <c r="G82">
        <f t="shared" si="3"/>
        <v>9099.3681386843036</v>
      </c>
      <c r="I82">
        <f t="shared" si="4"/>
        <v>50508.921614959414</v>
      </c>
      <c r="J82" s="28">
        <v>6.2E-2</v>
      </c>
      <c r="K82">
        <f t="shared" si="5"/>
        <v>161781.5508588721</v>
      </c>
      <c r="M82">
        <f t="shared" si="6"/>
        <v>1654.8319775560067</v>
      </c>
      <c r="N82" s="28">
        <v>6.2E-2</v>
      </c>
      <c r="O82">
        <f t="shared" si="7"/>
        <v>9663.5289632827316</v>
      </c>
      <c r="Q82">
        <f t="shared" si="8"/>
        <v>4146.1773366162761</v>
      </c>
      <c r="R82" s="28">
        <v>6.2E-2</v>
      </c>
      <c r="S82">
        <f t="shared" si="9"/>
        <v>10044.873967278785</v>
      </c>
      <c r="U82">
        <f t="shared" si="10"/>
        <v>2622.4078040080094</v>
      </c>
      <c r="V82" s="48">
        <v>6.2E-2</v>
      </c>
      <c r="W82">
        <f t="shared" si="11"/>
        <v>21246.87249225282</v>
      </c>
      <c r="Y82">
        <f t="shared" si="12"/>
        <v>648.90032069758126</v>
      </c>
      <c r="Z82" s="28">
        <v>6.2E-2</v>
      </c>
      <c r="AA82">
        <f t="shared" si="13"/>
        <v>6648.9766718993105</v>
      </c>
    </row>
    <row r="83" spans="1:27" x14ac:dyDescent="0.2">
      <c r="A83">
        <f t="shared" si="0"/>
        <v>51131.63839156316</v>
      </c>
      <c r="B83" s="28">
        <v>6.3E-2</v>
      </c>
      <c r="C83">
        <f t="shared" si="1"/>
        <v>157105.57100481333</v>
      </c>
      <c r="E83">
        <f t="shared" si="2"/>
        <v>1799.9213133912763</v>
      </c>
      <c r="F83" s="28">
        <v>6.3E-2</v>
      </c>
      <c r="G83">
        <f t="shared" si="3"/>
        <v>8979.470058836092</v>
      </c>
      <c r="I83">
        <f t="shared" si="4"/>
        <v>55730.592734203863</v>
      </c>
      <c r="J83" s="28">
        <v>6.3E-2</v>
      </c>
      <c r="K83">
        <f t="shared" si="5"/>
        <v>167003.22197811655</v>
      </c>
      <c r="M83">
        <f t="shared" si="6"/>
        <v>1773.1842682959741</v>
      </c>
      <c r="N83" s="28">
        <v>6.3E-2</v>
      </c>
      <c r="O83">
        <f t="shared" si="7"/>
        <v>9545.1766725427642</v>
      </c>
      <c r="Q83">
        <f t="shared" si="8"/>
        <v>4598.9543426407308</v>
      </c>
      <c r="R83" s="28">
        <v>6.3E-2</v>
      </c>
      <c r="S83">
        <f t="shared" si="9"/>
        <v>10497.65097330324</v>
      </c>
      <c r="U83">
        <f t="shared" si="10"/>
        <v>2860.7891543930491</v>
      </c>
      <c r="V83" s="48">
        <v>6.3E-2</v>
      </c>
      <c r="W83">
        <f t="shared" si="11"/>
        <v>21485.25384263786</v>
      </c>
      <c r="Y83">
        <f t="shared" si="12"/>
        <v>699.11382616776973</v>
      </c>
      <c r="Z83" s="28">
        <v>6.3E-2</v>
      </c>
      <c r="AA83">
        <f t="shared" si="13"/>
        <v>6598.7631664291221</v>
      </c>
    </row>
    <row r="84" spans="1:27" x14ac:dyDescent="0.2">
      <c r="A84">
        <f t="shared" si="0"/>
        <v>56063.290719619559</v>
      </c>
      <c r="B84" s="28">
        <v>6.4000000000000001E-2</v>
      </c>
      <c r="C84">
        <f t="shared" si="1"/>
        <v>162037.22333286973</v>
      </c>
      <c r="E84">
        <f t="shared" si="2"/>
        <v>1917.1355820106055</v>
      </c>
      <c r="F84" s="28">
        <v>6.4000000000000001E-2</v>
      </c>
      <c r="G84">
        <f t="shared" si="3"/>
        <v>8862.2557902167628</v>
      </c>
      <c r="I84">
        <f t="shared" si="4"/>
        <v>61134.976382260691</v>
      </c>
      <c r="J84" s="28">
        <v>6.4000000000000001E-2</v>
      </c>
      <c r="K84">
        <f t="shared" si="5"/>
        <v>172407.60562617338</v>
      </c>
      <c r="M84">
        <f t="shared" si="6"/>
        <v>1888.9207800481017</v>
      </c>
      <c r="N84" s="28">
        <v>6.4000000000000001E-2</v>
      </c>
      <c r="O84">
        <f t="shared" si="7"/>
        <v>9429.4401607906366</v>
      </c>
      <c r="Q84">
        <f t="shared" si="8"/>
        <v>5071.6856626411536</v>
      </c>
      <c r="R84" s="28">
        <v>6.4000000000000001E-2</v>
      </c>
      <c r="S84">
        <f t="shared" si="9"/>
        <v>10970.382293303663</v>
      </c>
      <c r="U84">
        <f t="shared" si="10"/>
        <v>3102.4387847884973</v>
      </c>
      <c r="V84" s="48">
        <v>6.4000000000000001E-2</v>
      </c>
      <c r="W84">
        <f t="shared" si="11"/>
        <v>21726.903473033308</v>
      </c>
      <c r="Y84">
        <f t="shared" si="12"/>
        <v>748.76914663193293</v>
      </c>
      <c r="Z84" s="28">
        <v>6.4000000000000001E-2</v>
      </c>
      <c r="AA84">
        <f t="shared" si="13"/>
        <v>6549.1078459649589</v>
      </c>
    </row>
    <row r="85" spans="1:27" x14ac:dyDescent="0.2">
      <c r="A85">
        <f t="shared" si="0"/>
        <v>61163.410888470054</v>
      </c>
      <c r="B85" s="28">
        <v>6.5000000000000002E-2</v>
      </c>
      <c r="C85">
        <f t="shared" si="1"/>
        <v>167137.34350172023</v>
      </c>
      <c r="E85">
        <f t="shared" si="2"/>
        <v>2031.742923733309</v>
      </c>
      <c r="F85" s="28">
        <v>6.5000000000000002E-2</v>
      </c>
      <c r="G85">
        <f t="shared" si="3"/>
        <v>8747.6484484940593</v>
      </c>
      <c r="I85">
        <f t="shared" si="4"/>
        <v>66728.641585419347</v>
      </c>
      <c r="J85" s="28">
        <v>6.5000000000000002E-2</v>
      </c>
      <c r="K85">
        <f t="shared" si="5"/>
        <v>178001.27082933203</v>
      </c>
      <c r="M85">
        <f t="shared" si="6"/>
        <v>2002.1153431925668</v>
      </c>
      <c r="N85" s="28">
        <v>6.5000000000000002E-2</v>
      </c>
      <c r="O85">
        <f t="shared" si="7"/>
        <v>9316.2455976461715</v>
      </c>
      <c r="Q85">
        <f t="shared" si="8"/>
        <v>5565.2306969493056</v>
      </c>
      <c r="R85" s="28">
        <v>6.5000000000000002E-2</v>
      </c>
      <c r="S85">
        <f t="shared" si="9"/>
        <v>11463.927327611815</v>
      </c>
      <c r="U85">
        <f t="shared" si="10"/>
        <v>3347.4054526809778</v>
      </c>
      <c r="V85" s="48">
        <v>6.5000000000000002E-2</v>
      </c>
      <c r="W85">
        <f t="shared" si="11"/>
        <v>21971.870140925788</v>
      </c>
      <c r="Y85">
        <f t="shared" si="12"/>
        <v>797.87356585801626</v>
      </c>
      <c r="Z85" s="28">
        <v>6.5000000000000002E-2</v>
      </c>
      <c r="AA85">
        <f t="shared" si="13"/>
        <v>6500.0034267388755</v>
      </c>
    </row>
    <row r="86" spans="1:27" x14ac:dyDescent="0.2">
      <c r="A86">
        <f t="shared" ref="A86:A149" si="14">ABS($D$11-C86)</f>
        <v>66437.910259571057</v>
      </c>
      <c r="B86" s="28">
        <v>6.6000000000000003E-2</v>
      </c>
      <c r="C86">
        <f t="shared" ref="C86:C149" si="15">($B$4)*(((1+B86)^($B$6*$B$5))-1)/B86</f>
        <v>172411.84287282123</v>
      </c>
      <c r="E86">
        <f t="shared" ref="E86:E149" si="16">ABS($E$12-G86)</f>
        <v>2143.8176809473061</v>
      </c>
      <c r="F86" s="28">
        <v>6.6000000000000003E-2</v>
      </c>
      <c r="G86">
        <f t="shared" ref="G86:G149" si="17">$B$4*(((1-(1+F86)^(-$B$5*$B$6)))/F86)</f>
        <v>8635.5736912800621</v>
      </c>
      <c r="I86">
        <f t="shared" ref="I86:I149" si="18">ABS($F$11-K86)</f>
        <v>72518.395258514778</v>
      </c>
      <c r="J86" s="28">
        <v>6.6000000000000003E-2</v>
      </c>
      <c r="K86">
        <f t="shared" ref="K86:K149" si="19">($B$4*(1+J86)*(((1+J86)^($B$6*$B$5))-1))/J86</f>
        <v>183791.02450242746</v>
      </c>
      <c r="M86">
        <f t="shared" ref="M86:M149" si="20">ABS($G$12-O86)</f>
        <v>2112.8393859341923</v>
      </c>
      <c r="N86" s="28">
        <v>6.6000000000000003E-2</v>
      </c>
      <c r="O86">
        <f t="shared" ref="O86:O149" si="21">($B$4*(1+N86)*(1-((1+N86)^(-$B$6*$B$5))))/N86</f>
        <v>9205.5215549045461</v>
      </c>
      <c r="Q86">
        <f t="shared" ref="Q86:Q149" si="22">ABS($H$11-S86)</f>
        <v>6080.4849989436934</v>
      </c>
      <c r="R86" s="28">
        <v>6.6000000000000003E-2</v>
      </c>
      <c r="S86">
        <f t="shared" ref="S86:S149" si="23">$B$3*((1+R86)^($B$6*$B$5))</f>
        <v>11979.181629606202</v>
      </c>
      <c r="U86">
        <f t="shared" ref="U86:U149" si="24">ABS($I$11-W86)</f>
        <v>3595.7386787132273</v>
      </c>
      <c r="V86" s="48">
        <v>6.6000000000000003E-2</v>
      </c>
      <c r="W86">
        <f t="shared" ref="W86:W149" si="25">($B$4*(EXP(V86*$B$6)-1))/V86</f>
        <v>22220.203366958038</v>
      </c>
      <c r="Y86">
        <f t="shared" ref="Y86:Y149" si="26">ABS($I$12-AA86)</f>
        <v>846.43426400187764</v>
      </c>
      <c r="Z86" s="28">
        <v>6.6000000000000003E-2</v>
      </c>
      <c r="AA86">
        <f t="shared" ref="AA86:AA149" si="27">$B$4*(1-EXP(-Z86*$B$6))/Z86</f>
        <v>6451.4427285950142</v>
      </c>
    </row>
    <row r="87" spans="1:27" x14ac:dyDescent="0.2">
      <c r="A87">
        <f t="shared" si="14"/>
        <v>71892.909035731966</v>
      </c>
      <c r="B87" s="28">
        <v>6.7000000000000004E-2</v>
      </c>
      <c r="C87">
        <f t="shared" si="15"/>
        <v>177866.84164898214</v>
      </c>
      <c r="E87">
        <f t="shared" si="16"/>
        <v>2253.4317464938558</v>
      </c>
      <c r="F87" s="28">
        <v>6.7000000000000004E-2</v>
      </c>
      <c r="G87">
        <f t="shared" si="17"/>
        <v>8525.9596257335124</v>
      </c>
      <c r="I87">
        <f t="shared" si="18"/>
        <v>78511.290795551249</v>
      </c>
      <c r="J87" s="28">
        <v>6.7000000000000004E-2</v>
      </c>
      <c r="K87">
        <f t="shared" si="19"/>
        <v>189783.92003946393</v>
      </c>
      <c r="M87">
        <f t="shared" si="20"/>
        <v>2221.162020181082</v>
      </c>
      <c r="N87" s="28">
        <v>6.7000000000000004E-2</v>
      </c>
      <c r="O87">
        <f t="shared" si="21"/>
        <v>9097.1989206576563</v>
      </c>
      <c r="Q87">
        <f t="shared" si="22"/>
        <v>6618.3817598192945</v>
      </c>
      <c r="R87" s="28">
        <v>6.7000000000000004E-2</v>
      </c>
      <c r="S87">
        <f t="shared" si="23"/>
        <v>12517.078390481804</v>
      </c>
      <c r="U87">
        <f t="shared" si="24"/>
        <v>3847.4887590095677</v>
      </c>
      <c r="V87" s="48">
        <v>6.7000000000000004E-2</v>
      </c>
      <c r="W87">
        <f t="shared" si="25"/>
        <v>22471.953447254378</v>
      </c>
      <c r="Y87">
        <f t="shared" si="26"/>
        <v>894.45831916188763</v>
      </c>
      <c r="Z87" s="28">
        <v>6.7000000000000004E-2</v>
      </c>
      <c r="AA87">
        <f t="shared" si="27"/>
        <v>6403.4186734350042</v>
      </c>
    </row>
    <row r="88" spans="1:27" x14ac:dyDescent="0.2">
      <c r="A88">
        <f t="shared" si="14"/>
        <v>77534.743614979481</v>
      </c>
      <c r="B88" s="28">
        <v>6.8000000000000005E-2</v>
      </c>
      <c r="C88">
        <f t="shared" si="15"/>
        <v>183508.67622822965</v>
      </c>
      <c r="E88">
        <f t="shared" si="16"/>
        <v>2360.6546524676851</v>
      </c>
      <c r="F88" s="28">
        <v>6.8000000000000005E-2</v>
      </c>
      <c r="G88">
        <f t="shared" si="17"/>
        <v>8418.7367197596832</v>
      </c>
      <c r="I88">
        <f t="shared" si="18"/>
        <v>84714.636967836603</v>
      </c>
      <c r="J88" s="28">
        <v>6.8000000000000005E-2</v>
      </c>
      <c r="K88">
        <f t="shared" si="19"/>
        <v>195987.26621174929</v>
      </c>
      <c r="M88">
        <f t="shared" si="20"/>
        <v>2327.1501241353963</v>
      </c>
      <c r="N88" s="28">
        <v>6.8000000000000005E-2</v>
      </c>
      <c r="O88">
        <f t="shared" si="21"/>
        <v>8991.2108167033421</v>
      </c>
      <c r="Q88">
        <f t="shared" si="22"/>
        <v>7179.8933528571088</v>
      </c>
      <c r="R88" s="28">
        <v>6.8000000000000005E-2</v>
      </c>
      <c r="S88">
        <f t="shared" si="23"/>
        <v>13078.589983519618</v>
      </c>
      <c r="U88">
        <f t="shared" si="24"/>
        <v>4102.7067777049087</v>
      </c>
      <c r="V88" s="48">
        <v>6.8000000000000005E-2</v>
      </c>
      <c r="W88">
        <f t="shared" si="25"/>
        <v>22727.171465949719</v>
      </c>
      <c r="Y88">
        <f t="shared" si="26"/>
        <v>941.9527089093508</v>
      </c>
      <c r="Z88" s="28">
        <v>6.8000000000000005E-2</v>
      </c>
      <c r="AA88">
        <f t="shared" si="27"/>
        <v>6355.924283687541</v>
      </c>
    </row>
    <row r="89" spans="1:27" x14ac:dyDescent="0.2">
      <c r="A89">
        <f t="shared" si="14"/>
        <v>83369.974200915705</v>
      </c>
      <c r="B89" s="28">
        <v>6.9000000000000006E-2</v>
      </c>
      <c r="C89">
        <f t="shared" si="15"/>
        <v>189343.90681416588</v>
      </c>
      <c r="E89">
        <f t="shared" si="16"/>
        <v>2465.5536555674353</v>
      </c>
      <c r="F89" s="28">
        <v>6.9000000000000006E-2</v>
      </c>
      <c r="G89">
        <f t="shared" si="17"/>
        <v>8313.837716659933</v>
      </c>
      <c r="I89">
        <f t="shared" si="18"/>
        <v>91136.007140430607</v>
      </c>
      <c r="J89" s="28">
        <v>6.9000000000000006E-2</v>
      </c>
      <c r="K89">
        <f t="shared" si="19"/>
        <v>202408.63638434329</v>
      </c>
      <c r="M89">
        <f t="shared" si="20"/>
        <v>2430.8684217292703</v>
      </c>
      <c r="N89" s="28">
        <v>6.9000000000000006E-2</v>
      </c>
      <c r="O89">
        <f t="shared" si="21"/>
        <v>8887.492519109468</v>
      </c>
      <c r="Q89">
        <f t="shared" si="22"/>
        <v>7766.0329395149383</v>
      </c>
      <c r="R89" s="28">
        <v>6.9000000000000006E-2</v>
      </c>
      <c r="S89">
        <f t="shared" si="23"/>
        <v>13664.729570177447</v>
      </c>
      <c r="U89">
        <f t="shared" si="24"/>
        <v>4361.4446196807039</v>
      </c>
      <c r="V89" s="48">
        <v>6.9000000000000006E-2</v>
      </c>
      <c r="W89">
        <f t="shared" si="25"/>
        <v>22985.909307925514</v>
      </c>
      <c r="Y89">
        <f t="shared" si="26"/>
        <v>988.92431179515006</v>
      </c>
      <c r="Z89" s="28">
        <v>6.9000000000000006E-2</v>
      </c>
      <c r="AA89">
        <f t="shared" si="27"/>
        <v>6308.9526808017417</v>
      </c>
    </row>
    <row r="90" spans="1:27" x14ac:dyDescent="0.2">
      <c r="A90">
        <f t="shared" si="14"/>
        <v>89405.392678452641</v>
      </c>
      <c r="B90" s="28">
        <v>7.0000000000000007E-2</v>
      </c>
      <c r="C90">
        <f t="shared" si="15"/>
        <v>195379.32529170281</v>
      </c>
      <c r="E90">
        <f t="shared" si="16"/>
        <v>2568.1938191376958</v>
      </c>
      <c r="F90" s="28">
        <v>7.0000000000000007E-2</v>
      </c>
      <c r="G90">
        <f t="shared" si="17"/>
        <v>8211.1975530896725</v>
      </c>
      <c r="I90">
        <f t="shared" si="18"/>
        <v>97783.248818209322</v>
      </c>
      <c r="J90" s="28">
        <v>7.0000000000000007E-2</v>
      </c>
      <c r="K90">
        <f t="shared" si="19"/>
        <v>209055.87806212201</v>
      </c>
      <c r="M90">
        <f t="shared" si="20"/>
        <v>2532.37955903279</v>
      </c>
      <c r="N90" s="28">
        <v>7.0000000000000007E-2</v>
      </c>
      <c r="O90">
        <f t="shared" si="21"/>
        <v>8785.9813818059483</v>
      </c>
      <c r="Q90">
        <f t="shared" si="22"/>
        <v>8377.85613975669</v>
      </c>
      <c r="R90" s="28">
        <v>7.0000000000000007E-2</v>
      </c>
      <c r="S90">
        <f t="shared" si="23"/>
        <v>14276.552770419199</v>
      </c>
      <c r="U90">
        <f t="shared" si="24"/>
        <v>4623.7549835113387</v>
      </c>
      <c r="V90" s="48">
        <v>7.0000000000000007E-2</v>
      </c>
      <c r="W90">
        <f t="shared" si="25"/>
        <v>23248.219671756149</v>
      </c>
      <c r="Y90">
        <f t="shared" si="26"/>
        <v>1035.3799088329606</v>
      </c>
      <c r="Z90" s="28">
        <v>7.0000000000000007E-2</v>
      </c>
      <c r="AA90">
        <f t="shared" si="27"/>
        <v>6262.4970837639312</v>
      </c>
    </row>
    <row r="91" spans="1:27" x14ac:dyDescent="0.2">
      <c r="A91">
        <f t="shared" si="14"/>
        <v>95648.030763992152</v>
      </c>
      <c r="B91" s="28">
        <v>7.0999999999999994E-2</v>
      </c>
      <c r="C91">
        <f t="shared" si="15"/>
        <v>201621.96337724233</v>
      </c>
      <c r="E91">
        <f t="shared" si="16"/>
        <v>2668.6380920381089</v>
      </c>
      <c r="F91" s="28">
        <v>7.0999999999999994E-2</v>
      </c>
      <c r="G91">
        <f t="shared" si="17"/>
        <v>8110.7532801892594</v>
      </c>
      <c r="I91">
        <f t="shared" si="18"/>
        <v>104664.49353311384</v>
      </c>
      <c r="J91" s="28">
        <v>7.0999999999999994E-2</v>
      </c>
      <c r="K91">
        <f t="shared" si="19"/>
        <v>215937.12277702653</v>
      </c>
      <c r="M91">
        <f t="shared" si="20"/>
        <v>2631.7441777560416</v>
      </c>
      <c r="N91" s="28">
        <v>7.0999999999999994E-2</v>
      </c>
      <c r="O91">
        <f t="shared" si="21"/>
        <v>8686.6167630826967</v>
      </c>
      <c r="Q91">
        <f t="shared" si="22"/>
        <v>9016.4627691216938</v>
      </c>
      <c r="R91" s="28">
        <v>7.0999999999999994E-2</v>
      </c>
      <c r="S91">
        <f t="shared" si="23"/>
        <v>14915.159399784203</v>
      </c>
      <c r="U91">
        <f t="shared" si="24"/>
        <v>4889.6913946244604</v>
      </c>
      <c r="V91" s="48">
        <v>7.0999999999999994E-2</v>
      </c>
      <c r="W91">
        <f t="shared" si="25"/>
        <v>23514.156082869271</v>
      </c>
      <c r="Y91">
        <f t="shared" si="26"/>
        <v>1081.3261849594246</v>
      </c>
      <c r="Z91" s="28">
        <v>7.0999999999999994E-2</v>
      </c>
      <c r="AA91">
        <f t="shared" si="27"/>
        <v>6216.5508076374672</v>
      </c>
    </row>
    <row r="92" spans="1:27" x14ac:dyDescent="0.2">
      <c r="A92">
        <f t="shared" si="14"/>
        <v>102105.16843954618</v>
      </c>
      <c r="B92" s="28">
        <v>7.1999999999999995E-2</v>
      </c>
      <c r="C92">
        <f t="shared" si="15"/>
        <v>208079.10105279635</v>
      </c>
      <c r="E92">
        <f t="shared" si="16"/>
        <v>2766.9473844689728</v>
      </c>
      <c r="F92" s="28">
        <v>7.1999999999999995E-2</v>
      </c>
      <c r="G92">
        <f t="shared" si="17"/>
        <v>8012.4439877583955</v>
      </c>
      <c r="I92">
        <f t="shared" si="18"/>
        <v>111788.16708468502</v>
      </c>
      <c r="J92" s="28">
        <v>7.1999999999999995E-2</v>
      </c>
      <c r="K92">
        <f t="shared" si="19"/>
        <v>223060.7963285977</v>
      </c>
      <c r="M92">
        <f t="shared" si="20"/>
        <v>2729.0209859617371</v>
      </c>
      <c r="N92" s="28">
        <v>7.1999999999999995E-2</v>
      </c>
      <c r="O92">
        <f t="shared" si="21"/>
        <v>8589.3399548770012</v>
      </c>
      <c r="Q92">
        <f t="shared" si="22"/>
        <v>9682.9986451388268</v>
      </c>
      <c r="R92" s="28">
        <v>7.1999999999999995E-2</v>
      </c>
      <c r="S92">
        <f t="shared" si="23"/>
        <v>15581.695275801336</v>
      </c>
      <c r="U92">
        <f t="shared" si="24"/>
        <v>5159.3082186789252</v>
      </c>
      <c r="V92" s="48">
        <v>7.1999999999999995E-2</v>
      </c>
      <c r="W92">
        <f t="shared" si="25"/>
        <v>23783.772906923736</v>
      </c>
      <c r="Y92">
        <f t="shared" si="26"/>
        <v>1126.7697304716667</v>
      </c>
      <c r="Z92" s="28">
        <v>7.1999999999999995E-2</v>
      </c>
      <c r="AA92">
        <f t="shared" si="27"/>
        <v>6171.1072621252251</v>
      </c>
    </row>
    <row r="93" spans="1:27" x14ac:dyDescent="0.2">
      <c r="A93">
        <f t="shared" si="14"/>
        <v>108784.34268048922</v>
      </c>
      <c r="B93" s="28">
        <v>7.2999999999999995E-2</v>
      </c>
      <c r="C93">
        <f t="shared" si="15"/>
        <v>214758.2752937394</v>
      </c>
      <c r="E93">
        <f t="shared" si="16"/>
        <v>2863.1806408774983</v>
      </c>
      <c r="F93" s="28">
        <v>7.2999999999999995E-2</v>
      </c>
      <c r="G93">
        <f t="shared" si="17"/>
        <v>7916.21073134987</v>
      </c>
      <c r="I93">
        <f t="shared" si="18"/>
        <v>119163.0001462697</v>
      </c>
      <c r="J93" s="28">
        <v>7.2999999999999995E-2</v>
      </c>
      <c r="K93">
        <f t="shared" si="19"/>
        <v>230435.62939018238</v>
      </c>
      <c r="M93">
        <f t="shared" si="20"/>
        <v>2824.2668261003291</v>
      </c>
      <c r="N93" s="28">
        <v>7.2999999999999995E-2</v>
      </c>
      <c r="O93">
        <f t="shared" si="21"/>
        <v>8494.0941147384092</v>
      </c>
      <c r="Q93">
        <f t="shared" si="22"/>
        <v>10378.657465780467</v>
      </c>
      <c r="R93" s="28">
        <v>7.2999999999999995E-2</v>
      </c>
      <c r="S93">
        <f t="shared" si="23"/>
        <v>16277.354096442976</v>
      </c>
      <c r="U93">
        <f t="shared" si="24"/>
        <v>5432.6606751638865</v>
      </c>
      <c r="V93" s="48">
        <v>7.2999999999999995E-2</v>
      </c>
      <c r="W93">
        <f t="shared" si="25"/>
        <v>24057.125363408697</v>
      </c>
      <c r="Y93">
        <f t="shared" si="26"/>
        <v>1171.7170424424721</v>
      </c>
      <c r="Z93" s="28">
        <v>7.2999999999999995E-2</v>
      </c>
      <c r="AA93">
        <f t="shared" si="27"/>
        <v>6126.1599501544197</v>
      </c>
    </row>
    <row r="94" spans="1:27" x14ac:dyDescent="0.2">
      <c r="A94">
        <f t="shared" si="14"/>
        <v>115693.35648708952</v>
      </c>
      <c r="B94" s="28">
        <v>7.3999999999999996E-2</v>
      </c>
      <c r="C94">
        <f t="shared" si="15"/>
        <v>221667.28910033969</v>
      </c>
      <c r="E94">
        <f t="shared" si="16"/>
        <v>2957.3949100633599</v>
      </c>
      <c r="F94" s="28">
        <v>7.3999999999999996E-2</v>
      </c>
      <c r="G94">
        <f t="shared" si="17"/>
        <v>7821.9964621640083</v>
      </c>
      <c r="I94">
        <f t="shared" si="18"/>
        <v>126798.03924985214</v>
      </c>
      <c r="J94" s="28">
        <v>7.3999999999999996E-2</v>
      </c>
      <c r="K94">
        <f t="shared" si="19"/>
        <v>238070.66849376482</v>
      </c>
      <c r="M94">
        <f t="shared" si="20"/>
        <v>2917.5367404745921</v>
      </c>
      <c r="N94" s="28">
        <v>7.3999999999999996E-2</v>
      </c>
      <c r="O94">
        <f t="shared" si="21"/>
        <v>8400.8242003641462</v>
      </c>
      <c r="Q94">
        <f t="shared" si="22"/>
        <v>11104.682762762628</v>
      </c>
      <c r="R94" s="28">
        <v>7.3999999999999996E-2</v>
      </c>
      <c r="S94">
        <f t="shared" si="23"/>
        <v>17003.379393425137</v>
      </c>
      <c r="U94">
        <f t="shared" si="24"/>
        <v>5709.804851222907</v>
      </c>
      <c r="V94" s="48">
        <v>7.3999999999999996E-2</v>
      </c>
      <c r="W94">
        <f t="shared" si="25"/>
        <v>24334.269539467718</v>
      </c>
      <c r="Y94">
        <f t="shared" si="26"/>
        <v>1216.1745261135366</v>
      </c>
      <c r="Z94" s="28">
        <v>7.3999999999999996E-2</v>
      </c>
      <c r="AA94">
        <f t="shared" si="27"/>
        <v>6081.7024664833552</v>
      </c>
    </row>
    <row r="95" spans="1:27" x14ac:dyDescent="0.2">
      <c r="A95">
        <f t="shared" si="14"/>
        <v>122840.28823017697</v>
      </c>
      <c r="B95" s="28">
        <v>7.4999999999999997E-2</v>
      </c>
      <c r="C95">
        <f t="shared" si="15"/>
        <v>228814.22084342715</v>
      </c>
      <c r="E95">
        <f t="shared" si="16"/>
        <v>3049.6454125973269</v>
      </c>
      <c r="F95" s="28">
        <v>7.4999999999999997E-2</v>
      </c>
      <c r="G95">
        <f t="shared" si="17"/>
        <v>7729.7459596300414</v>
      </c>
      <c r="I95">
        <f t="shared" si="18"/>
        <v>134702.65816277149</v>
      </c>
      <c r="J95" s="28">
        <v>7.4999999999999997E-2</v>
      </c>
      <c r="K95">
        <f t="shared" si="19"/>
        <v>245975.28740668419</v>
      </c>
      <c r="M95">
        <f t="shared" si="20"/>
        <v>3008.8840342364456</v>
      </c>
      <c r="N95" s="28">
        <v>7.4999999999999997E-2</v>
      </c>
      <c r="O95">
        <f t="shared" si="21"/>
        <v>8309.4769066022927</v>
      </c>
      <c r="Q95">
        <f t="shared" si="22"/>
        <v>11862.369932594525</v>
      </c>
      <c r="R95" s="28">
        <v>7.4999999999999997E-2</v>
      </c>
      <c r="S95">
        <f t="shared" si="23"/>
        <v>17761.066563257034</v>
      </c>
      <c r="U95">
        <f t="shared" si="24"/>
        <v>5990.7977157066744</v>
      </c>
      <c r="V95" s="48">
        <v>7.4999999999999997E-2</v>
      </c>
      <c r="W95">
        <f t="shared" si="25"/>
        <v>24615.262403951485</v>
      </c>
      <c r="Y95">
        <f t="shared" si="26"/>
        <v>1260.1484962670911</v>
      </c>
      <c r="Z95" s="28">
        <v>7.4999999999999997E-2</v>
      </c>
      <c r="AA95">
        <f t="shared" si="27"/>
        <v>6037.7284963298007</v>
      </c>
    </row>
    <row r="96" spans="1:27" x14ac:dyDescent="0.2">
      <c r="A96">
        <f t="shared" si="14"/>
        <v>130233.50132179171</v>
      </c>
      <c r="B96" s="28">
        <v>7.5999999999999998E-2</v>
      </c>
      <c r="C96">
        <f t="shared" si="15"/>
        <v>236207.43393504189</v>
      </c>
      <c r="E96">
        <f t="shared" si="16"/>
        <v>3139.9856056617627</v>
      </c>
      <c r="F96" s="28">
        <v>7.5999999999999998E-2</v>
      </c>
      <c r="G96">
        <f t="shared" si="17"/>
        <v>7639.4057665656055</v>
      </c>
      <c r="I96">
        <f t="shared" si="18"/>
        <v>142886.56967019237</v>
      </c>
      <c r="J96" s="28">
        <v>7.5999999999999998E-2</v>
      </c>
      <c r="K96">
        <f t="shared" si="19"/>
        <v>254159.19891410507</v>
      </c>
      <c r="M96">
        <f t="shared" si="20"/>
        <v>3098.360336014146</v>
      </c>
      <c r="N96" s="28">
        <v>7.5999999999999998E-2</v>
      </c>
      <c r="O96">
        <f t="shared" si="21"/>
        <v>8220.0006048245923</v>
      </c>
      <c r="Q96">
        <f t="shared" si="22"/>
        <v>12653.068348400675</v>
      </c>
      <c r="R96" s="28">
        <v>7.5999999999999998E-2</v>
      </c>
      <c r="S96">
        <f t="shared" si="23"/>
        <v>18551.764979063184</v>
      </c>
      <c r="U96">
        <f t="shared" si="24"/>
        <v>6275.6971334583759</v>
      </c>
      <c r="V96" s="48">
        <v>7.5999999999999998E-2</v>
      </c>
      <c r="W96">
        <f t="shared" si="25"/>
        <v>24900.161821703186</v>
      </c>
      <c r="Y96">
        <f t="shared" si="26"/>
        <v>1303.6451785762674</v>
      </c>
      <c r="Z96" s="28">
        <v>7.5999999999999998E-2</v>
      </c>
      <c r="AA96">
        <f t="shared" si="27"/>
        <v>5994.2318140206244</v>
      </c>
    </row>
    <row r="97" spans="1:27" x14ac:dyDescent="0.2">
      <c r="A97">
        <f t="shared" si="14"/>
        <v>137881.65422188194</v>
      </c>
      <c r="B97" s="28">
        <v>7.6999999999999999E-2</v>
      </c>
      <c r="C97">
        <f t="shared" si="15"/>
        <v>243855.5868351321</v>
      </c>
      <c r="E97">
        <f t="shared" si="16"/>
        <v>3228.4672454173215</v>
      </c>
      <c r="F97" s="28">
        <v>7.6999999999999999E-2</v>
      </c>
      <c r="G97">
        <f t="shared" si="17"/>
        <v>7550.9241268100468</v>
      </c>
      <c r="I97">
        <f t="shared" si="18"/>
        <v>151359.83777752455</v>
      </c>
      <c r="J97" s="28">
        <v>7.6999999999999999E-2</v>
      </c>
      <c r="K97">
        <f t="shared" si="19"/>
        <v>262632.46702143725</v>
      </c>
      <c r="M97">
        <f t="shared" si="20"/>
        <v>3186.0156562643187</v>
      </c>
      <c r="N97" s="28">
        <v>7.6999999999999999E-2</v>
      </c>
      <c r="O97">
        <f t="shared" si="21"/>
        <v>8132.3452845744196</v>
      </c>
      <c r="Q97">
        <f t="shared" si="22"/>
        <v>13478.183555642661</v>
      </c>
      <c r="R97" s="28">
        <v>7.6999999999999999E-2</v>
      </c>
      <c r="S97">
        <f t="shared" si="23"/>
        <v>19376.88018630517</v>
      </c>
      <c r="U97">
        <f t="shared" si="24"/>
        <v>6564.561879835539</v>
      </c>
      <c r="V97" s="48">
        <v>7.6999999999999999E-2</v>
      </c>
      <c r="W97">
        <f t="shared" si="25"/>
        <v>25189.02656808035</v>
      </c>
      <c r="Y97">
        <f t="shared" si="26"/>
        <v>1346.6707109345452</v>
      </c>
      <c r="Z97" s="28">
        <v>7.6999999999999999E-2</v>
      </c>
      <c r="AA97">
        <f t="shared" si="27"/>
        <v>5951.2062816623466</v>
      </c>
    </row>
    <row r="98" spans="1:27" x14ac:dyDescent="0.2">
      <c r="A98">
        <f t="shared" si="14"/>
        <v>145793.71079263632</v>
      </c>
      <c r="B98" s="28">
        <v>7.8E-2</v>
      </c>
      <c r="C98">
        <f t="shared" si="15"/>
        <v>251767.64340588651</v>
      </c>
      <c r="E98">
        <f t="shared" si="16"/>
        <v>3315.1404469956169</v>
      </c>
      <c r="F98" s="28">
        <v>7.8E-2</v>
      </c>
      <c r="G98">
        <f t="shared" si="17"/>
        <v>7464.2509252317514</v>
      </c>
      <c r="I98">
        <f t="shared" si="18"/>
        <v>160132.89034763299</v>
      </c>
      <c r="J98" s="28">
        <v>7.8E-2</v>
      </c>
      <c r="K98">
        <f t="shared" si="19"/>
        <v>271405.51959154569</v>
      </c>
      <c r="M98">
        <f t="shared" si="20"/>
        <v>3271.8984434389104</v>
      </c>
      <c r="N98" s="28">
        <v>7.8E-2</v>
      </c>
      <c r="O98">
        <f t="shared" si="21"/>
        <v>8046.462497399828</v>
      </c>
      <c r="Q98">
        <f t="shared" si="22"/>
        <v>14339.179554996639</v>
      </c>
      <c r="R98" s="28">
        <v>7.8E-2</v>
      </c>
      <c r="S98">
        <f t="shared" si="23"/>
        <v>20237.876185659148</v>
      </c>
      <c r="U98">
        <f t="shared" si="24"/>
        <v>6857.4516554722213</v>
      </c>
      <c r="V98" s="48">
        <v>7.8E-2</v>
      </c>
      <c r="W98">
        <f t="shared" si="25"/>
        <v>25481.916343717032</v>
      </c>
      <c r="Y98">
        <f t="shared" si="26"/>
        <v>1389.2311447646016</v>
      </c>
      <c r="Z98" s="28">
        <v>7.8E-2</v>
      </c>
      <c r="AA98">
        <f t="shared" si="27"/>
        <v>5908.6458478322902</v>
      </c>
    </row>
    <row r="99" spans="1:27" x14ac:dyDescent="0.2">
      <c r="A99">
        <f t="shared" si="14"/>
        <v>153978.95101227914</v>
      </c>
      <c r="B99" s="28">
        <v>7.9000000000000001E-2</v>
      </c>
      <c r="C99">
        <f t="shared" si="15"/>
        <v>259952.88362552933</v>
      </c>
      <c r="E99">
        <f t="shared" si="16"/>
        <v>3400.0537422135476</v>
      </c>
      <c r="F99" s="28">
        <v>7.9000000000000001E-2</v>
      </c>
      <c r="G99">
        <f t="shared" si="17"/>
        <v>7379.3376300138207</v>
      </c>
      <c r="I99">
        <f t="shared" si="18"/>
        <v>169216.53218803345</v>
      </c>
      <c r="J99" s="28">
        <v>7.9000000000000001E-2</v>
      </c>
      <c r="K99">
        <f t="shared" si="19"/>
        <v>280489.16143194615</v>
      </c>
      <c r="M99">
        <f t="shared" si="20"/>
        <v>3356.0556380538255</v>
      </c>
      <c r="N99" s="28">
        <v>7.9000000000000001E-2</v>
      </c>
      <c r="O99">
        <f t="shared" si="21"/>
        <v>7962.3053027849128</v>
      </c>
      <c r="Q99">
        <f t="shared" si="22"/>
        <v>15237.581175754307</v>
      </c>
      <c r="R99" s="28">
        <v>7.9000000000000001E-2</v>
      </c>
      <c r="S99">
        <f t="shared" si="23"/>
        <v>21136.277806416816</v>
      </c>
      <c r="U99">
        <f t="shared" si="24"/>
        <v>7154.427101285859</v>
      </c>
      <c r="V99" s="48">
        <v>7.9000000000000001E-2</v>
      </c>
      <c r="W99">
        <f t="shared" si="25"/>
        <v>25778.891789530669</v>
      </c>
      <c r="Y99">
        <f t="shared" si="26"/>
        <v>1431.3324463069011</v>
      </c>
      <c r="Z99" s="28">
        <v>7.9000000000000001E-2</v>
      </c>
      <c r="AA99">
        <f t="shared" si="27"/>
        <v>5866.5445462899906</v>
      </c>
    </row>
    <row r="100" spans="1:27" x14ac:dyDescent="0.2">
      <c r="A100">
        <f t="shared" si="14"/>
        <v>162446.98206070752</v>
      </c>
      <c r="B100" s="28">
        <v>0.08</v>
      </c>
      <c r="C100">
        <f t="shared" si="15"/>
        <v>268420.91467395768</v>
      </c>
      <c r="E100">
        <f t="shared" si="16"/>
        <v>3483.2541351008094</v>
      </c>
      <c r="F100" s="28">
        <v>0.08</v>
      </c>
      <c r="G100">
        <f t="shared" si="17"/>
        <v>7296.1372371265588</v>
      </c>
      <c r="I100">
        <f t="shared" si="18"/>
        <v>178621.95860396163</v>
      </c>
      <c r="J100" s="28">
        <v>0.08</v>
      </c>
      <c r="K100">
        <f t="shared" si="19"/>
        <v>289894.58784787433</v>
      </c>
      <c r="M100">
        <f t="shared" si="20"/>
        <v>3438.5327247420546</v>
      </c>
      <c r="N100" s="28">
        <v>0.08</v>
      </c>
      <c r="O100">
        <f t="shared" si="21"/>
        <v>7879.8282160966837</v>
      </c>
      <c r="Q100">
        <f t="shared" si="22"/>
        <v>16174.976543254108</v>
      </c>
      <c r="R100" s="28">
        <v>0.08</v>
      </c>
      <c r="S100">
        <f t="shared" si="23"/>
        <v>22073.673173916617</v>
      </c>
      <c r="U100">
        <f t="shared" si="24"/>
        <v>7455.5498137325703</v>
      </c>
      <c r="V100" s="48">
        <v>0.08</v>
      </c>
      <c r="W100">
        <f t="shared" si="25"/>
        <v>26080.014501977381</v>
      </c>
      <c r="Y100">
        <f t="shared" si="26"/>
        <v>1472.9804978883412</v>
      </c>
      <c r="Z100" s="28">
        <v>0.08</v>
      </c>
      <c r="AA100">
        <f t="shared" si="27"/>
        <v>5824.8964947085506</v>
      </c>
    </row>
    <row r="101" spans="1:27" x14ac:dyDescent="0.2">
      <c r="A101">
        <f t="shared" si="14"/>
        <v>171207.74978960684</v>
      </c>
      <c r="B101" s="28">
        <v>8.1000000000000003E-2</v>
      </c>
      <c r="C101">
        <f t="shared" si="15"/>
        <v>277181.682402857</v>
      </c>
      <c r="E101">
        <f t="shared" si="16"/>
        <v>3564.7871553284094</v>
      </c>
      <c r="F101" s="28">
        <v>8.1000000000000003E-2</v>
      </c>
      <c r="G101">
        <f t="shared" si="17"/>
        <v>7214.6042168989588</v>
      </c>
      <c r="I101">
        <f t="shared" si="18"/>
        <v>188360.76943357568</v>
      </c>
      <c r="J101" s="28">
        <v>8.1000000000000003E-2</v>
      </c>
      <c r="K101">
        <f t="shared" si="19"/>
        <v>299633.39867748838</v>
      </c>
      <c r="M101">
        <f t="shared" si="20"/>
        <v>3519.3737823709635</v>
      </c>
      <c r="N101" s="28">
        <v>8.1000000000000003E-2</v>
      </c>
      <c r="O101">
        <f t="shared" si="21"/>
        <v>7798.9871584677749</v>
      </c>
      <c r="Q101">
        <f t="shared" si="22"/>
        <v>17153.01964396891</v>
      </c>
      <c r="R101" s="28">
        <v>8.1000000000000003E-2</v>
      </c>
      <c r="S101">
        <f t="shared" si="23"/>
        <v>23051.716274631417</v>
      </c>
      <c r="U101">
        <f t="shared" si="24"/>
        <v>7760.8823603153505</v>
      </c>
      <c r="V101" s="48">
        <v>8.1000000000000003E-2</v>
      </c>
      <c r="W101">
        <f t="shared" si="25"/>
        <v>26385.347048560161</v>
      </c>
      <c r="Y101">
        <f t="shared" si="26"/>
        <v>1514.1810991712791</v>
      </c>
      <c r="Z101" s="28">
        <v>8.1000000000000003E-2</v>
      </c>
      <c r="AA101">
        <f t="shared" si="27"/>
        <v>5783.6958934256127</v>
      </c>
    </row>
    <row r="102" spans="1:27" x14ac:dyDescent="0.2">
      <c r="A102">
        <f t="shared" si="14"/>
        <v>180271.55059026985</v>
      </c>
      <c r="B102" s="28">
        <v>8.2000000000000003E-2</v>
      </c>
      <c r="C102">
        <f t="shared" si="15"/>
        <v>286245.48320352001</v>
      </c>
      <c r="E102">
        <f t="shared" si="16"/>
        <v>3644.6969096221374</v>
      </c>
      <c r="F102" s="28">
        <v>8.2000000000000003E-2</v>
      </c>
      <c r="G102">
        <f t="shared" si="17"/>
        <v>7134.6944626052309</v>
      </c>
      <c r="I102">
        <f t="shared" si="18"/>
        <v>198444.983582296</v>
      </c>
      <c r="J102" s="28">
        <v>8.2000000000000003E-2</v>
      </c>
      <c r="K102">
        <f t="shared" si="19"/>
        <v>309717.6128262087</v>
      </c>
      <c r="M102">
        <f t="shared" si="20"/>
        <v>3598.6215322998769</v>
      </c>
      <c r="N102" s="28">
        <v>8.2000000000000003E-2</v>
      </c>
      <c r="O102">
        <f t="shared" si="21"/>
        <v>7719.7394085388614</v>
      </c>
      <c r="Q102">
        <f t="shared" si="22"/>
        <v>18173.43299202613</v>
      </c>
      <c r="R102" s="28">
        <v>8.2000000000000003E-2</v>
      </c>
      <c r="S102">
        <f t="shared" si="23"/>
        <v>24072.129622688641</v>
      </c>
      <c r="U102">
        <f t="shared" si="24"/>
        <v>8070.4882953493143</v>
      </c>
      <c r="V102" s="48">
        <v>8.2000000000000003E-2</v>
      </c>
      <c r="W102">
        <f t="shared" si="25"/>
        <v>26694.952983594125</v>
      </c>
      <c r="Y102">
        <f t="shared" si="26"/>
        <v>1554.9399683832398</v>
      </c>
      <c r="Z102" s="28">
        <v>8.2000000000000003E-2</v>
      </c>
      <c r="AA102">
        <f t="shared" si="27"/>
        <v>5742.937024213652</v>
      </c>
    </row>
    <row r="103" spans="1:27" x14ac:dyDescent="0.2">
      <c r="A103">
        <f t="shared" si="14"/>
        <v>189649.04367262078</v>
      </c>
      <c r="B103" s="28">
        <v>8.3000000000000004E-2</v>
      </c>
      <c r="C103">
        <f t="shared" si="15"/>
        <v>295622.97628587094</v>
      </c>
      <c r="E103">
        <f t="shared" si="16"/>
        <v>3723.0261312416169</v>
      </c>
      <c r="F103" s="28">
        <v>8.3000000000000004E-2</v>
      </c>
      <c r="G103">
        <f t="shared" si="17"/>
        <v>7056.3652409857514</v>
      </c>
      <c r="I103">
        <f t="shared" si="18"/>
        <v>208887.05407368555</v>
      </c>
      <c r="J103" s="28">
        <v>8.3000000000000004E-2</v>
      </c>
      <c r="K103">
        <f t="shared" si="19"/>
        <v>320159.68331759825</v>
      </c>
      <c r="M103">
        <f t="shared" si="20"/>
        <v>3676.3173848511697</v>
      </c>
      <c r="N103" s="28">
        <v>8.3000000000000004E-2</v>
      </c>
      <c r="O103">
        <f t="shared" si="21"/>
        <v>7642.0435559875687</v>
      </c>
      <c r="Q103">
        <f t="shared" si="22"/>
        <v>19238.010401064785</v>
      </c>
      <c r="R103" s="28">
        <v>8.3000000000000004E-2</v>
      </c>
      <c r="S103">
        <f t="shared" si="23"/>
        <v>25136.707031727292</v>
      </c>
      <c r="U103">
        <f t="shared" si="24"/>
        <v>8384.4321759882805</v>
      </c>
      <c r="V103" s="48">
        <v>8.3000000000000004E-2</v>
      </c>
      <c r="W103">
        <f t="shared" si="25"/>
        <v>27008.896864233091</v>
      </c>
      <c r="Y103">
        <f t="shared" si="26"/>
        <v>1595.2627435276208</v>
      </c>
      <c r="Z103" s="28">
        <v>8.3000000000000004E-2</v>
      </c>
      <c r="AA103">
        <f t="shared" si="27"/>
        <v>5702.614249069271</v>
      </c>
    </row>
    <row r="104" spans="1:27" x14ac:dyDescent="0.2">
      <c r="A104">
        <f t="shared" si="14"/>
        <v>199351.26376957272</v>
      </c>
      <c r="B104" s="28">
        <v>8.4000000000000005E-2</v>
      </c>
      <c r="C104">
        <f t="shared" si="15"/>
        <v>305325.19638282288</v>
      </c>
      <c r="E104">
        <f t="shared" si="16"/>
        <v>3799.8162276019975</v>
      </c>
      <c r="F104" s="28">
        <v>8.4000000000000005E-2</v>
      </c>
      <c r="G104">
        <f t="shared" si="17"/>
        <v>6979.5751446253707</v>
      </c>
      <c r="I104">
        <f t="shared" si="18"/>
        <v>219699.88363506732</v>
      </c>
      <c r="J104" s="28">
        <v>8.4000000000000005E-2</v>
      </c>
      <c r="K104">
        <f t="shared" si="19"/>
        <v>330972.51287898002</v>
      </c>
      <c r="M104">
        <f t="shared" si="20"/>
        <v>3752.5014840648364</v>
      </c>
      <c r="N104" s="28">
        <v>8.4000000000000005E-2</v>
      </c>
      <c r="O104">
        <f t="shared" si="21"/>
        <v>7565.8594567739019</v>
      </c>
      <c r="Q104">
        <f t="shared" si="22"/>
        <v>20348.619865494613</v>
      </c>
      <c r="R104" s="28">
        <v>8.4000000000000005E-2</v>
      </c>
      <c r="S104">
        <f t="shared" si="23"/>
        <v>26247.316496157124</v>
      </c>
      <c r="U104">
        <f t="shared" si="24"/>
        <v>8702.7795785171729</v>
      </c>
      <c r="V104" s="48">
        <v>8.4000000000000005E-2</v>
      </c>
      <c r="W104">
        <f t="shared" si="25"/>
        <v>27327.244266761983</v>
      </c>
      <c r="Y104">
        <f t="shared" si="26"/>
        <v>1635.1549835756969</v>
      </c>
      <c r="Z104" s="28">
        <v>8.4000000000000005E-2</v>
      </c>
      <c r="AA104">
        <f t="shared" si="27"/>
        <v>5662.7220090211949</v>
      </c>
    </row>
    <row r="105" spans="1:27" x14ac:dyDescent="0.2">
      <c r="A105">
        <f t="shared" si="14"/>
        <v>209389.63428113761</v>
      </c>
      <c r="B105" s="28">
        <v>8.5000000000000006E-2</v>
      </c>
      <c r="C105">
        <f t="shared" si="15"/>
        <v>315363.56689438777</v>
      </c>
      <c r="E105">
        <f t="shared" si="16"/>
        <v>3875.107326112292</v>
      </c>
      <c r="F105" s="28">
        <v>8.5000000000000006E-2</v>
      </c>
      <c r="G105">
        <f t="shared" si="17"/>
        <v>6904.2840461150763</v>
      </c>
      <c r="I105">
        <f t="shared" si="18"/>
        <v>230896.84083649801</v>
      </c>
      <c r="J105" s="28">
        <v>8.5000000000000006E-2</v>
      </c>
      <c r="K105">
        <f t="shared" si="19"/>
        <v>342169.47008041071</v>
      </c>
      <c r="M105">
        <f t="shared" si="20"/>
        <v>3827.2127508038802</v>
      </c>
      <c r="N105" s="28">
        <v>8.5000000000000006E-2</v>
      </c>
      <c r="O105">
        <f t="shared" si="21"/>
        <v>7491.1481900348581</v>
      </c>
      <c r="Q105">
        <f t="shared" si="22"/>
        <v>21507.206555360455</v>
      </c>
      <c r="R105" s="28">
        <v>8.5000000000000006E-2</v>
      </c>
      <c r="S105">
        <f t="shared" si="23"/>
        <v>27405.903186022962</v>
      </c>
      <c r="U105">
        <f t="shared" si="24"/>
        <v>9025.5971149146644</v>
      </c>
      <c r="V105" s="48">
        <v>8.5000000000000006E-2</v>
      </c>
      <c r="W105">
        <f t="shared" si="25"/>
        <v>27650.061803159475</v>
      </c>
      <c r="Y105">
        <f t="shared" si="26"/>
        <v>1674.6221696402126</v>
      </c>
      <c r="Z105" s="28">
        <v>8.5000000000000006E-2</v>
      </c>
      <c r="AA105">
        <f t="shared" si="27"/>
        <v>5623.2548229566792</v>
      </c>
    </row>
    <row r="106" spans="1:27" x14ac:dyDescent="0.2">
      <c r="A106">
        <f t="shared" si="14"/>
        <v>219775.98087338591</v>
      </c>
      <c r="B106" s="28">
        <v>8.5999999999999993E-2</v>
      </c>
      <c r="C106">
        <f t="shared" si="15"/>
        <v>325749.91348663607</v>
      </c>
      <c r="E106">
        <f t="shared" si="16"/>
        <v>3948.9383183011369</v>
      </c>
      <c r="F106" s="28">
        <v>8.5999999999999993E-2</v>
      </c>
      <c r="G106">
        <f t="shared" si="17"/>
        <v>6830.4530539262314</v>
      </c>
      <c r="I106">
        <f t="shared" si="18"/>
        <v>242491.77680257411</v>
      </c>
      <c r="J106" s="28">
        <v>8.5999999999999993E-2</v>
      </c>
      <c r="K106">
        <f t="shared" si="19"/>
        <v>353764.40604648681</v>
      </c>
      <c r="M106">
        <f t="shared" si="20"/>
        <v>3900.4889242748504</v>
      </c>
      <c r="N106" s="28">
        <v>8.5999999999999993E-2</v>
      </c>
      <c r="O106">
        <f t="shared" si="21"/>
        <v>7417.8720165638879</v>
      </c>
      <c r="Q106">
        <f t="shared" si="22"/>
        <v>22715.795929188193</v>
      </c>
      <c r="R106" s="28">
        <v>8.5999999999999993E-2</v>
      </c>
      <c r="S106">
        <f t="shared" si="23"/>
        <v>28614.4925598507</v>
      </c>
      <c r="U106">
        <f t="shared" si="24"/>
        <v>9352.9524496906524</v>
      </c>
      <c r="V106" s="48">
        <v>8.5999999999999993E-2</v>
      </c>
      <c r="W106">
        <f t="shared" si="25"/>
        <v>27977.417137935463</v>
      </c>
      <c r="Y106">
        <f t="shared" si="26"/>
        <v>1713.6697061308605</v>
      </c>
      <c r="Z106" s="28">
        <v>8.5999999999999993E-2</v>
      </c>
      <c r="AA106">
        <f t="shared" si="27"/>
        <v>5584.2072864660313</v>
      </c>
    </row>
    <row r="107" spans="1:27" x14ac:dyDescent="0.2">
      <c r="A107">
        <f t="shared" si="14"/>
        <v>230522.5455476559</v>
      </c>
      <c r="B107" s="28">
        <v>8.6999999999999994E-2</v>
      </c>
      <c r="C107">
        <f t="shared" si="15"/>
        <v>336496.47816090606</v>
      </c>
      <c r="E107">
        <f t="shared" si="16"/>
        <v>4021.3469022979216</v>
      </c>
      <c r="F107" s="28">
        <v>8.6999999999999994E-2</v>
      </c>
      <c r="G107">
        <f t="shared" si="17"/>
        <v>6758.0444699294467</v>
      </c>
      <c r="I107">
        <f t="shared" si="18"/>
        <v>254499.04251699214</v>
      </c>
      <c r="J107" s="28">
        <v>8.6999999999999994E-2</v>
      </c>
      <c r="K107">
        <f t="shared" si="19"/>
        <v>365771.67176090484</v>
      </c>
      <c r="M107">
        <f t="shared" si="20"/>
        <v>3972.3666020254313</v>
      </c>
      <c r="N107" s="28">
        <v>8.6999999999999994E-2</v>
      </c>
      <c r="O107">
        <f t="shared" si="21"/>
        <v>7345.994338813307</v>
      </c>
      <c r="Q107">
        <f t="shared" si="22"/>
        <v>23976.496969336316</v>
      </c>
      <c r="R107" s="28">
        <v>8.6999999999999994E-2</v>
      </c>
      <c r="S107">
        <f t="shared" si="23"/>
        <v>29875.193599998824</v>
      </c>
      <c r="U107">
        <f t="shared" si="24"/>
        <v>9684.9143170031821</v>
      </c>
      <c r="V107" s="48">
        <v>8.6999999999999994E-2</v>
      </c>
      <c r="W107">
        <f t="shared" si="25"/>
        <v>28309.379005247993</v>
      </c>
      <c r="Y107">
        <f t="shared" si="26"/>
        <v>1752.302921891941</v>
      </c>
      <c r="Z107" s="28">
        <v>8.6999999999999994E-2</v>
      </c>
      <c r="AA107">
        <f t="shared" si="27"/>
        <v>5545.5740707049508</v>
      </c>
    </row>
    <row r="108" spans="1:27" x14ac:dyDescent="0.2">
      <c r="A108">
        <f t="shared" si="14"/>
        <v>241642.00119613513</v>
      </c>
      <c r="B108" s="28">
        <v>8.7999999999999995E-2</v>
      </c>
      <c r="C108">
        <f t="shared" si="15"/>
        <v>347615.93380938529</v>
      </c>
      <c r="E108">
        <f t="shared" si="16"/>
        <v>4092.3696237343074</v>
      </c>
      <c r="F108" s="28">
        <v>8.7999999999999995E-2</v>
      </c>
      <c r="G108">
        <f t="shared" si="17"/>
        <v>6687.0217484930608</v>
      </c>
      <c r="I108">
        <f t="shared" si="18"/>
        <v>266933.50674069853</v>
      </c>
      <c r="J108" s="28">
        <v>8.7999999999999995E-2</v>
      </c>
      <c r="K108">
        <f t="shared" si="19"/>
        <v>378206.13598461123</v>
      </c>
      <c r="M108">
        <f t="shared" si="20"/>
        <v>4042.8812784782886</v>
      </c>
      <c r="N108" s="28">
        <v>8.7999999999999995E-2</v>
      </c>
      <c r="O108">
        <f t="shared" si="21"/>
        <v>7275.4796623604498</v>
      </c>
      <c r="Q108">
        <f t="shared" si="22"/>
        <v>25291.505544563392</v>
      </c>
      <c r="R108" s="28">
        <v>8.7999999999999995E-2</v>
      </c>
      <c r="S108">
        <f t="shared" si="23"/>
        <v>31190.202175225902</v>
      </c>
      <c r="U108">
        <f t="shared" si="24"/>
        <v>10021.552538059521</v>
      </c>
      <c r="V108" s="48">
        <v>8.7999999999999995E-2</v>
      </c>
      <c r="W108">
        <f t="shared" si="25"/>
        <v>28646.017226304331</v>
      </c>
      <c r="Y108">
        <f t="shared" si="26"/>
        <v>1790.5270713224663</v>
      </c>
      <c r="Z108" s="28">
        <v>8.7999999999999995E-2</v>
      </c>
      <c r="AA108">
        <f t="shared" si="27"/>
        <v>5507.3499212744255</v>
      </c>
    </row>
    <row r="109" spans="1:27" x14ac:dyDescent="0.2">
      <c r="A109">
        <f t="shared" si="14"/>
        <v>253147.46666026686</v>
      </c>
      <c r="B109" s="28">
        <v>8.8999999999999996E-2</v>
      </c>
      <c r="C109">
        <f t="shared" si="15"/>
        <v>359121.39927351702</v>
      </c>
      <c r="E109">
        <f t="shared" si="16"/>
        <v>4162.0419151285414</v>
      </c>
      <c r="F109" s="28">
        <v>8.8999999999999996E-2</v>
      </c>
      <c r="G109">
        <f t="shared" si="17"/>
        <v>6617.3494570988269</v>
      </c>
      <c r="I109">
        <f t="shared" si="18"/>
        <v>279810.57456494734</v>
      </c>
      <c r="J109" s="28">
        <v>8.8999999999999996E-2</v>
      </c>
      <c r="K109">
        <f t="shared" si="19"/>
        <v>391083.20380886004</v>
      </c>
      <c r="M109">
        <f t="shared" si="20"/>
        <v>4112.067382058116</v>
      </c>
      <c r="N109" s="28">
        <v>8.8999999999999996E-2</v>
      </c>
      <c r="O109">
        <f t="shared" si="21"/>
        <v>7206.2935587806223</v>
      </c>
      <c r="Q109">
        <f t="shared" si="22"/>
        <v>26663.107904680503</v>
      </c>
      <c r="R109" s="28">
        <v>8.8999999999999996E-2</v>
      </c>
      <c r="S109">
        <f t="shared" si="23"/>
        <v>32561.804535343013</v>
      </c>
      <c r="U109">
        <f t="shared" si="24"/>
        <v>10362.938038806158</v>
      </c>
      <c r="V109" s="48">
        <v>8.8999999999999996E-2</v>
      </c>
      <c r="W109">
        <f t="shared" si="25"/>
        <v>28987.402727050969</v>
      </c>
      <c r="Y109">
        <f t="shared" si="26"/>
        <v>1828.3473354790021</v>
      </c>
      <c r="Z109" s="28">
        <v>8.8999999999999996E-2</v>
      </c>
      <c r="AA109">
        <f t="shared" si="27"/>
        <v>5469.5296571178897</v>
      </c>
    </row>
    <row r="110" spans="1:27" x14ac:dyDescent="0.2">
      <c r="A110">
        <f t="shared" si="14"/>
        <v>265052.52230919735</v>
      </c>
      <c r="B110" s="28">
        <v>0.09</v>
      </c>
      <c r="C110">
        <f t="shared" si="15"/>
        <v>371026.4549224475</v>
      </c>
      <c r="E110">
        <f t="shared" si="16"/>
        <v>4230.398133812314</v>
      </c>
      <c r="F110" s="28">
        <v>0.09</v>
      </c>
      <c r="G110">
        <f t="shared" si="17"/>
        <v>6548.9932384150543</v>
      </c>
      <c r="I110">
        <f t="shared" si="18"/>
        <v>293146.20662155503</v>
      </c>
      <c r="J110" s="28">
        <v>0.09</v>
      </c>
      <c r="K110">
        <f t="shared" si="19"/>
        <v>404418.83586546773</v>
      </c>
      <c r="M110">
        <f t="shared" si="20"/>
        <v>4179.958310966329</v>
      </c>
      <c r="N110" s="28">
        <v>0.09</v>
      </c>
      <c r="O110">
        <f t="shared" si="21"/>
        <v>7138.4026298724093</v>
      </c>
      <c r="Q110">
        <f t="shared" si="22"/>
        <v>28093.684312357764</v>
      </c>
      <c r="R110" s="28">
        <v>0.09</v>
      </c>
      <c r="S110">
        <f t="shared" si="23"/>
        <v>33992.380943020275</v>
      </c>
      <c r="U110">
        <f t="shared" si="24"/>
        <v>10709.142867912706</v>
      </c>
      <c r="V110" s="48">
        <v>0.09</v>
      </c>
      <c r="W110">
        <f t="shared" si="25"/>
        <v>29333.607556157516</v>
      </c>
      <c r="Y110">
        <f t="shared" si="26"/>
        <v>1865.768823161523</v>
      </c>
      <c r="Z110" s="28">
        <v>0.09</v>
      </c>
      <c r="AA110">
        <f t="shared" si="27"/>
        <v>5432.1081694353688</v>
      </c>
    </row>
    <row r="111" spans="1:27" x14ac:dyDescent="0.2">
      <c r="A111">
        <f t="shared" si="14"/>
        <v>277371.22615583678</v>
      </c>
      <c r="B111" s="28">
        <v>9.0999999999999998E-2</v>
      </c>
      <c r="C111">
        <f t="shared" si="15"/>
        <v>383345.15876908693</v>
      </c>
      <c r="E111">
        <f t="shared" si="16"/>
        <v>4297.471598457515</v>
      </c>
      <c r="F111" s="28">
        <v>9.0999999999999998E-2</v>
      </c>
      <c r="G111">
        <f t="shared" si="17"/>
        <v>6481.9197737698532</v>
      </c>
      <c r="I111">
        <f t="shared" si="18"/>
        <v>306956.93897316116</v>
      </c>
      <c r="J111" s="28">
        <v>9.0999999999999998E-2</v>
      </c>
      <c r="K111">
        <f t="shared" si="19"/>
        <v>418229.56821707386</v>
      </c>
      <c r="M111">
        <f t="shared" si="20"/>
        <v>4246.5864676558285</v>
      </c>
      <c r="N111" s="28">
        <v>9.0999999999999998E-2</v>
      </c>
      <c r="O111">
        <f t="shared" si="21"/>
        <v>7071.7744731829098</v>
      </c>
      <c r="Q111">
        <f t="shared" si="22"/>
        <v>29585.712817324398</v>
      </c>
      <c r="R111" s="28">
        <v>9.0999999999999998E-2</v>
      </c>
      <c r="S111">
        <f t="shared" si="23"/>
        <v>35484.409447986909</v>
      </c>
      <c r="U111">
        <f t="shared" si="24"/>
        <v>11060.240215054488</v>
      </c>
      <c r="V111" s="48">
        <v>9.0999999999999998E-2</v>
      </c>
      <c r="W111">
        <f t="shared" si="25"/>
        <v>29684.704903299298</v>
      </c>
      <c r="Y111">
        <f t="shared" si="26"/>
        <v>1902.7965719825324</v>
      </c>
      <c r="Z111" s="28">
        <v>9.0999999999999998E-2</v>
      </c>
      <c r="AA111">
        <f t="shared" si="27"/>
        <v>5395.0804206143594</v>
      </c>
    </row>
    <row r="112" spans="1:27" x14ac:dyDescent="0.2">
      <c r="A112">
        <f t="shared" si="14"/>
        <v>290118.13052892155</v>
      </c>
      <c r="B112" s="28">
        <v>9.1999999999999998E-2</v>
      </c>
      <c r="C112">
        <f t="shared" si="15"/>
        <v>396092.06314217171</v>
      </c>
      <c r="E112">
        <f t="shared" si="16"/>
        <v>4363.2946242577691</v>
      </c>
      <c r="F112" s="28">
        <v>9.1999999999999998E-2</v>
      </c>
      <c r="G112">
        <f t="shared" si="17"/>
        <v>6416.0967479695992</v>
      </c>
      <c r="I112">
        <f t="shared" si="18"/>
        <v>321259.90370733885</v>
      </c>
      <c r="J112" s="28">
        <v>9.1999999999999998E-2</v>
      </c>
      <c r="K112">
        <f t="shared" si="19"/>
        <v>432532.53295125155</v>
      </c>
      <c r="M112">
        <f t="shared" si="20"/>
        <v>4311.9832920559347</v>
      </c>
      <c r="N112" s="28">
        <v>9.1999999999999998E-2</v>
      </c>
      <c r="O112">
        <f t="shared" si="21"/>
        <v>7006.3776487828036</v>
      </c>
      <c r="Q112">
        <f t="shared" si="22"/>
        <v>31141.773178417287</v>
      </c>
      <c r="R112" s="28">
        <v>9.1999999999999998E-2</v>
      </c>
      <c r="S112">
        <f t="shared" si="23"/>
        <v>37040.469809079797</v>
      </c>
      <c r="U112">
        <f t="shared" si="24"/>
        <v>11416.304429499</v>
      </c>
      <c r="V112" s="48">
        <v>9.1999999999999998E-2</v>
      </c>
      <c r="W112">
        <f t="shared" si="25"/>
        <v>30040.76911774381</v>
      </c>
      <c r="Y112">
        <f t="shared" si="26"/>
        <v>1939.4355494197407</v>
      </c>
      <c r="Z112" s="28">
        <v>9.1999999999999998E-2</v>
      </c>
      <c r="AA112">
        <f t="shared" si="27"/>
        <v>5358.4414431771511</v>
      </c>
    </row>
    <row r="113" spans="1:27" x14ac:dyDescent="0.2">
      <c r="A113">
        <f t="shared" si="14"/>
        <v>303308.29931983701</v>
      </c>
      <c r="B113" s="28">
        <v>9.2999999999999999E-2</v>
      </c>
      <c r="C113">
        <f t="shared" si="15"/>
        <v>409282.23193308717</v>
      </c>
      <c r="E113">
        <f t="shared" si="16"/>
        <v>4427.8985568175003</v>
      </c>
      <c r="F113" s="28">
        <v>9.2999999999999999E-2</v>
      </c>
      <c r="G113">
        <f t="shared" si="17"/>
        <v>6351.4928154098679</v>
      </c>
      <c r="I113">
        <f t="shared" si="18"/>
        <v>336072.85025895154</v>
      </c>
      <c r="J113" s="28">
        <v>9.2999999999999999E-2</v>
      </c>
      <c r="K113">
        <f t="shared" si="19"/>
        <v>447345.47950286424</v>
      </c>
      <c r="M113">
        <f t="shared" si="20"/>
        <v>4376.1792935957537</v>
      </c>
      <c r="N113" s="28">
        <v>9.2999999999999999E-2</v>
      </c>
      <c r="O113">
        <f t="shared" si="21"/>
        <v>6942.1816472429846</v>
      </c>
      <c r="Q113">
        <f t="shared" si="22"/>
        <v>32764.550939114597</v>
      </c>
      <c r="R113" s="28">
        <v>9.2999999999999999E-2</v>
      </c>
      <c r="S113">
        <f t="shared" si="23"/>
        <v>38663.247569777108</v>
      </c>
      <c r="U113">
        <f t="shared" si="24"/>
        <v>11777.411039001308</v>
      </c>
      <c r="V113" s="48">
        <v>9.2999999999999999E-2</v>
      </c>
      <c r="W113">
        <f t="shared" si="25"/>
        <v>30401.875727246119</v>
      </c>
      <c r="Y113">
        <f t="shared" si="26"/>
        <v>1975.6906538525254</v>
      </c>
      <c r="Z113" s="28">
        <v>9.2999999999999999E-2</v>
      </c>
      <c r="AA113">
        <f t="shared" si="27"/>
        <v>5322.1863387443664</v>
      </c>
    </row>
    <row r="114" spans="1:27" x14ac:dyDescent="0.2">
      <c r="A114">
        <f t="shared" si="14"/>
        <v>316957.32582383952</v>
      </c>
      <c r="B114" s="28">
        <v>9.4E-2</v>
      </c>
      <c r="C114">
        <f t="shared" si="15"/>
        <v>422931.25843708968</v>
      </c>
      <c r="E114">
        <f t="shared" si="16"/>
        <v>4491.3138047989869</v>
      </c>
      <c r="F114" s="28">
        <v>9.4E-2</v>
      </c>
      <c r="G114">
        <f t="shared" si="17"/>
        <v>6288.0775674283814</v>
      </c>
      <c r="I114">
        <f t="shared" si="18"/>
        <v>351414.1674862635</v>
      </c>
      <c r="J114" s="28">
        <v>9.4E-2</v>
      </c>
      <c r="K114">
        <f t="shared" si="19"/>
        <v>462686.7967301762</v>
      </c>
      <c r="M114">
        <f t="shared" si="20"/>
        <v>4439.2040820720895</v>
      </c>
      <c r="N114" s="28">
        <v>9.4E-2</v>
      </c>
      <c r="O114">
        <f t="shared" si="21"/>
        <v>6879.1568587666488</v>
      </c>
      <c r="Q114">
        <f t="shared" si="22"/>
        <v>34456.841662423918</v>
      </c>
      <c r="R114" s="28">
        <v>9.4E-2</v>
      </c>
      <c r="S114">
        <f t="shared" si="23"/>
        <v>40355.538293086429</v>
      </c>
      <c r="U114">
        <f t="shared" si="24"/>
        <v>12143.636769013614</v>
      </c>
      <c r="V114" s="48">
        <v>9.4E-2</v>
      </c>
      <c r="W114">
        <f t="shared" si="25"/>
        <v>30768.101457258424</v>
      </c>
      <c r="Y114">
        <f t="shared" si="26"/>
        <v>2011.5667155824676</v>
      </c>
      <c r="Z114" s="28">
        <v>9.4E-2</v>
      </c>
      <c r="AA114">
        <f t="shared" si="27"/>
        <v>5286.3102770144242</v>
      </c>
    </row>
    <row r="115" spans="1:27" x14ac:dyDescent="0.2">
      <c r="A115">
        <f t="shared" si="14"/>
        <v>331081.35119571775</v>
      </c>
      <c r="B115" s="28">
        <v>9.5000000000000001E-2</v>
      </c>
      <c r="C115">
        <f t="shared" si="15"/>
        <v>437055.28380896791</v>
      </c>
      <c r="E115">
        <f t="shared" si="16"/>
        <v>4553.569871375862</v>
      </c>
      <c r="F115" s="28">
        <v>9.5000000000000001E-2</v>
      </c>
      <c r="G115">
        <f t="shared" si="17"/>
        <v>6225.8215008515062</v>
      </c>
      <c r="I115">
        <f t="shared" si="18"/>
        <v>367302.90652690711</v>
      </c>
      <c r="J115" s="28">
        <v>9.5000000000000001E-2</v>
      </c>
      <c r="K115">
        <f t="shared" si="19"/>
        <v>478575.53577081981</v>
      </c>
      <c r="M115">
        <f t="shared" si="20"/>
        <v>4501.0863974063377</v>
      </c>
      <c r="N115" s="28">
        <v>9.5000000000000001E-2</v>
      </c>
      <c r="O115">
        <f t="shared" si="21"/>
        <v>6817.2745434324006</v>
      </c>
      <c r="Q115">
        <f t="shared" si="22"/>
        <v>36221.55533118944</v>
      </c>
      <c r="R115" s="28">
        <v>9.5000000000000001E-2</v>
      </c>
      <c r="S115">
        <f t="shared" si="23"/>
        <v>42120.251961851951</v>
      </c>
      <c r="U115">
        <f t="shared" si="24"/>
        <v>12515.059562214235</v>
      </c>
      <c r="V115" s="48">
        <v>9.5000000000000001E-2</v>
      </c>
      <c r="W115">
        <f t="shared" si="25"/>
        <v>31139.524250459046</v>
      </c>
      <c r="Y115">
        <f t="shared" si="26"/>
        <v>2047.0684978381942</v>
      </c>
      <c r="Z115" s="28">
        <v>9.5000000000000001E-2</v>
      </c>
      <c r="AA115">
        <f t="shared" si="27"/>
        <v>5250.8084947586976</v>
      </c>
    </row>
    <row r="116" spans="1:27" x14ac:dyDescent="0.2">
      <c r="A116">
        <f t="shared" si="14"/>
        <v>345697.08354084578</v>
      </c>
      <c r="B116" s="28">
        <v>9.6000000000000002E-2</v>
      </c>
      <c r="C116">
        <f t="shared" si="15"/>
        <v>451671.01615409594</v>
      </c>
      <c r="E116">
        <f t="shared" si="16"/>
        <v>4614.6953845395146</v>
      </c>
      <c r="F116" s="28">
        <v>9.6000000000000002E-2</v>
      </c>
      <c r="G116">
        <f t="shared" si="17"/>
        <v>6164.6959876878536</v>
      </c>
      <c r="I116">
        <f t="shared" si="18"/>
        <v>383758.80446097639</v>
      </c>
      <c r="J116" s="28">
        <v>9.6000000000000002E-2</v>
      </c>
      <c r="K116">
        <f t="shared" si="19"/>
        <v>495031.43370488909</v>
      </c>
      <c r="M116">
        <f t="shared" si="20"/>
        <v>4561.854138332852</v>
      </c>
      <c r="N116" s="28">
        <v>9.6000000000000002E-2</v>
      </c>
      <c r="O116">
        <f t="shared" si="21"/>
        <v>6756.5068025058863</v>
      </c>
      <c r="Q116">
        <f t="shared" si="22"/>
        <v>38061.720920130698</v>
      </c>
      <c r="R116" s="28">
        <v>9.6000000000000002E-2</v>
      </c>
      <c r="S116">
        <f t="shared" si="23"/>
        <v>43960.417550793209</v>
      </c>
      <c r="U116">
        <f t="shared" si="24"/>
        <v>12891.758598361532</v>
      </c>
      <c r="V116" s="48">
        <v>9.6000000000000002E-2</v>
      </c>
      <c r="W116">
        <f t="shared" si="25"/>
        <v>31516.223286606342</v>
      </c>
      <c r="Y116">
        <f t="shared" si="26"/>
        <v>2082.2006977647688</v>
      </c>
      <c r="Z116" s="28">
        <v>9.6000000000000002E-2</v>
      </c>
      <c r="AA116">
        <f t="shared" si="27"/>
        <v>5215.6762948321229</v>
      </c>
    </row>
    <row r="117" spans="1:27" x14ac:dyDescent="0.2">
      <c r="A117">
        <f t="shared" si="14"/>
        <v>360821.81766303419</v>
      </c>
      <c r="B117" s="28">
        <v>9.7000000000000003E-2</v>
      </c>
      <c r="C117">
        <f t="shared" si="15"/>
        <v>466795.75027628435</v>
      </c>
      <c r="E117">
        <f t="shared" si="16"/>
        <v>4674.7181263029588</v>
      </c>
      <c r="F117" s="28">
        <v>9.7000000000000003E-2</v>
      </c>
      <c r="G117">
        <f t="shared" si="17"/>
        <v>6104.6732459244095</v>
      </c>
      <c r="I117">
        <f t="shared" si="18"/>
        <v>400802.3088091712</v>
      </c>
      <c r="J117" s="28">
        <v>9.7000000000000003E-2</v>
      </c>
      <c r="K117">
        <f t="shared" si="19"/>
        <v>512074.9380530839</v>
      </c>
      <c r="M117">
        <f t="shared" si="20"/>
        <v>4621.5343900596617</v>
      </c>
      <c r="N117" s="28">
        <v>9.7000000000000003E-2</v>
      </c>
      <c r="O117">
        <f t="shared" si="21"/>
        <v>6696.8265507790766</v>
      </c>
      <c r="Q117">
        <f t="shared" si="22"/>
        <v>39980.491146137072</v>
      </c>
      <c r="R117" s="28">
        <v>9.7000000000000003E-2</v>
      </c>
      <c r="S117">
        <f t="shared" si="23"/>
        <v>45879.187776799583</v>
      </c>
      <c r="U117">
        <f t="shared" si="24"/>
        <v>13273.81431447811</v>
      </c>
      <c r="V117" s="48">
        <v>9.7000000000000003E-2</v>
      </c>
      <c r="W117">
        <f t="shared" si="25"/>
        <v>31898.27900272292</v>
      </c>
      <c r="Y117">
        <f t="shared" si="26"/>
        <v>2116.9679473979013</v>
      </c>
      <c r="Z117" s="28">
        <v>9.7000000000000003E-2</v>
      </c>
      <c r="AA117">
        <f t="shared" si="27"/>
        <v>5180.9090451989905</v>
      </c>
    </row>
    <row r="118" spans="1:27" x14ac:dyDescent="0.2">
      <c r="A118">
        <f t="shared" si="14"/>
        <v>376473.45549155545</v>
      </c>
      <c r="B118" s="28">
        <v>9.8000000000000004E-2</v>
      </c>
      <c r="C118">
        <f t="shared" si="15"/>
        <v>482447.38810480561</v>
      </c>
      <c r="E118">
        <f t="shared" si="16"/>
        <v>4733.6650608448463</v>
      </c>
      <c r="F118" s="28">
        <v>9.8000000000000004E-2</v>
      </c>
      <c r="G118">
        <f t="shared" si="17"/>
        <v>6045.726311382522</v>
      </c>
      <c r="I118">
        <f t="shared" si="18"/>
        <v>418454.60289516387</v>
      </c>
      <c r="J118" s="28">
        <v>9.8000000000000004E-2</v>
      </c>
      <c r="K118">
        <f t="shared" si="19"/>
        <v>529727.23213907657</v>
      </c>
      <c r="M118">
        <f t="shared" si="20"/>
        <v>4680.1534509407293</v>
      </c>
      <c r="N118" s="28">
        <v>9.8000000000000004E-2</v>
      </c>
      <c r="O118">
        <f t="shared" si="21"/>
        <v>6638.207489898009</v>
      </c>
      <c r="Q118">
        <f t="shared" si="22"/>
        <v>41981.14740360844</v>
      </c>
      <c r="R118" s="28">
        <v>9.8000000000000004E-2</v>
      </c>
      <c r="S118">
        <f t="shared" si="23"/>
        <v>47879.844034270951</v>
      </c>
      <c r="U118">
        <f t="shared" si="24"/>
        <v>13661.308425370953</v>
      </c>
      <c r="V118" s="48">
        <v>9.8000000000000004E-2</v>
      </c>
      <c r="W118">
        <f t="shared" si="25"/>
        <v>32285.773113615764</v>
      </c>
      <c r="Y118">
        <f t="shared" si="26"/>
        <v>2151.3748146231947</v>
      </c>
      <c r="Z118" s="28">
        <v>9.8000000000000004E-2</v>
      </c>
      <c r="AA118">
        <f t="shared" si="27"/>
        <v>5146.5021779736971</v>
      </c>
    </row>
    <row r="119" spans="1:27" x14ac:dyDescent="0.2">
      <c r="A119">
        <f t="shared" si="14"/>
        <v>392670.52721018472</v>
      </c>
      <c r="B119" s="28">
        <v>9.9000000000000005E-2</v>
      </c>
      <c r="C119">
        <f t="shared" si="15"/>
        <v>498644.45982343488</v>
      </c>
      <c r="E119">
        <f t="shared" si="16"/>
        <v>4791.5623616346984</v>
      </c>
      <c r="F119" s="28">
        <v>9.9000000000000005E-2</v>
      </c>
      <c r="G119">
        <f t="shared" si="17"/>
        <v>5987.8290105926699</v>
      </c>
      <c r="I119">
        <f t="shared" si="18"/>
        <v>436737.63210204226</v>
      </c>
      <c r="J119" s="28">
        <v>9.9000000000000005E-2</v>
      </c>
      <c r="K119">
        <f t="shared" si="19"/>
        <v>548010.26134595496</v>
      </c>
      <c r="M119">
        <f t="shared" si="20"/>
        <v>4737.7368581973951</v>
      </c>
      <c r="N119" s="28">
        <v>9.9000000000000005E-2</v>
      </c>
      <c r="O119">
        <f t="shared" si="21"/>
        <v>6580.6240826413432</v>
      </c>
      <c r="Q119">
        <f t="shared" si="22"/>
        <v>44067.104891857547</v>
      </c>
      <c r="R119" s="28">
        <v>9.9000000000000005E-2</v>
      </c>
      <c r="S119">
        <f t="shared" si="23"/>
        <v>49965.801522520058</v>
      </c>
      <c r="U119">
        <f t="shared" si="24"/>
        <v>14054.323944493201</v>
      </c>
      <c r="V119" s="48">
        <v>9.9000000000000005E-2</v>
      </c>
      <c r="W119">
        <f t="shared" si="25"/>
        <v>32678.788632738011</v>
      </c>
      <c r="Y119">
        <f t="shared" si="26"/>
        <v>2185.4258041206676</v>
      </c>
      <c r="Z119" s="28">
        <v>9.9000000000000005E-2</v>
      </c>
      <c r="AA119">
        <f t="shared" si="27"/>
        <v>5112.4511884762242</v>
      </c>
    </row>
    <row r="120" spans="1:27" x14ac:dyDescent="0.2">
      <c r="A120">
        <f t="shared" si="14"/>
        <v>409432.21311215125</v>
      </c>
      <c r="B120" s="28">
        <v>0.1</v>
      </c>
      <c r="C120">
        <f t="shared" si="15"/>
        <v>515406.14572540141</v>
      </c>
      <c r="E120">
        <f t="shared" si="16"/>
        <v>4848.4354375786043</v>
      </c>
      <c r="F120" s="28">
        <v>0.1</v>
      </c>
      <c r="G120">
        <f t="shared" si="17"/>
        <v>5930.955934648764</v>
      </c>
      <c r="I120">
        <f t="shared" si="18"/>
        <v>455674.13105402893</v>
      </c>
      <c r="J120" s="28">
        <v>0.1</v>
      </c>
      <c r="K120">
        <f t="shared" si="19"/>
        <v>566946.76029794163</v>
      </c>
      <c r="M120">
        <f t="shared" si="20"/>
        <v>4794.309412725097</v>
      </c>
      <c r="N120" s="28">
        <v>0.1</v>
      </c>
      <c r="O120">
        <f t="shared" si="21"/>
        <v>6524.0515281136413</v>
      </c>
      <c r="Q120">
        <f t="shared" si="22"/>
        <v>46241.917941877633</v>
      </c>
      <c r="R120" s="28">
        <v>0.1</v>
      </c>
      <c r="S120">
        <f t="shared" si="23"/>
        <v>52140.614572540144</v>
      </c>
      <c r="U120">
        <f t="shared" si="24"/>
        <v>14452.945205153246</v>
      </c>
      <c r="V120" s="48">
        <v>0.1</v>
      </c>
      <c r="W120">
        <f t="shared" si="25"/>
        <v>33077.409893398057</v>
      </c>
      <c r="Y120">
        <f t="shared" si="26"/>
        <v>2219.1253582947948</v>
      </c>
      <c r="Z120" s="28">
        <v>0.1</v>
      </c>
      <c r="AA120">
        <f t="shared" si="27"/>
        <v>5078.751634302097</v>
      </c>
    </row>
    <row r="121" spans="1:27" x14ac:dyDescent="0.2">
      <c r="A121">
        <f t="shared" si="14"/>
        <v>426778.36620539002</v>
      </c>
      <c r="B121" s="28">
        <v>0.10100000000000001</v>
      </c>
      <c r="C121">
        <f t="shared" si="15"/>
        <v>532752.29881864018</v>
      </c>
      <c r="E121">
        <f t="shared" si="16"/>
        <v>4904.3089582231396</v>
      </c>
      <c r="F121" s="28">
        <v>0.10100000000000001</v>
      </c>
      <c r="G121">
        <f t="shared" si="17"/>
        <v>5875.0824140042287</v>
      </c>
      <c r="I121">
        <f t="shared" si="18"/>
        <v>475287.65175541019</v>
      </c>
      <c r="J121" s="28">
        <v>0.10100000000000001</v>
      </c>
      <c r="K121">
        <f t="shared" si="19"/>
        <v>586560.28099932289</v>
      </c>
      <c r="M121">
        <f t="shared" si="20"/>
        <v>4849.8952030200835</v>
      </c>
      <c r="N121" s="28">
        <v>0.10100000000000001</v>
      </c>
      <c r="O121">
        <f t="shared" si="21"/>
        <v>6468.4657378186548</v>
      </c>
      <c r="Q121">
        <f t="shared" si="22"/>
        <v>48509.285550020155</v>
      </c>
      <c r="R121" s="28">
        <v>0.10100000000000001</v>
      </c>
      <c r="S121">
        <f t="shared" si="23"/>
        <v>54407.982180682666</v>
      </c>
      <c r="U121">
        <f t="shared" si="24"/>
        <v>14857.257882077105</v>
      </c>
      <c r="V121" s="48">
        <v>0.10100000000000001</v>
      </c>
      <c r="W121">
        <f t="shared" si="25"/>
        <v>33481.722570321916</v>
      </c>
      <c r="Y121">
        <f t="shared" si="26"/>
        <v>2252.4778581902838</v>
      </c>
      <c r="Z121" s="28">
        <v>0.10100000000000001</v>
      </c>
      <c r="AA121">
        <f t="shared" si="27"/>
        <v>5045.399134406608</v>
      </c>
    </row>
    <row r="122" spans="1:27" x14ac:dyDescent="0.2">
      <c r="A122">
        <f t="shared" si="14"/>
        <v>444729.53559358459</v>
      </c>
      <c r="B122" s="28">
        <v>0.10199999999999999</v>
      </c>
      <c r="C122">
        <f t="shared" si="15"/>
        <v>550703.46820683475</v>
      </c>
      <c r="E122">
        <f t="shared" si="16"/>
        <v>4959.2068780537293</v>
      </c>
      <c r="F122" s="28">
        <v>0.10199999999999999</v>
      </c>
      <c r="G122">
        <f t="shared" si="17"/>
        <v>5820.184494173639</v>
      </c>
      <c r="I122">
        <f t="shared" si="18"/>
        <v>495602.59272001922</v>
      </c>
      <c r="J122" s="28">
        <v>0.10199999999999999</v>
      </c>
      <c r="K122">
        <f t="shared" si="19"/>
        <v>606875.22196393192</v>
      </c>
      <c r="M122">
        <f t="shared" si="20"/>
        <v>4904.5176282593866</v>
      </c>
      <c r="N122" s="28">
        <v>0.10199999999999999</v>
      </c>
      <c r="O122">
        <f t="shared" si="21"/>
        <v>6413.8433125793517</v>
      </c>
      <c r="Q122">
        <f t="shared" si="22"/>
        <v>50873.057126434629</v>
      </c>
      <c r="R122" s="28">
        <v>0.10199999999999999</v>
      </c>
      <c r="S122">
        <f t="shared" si="23"/>
        <v>56771.75375709714</v>
      </c>
      <c r="U122">
        <f t="shared" si="24"/>
        <v>15267.349013329975</v>
      </c>
      <c r="V122" s="48">
        <v>0.10199999999999999</v>
      </c>
      <c r="W122">
        <f t="shared" si="25"/>
        <v>33891.813701574785</v>
      </c>
      <c r="Y122">
        <f t="shared" si="26"/>
        <v>2285.4876243938252</v>
      </c>
      <c r="Z122" s="28">
        <v>0.10199999999999999</v>
      </c>
      <c r="AA122">
        <f t="shared" si="27"/>
        <v>5012.3893682030666</v>
      </c>
    </row>
    <row r="123" spans="1:27" x14ac:dyDescent="0.2">
      <c r="A123">
        <f t="shared" si="14"/>
        <v>463306.99065905303</v>
      </c>
      <c r="B123" s="28">
        <v>0.10299999999999999</v>
      </c>
      <c r="C123">
        <f t="shared" si="15"/>
        <v>569280.92327230319</v>
      </c>
      <c r="E123">
        <f t="shared" si="16"/>
        <v>5013.1524599221193</v>
      </c>
      <c r="F123" s="28">
        <v>0.10299999999999999</v>
      </c>
      <c r="G123">
        <f t="shared" si="17"/>
        <v>5766.238912305249</v>
      </c>
      <c r="I123">
        <f t="shared" si="18"/>
        <v>516644.22912543773</v>
      </c>
      <c r="J123" s="28">
        <v>0.10299999999999999</v>
      </c>
      <c r="K123">
        <f t="shared" si="19"/>
        <v>627916.85836935043</v>
      </c>
      <c r="M123">
        <f t="shared" si="20"/>
        <v>4958.1994205660485</v>
      </c>
      <c r="N123" s="28">
        <v>0.10299999999999999</v>
      </c>
      <c r="O123">
        <f t="shared" si="21"/>
        <v>6360.1615202726898</v>
      </c>
      <c r="Q123">
        <f t="shared" si="22"/>
        <v>53337.238466384719</v>
      </c>
      <c r="R123" s="28">
        <v>0.10299999999999999</v>
      </c>
      <c r="S123">
        <f t="shared" si="23"/>
        <v>59235.93509704723</v>
      </c>
      <c r="U123">
        <f t="shared" si="24"/>
        <v>15683.307022603123</v>
      </c>
      <c r="V123" s="48">
        <v>0.10299999999999999</v>
      </c>
      <c r="W123">
        <f t="shared" si="25"/>
        <v>34307.771710847934</v>
      </c>
      <c r="Y123">
        <f t="shared" si="26"/>
        <v>2318.1589179220246</v>
      </c>
      <c r="Z123" s="28">
        <v>0.10299999999999999</v>
      </c>
      <c r="AA123">
        <f t="shared" si="27"/>
        <v>4979.7180746748672</v>
      </c>
    </row>
    <row r="124" spans="1:27" x14ac:dyDescent="0.2">
      <c r="A124">
        <f t="shared" si="14"/>
        <v>482532.74607468204</v>
      </c>
      <c r="B124" s="28">
        <v>0.104</v>
      </c>
      <c r="C124">
        <f t="shared" si="15"/>
        <v>588506.6786879322</v>
      </c>
      <c r="E124">
        <f t="shared" si="16"/>
        <v>5066.1682976363527</v>
      </c>
      <c r="F124" s="28">
        <v>0.104</v>
      </c>
      <c r="G124">
        <f t="shared" si="17"/>
        <v>5713.2230745910156</v>
      </c>
      <c r="I124">
        <f t="shared" si="18"/>
        <v>538438.74402756465</v>
      </c>
      <c r="J124" s="28">
        <v>0.104</v>
      </c>
      <c r="K124">
        <f t="shared" si="19"/>
        <v>649711.37327147729</v>
      </c>
      <c r="M124">
        <f t="shared" si="20"/>
        <v>5010.9626664902562</v>
      </c>
      <c r="N124" s="28">
        <v>0.104</v>
      </c>
      <c r="O124">
        <f t="shared" si="21"/>
        <v>6307.3982743484821</v>
      </c>
      <c r="Q124">
        <f t="shared" si="22"/>
        <v>55905.997952882433</v>
      </c>
      <c r="R124" s="28">
        <v>0.104</v>
      </c>
      <c r="S124">
        <f t="shared" si="23"/>
        <v>61804.694583544944</v>
      </c>
      <c r="U124">
        <f t="shared" si="24"/>
        <v>16105.22174187221</v>
      </c>
      <c r="V124" s="48">
        <v>0.104</v>
      </c>
      <c r="W124">
        <f t="shared" si="25"/>
        <v>34729.686430117021</v>
      </c>
      <c r="Y124">
        <f t="shared" si="26"/>
        <v>2350.4959410957381</v>
      </c>
      <c r="Z124" s="28">
        <v>0.104</v>
      </c>
      <c r="AA124">
        <f t="shared" si="27"/>
        <v>4947.3810515011537</v>
      </c>
    </row>
    <row r="125" spans="1:27" x14ac:dyDescent="0.2">
      <c r="A125">
        <f t="shared" si="14"/>
        <v>502429.58767270419</v>
      </c>
      <c r="B125" s="28">
        <v>0.105</v>
      </c>
      <c r="C125">
        <f t="shared" si="15"/>
        <v>608403.52028595435</v>
      </c>
      <c r="E125">
        <f t="shared" si="16"/>
        <v>5118.2763377451911</v>
      </c>
      <c r="F125" s="28">
        <v>0.105</v>
      </c>
      <c r="G125">
        <f t="shared" si="17"/>
        <v>5661.1150344821772</v>
      </c>
      <c r="I125">
        <f t="shared" si="18"/>
        <v>561013.26067206683</v>
      </c>
      <c r="J125" s="28">
        <v>0.105</v>
      </c>
      <c r="K125">
        <f t="shared" si="19"/>
        <v>672285.88991597947</v>
      </c>
      <c r="M125">
        <f t="shared" si="20"/>
        <v>5062.8288277359334</v>
      </c>
      <c r="N125" s="28">
        <v>0.105</v>
      </c>
      <c r="O125">
        <f t="shared" si="21"/>
        <v>6255.5321131028049</v>
      </c>
      <c r="Q125">
        <f t="shared" si="22"/>
        <v>58583.672999362694</v>
      </c>
      <c r="R125" s="28">
        <v>0.105</v>
      </c>
      <c r="S125">
        <f t="shared" si="23"/>
        <v>64482.369630025205</v>
      </c>
      <c r="U125">
        <f t="shared" si="24"/>
        <v>16533.184434433369</v>
      </c>
      <c r="V125" s="48">
        <v>0.105</v>
      </c>
      <c r="W125">
        <f t="shared" si="25"/>
        <v>35157.64912267818</v>
      </c>
      <c r="Y125">
        <f t="shared" si="26"/>
        <v>2382.5028384010348</v>
      </c>
      <c r="Z125" s="28">
        <v>0.105</v>
      </c>
      <c r="AA125">
        <f t="shared" si="27"/>
        <v>4915.374154195857</v>
      </c>
    </row>
    <row r="126" spans="1:27" x14ac:dyDescent="0.2">
      <c r="A126">
        <f t="shared" si="14"/>
        <v>523021.09919937229</v>
      </c>
      <c r="B126" s="28">
        <v>0.106</v>
      </c>
      <c r="C126">
        <f t="shared" si="15"/>
        <v>628995.03181262244</v>
      </c>
      <c r="E126">
        <f t="shared" si="16"/>
        <v>5169.4979005476898</v>
      </c>
      <c r="F126" s="28">
        <v>0.106</v>
      </c>
      <c r="G126">
        <f t="shared" si="17"/>
        <v>5609.8934716796784</v>
      </c>
      <c r="I126">
        <f t="shared" si="18"/>
        <v>584395.87594084779</v>
      </c>
      <c r="J126" s="28">
        <v>0.106</v>
      </c>
      <c r="K126">
        <f t="shared" si="19"/>
        <v>695668.50518476043</v>
      </c>
      <c r="M126">
        <f t="shared" si="20"/>
        <v>5113.8187611610138</v>
      </c>
      <c r="N126" s="28">
        <v>0.106</v>
      </c>
      <c r="O126">
        <f t="shared" si="21"/>
        <v>6204.5421796777246</v>
      </c>
      <c r="Q126">
        <f t="shared" si="22"/>
        <v>61374.776741475463</v>
      </c>
      <c r="R126" s="28">
        <v>0.106</v>
      </c>
      <c r="S126">
        <f t="shared" si="23"/>
        <v>67273.473372137974</v>
      </c>
      <c r="U126">
        <f t="shared" si="24"/>
        <v>16967.287818323402</v>
      </c>
      <c r="V126" s="48">
        <v>0.106</v>
      </c>
      <c r="W126">
        <f t="shared" si="25"/>
        <v>35591.752506568213</v>
      </c>
      <c r="Y126">
        <f t="shared" si="26"/>
        <v>2414.1836973369836</v>
      </c>
      <c r="Z126" s="28">
        <v>0.106</v>
      </c>
      <c r="AA126">
        <f t="shared" si="27"/>
        <v>4883.6932952599082</v>
      </c>
    </row>
    <row r="127" spans="1:27" x14ac:dyDescent="0.2">
      <c r="A127">
        <f t="shared" si="14"/>
        <v>544331.68998518074</v>
      </c>
      <c r="B127" s="28">
        <v>0.107</v>
      </c>
      <c r="C127">
        <f t="shared" si="15"/>
        <v>650305.62259843096</v>
      </c>
      <c r="E127">
        <f t="shared" si="16"/>
        <v>5219.8537003574047</v>
      </c>
      <c r="F127" s="28">
        <v>0.107</v>
      </c>
      <c r="G127">
        <f t="shared" si="17"/>
        <v>5559.5376718699636</v>
      </c>
      <c r="I127">
        <f t="shared" si="18"/>
        <v>608615.69497255038</v>
      </c>
      <c r="J127" s="28">
        <v>0.107</v>
      </c>
      <c r="K127">
        <f t="shared" si="19"/>
        <v>719888.32421646302</v>
      </c>
      <c r="M127">
        <f t="shared" si="20"/>
        <v>5163.9527380786876</v>
      </c>
      <c r="N127" s="28">
        <v>0.107</v>
      </c>
      <c r="O127">
        <f t="shared" si="21"/>
        <v>6154.4082027600507</v>
      </c>
      <c r="Q127">
        <f t="shared" si="22"/>
        <v>64284.004987369597</v>
      </c>
      <c r="R127" s="28">
        <v>0.107</v>
      </c>
      <c r="S127">
        <f t="shared" si="23"/>
        <v>70182.701618032108</v>
      </c>
      <c r="U127">
        <f t="shared" si="24"/>
        <v>17407.626090130656</v>
      </c>
      <c r="V127" s="48">
        <v>0.107</v>
      </c>
      <c r="W127">
        <f t="shared" si="25"/>
        <v>36032.090778375466</v>
      </c>
      <c r="Y127">
        <f t="shared" si="26"/>
        <v>2445.5425492504874</v>
      </c>
      <c r="Z127" s="28">
        <v>0.107</v>
      </c>
      <c r="AA127">
        <f t="shared" si="27"/>
        <v>4852.3344433464044</v>
      </c>
    </row>
    <row r="128" spans="1:27" x14ac:dyDescent="0.2">
      <c r="A128">
        <f t="shared" si="14"/>
        <v>566386.62356165028</v>
      </c>
      <c r="B128" s="28">
        <v>0.108</v>
      </c>
      <c r="C128">
        <f t="shared" si="15"/>
        <v>672360.5561749005</v>
      </c>
      <c r="E128">
        <f t="shared" si="16"/>
        <v>5269.3638650494795</v>
      </c>
      <c r="F128" s="28">
        <v>0.108</v>
      </c>
      <c r="G128">
        <f t="shared" si="17"/>
        <v>5510.0275071778888</v>
      </c>
      <c r="I128">
        <f t="shared" si="18"/>
        <v>633702.86699787725</v>
      </c>
      <c r="J128" s="28">
        <v>0.108</v>
      </c>
      <c r="K128">
        <f t="shared" si="19"/>
        <v>744975.49624178989</v>
      </c>
      <c r="M128">
        <f t="shared" si="20"/>
        <v>5213.2504628856368</v>
      </c>
      <c r="N128" s="28">
        <v>0.108</v>
      </c>
      <c r="O128">
        <f t="shared" si="21"/>
        <v>6105.1104779531015</v>
      </c>
      <c r="Q128">
        <f t="shared" si="22"/>
        <v>67316.243436226738</v>
      </c>
      <c r="R128" s="28">
        <v>0.108</v>
      </c>
      <c r="S128">
        <f t="shared" si="23"/>
        <v>73214.940066889249</v>
      </c>
      <c r="U128">
        <f t="shared" si="24"/>
        <v>17854.294949203129</v>
      </c>
      <c r="V128" s="48">
        <v>0.108</v>
      </c>
      <c r="W128">
        <f t="shared" si="25"/>
        <v>36478.75963744794</v>
      </c>
      <c r="Y128">
        <f t="shared" si="26"/>
        <v>2476.5833701583397</v>
      </c>
      <c r="Z128" s="28">
        <v>0.108</v>
      </c>
      <c r="AA128">
        <f t="shared" si="27"/>
        <v>4821.2936224385521</v>
      </c>
    </row>
    <row r="129" spans="1:27" x14ac:dyDescent="0.2">
      <c r="A129">
        <f t="shared" si="14"/>
        <v>589212.04725631722</v>
      </c>
      <c r="B129" s="28">
        <v>0.109</v>
      </c>
      <c r="C129">
        <f t="shared" si="15"/>
        <v>695185.97986956744</v>
      </c>
      <c r="E129">
        <f t="shared" si="16"/>
        <v>5318.0479549178099</v>
      </c>
      <c r="F129" s="28">
        <v>0.109</v>
      </c>
      <c r="G129">
        <f t="shared" si="17"/>
        <v>5461.3434173095584</v>
      </c>
      <c r="I129">
        <f t="shared" si="18"/>
        <v>659688.6224314376</v>
      </c>
      <c r="J129" s="28">
        <v>0.109</v>
      </c>
      <c r="K129">
        <f t="shared" si="19"/>
        <v>770961.25167535024</v>
      </c>
      <c r="M129">
        <f t="shared" si="20"/>
        <v>5261.7310910424385</v>
      </c>
      <c r="N129" s="28">
        <v>0.109</v>
      </c>
      <c r="O129">
        <f t="shared" si="21"/>
        <v>6056.6298497962998</v>
      </c>
      <c r="Q129">
        <f t="shared" si="22"/>
        <v>70476.575175120335</v>
      </c>
      <c r="R129" s="28">
        <v>0.109</v>
      </c>
      <c r="S129">
        <f t="shared" si="23"/>
        <v>76375.271805782846</v>
      </c>
      <c r="U129">
        <f t="shared" si="24"/>
        <v>18307.391622260537</v>
      </c>
      <c r="V129" s="48">
        <v>0.109</v>
      </c>
      <c r="W129">
        <f t="shared" si="25"/>
        <v>36931.856310505347</v>
      </c>
      <c r="Y129">
        <f t="shared" si="26"/>
        <v>2507.3100815567586</v>
      </c>
      <c r="Z129" s="28">
        <v>0.109</v>
      </c>
      <c r="AA129">
        <f t="shared" si="27"/>
        <v>4790.5669110401332</v>
      </c>
    </row>
    <row r="130" spans="1:27" x14ac:dyDescent="0.2">
      <c r="A130">
        <f t="shared" si="14"/>
        <v>612835.02279901179</v>
      </c>
      <c r="B130" s="28">
        <v>0.11</v>
      </c>
      <c r="C130">
        <f t="shared" si="15"/>
        <v>718808.955412262</v>
      </c>
      <c r="E130">
        <f t="shared" si="16"/>
        <v>5365.9249808683026</v>
      </c>
      <c r="F130" s="28">
        <v>0.11</v>
      </c>
      <c r="G130">
        <f t="shared" si="17"/>
        <v>5413.4663913590657</v>
      </c>
      <c r="I130">
        <f t="shared" si="18"/>
        <v>686605.31126369827</v>
      </c>
      <c r="J130" s="28">
        <v>0.11</v>
      </c>
      <c r="K130">
        <f t="shared" si="19"/>
        <v>797877.94050761091</v>
      </c>
      <c r="M130">
        <f t="shared" si="20"/>
        <v>5309.4132464301747</v>
      </c>
      <c r="N130" s="28">
        <v>0.11</v>
      </c>
      <c r="O130">
        <f t="shared" si="21"/>
        <v>6008.9476944085636</v>
      </c>
      <c r="Q130">
        <f t="shared" si="22"/>
        <v>73770.288464686309</v>
      </c>
      <c r="R130" s="28">
        <v>0.11</v>
      </c>
      <c r="S130">
        <f t="shared" si="23"/>
        <v>79668.98509534882</v>
      </c>
      <c r="U130">
        <f t="shared" si="24"/>
        <v>18767.014888417227</v>
      </c>
      <c r="V130" s="48">
        <v>0.11</v>
      </c>
      <c r="W130">
        <f t="shared" si="25"/>
        <v>37391.479576662037</v>
      </c>
      <c r="Y130">
        <f t="shared" si="26"/>
        <v>2537.7265512185204</v>
      </c>
      <c r="Z130" s="28">
        <v>0.11</v>
      </c>
      <c r="AA130">
        <f t="shared" si="27"/>
        <v>4760.1504413783714</v>
      </c>
    </row>
    <row r="131" spans="1:27" x14ac:dyDescent="0.2">
      <c r="A131">
        <f t="shared" si="14"/>
        <v>637283.55797321675</v>
      </c>
      <c r="B131" s="28">
        <v>0.111</v>
      </c>
      <c r="C131">
        <f t="shared" si="15"/>
        <v>743257.49058646697</v>
      </c>
      <c r="E131">
        <f t="shared" si="16"/>
        <v>5413.01342197329</v>
      </c>
      <c r="F131" s="28">
        <v>0.111</v>
      </c>
      <c r="G131">
        <f t="shared" si="17"/>
        <v>5366.3779502540783</v>
      </c>
      <c r="I131">
        <f t="shared" si="18"/>
        <v>714486.44279765233</v>
      </c>
      <c r="J131" s="28">
        <v>0.111</v>
      </c>
      <c r="K131">
        <f t="shared" si="19"/>
        <v>825759.07204156497</v>
      </c>
      <c r="M131">
        <f t="shared" si="20"/>
        <v>5356.3150381064579</v>
      </c>
      <c r="N131" s="28">
        <v>0.111</v>
      </c>
      <c r="O131">
        <f t="shared" si="21"/>
        <v>5962.0459027322804</v>
      </c>
      <c r="Q131">
        <f t="shared" si="22"/>
        <v>77202.884824435328</v>
      </c>
      <c r="R131" s="28">
        <v>0.111</v>
      </c>
      <c r="S131">
        <f t="shared" si="23"/>
        <v>83101.581455097839</v>
      </c>
      <c r="U131">
        <f t="shared" si="24"/>
        <v>19233.265104622846</v>
      </c>
      <c r="V131" s="48">
        <v>0.111</v>
      </c>
      <c r="W131">
        <f t="shared" si="25"/>
        <v>37857.729792867656</v>
      </c>
      <c r="Y131">
        <f t="shared" si="26"/>
        <v>2567.8365939779633</v>
      </c>
      <c r="Z131" s="28">
        <v>0.111</v>
      </c>
      <c r="AA131">
        <f t="shared" si="27"/>
        <v>4730.0403986189285</v>
      </c>
    </row>
    <row r="132" spans="1:27" x14ac:dyDescent="0.2">
      <c r="A132">
        <f t="shared" si="14"/>
        <v>662586.63934778282</v>
      </c>
      <c r="B132" s="28">
        <v>0.112</v>
      </c>
      <c r="C132">
        <f t="shared" si="15"/>
        <v>768560.57196103304</v>
      </c>
      <c r="E132">
        <f t="shared" si="16"/>
        <v>5459.3312424111227</v>
      </c>
      <c r="F132" s="28">
        <v>0.112</v>
      </c>
      <c r="G132">
        <f t="shared" si="17"/>
        <v>5320.0601298162455</v>
      </c>
      <c r="I132">
        <f t="shared" si="18"/>
        <v>743366.72677675611</v>
      </c>
      <c r="J132" s="28">
        <v>0.112</v>
      </c>
      <c r="K132">
        <f t="shared" si="19"/>
        <v>854639.35602066875</v>
      </c>
      <c r="M132">
        <f t="shared" si="20"/>
        <v>5402.4540764830735</v>
      </c>
      <c r="N132" s="28">
        <v>0.112</v>
      </c>
      <c r="O132">
        <f t="shared" si="21"/>
        <v>5915.9068643556648</v>
      </c>
      <c r="Q132">
        <f t="shared" si="22"/>
        <v>80780.087428973187</v>
      </c>
      <c r="R132" s="28">
        <v>0.112</v>
      </c>
      <c r="S132">
        <f t="shared" si="23"/>
        <v>86678.784059635698</v>
      </c>
      <c r="U132">
        <f t="shared" si="24"/>
        <v>19706.244231527784</v>
      </c>
      <c r="V132" s="48">
        <v>0.112</v>
      </c>
      <c r="W132">
        <f t="shared" si="25"/>
        <v>38330.708919772595</v>
      </c>
      <c r="Y132">
        <f t="shared" si="26"/>
        <v>2597.6439725040036</v>
      </c>
      <c r="Z132" s="28">
        <v>0.112</v>
      </c>
      <c r="AA132">
        <f t="shared" si="27"/>
        <v>4700.2330200928882</v>
      </c>
    </row>
    <row r="133" spans="1:27" x14ac:dyDescent="0.2">
      <c r="A133">
        <f t="shared" si="14"/>
        <v>688774.26612506702</v>
      </c>
      <c r="B133" s="28">
        <v>0.113</v>
      </c>
      <c r="C133">
        <f t="shared" si="15"/>
        <v>794748.19873831724</v>
      </c>
      <c r="E133">
        <f t="shared" si="16"/>
        <v>5504.8959078139987</v>
      </c>
      <c r="F133" s="28">
        <v>0.113</v>
      </c>
      <c r="G133">
        <f t="shared" si="17"/>
        <v>5274.4954644133695</v>
      </c>
      <c r="I133">
        <f t="shared" si="18"/>
        <v>773282.11595183436</v>
      </c>
      <c r="J133" s="28">
        <v>0.113</v>
      </c>
      <c r="K133">
        <f t="shared" si="19"/>
        <v>884554.745195747</v>
      </c>
      <c r="M133">
        <f t="shared" si="20"/>
        <v>5447.8474889466579</v>
      </c>
      <c r="N133" s="28">
        <v>0.113</v>
      </c>
      <c r="O133">
        <f t="shared" si="21"/>
        <v>5870.5134518920804</v>
      </c>
      <c r="Q133">
        <f t="shared" si="22"/>
        <v>84507.849826767342</v>
      </c>
      <c r="R133" s="28">
        <v>0.113</v>
      </c>
      <c r="S133">
        <f t="shared" si="23"/>
        <v>90406.546457429853</v>
      </c>
      <c r="U133">
        <f t="shared" si="24"/>
        <v>20186.055859780838</v>
      </c>
      <c r="V133" s="48">
        <v>0.113</v>
      </c>
      <c r="W133">
        <f t="shared" si="25"/>
        <v>38810.520548025648</v>
      </c>
      <c r="Y133">
        <f t="shared" si="26"/>
        <v>2627.1523980613611</v>
      </c>
      <c r="Z133" s="28">
        <v>0.113</v>
      </c>
      <c r="AA133">
        <f t="shared" si="27"/>
        <v>4670.7245945355307</v>
      </c>
    </row>
    <row r="134" spans="1:27" x14ac:dyDescent="0.2">
      <c r="A134">
        <f t="shared" si="14"/>
        <v>715877.48514313507</v>
      </c>
      <c r="B134" s="28">
        <v>0.114</v>
      </c>
      <c r="C134">
        <f t="shared" si="15"/>
        <v>821851.41775638529</v>
      </c>
      <c r="E134">
        <f t="shared" si="16"/>
        <v>5549.7244010462182</v>
      </c>
      <c r="F134" s="28">
        <v>0.114</v>
      </c>
      <c r="G134">
        <f t="shared" si="17"/>
        <v>5229.6669711811501</v>
      </c>
      <c r="I134">
        <f t="shared" si="18"/>
        <v>804269.85013670067</v>
      </c>
      <c r="J134" s="28">
        <v>0.114</v>
      </c>
      <c r="K134">
        <f t="shared" si="19"/>
        <v>915542.47938061331</v>
      </c>
      <c r="M134">
        <f t="shared" si="20"/>
        <v>5492.5119349429369</v>
      </c>
      <c r="N134" s="28">
        <v>0.114</v>
      </c>
      <c r="O134">
        <f t="shared" si="21"/>
        <v>5825.8490058958014</v>
      </c>
      <c r="Q134">
        <f t="shared" si="22"/>
        <v>88392.36499356541</v>
      </c>
      <c r="R134" s="28">
        <v>0.114</v>
      </c>
      <c r="S134">
        <f t="shared" si="23"/>
        <v>94291.061624227921</v>
      </c>
      <c r="U134">
        <f t="shared" si="24"/>
        <v>20672.80523676606</v>
      </c>
      <c r="V134" s="48">
        <v>0.114</v>
      </c>
      <c r="W134">
        <f t="shared" si="25"/>
        <v>39297.269925010871</v>
      </c>
      <c r="Y134">
        <f t="shared" si="26"/>
        <v>2656.3655312601941</v>
      </c>
      <c r="Z134" s="28">
        <v>0.114</v>
      </c>
      <c r="AA134">
        <f t="shared" si="27"/>
        <v>4641.5114613366977</v>
      </c>
    </row>
    <row r="135" spans="1:27" x14ac:dyDescent="0.2">
      <c r="A135">
        <f t="shared" si="14"/>
        <v>743928.42707050231</v>
      </c>
      <c r="B135" s="28">
        <v>0.115</v>
      </c>
      <c r="C135">
        <f t="shared" si="15"/>
        <v>849902.35968375253</v>
      </c>
      <c r="E135">
        <f t="shared" si="16"/>
        <v>5593.8332374341335</v>
      </c>
      <c r="F135" s="28">
        <v>0.115</v>
      </c>
      <c r="G135">
        <f t="shared" si="17"/>
        <v>5185.5581347932348</v>
      </c>
      <c r="I135">
        <f t="shared" si="18"/>
        <v>836368.50180347136</v>
      </c>
      <c r="J135" s="28">
        <v>0.115</v>
      </c>
      <c r="K135">
        <f t="shared" si="19"/>
        <v>947641.131047384</v>
      </c>
      <c r="M135">
        <f t="shared" si="20"/>
        <v>5536.4636205442821</v>
      </c>
      <c r="N135" s="28">
        <v>0.115</v>
      </c>
      <c r="O135">
        <f t="shared" si="21"/>
        <v>5781.8973202944562</v>
      </c>
      <c r="Q135">
        <f t="shared" si="22"/>
        <v>92440.074732969035</v>
      </c>
      <c r="R135" s="28">
        <v>0.115</v>
      </c>
      <c r="S135">
        <f t="shared" si="23"/>
        <v>98338.771363631546</v>
      </c>
      <c r="U135">
        <f t="shared" si="24"/>
        <v>21166.599293786527</v>
      </c>
      <c r="V135" s="48">
        <v>0.115</v>
      </c>
      <c r="W135">
        <f t="shared" si="25"/>
        <v>39791.063982031337</v>
      </c>
      <c r="Y135">
        <f t="shared" si="26"/>
        <v>2685.2869827943205</v>
      </c>
      <c r="Z135" s="28">
        <v>0.115</v>
      </c>
      <c r="AA135">
        <f t="shared" si="27"/>
        <v>4612.5900098025713</v>
      </c>
    </row>
    <row r="136" spans="1:27" x14ac:dyDescent="0.2">
      <c r="A136">
        <f t="shared" si="14"/>
        <v>772960.34383357107</v>
      </c>
      <c r="B136" s="28">
        <v>0.11600000000000001</v>
      </c>
      <c r="C136">
        <f t="shared" si="15"/>
        <v>878934.27644682128</v>
      </c>
      <c r="E136">
        <f t="shared" si="16"/>
        <v>5637.2384794682293</v>
      </c>
      <c r="F136" s="28">
        <v>0.11600000000000001</v>
      </c>
      <c r="G136">
        <f t="shared" si="17"/>
        <v>5142.1528927591389</v>
      </c>
      <c r="I136">
        <f t="shared" si="18"/>
        <v>869618.02327073982</v>
      </c>
      <c r="J136" s="28">
        <v>0.11600000000000001</v>
      </c>
      <c r="K136">
        <f t="shared" si="19"/>
        <v>980890.65251465247</v>
      </c>
      <c r="M136">
        <f t="shared" si="20"/>
        <v>5579.7183125195379</v>
      </c>
      <c r="N136" s="28">
        <v>0.11600000000000001</v>
      </c>
      <c r="O136">
        <f t="shared" si="21"/>
        <v>5738.6426283192004</v>
      </c>
      <c r="Q136">
        <f t="shared" si="22"/>
        <v>96657.679437168757</v>
      </c>
      <c r="R136" s="28">
        <v>0.11600000000000001</v>
      </c>
      <c r="S136">
        <f t="shared" si="23"/>
        <v>102556.37606783127</v>
      </c>
      <c r="U136">
        <f t="shared" si="24"/>
        <v>21667.546673702414</v>
      </c>
      <c r="V136" s="48">
        <v>0.11600000000000001</v>
      </c>
      <c r="W136">
        <f t="shared" si="25"/>
        <v>40292.011361947225</v>
      </c>
      <c r="Y136">
        <f t="shared" si="26"/>
        <v>2713.9203141681846</v>
      </c>
      <c r="Z136" s="28">
        <v>0.11600000000000001</v>
      </c>
      <c r="AA136">
        <f t="shared" si="27"/>
        <v>4583.9566784287072</v>
      </c>
    </row>
    <row r="137" spans="1:27" x14ac:dyDescent="0.2">
      <c r="A137">
        <f t="shared" si="14"/>
        <v>803007.64731781383</v>
      </c>
      <c r="B137" s="28">
        <v>0.11700000000000001</v>
      </c>
      <c r="C137">
        <f t="shared" si="15"/>
        <v>908981.57993106404</v>
      </c>
      <c r="E137">
        <f t="shared" si="16"/>
        <v>5679.95575099699</v>
      </c>
      <c r="F137" s="28">
        <v>0.11700000000000001</v>
      </c>
      <c r="G137">
        <f t="shared" si="17"/>
        <v>5099.4356212303783</v>
      </c>
      <c r="I137">
        <f t="shared" si="18"/>
        <v>904059.79553908587</v>
      </c>
      <c r="J137" s="28">
        <v>0.11700000000000001</v>
      </c>
      <c r="K137">
        <f t="shared" si="19"/>
        <v>1015332.4247829985</v>
      </c>
      <c r="M137">
        <f t="shared" si="20"/>
        <v>5622.2913519244057</v>
      </c>
      <c r="N137" s="28">
        <v>0.11700000000000001</v>
      </c>
      <c r="O137">
        <f t="shared" si="21"/>
        <v>5696.0695889143326</v>
      </c>
      <c r="Q137">
        <f t="shared" si="22"/>
        <v>101052.14822127199</v>
      </c>
      <c r="R137" s="28">
        <v>0.11700000000000001</v>
      </c>
      <c r="S137">
        <f t="shared" si="23"/>
        <v>106950.8448519345</v>
      </c>
      <c r="U137">
        <f t="shared" si="24"/>
        <v>22175.757759031196</v>
      </c>
      <c r="V137" s="48">
        <v>0.11700000000000001</v>
      </c>
      <c r="W137">
        <f t="shared" si="25"/>
        <v>40800.222447276006</v>
      </c>
      <c r="Y137">
        <f t="shared" si="26"/>
        <v>2742.2690384127791</v>
      </c>
      <c r="Z137" s="28">
        <v>0.11700000000000001</v>
      </c>
      <c r="AA137">
        <f t="shared" si="27"/>
        <v>4555.6079541841127</v>
      </c>
    </row>
    <row r="138" spans="1:27" x14ac:dyDescent="0.2">
      <c r="A138">
        <f t="shared" si="14"/>
        <v>834105.94938553171</v>
      </c>
      <c r="B138" s="28">
        <v>0.11799999999999999</v>
      </c>
      <c r="C138">
        <f t="shared" si="15"/>
        <v>940079.88199878193</v>
      </c>
      <c r="E138">
        <f t="shared" si="16"/>
        <v>5722.0002509314118</v>
      </c>
      <c r="F138" s="28">
        <v>0.11799999999999999</v>
      </c>
      <c r="G138">
        <f t="shared" si="17"/>
        <v>5057.3911212959565</v>
      </c>
      <c r="I138">
        <f t="shared" si="18"/>
        <v>939736.67883072537</v>
      </c>
      <c r="J138" s="28">
        <v>0.11799999999999999</v>
      </c>
      <c r="K138">
        <f t="shared" si="19"/>
        <v>1051009.308074638</v>
      </c>
      <c r="M138">
        <f t="shared" si="20"/>
        <v>5664.1976672298597</v>
      </c>
      <c r="N138" s="28">
        <v>0.11799999999999999</v>
      </c>
      <c r="O138">
        <f t="shared" si="21"/>
        <v>5654.1632736088786</v>
      </c>
      <c r="Q138">
        <f t="shared" si="22"/>
        <v>105630.72944519375</v>
      </c>
      <c r="R138" s="28">
        <v>0.11799999999999999</v>
      </c>
      <c r="S138">
        <f t="shared" si="23"/>
        <v>111529.42607585626</v>
      </c>
      <c r="U138">
        <f t="shared" si="24"/>
        <v>22691.344700517828</v>
      </c>
      <c r="V138" s="48">
        <v>0.11799999999999999</v>
      </c>
      <c r="W138">
        <f t="shared" si="25"/>
        <v>41315.809388762638</v>
      </c>
      <c r="Y138">
        <f t="shared" si="26"/>
        <v>2770.3366207906711</v>
      </c>
      <c r="Z138" s="28">
        <v>0.11799999999999999</v>
      </c>
      <c r="AA138">
        <f t="shared" si="27"/>
        <v>4527.5403718062207</v>
      </c>
    </row>
    <row r="139" spans="1:27" x14ac:dyDescent="0.2">
      <c r="A139">
        <f t="shared" si="14"/>
        <v>866292.10325402487</v>
      </c>
      <c r="B139" s="28">
        <v>0.11899999999999999</v>
      </c>
      <c r="C139">
        <f t="shared" si="15"/>
        <v>972266.03586727509</v>
      </c>
      <c r="E139">
        <f t="shared" si="16"/>
        <v>5763.3867664782783</v>
      </c>
      <c r="F139" s="28">
        <v>0.11899999999999999</v>
      </c>
      <c r="G139">
        <f t="shared" si="17"/>
        <v>5016.0046057490899</v>
      </c>
      <c r="I139">
        <f t="shared" si="18"/>
        <v>976693.06489156839</v>
      </c>
      <c r="J139" s="28">
        <v>0.11899999999999999</v>
      </c>
      <c r="K139">
        <f t="shared" si="19"/>
        <v>1087965.694135481</v>
      </c>
      <c r="M139">
        <f t="shared" si="20"/>
        <v>5705.4517870055079</v>
      </c>
      <c r="N139" s="28">
        <v>0.11899999999999999</v>
      </c>
      <c r="O139">
        <f t="shared" si="21"/>
        <v>5612.9091538332304</v>
      </c>
      <c r="Q139">
        <f t="shared" si="22"/>
        <v>110400.96163754322</v>
      </c>
      <c r="R139" s="28">
        <v>0.11899999999999999</v>
      </c>
      <c r="S139">
        <f t="shared" si="23"/>
        <v>116299.65826820573</v>
      </c>
      <c r="U139">
        <f t="shared" si="24"/>
        <v>23214.421446182732</v>
      </c>
      <c r="V139" s="48">
        <v>0.11899999999999999</v>
      </c>
      <c r="W139">
        <f t="shared" si="25"/>
        <v>41838.886134427543</v>
      </c>
      <c r="Y139">
        <f t="shared" si="26"/>
        <v>2798.1264794903118</v>
      </c>
      <c r="Z139" s="28">
        <v>0.11899999999999999</v>
      </c>
      <c r="AA139">
        <f t="shared" si="27"/>
        <v>4499.75051310658</v>
      </c>
    </row>
    <row r="140" spans="1:27" x14ac:dyDescent="0.2">
      <c r="A140">
        <f t="shared" si="14"/>
        <v>899604.24627971952</v>
      </c>
      <c r="B140" s="28">
        <v>0.12</v>
      </c>
      <c r="C140">
        <f t="shared" si="15"/>
        <v>1005578.1788929697</v>
      </c>
      <c r="E140">
        <f t="shared" si="16"/>
        <v>5804.1296859196209</v>
      </c>
      <c r="F140" s="28">
        <v>0.12</v>
      </c>
      <c r="G140">
        <f t="shared" si="17"/>
        <v>4975.2616863077474</v>
      </c>
      <c r="I140">
        <f t="shared" si="18"/>
        <v>1014974.9311162136</v>
      </c>
      <c r="J140" s="28">
        <v>0.12</v>
      </c>
      <c r="K140">
        <f t="shared" si="19"/>
        <v>1126247.5603601262</v>
      </c>
      <c r="M140">
        <f t="shared" si="20"/>
        <v>5746.067852174061</v>
      </c>
      <c r="N140" s="28">
        <v>0.12</v>
      </c>
      <c r="O140">
        <f t="shared" si="21"/>
        <v>5572.2930886646773</v>
      </c>
      <c r="Q140">
        <f t="shared" si="22"/>
        <v>115370.68483649385</v>
      </c>
      <c r="R140" s="28">
        <v>0.12</v>
      </c>
      <c r="S140">
        <f t="shared" si="23"/>
        <v>121269.38146715636</v>
      </c>
      <c r="U140">
        <f t="shared" si="24"/>
        <v>23745.103770855694</v>
      </c>
      <c r="V140" s="48">
        <v>0.12</v>
      </c>
      <c r="W140">
        <f t="shared" si="25"/>
        <v>42369.568459100505</v>
      </c>
      <c r="Y140">
        <f t="shared" si="26"/>
        <v>2825.6419863097926</v>
      </c>
      <c r="Z140" s="28">
        <v>0.12</v>
      </c>
      <c r="AA140">
        <f t="shared" si="27"/>
        <v>4472.2350062870992</v>
      </c>
    </row>
    <row r="141" spans="1:27" x14ac:dyDescent="0.2">
      <c r="A141">
        <f t="shared" si="14"/>
        <v>934081.84419520805</v>
      </c>
      <c r="B141" s="28">
        <v>0.121</v>
      </c>
      <c r="C141">
        <f t="shared" si="15"/>
        <v>1040055.7768084583</v>
      </c>
      <c r="E141">
        <f t="shared" si="16"/>
        <v>5844.2430109550896</v>
      </c>
      <c r="F141" s="28">
        <v>0.121</v>
      </c>
      <c r="G141">
        <f t="shared" si="17"/>
        <v>4935.1483612722786</v>
      </c>
      <c r="I141">
        <f t="shared" si="18"/>
        <v>1054629.896558369</v>
      </c>
      <c r="J141" s="28">
        <v>0.121</v>
      </c>
      <c r="K141">
        <f t="shared" si="19"/>
        <v>1165902.5258022817</v>
      </c>
      <c r="M141">
        <f t="shared" si="20"/>
        <v>5786.0596278525136</v>
      </c>
      <c r="N141" s="28">
        <v>0.121</v>
      </c>
      <c r="O141">
        <f t="shared" si="21"/>
        <v>5532.3013129862247</v>
      </c>
      <c r="Q141">
        <f t="shared" si="22"/>
        <v>120548.05236316094</v>
      </c>
      <c r="R141" s="28">
        <v>0.121</v>
      </c>
      <c r="S141">
        <f t="shared" si="23"/>
        <v>126446.74899382345</v>
      </c>
      <c r="U141">
        <f t="shared" si="24"/>
        <v>24283.509306204291</v>
      </c>
      <c r="V141" s="48">
        <v>0.121</v>
      </c>
      <c r="W141">
        <f t="shared" si="25"/>
        <v>42907.973994449101</v>
      </c>
      <c r="Y141">
        <f t="shared" si="26"/>
        <v>2852.8864673302305</v>
      </c>
      <c r="Z141" s="28">
        <v>0.121</v>
      </c>
      <c r="AA141">
        <f t="shared" si="27"/>
        <v>4444.9905252666613</v>
      </c>
    </row>
    <row r="142" spans="1:27" x14ac:dyDescent="0.2">
      <c r="A142">
        <f t="shared" si="14"/>
        <v>969765.73684768833</v>
      </c>
      <c r="B142" s="28">
        <v>0.122</v>
      </c>
      <c r="C142">
        <f t="shared" si="15"/>
        <v>1075739.6694609385</v>
      </c>
      <c r="E142">
        <f t="shared" si="16"/>
        <v>5883.7403686233301</v>
      </c>
      <c r="F142" s="28">
        <v>0.122</v>
      </c>
      <c r="G142">
        <f t="shared" si="17"/>
        <v>4895.6510036040381</v>
      </c>
      <c r="I142">
        <f t="shared" si="18"/>
        <v>1095707.2798912602</v>
      </c>
      <c r="J142" s="28">
        <v>0.122</v>
      </c>
      <c r="K142">
        <f t="shared" si="19"/>
        <v>1206979.9091351728</v>
      </c>
      <c r="M142">
        <f t="shared" si="20"/>
        <v>5825.4405147950074</v>
      </c>
      <c r="N142" s="28">
        <v>0.122</v>
      </c>
      <c r="O142">
        <f t="shared" si="21"/>
        <v>5492.9204260437309</v>
      </c>
      <c r="Q142">
        <f t="shared" si="22"/>
        <v>125941.54304357199</v>
      </c>
      <c r="R142" s="28">
        <v>0.122</v>
      </c>
      <c r="S142">
        <f t="shared" si="23"/>
        <v>131840.2396742345</v>
      </c>
      <c r="U142">
        <f t="shared" si="24"/>
        <v>24829.75757126469</v>
      </c>
      <c r="V142" s="48">
        <v>0.122</v>
      </c>
      <c r="W142">
        <f t="shared" si="25"/>
        <v>43454.222259509501</v>
      </c>
      <c r="Y142">
        <f t="shared" si="26"/>
        <v>2879.8632035789151</v>
      </c>
      <c r="Z142" s="28">
        <v>0.122</v>
      </c>
      <c r="AA142">
        <f t="shared" si="27"/>
        <v>4418.0137890179767</v>
      </c>
    </row>
    <row r="143" spans="1:27" x14ac:dyDescent="0.2">
      <c r="A143">
        <f t="shared" si="14"/>
        <v>1006698.1854888074</v>
      </c>
      <c r="B143" s="28">
        <v>0.123</v>
      </c>
      <c r="C143">
        <f t="shared" si="15"/>
        <v>1112672.1181020576</v>
      </c>
      <c r="E143">
        <f t="shared" si="16"/>
        <v>5922.6350228177998</v>
      </c>
      <c r="F143" s="28">
        <v>0.123</v>
      </c>
      <c r="G143">
        <f t="shared" si="17"/>
        <v>4856.7563494095684</v>
      </c>
      <c r="I143">
        <f t="shared" si="18"/>
        <v>1138258.1593846981</v>
      </c>
      <c r="J143" s="28">
        <v>0.123</v>
      </c>
      <c r="K143">
        <f t="shared" si="19"/>
        <v>1249530.7886286108</v>
      </c>
      <c r="M143">
        <f t="shared" si="20"/>
        <v>5864.2235604517937</v>
      </c>
      <c r="N143" s="28">
        <v>0.123</v>
      </c>
      <c r="O143">
        <f t="shared" si="21"/>
        <v>5454.1373803869446</v>
      </c>
      <c r="Q143">
        <f t="shared" si="22"/>
        <v>131559.97389589058</v>
      </c>
      <c r="R143" s="28">
        <v>0.123</v>
      </c>
      <c r="S143">
        <f t="shared" si="23"/>
        <v>137458.67052655309</v>
      </c>
      <c r="U143">
        <f t="shared" si="24"/>
        <v>25383.970003483675</v>
      </c>
      <c r="V143" s="48">
        <v>0.123</v>
      </c>
      <c r="W143">
        <f t="shared" si="25"/>
        <v>44008.434691728486</v>
      </c>
      <c r="Y143">
        <f t="shared" si="26"/>
        <v>2906.5754316824114</v>
      </c>
      <c r="Z143" s="28">
        <v>0.123</v>
      </c>
      <c r="AA143">
        <f t="shared" si="27"/>
        <v>4391.3015609144804</v>
      </c>
    </row>
    <row r="144" spans="1:27" x14ac:dyDescent="0.2">
      <c r="A144">
        <f t="shared" si="14"/>
        <v>1044922.9216676747</v>
      </c>
      <c r="B144" s="28">
        <v>0.124</v>
      </c>
      <c r="C144">
        <f t="shared" si="15"/>
        <v>1150896.8542809249</v>
      </c>
      <c r="E144">
        <f t="shared" si="16"/>
        <v>5960.9398854118936</v>
      </c>
      <c r="F144" s="28">
        <v>0.124</v>
      </c>
      <c r="G144">
        <f t="shared" si="17"/>
        <v>4818.4514868154747</v>
      </c>
      <c r="I144">
        <f t="shared" si="18"/>
        <v>1182335.4349678471</v>
      </c>
      <c r="J144" s="28">
        <v>0.124</v>
      </c>
      <c r="K144">
        <f t="shared" si="19"/>
        <v>1293608.0642117597</v>
      </c>
      <c r="M144">
        <f t="shared" si="20"/>
        <v>5902.4214696581439</v>
      </c>
      <c r="N144" s="28">
        <v>0.124</v>
      </c>
      <c r="O144">
        <f t="shared" si="21"/>
        <v>5415.9394711805944</v>
      </c>
      <c r="Q144">
        <f t="shared" si="22"/>
        <v>137412.51330017217</v>
      </c>
      <c r="R144" s="28">
        <v>0.124</v>
      </c>
      <c r="S144">
        <f t="shared" si="23"/>
        <v>143311.20993083468</v>
      </c>
      <c r="U144">
        <f t="shared" si="24"/>
        <v>25946.269990280565</v>
      </c>
      <c r="V144" s="48">
        <v>0.124</v>
      </c>
      <c r="W144">
        <f t="shared" si="25"/>
        <v>44570.734678525376</v>
      </c>
      <c r="Y144">
        <f t="shared" si="26"/>
        <v>2933.0263445097453</v>
      </c>
      <c r="Z144" s="28">
        <v>0.124</v>
      </c>
      <c r="AA144">
        <f t="shared" si="27"/>
        <v>4364.8506480871465</v>
      </c>
    </row>
    <row r="145" spans="1:27" x14ac:dyDescent="0.2">
      <c r="A145">
        <f t="shared" si="14"/>
        <v>1084485.1977804704</v>
      </c>
      <c r="B145" s="28">
        <v>0.125</v>
      </c>
      <c r="C145">
        <f t="shared" si="15"/>
        <v>1190459.1303937205</v>
      </c>
      <c r="E145">
        <f t="shared" si="16"/>
        <v>5998.6675270076375</v>
      </c>
      <c r="F145" s="28">
        <v>0.125</v>
      </c>
      <c r="G145">
        <f t="shared" si="17"/>
        <v>4780.7238452197307</v>
      </c>
      <c r="I145">
        <f t="shared" si="18"/>
        <v>1227993.8924490227</v>
      </c>
      <c r="J145" s="28">
        <v>0.125</v>
      </c>
      <c r="K145">
        <f t="shared" si="19"/>
        <v>1339266.5216929354</v>
      </c>
      <c r="M145">
        <f t="shared" si="20"/>
        <v>5940.0466149665417</v>
      </c>
      <c r="N145" s="28">
        <v>0.125</v>
      </c>
      <c r="O145">
        <f t="shared" si="21"/>
        <v>5378.3143258721966</v>
      </c>
      <c r="Q145">
        <f t="shared" si="22"/>
        <v>143508.69466855255</v>
      </c>
      <c r="R145" s="28">
        <v>0.125</v>
      </c>
      <c r="S145">
        <f t="shared" si="23"/>
        <v>149407.39129921506</v>
      </c>
      <c r="U145">
        <f t="shared" si="24"/>
        <v>26516.782901137729</v>
      </c>
      <c r="V145" s="48">
        <v>0.125</v>
      </c>
      <c r="W145">
        <f t="shared" si="25"/>
        <v>45141.247589382539</v>
      </c>
      <c r="Y145">
        <f t="shared" si="26"/>
        <v>2959.2190918058486</v>
      </c>
      <c r="Z145" s="28">
        <v>0.125</v>
      </c>
      <c r="AA145">
        <f t="shared" si="27"/>
        <v>4338.6579007910432</v>
      </c>
    </row>
    <row r="146" spans="1:27" x14ac:dyDescent="0.2">
      <c r="A146">
        <f t="shared" si="14"/>
        <v>1125431.8393317738</v>
      </c>
      <c r="B146" s="28">
        <v>0.126</v>
      </c>
      <c r="C146">
        <f t="shared" si="15"/>
        <v>1231405.7719450239</v>
      </c>
      <c r="E146">
        <f t="shared" si="16"/>
        <v>6035.8301873216897</v>
      </c>
      <c r="F146" s="28">
        <v>0.126</v>
      </c>
      <c r="G146">
        <f t="shared" si="17"/>
        <v>4743.5611849056786</v>
      </c>
      <c r="I146">
        <f t="shared" si="18"/>
        <v>1275290.2699661839</v>
      </c>
      <c r="J146" s="28">
        <v>0.126</v>
      </c>
      <c r="K146">
        <f t="shared" si="19"/>
        <v>1386562.8992100966</v>
      </c>
      <c r="M146">
        <f t="shared" si="20"/>
        <v>5977.1110466349446</v>
      </c>
      <c r="N146" s="28">
        <v>0.126</v>
      </c>
      <c r="O146">
        <f t="shared" si="21"/>
        <v>5341.2498942037937</v>
      </c>
      <c r="Q146">
        <f t="shared" si="22"/>
        <v>149858.4306344105</v>
      </c>
      <c r="R146" s="28">
        <v>0.126</v>
      </c>
      <c r="S146">
        <f t="shared" si="23"/>
        <v>155757.12726507301</v>
      </c>
      <c r="U146">
        <f t="shared" si="24"/>
        <v>27095.636120228755</v>
      </c>
      <c r="V146" s="48">
        <v>0.126</v>
      </c>
      <c r="W146">
        <f t="shared" si="25"/>
        <v>45720.100808473566</v>
      </c>
      <c r="Y146">
        <f t="shared" si="26"/>
        <v>2985.1567808154095</v>
      </c>
      <c r="Z146" s="28">
        <v>0.126</v>
      </c>
      <c r="AA146">
        <f t="shared" si="27"/>
        <v>4312.7202117814822</v>
      </c>
    </row>
    <row r="147" spans="1:27" x14ac:dyDescent="0.2">
      <c r="A147">
        <f t="shared" si="14"/>
        <v>1167811.2989645049</v>
      </c>
      <c r="B147" s="28">
        <v>0.127</v>
      </c>
      <c r="C147">
        <f t="shared" si="15"/>
        <v>1273785.231577755</v>
      </c>
      <c r="E147">
        <f t="shared" si="16"/>
        <v>6072.4397852218299</v>
      </c>
      <c r="F147" s="28">
        <v>0.127</v>
      </c>
      <c r="G147">
        <f t="shared" si="17"/>
        <v>4706.9515870055384</v>
      </c>
      <c r="I147">
        <f t="shared" si="18"/>
        <v>1324283.3267442172</v>
      </c>
      <c r="J147" s="28">
        <v>0.127</v>
      </c>
      <c r="K147">
        <f t="shared" si="19"/>
        <v>1435555.9559881298</v>
      </c>
      <c r="M147">
        <f t="shared" si="20"/>
        <v>6013.6265022834959</v>
      </c>
      <c r="N147" s="28">
        <v>0.127</v>
      </c>
      <c r="O147">
        <f t="shared" si="21"/>
        <v>5304.7344385552424</v>
      </c>
      <c r="Q147">
        <f t="shared" si="22"/>
        <v>156472.02777971237</v>
      </c>
      <c r="R147" s="28">
        <v>0.127</v>
      </c>
      <c r="S147">
        <f t="shared" si="23"/>
        <v>162370.72441037488</v>
      </c>
      <c r="U147">
        <f t="shared" si="24"/>
        <v>27682.959079593467</v>
      </c>
      <c r="V147" s="48">
        <v>0.127</v>
      </c>
      <c r="W147">
        <f t="shared" si="25"/>
        <v>46307.423767838278</v>
      </c>
      <c r="Y147">
        <f t="shared" si="26"/>
        <v>3010.8424768972664</v>
      </c>
      <c r="Z147" s="28">
        <v>0.127</v>
      </c>
      <c r="AA147">
        <f t="shared" si="27"/>
        <v>4287.0345156996254</v>
      </c>
    </row>
    <row r="148" spans="1:27" x14ac:dyDescent="0.2">
      <c r="A148">
        <f t="shared" si="14"/>
        <v>1211673.7123173173</v>
      </c>
      <c r="B148" s="28">
        <v>0.128</v>
      </c>
      <c r="C148">
        <f t="shared" si="15"/>
        <v>1317647.6449305674</v>
      </c>
      <c r="E148">
        <f t="shared" si="16"/>
        <v>6108.5079284266312</v>
      </c>
      <c r="F148" s="28">
        <v>0.128</v>
      </c>
      <c r="G148">
        <f t="shared" si="17"/>
        <v>4670.883443800737</v>
      </c>
      <c r="I148">
        <f t="shared" si="18"/>
        <v>1375033.9142377675</v>
      </c>
      <c r="J148" s="28">
        <v>0.128</v>
      </c>
      <c r="K148">
        <f t="shared" si="19"/>
        <v>1486306.5434816801</v>
      </c>
      <c r="M148">
        <f t="shared" si="20"/>
        <v>6049.6044162315075</v>
      </c>
      <c r="N148" s="28">
        <v>0.128</v>
      </c>
      <c r="O148">
        <f t="shared" si="21"/>
        <v>5268.7565246072309</v>
      </c>
      <c r="Q148">
        <f t="shared" si="22"/>
        <v>163360.20192045011</v>
      </c>
      <c r="R148" s="28">
        <v>0.128</v>
      </c>
      <c r="S148">
        <f t="shared" si="23"/>
        <v>169258.89855111262</v>
      </c>
      <c r="U148">
        <f t="shared" si="24"/>
        <v>28278.883292868861</v>
      </c>
      <c r="V148" s="48">
        <v>0.128</v>
      </c>
      <c r="W148">
        <f t="shared" si="25"/>
        <v>46903.347981113671</v>
      </c>
      <c r="Y148">
        <f t="shared" si="26"/>
        <v>3036.2792041295215</v>
      </c>
      <c r="Z148" s="28">
        <v>0.128</v>
      </c>
      <c r="AA148">
        <f t="shared" si="27"/>
        <v>4261.5977884673703</v>
      </c>
    </row>
    <row r="149" spans="1:27" x14ac:dyDescent="0.2">
      <c r="A149">
        <f t="shared" si="14"/>
        <v>1257070.9557702148</v>
      </c>
      <c r="B149" s="28">
        <v>0.129</v>
      </c>
      <c r="C149">
        <f t="shared" si="15"/>
        <v>1363044.8883834649</v>
      </c>
      <c r="E149">
        <f t="shared" si="16"/>
        <v>6144.0459228804993</v>
      </c>
      <c r="F149" s="28">
        <v>0.129</v>
      </c>
      <c r="G149">
        <f t="shared" si="17"/>
        <v>4635.3454493468689</v>
      </c>
      <c r="I149">
        <f t="shared" si="18"/>
        <v>1427605.0497410193</v>
      </c>
      <c r="J149" s="28">
        <v>0.129</v>
      </c>
      <c r="K149">
        <f t="shared" si="19"/>
        <v>1538877.6789849319</v>
      </c>
      <c r="M149">
        <f t="shared" si="20"/>
        <v>6085.0559285261234</v>
      </c>
      <c r="N149" s="28">
        <v>0.129</v>
      </c>
      <c r="O149">
        <f t="shared" si="21"/>
        <v>5233.305012312615</v>
      </c>
      <c r="Q149">
        <f t="shared" si="22"/>
        <v>170534.09397080448</v>
      </c>
      <c r="R149" s="28">
        <v>0.129</v>
      </c>
      <c r="S149">
        <f t="shared" si="23"/>
        <v>176432.79060146699</v>
      </c>
      <c r="U149">
        <f t="shared" si="24"/>
        <v>28883.542389585691</v>
      </c>
      <c r="V149" s="48">
        <v>0.129</v>
      </c>
      <c r="W149">
        <f t="shared" si="25"/>
        <v>47508.007077830502</v>
      </c>
      <c r="Y149">
        <f t="shared" si="26"/>
        <v>3061.4699459054827</v>
      </c>
      <c r="Z149" s="28">
        <v>0.129</v>
      </c>
      <c r="AA149">
        <f t="shared" si="27"/>
        <v>4236.4070466914091</v>
      </c>
    </row>
    <row r="150" spans="1:27" x14ac:dyDescent="0.2">
      <c r="A150">
        <f t="shared" ref="A150:A213" si="28">ABS($D$11-C150)</f>
        <v>1304056.7061410488</v>
      </c>
      <c r="B150" s="28">
        <v>0.13</v>
      </c>
      <c r="C150">
        <f t="shared" ref="C150:C213" si="29">($B$4)*(((1+B150)^($B$6*$B$5))-1)/B150</f>
        <v>1410030.6387542989</v>
      </c>
      <c r="E150">
        <f t="shared" ref="E150:E213" si="30">ABS($E$12-G150)</f>
        <v>6179.064781815805</v>
      </c>
      <c r="F150" s="28">
        <v>0.13</v>
      </c>
      <c r="G150">
        <f t="shared" ref="G150:G213" si="31">$B$4*(((1-(1+F150)^(-$B$5*$B$6)))/F150)</f>
        <v>4600.3265904115633</v>
      </c>
      <c r="I150">
        <f t="shared" ref="I150:I213" si="32">ABS($F$11-K150)</f>
        <v>1482061.9925484448</v>
      </c>
      <c r="J150" s="28">
        <v>0.13</v>
      </c>
      <c r="K150">
        <f t="shared" ref="K150:K213" si="33">($B$4*(1+J150)*(((1+J150)^($B$6*$B$5))-1))/J150</f>
        <v>1593334.6217923574</v>
      </c>
      <c r="M150">
        <f t="shared" ref="M150:M213" si="34">ABS($G$12-O150)</f>
        <v>6119.9918936736731</v>
      </c>
      <c r="N150" s="28">
        <v>0.13</v>
      </c>
      <c r="O150">
        <f t="shared" ref="O150:O213" si="35">($B$4*(1+N150)*(1-((1+N150)^(-$B$6*$B$5))))/N150</f>
        <v>5198.3690471650652</v>
      </c>
      <c r="Q150">
        <f t="shared" ref="Q150:Q213" si="36">ABS($H$11-S150)</f>
        <v>178005.28640739634</v>
      </c>
      <c r="R150" s="28">
        <v>0.13</v>
      </c>
      <c r="S150">
        <f t="shared" ref="S150:S213" si="37">$B$3*((1+R150)^($B$6*$B$5))</f>
        <v>183903.98303805885</v>
      </c>
      <c r="U150">
        <f t="shared" ref="U150:U213" si="38">ABS($I$11-W150)</f>
        <v>29497.072150040058</v>
      </c>
      <c r="V150" s="48">
        <v>0.13</v>
      </c>
      <c r="W150">
        <f t="shared" ref="W150:W213" si="39">($B$4*(EXP(V150*$B$6)-1))/V150</f>
        <v>48121.536838284868</v>
      </c>
      <c r="Y150">
        <f t="shared" ref="Y150:Y213" si="40">ABS($I$12-AA150)</f>
        <v>3086.4176455206107</v>
      </c>
      <c r="Z150" s="28">
        <v>0.13</v>
      </c>
      <c r="AA150">
        <f t="shared" ref="AA150:AA213" si="41">$B$4*(1-EXP(-Z150*$B$6))/Z150</f>
        <v>4211.4593470762811</v>
      </c>
    </row>
    <row r="151" spans="1:27" x14ac:dyDescent="0.2">
      <c r="A151">
        <f t="shared" si="28"/>
        <v>1352686.5023975708</v>
      </c>
      <c r="B151" s="28">
        <v>0.13100000000000001</v>
      </c>
      <c r="C151">
        <f t="shared" si="29"/>
        <v>1458660.4350108209</v>
      </c>
      <c r="E151">
        <f t="shared" si="30"/>
        <v>6213.5752345133997</v>
      </c>
      <c r="F151" s="28">
        <v>0.13100000000000001</v>
      </c>
      <c r="G151">
        <f t="shared" si="31"/>
        <v>4565.8161377139686</v>
      </c>
      <c r="I151">
        <f t="shared" si="32"/>
        <v>1538472.3227533258</v>
      </c>
      <c r="J151" s="28">
        <v>0.13100000000000001</v>
      </c>
      <c r="K151">
        <f t="shared" si="33"/>
        <v>1649744.9519972384</v>
      </c>
      <c r="M151">
        <f t="shared" si="34"/>
        <v>6154.4228890842396</v>
      </c>
      <c r="N151" s="28">
        <v>0.13100000000000001</v>
      </c>
      <c r="O151">
        <f t="shared" si="35"/>
        <v>5163.9380517544987</v>
      </c>
      <c r="Q151">
        <f t="shared" si="36"/>
        <v>185785.82035575504</v>
      </c>
      <c r="R151" s="28">
        <v>0.13100000000000001</v>
      </c>
      <c r="S151">
        <f t="shared" si="37"/>
        <v>191684.51698641756</v>
      </c>
      <c r="U151">
        <f t="shared" si="38"/>
        <v>30119.610540749974</v>
      </c>
      <c r="V151" s="48">
        <v>0.13100000000000001</v>
      </c>
      <c r="W151">
        <f t="shared" si="39"/>
        <v>48744.075228994785</v>
      </c>
      <c r="Y151">
        <f t="shared" si="40"/>
        <v>3111.1252067505875</v>
      </c>
      <c r="Z151" s="28">
        <v>0.13100000000000001</v>
      </c>
      <c r="AA151">
        <f t="shared" si="41"/>
        <v>4186.7517858463043</v>
      </c>
    </row>
    <row r="152" spans="1:27" x14ac:dyDescent="0.2">
      <c r="A152">
        <f t="shared" si="28"/>
        <v>1403017.8094519626</v>
      </c>
      <c r="B152" s="28">
        <v>0.13200000000000001</v>
      </c>
      <c r="C152">
        <f t="shared" si="29"/>
        <v>1508991.7420652127</v>
      </c>
      <c r="E152">
        <f t="shared" si="30"/>
        <v>6247.5877347723499</v>
      </c>
      <c r="F152" s="28">
        <v>0.13200000000000001</v>
      </c>
      <c r="G152">
        <f t="shared" si="31"/>
        <v>4531.8036374550184</v>
      </c>
      <c r="I152">
        <f t="shared" si="32"/>
        <v>1596906.0227739082</v>
      </c>
      <c r="J152" s="28">
        <v>0.13200000000000001</v>
      </c>
      <c r="K152">
        <f t="shared" si="33"/>
        <v>1708178.6520178209</v>
      </c>
      <c r="M152">
        <f t="shared" si="34"/>
        <v>6188.3592232396568</v>
      </c>
      <c r="N152" s="28">
        <v>0.13200000000000001</v>
      </c>
      <c r="O152">
        <f t="shared" si="35"/>
        <v>5130.0017175990815</v>
      </c>
      <c r="Q152">
        <f t="shared" si="36"/>
        <v>193888.21332194557</v>
      </c>
      <c r="R152" s="28">
        <v>0.13200000000000001</v>
      </c>
      <c r="S152">
        <f t="shared" si="37"/>
        <v>199786.90995260808</v>
      </c>
      <c r="U152">
        <f t="shared" si="38"/>
        <v>30751.297750506757</v>
      </c>
      <c r="V152" s="48">
        <v>0.13200000000000001</v>
      </c>
      <c r="W152">
        <f t="shared" si="39"/>
        <v>49375.762438751568</v>
      </c>
      <c r="Y152">
        <f t="shared" si="40"/>
        <v>3135.5954944206596</v>
      </c>
      <c r="Z152" s="28">
        <v>0.13200000000000001</v>
      </c>
      <c r="AA152">
        <f t="shared" si="41"/>
        <v>4162.2814981762322</v>
      </c>
    </row>
    <row r="153" spans="1:27" x14ac:dyDescent="0.2">
      <c r="A153">
        <f t="shared" si="28"/>
        <v>1455110.0841068586</v>
      </c>
      <c r="B153" s="28">
        <v>0.13300000000000001</v>
      </c>
      <c r="C153">
        <f t="shared" si="29"/>
        <v>1561084.0167201087</v>
      </c>
      <c r="E153">
        <f t="shared" si="30"/>
        <v>6281.1124690993129</v>
      </c>
      <c r="F153" s="28">
        <v>0.13300000000000001</v>
      </c>
      <c r="G153">
        <f t="shared" si="31"/>
        <v>4498.2789031280554</v>
      </c>
      <c r="I153">
        <f t="shared" si="32"/>
        <v>1657435.5616999702</v>
      </c>
      <c r="J153" s="28">
        <v>0.13300000000000001</v>
      </c>
      <c r="K153">
        <f t="shared" si="33"/>
        <v>1768708.1909438828</v>
      </c>
      <c r="M153">
        <f t="shared" si="34"/>
        <v>6221.8109435946526</v>
      </c>
      <c r="N153" s="28">
        <v>0.13300000000000001</v>
      </c>
      <c r="O153">
        <f t="shared" si="35"/>
        <v>5096.5499972440857</v>
      </c>
      <c r="Q153">
        <f t="shared" si="36"/>
        <v>202325.47759311195</v>
      </c>
      <c r="R153" s="28">
        <v>0.13300000000000001</v>
      </c>
      <c r="S153">
        <f t="shared" si="37"/>
        <v>208224.17422377446</v>
      </c>
      <c r="U153">
        <f t="shared" si="38"/>
        <v>31392.276227031234</v>
      </c>
      <c r="V153" s="48">
        <v>0.13300000000000001</v>
      </c>
      <c r="W153">
        <f t="shared" si="39"/>
        <v>50016.740915276045</v>
      </c>
      <c r="Y153">
        <f t="shared" si="40"/>
        <v>3159.8313349663858</v>
      </c>
      <c r="Z153" s="28">
        <v>0.13300000000000001</v>
      </c>
      <c r="AA153">
        <f t="shared" si="41"/>
        <v>4138.045657630506</v>
      </c>
    </row>
    <row r="154" spans="1:27" x14ac:dyDescent="0.2">
      <c r="A154">
        <f t="shared" si="28"/>
        <v>1509024.8432241403</v>
      </c>
      <c r="B154" s="28">
        <v>0.13400000000000001</v>
      </c>
      <c r="C154">
        <f t="shared" si="29"/>
        <v>1614998.7758373905</v>
      </c>
      <c r="E154">
        <f t="shared" si="30"/>
        <v>6314.1593646276124</v>
      </c>
      <c r="F154" s="28">
        <v>0.13400000000000001</v>
      </c>
      <c r="G154">
        <f t="shared" si="31"/>
        <v>4465.2320075997559</v>
      </c>
      <c r="I154">
        <f t="shared" si="32"/>
        <v>1720135.9825556879</v>
      </c>
      <c r="J154" s="28">
        <v>0.13400000000000001</v>
      </c>
      <c r="K154">
        <f t="shared" si="33"/>
        <v>1831408.6117996005</v>
      </c>
      <c r="M154">
        <f t="shared" si="34"/>
        <v>6254.7878442206147</v>
      </c>
      <c r="N154" s="28">
        <v>0.13400000000000001</v>
      </c>
      <c r="O154">
        <f t="shared" si="35"/>
        <v>5063.5730966181236</v>
      </c>
      <c r="Q154">
        <f t="shared" si="36"/>
        <v>211111.13933154783</v>
      </c>
      <c r="R154" s="28">
        <v>0.13400000000000001</v>
      </c>
      <c r="S154">
        <f t="shared" si="37"/>
        <v>217009.83596221035</v>
      </c>
      <c r="U154">
        <f t="shared" si="38"/>
        <v>32042.690714245433</v>
      </c>
      <c r="V154" s="48">
        <v>0.13400000000000001</v>
      </c>
      <c r="W154">
        <f t="shared" si="39"/>
        <v>50667.155402490243</v>
      </c>
      <c r="Y154">
        <f t="shared" si="40"/>
        <v>3183.8355169859205</v>
      </c>
      <c r="Z154" s="28">
        <v>0.13400000000000001</v>
      </c>
      <c r="AA154">
        <f t="shared" si="41"/>
        <v>4114.0414756109712</v>
      </c>
    </row>
    <row r="155" spans="1:27" x14ac:dyDescent="0.2">
      <c r="A155">
        <f t="shared" si="28"/>
        <v>1564825.7341899604</v>
      </c>
      <c r="B155" s="28">
        <v>0.13500000000000001</v>
      </c>
      <c r="C155">
        <f t="shared" si="29"/>
        <v>1670799.6668032105</v>
      </c>
      <c r="E155">
        <f t="shared" si="30"/>
        <v>6346.738096775628</v>
      </c>
      <c r="F155" s="28">
        <v>0.13500000000000001</v>
      </c>
      <c r="G155">
        <f t="shared" si="31"/>
        <v>4432.6532754517402</v>
      </c>
      <c r="I155">
        <f t="shared" si="32"/>
        <v>1785084.9925777311</v>
      </c>
      <c r="J155" s="28">
        <v>0.13500000000000001</v>
      </c>
      <c r="K155">
        <f t="shared" si="33"/>
        <v>1896357.6218216438</v>
      </c>
      <c r="M155">
        <f t="shared" si="34"/>
        <v>6287.2994732010138</v>
      </c>
      <c r="N155" s="28">
        <v>0.13500000000000001</v>
      </c>
      <c r="O155">
        <f t="shared" si="35"/>
        <v>5031.0614676377245</v>
      </c>
      <c r="Q155">
        <f t="shared" si="36"/>
        <v>220259.25838777091</v>
      </c>
      <c r="R155" s="28">
        <v>0.13500000000000001</v>
      </c>
      <c r="S155">
        <f t="shared" si="37"/>
        <v>226157.95501843342</v>
      </c>
      <c r="U155">
        <f t="shared" si="38"/>
        <v>32702.688290169786</v>
      </c>
      <c r="V155" s="48">
        <v>0.13500000000000001</v>
      </c>
      <c r="W155">
        <f t="shared" si="39"/>
        <v>51327.152978414597</v>
      </c>
      <c r="Y155">
        <f t="shared" si="40"/>
        <v>3207.6107917839799</v>
      </c>
      <c r="Z155" s="28">
        <v>0.13500000000000001</v>
      </c>
      <c r="AA155">
        <f t="shared" si="41"/>
        <v>4090.2662008129118</v>
      </c>
    </row>
    <row r="156" spans="1:27" x14ac:dyDescent="0.2">
      <c r="A156">
        <f t="shared" si="28"/>
        <v>1622578.6077520489</v>
      </c>
      <c r="B156" s="28">
        <v>0.13600000000000001</v>
      </c>
      <c r="C156">
        <f t="shared" si="29"/>
        <v>1728552.540365299</v>
      </c>
      <c r="E156">
        <f t="shared" si="30"/>
        <v>6378.8580966538293</v>
      </c>
      <c r="F156" s="28">
        <v>0.13600000000000001</v>
      </c>
      <c r="G156">
        <f t="shared" si="31"/>
        <v>4400.533275573539</v>
      </c>
      <c r="I156">
        <f t="shared" si="32"/>
        <v>1852363.0566110674</v>
      </c>
      <c r="J156" s="28">
        <v>0.13600000000000001</v>
      </c>
      <c r="K156">
        <f t="shared" si="33"/>
        <v>1963635.68585498</v>
      </c>
      <c r="M156">
        <f t="shared" si="34"/>
        <v>6319.3551397871988</v>
      </c>
      <c r="N156" s="28">
        <v>0.13600000000000001</v>
      </c>
      <c r="O156">
        <f t="shared" si="35"/>
        <v>4999.0058010515395</v>
      </c>
      <c r="Q156">
        <f t="shared" si="36"/>
        <v>229784.44885901816</v>
      </c>
      <c r="R156" s="28">
        <v>0.13600000000000001</v>
      </c>
      <c r="S156">
        <f t="shared" si="37"/>
        <v>235683.14548968067</v>
      </c>
      <c r="U156">
        <f t="shared" si="38"/>
        <v>33372.41840545673</v>
      </c>
      <c r="V156" s="48">
        <v>0.13600000000000001</v>
      </c>
      <c r="W156">
        <f t="shared" si="39"/>
        <v>51996.883093701537</v>
      </c>
      <c r="Y156">
        <f t="shared" si="40"/>
        <v>3231.159873907593</v>
      </c>
      <c r="Z156" s="28">
        <v>0.13600000000000001</v>
      </c>
      <c r="AA156">
        <f t="shared" si="41"/>
        <v>4066.7171186892988</v>
      </c>
    </row>
    <row r="157" spans="1:27" x14ac:dyDescent="0.2">
      <c r="A157">
        <f t="shared" si="28"/>
        <v>1682351.5933077617</v>
      </c>
      <c r="B157" s="28">
        <v>0.13700000000000001</v>
      </c>
      <c r="C157">
        <f t="shared" si="29"/>
        <v>1788325.5259210118</v>
      </c>
      <c r="E157">
        <f t="shared" si="30"/>
        <v>6410.5285582293436</v>
      </c>
      <c r="F157" s="28">
        <v>0.13700000000000001</v>
      </c>
      <c r="G157">
        <f t="shared" si="31"/>
        <v>4368.8628139980246</v>
      </c>
      <c r="I157">
        <f t="shared" si="32"/>
        <v>1922053.4937282777</v>
      </c>
      <c r="J157" s="28">
        <v>0.13700000000000001</v>
      </c>
      <c r="K157">
        <f t="shared" si="33"/>
        <v>2033326.1229721904</v>
      </c>
      <c r="M157">
        <f t="shared" si="34"/>
        <v>6350.9639213229848</v>
      </c>
      <c r="N157" s="28">
        <v>0.13700000000000001</v>
      </c>
      <c r="O157">
        <f t="shared" si="35"/>
        <v>4967.3970195157535</v>
      </c>
      <c r="Q157">
        <f t="shared" si="36"/>
        <v>239701.90042051612</v>
      </c>
      <c r="R157" s="28">
        <v>0.13700000000000001</v>
      </c>
      <c r="S157">
        <f t="shared" si="37"/>
        <v>245600.59705117863</v>
      </c>
      <c r="U157">
        <f t="shared" si="38"/>
        <v>34052.032922571438</v>
      </c>
      <c r="V157" s="48">
        <v>0.13700000000000001</v>
      </c>
      <c r="W157">
        <f t="shared" si="39"/>
        <v>52676.497610816252</v>
      </c>
      <c r="Y157">
        <f t="shared" si="40"/>
        <v>3254.4854416738008</v>
      </c>
      <c r="Z157" s="28">
        <v>0.13700000000000001</v>
      </c>
      <c r="AA157">
        <f t="shared" si="41"/>
        <v>4043.391550923091</v>
      </c>
    </row>
    <row r="158" spans="1:27" x14ac:dyDescent="0.2">
      <c r="A158">
        <f t="shared" si="28"/>
        <v>1744215.1767237866</v>
      </c>
      <c r="B158" s="28">
        <v>0.13800000000000001</v>
      </c>
      <c r="C158">
        <f t="shared" si="29"/>
        <v>1850189.1093370367</v>
      </c>
      <c r="E158">
        <f t="shared" si="30"/>
        <v>6441.7584452566834</v>
      </c>
      <c r="F158" s="28">
        <v>0.13800000000000001</v>
      </c>
      <c r="G158">
        <f t="shared" si="31"/>
        <v>4337.6329269706848</v>
      </c>
      <c r="I158">
        <f t="shared" si="32"/>
        <v>1994242.5771816354</v>
      </c>
      <c r="J158" s="28">
        <v>0.13800000000000001</v>
      </c>
      <c r="K158">
        <f t="shared" si="33"/>
        <v>2105515.2064255481</v>
      </c>
      <c r="M158">
        <f t="shared" si="34"/>
        <v>6382.1346699460992</v>
      </c>
      <c r="N158" s="28">
        <v>0.13800000000000001</v>
      </c>
      <c r="O158">
        <f t="shared" si="35"/>
        <v>4936.2262708926391</v>
      </c>
      <c r="Q158">
        <f t="shared" si="36"/>
        <v>250027.40045784859</v>
      </c>
      <c r="R158" s="28">
        <v>0.13800000000000001</v>
      </c>
      <c r="S158">
        <f t="shared" si="37"/>
        <v>255926.0970885111</v>
      </c>
      <c r="U158">
        <f t="shared" si="38"/>
        <v>34741.686155630872</v>
      </c>
      <c r="V158" s="48">
        <v>0.13800000000000001</v>
      </c>
      <c r="W158">
        <f t="shared" si="39"/>
        <v>53366.150843875686</v>
      </c>
      <c r="Y158">
        <f t="shared" si="40"/>
        <v>3277.5901376893908</v>
      </c>
      <c r="Z158" s="28">
        <v>0.13800000000000001</v>
      </c>
      <c r="AA158">
        <f t="shared" si="41"/>
        <v>4020.286854907501</v>
      </c>
    </row>
    <row r="159" spans="1:27" x14ac:dyDescent="0.2">
      <c r="A159">
        <f t="shared" si="28"/>
        <v>1808242.2807710331</v>
      </c>
      <c r="B159" s="28">
        <v>0.13900000000000001</v>
      </c>
      <c r="C159">
        <f t="shared" si="29"/>
        <v>1914216.2133842832</v>
      </c>
      <c r="E159">
        <f t="shared" si="30"/>
        <v>6472.556497982886</v>
      </c>
      <c r="F159" s="28">
        <v>0.13900000000000001</v>
      </c>
      <c r="G159">
        <f t="shared" si="31"/>
        <v>4306.8348742444823</v>
      </c>
      <c r="I159">
        <f t="shared" si="32"/>
        <v>2069019.6378007862</v>
      </c>
      <c r="J159" s="28">
        <v>0.13900000000000001</v>
      </c>
      <c r="K159">
        <f t="shared" si="33"/>
        <v>2180292.2670446988</v>
      </c>
      <c r="M159">
        <f t="shared" si="34"/>
        <v>6412.8760190742732</v>
      </c>
      <c r="N159" s="28">
        <v>0.13900000000000001</v>
      </c>
      <c r="O159">
        <f t="shared" si="35"/>
        <v>4905.4849217644651</v>
      </c>
      <c r="Q159">
        <f t="shared" si="36"/>
        <v>260777.35702975289</v>
      </c>
      <c r="R159" s="28">
        <v>0.13900000000000001</v>
      </c>
      <c r="S159">
        <f t="shared" si="37"/>
        <v>266676.0536604154</v>
      </c>
      <c r="U159">
        <f t="shared" si="38"/>
        <v>35441.534910912102</v>
      </c>
      <c r="V159" s="48">
        <v>0.13900000000000001</v>
      </c>
      <c r="W159">
        <f t="shared" si="39"/>
        <v>54065.999599156916</v>
      </c>
      <c r="Y159">
        <f t="shared" si="40"/>
        <v>3300.4765693628292</v>
      </c>
      <c r="Z159" s="28">
        <v>0.13900000000000001</v>
      </c>
      <c r="AA159">
        <f t="shared" si="41"/>
        <v>3997.4004232340626</v>
      </c>
    </row>
    <row r="160" spans="1:27" x14ac:dyDescent="0.2">
      <c r="A160">
        <f t="shared" si="28"/>
        <v>1874508.348261056</v>
      </c>
      <c r="B160" s="28">
        <v>0.14000000000000001</v>
      </c>
      <c r="C160">
        <f t="shared" si="29"/>
        <v>1980482.2808743061</v>
      </c>
      <c r="E160">
        <f t="shared" si="30"/>
        <v>6502.9312396350424</v>
      </c>
      <c r="F160" s="28">
        <v>0.14000000000000001</v>
      </c>
      <c r="G160">
        <f t="shared" si="31"/>
        <v>4276.4601325923259</v>
      </c>
      <c r="I160">
        <f t="shared" si="32"/>
        <v>2146477.1709527965</v>
      </c>
      <c r="J160" s="28">
        <v>0.14000000000000001</v>
      </c>
      <c r="K160">
        <f t="shared" si="33"/>
        <v>2257749.8001967091</v>
      </c>
      <c r="M160">
        <f t="shared" si="34"/>
        <v>6443.1963896834859</v>
      </c>
      <c r="N160" s="28">
        <v>0.14000000000000001</v>
      </c>
      <c r="O160">
        <f t="shared" si="35"/>
        <v>4875.1645511552524</v>
      </c>
      <c r="Q160">
        <f t="shared" si="36"/>
        <v>271968.82269174041</v>
      </c>
      <c r="R160" s="28">
        <v>0.14000000000000001</v>
      </c>
      <c r="S160">
        <f t="shared" si="37"/>
        <v>277867.51932240289</v>
      </c>
      <c r="U160">
        <f t="shared" si="38"/>
        <v>36151.738528041402</v>
      </c>
      <c r="V160" s="48">
        <v>0.14000000000000001</v>
      </c>
      <c r="W160">
        <f t="shared" si="39"/>
        <v>54776.203216286216</v>
      </c>
      <c r="Y160">
        <f t="shared" si="40"/>
        <v>3323.147309408479</v>
      </c>
      <c r="Z160" s="28">
        <v>0.14000000000000001</v>
      </c>
      <c r="AA160">
        <f t="shared" si="41"/>
        <v>3974.7296831884128</v>
      </c>
    </row>
    <row r="161" spans="1:27" x14ac:dyDescent="0.2">
      <c r="A161">
        <f t="shared" si="28"/>
        <v>1943091.42797315</v>
      </c>
      <c r="B161" s="28">
        <v>0.14099999999999999</v>
      </c>
      <c r="C161">
        <f t="shared" si="29"/>
        <v>2049065.3605864001</v>
      </c>
      <c r="E161">
        <f t="shared" si="30"/>
        <v>6532.8909826978561</v>
      </c>
      <c r="F161" s="28">
        <v>0.14099999999999999</v>
      </c>
      <c r="G161">
        <f t="shared" si="31"/>
        <v>4246.5003895295122</v>
      </c>
      <c r="I161">
        <f t="shared" si="32"/>
        <v>2226710.9471851699</v>
      </c>
      <c r="J161" s="28">
        <v>0.14099999999999999</v>
      </c>
      <c r="K161">
        <f t="shared" si="33"/>
        <v>2337983.5764290825</v>
      </c>
      <c r="M161">
        <f t="shared" si="34"/>
        <v>6473.1039963855646</v>
      </c>
      <c r="N161" s="28">
        <v>0.14099999999999999</v>
      </c>
      <c r="O161">
        <f t="shared" si="35"/>
        <v>4845.2569444531737</v>
      </c>
      <c r="Q161">
        <f t="shared" si="36"/>
        <v>283619.51921201992</v>
      </c>
      <c r="R161" s="28">
        <v>0.14099999999999999</v>
      </c>
      <c r="S161">
        <f t="shared" si="37"/>
        <v>289518.2158426824</v>
      </c>
      <c r="U161">
        <f t="shared" si="38"/>
        <v>36872.45892187579</v>
      </c>
      <c r="V161" s="48">
        <v>0.14099999999999999</v>
      </c>
      <c r="W161">
        <f t="shared" si="39"/>
        <v>55496.923610120597</v>
      </c>
      <c r="Y161">
        <f t="shared" si="40"/>
        <v>3345.6048963432449</v>
      </c>
      <c r="Z161" s="28">
        <v>0.14099999999999999</v>
      </c>
      <c r="AA161">
        <f t="shared" si="41"/>
        <v>3952.2720962536469</v>
      </c>
    </row>
    <row r="162" spans="1:27" x14ac:dyDescent="0.2">
      <c r="A162">
        <f t="shared" si="28"/>
        <v>2014072.2634640175</v>
      </c>
      <c r="B162" s="28">
        <v>0.14199999999999999</v>
      </c>
      <c r="C162">
        <f t="shared" si="29"/>
        <v>2120046.1960772676</v>
      </c>
      <c r="E162">
        <f t="shared" si="30"/>
        <v>6562.4438349886223</v>
      </c>
      <c r="F162" s="28">
        <v>0.14199999999999999</v>
      </c>
      <c r="G162">
        <f t="shared" si="31"/>
        <v>4216.947537238746</v>
      </c>
      <c r="I162">
        <f t="shared" si="32"/>
        <v>2309820.1266763271</v>
      </c>
      <c r="J162" s="28">
        <v>0.14199999999999999</v>
      </c>
      <c r="K162">
        <f t="shared" si="33"/>
        <v>2421092.7559202397</v>
      </c>
      <c r="M162">
        <f t="shared" si="34"/>
        <v>6502.6068533120915</v>
      </c>
      <c r="N162" s="28">
        <v>0.14199999999999999</v>
      </c>
      <c r="O162">
        <f t="shared" si="35"/>
        <v>4815.7540875266468</v>
      </c>
      <c r="Q162">
        <f t="shared" si="36"/>
        <v>295747.86321230949</v>
      </c>
      <c r="R162" s="28">
        <v>0.14199999999999999</v>
      </c>
      <c r="S162">
        <f t="shared" si="37"/>
        <v>301646.55984297197</v>
      </c>
      <c r="U162">
        <f t="shared" si="38"/>
        <v>37603.860625088782</v>
      </c>
      <c r="V162" s="48">
        <v>0.14199999999999999</v>
      </c>
      <c r="W162">
        <f t="shared" si="39"/>
        <v>56228.325313333597</v>
      </c>
      <c r="Y162">
        <f t="shared" si="40"/>
        <v>3367.8518349757587</v>
      </c>
      <c r="Z162" s="28">
        <v>0.14199999999999999</v>
      </c>
      <c r="AA162">
        <f t="shared" si="41"/>
        <v>3930.0251576211331</v>
      </c>
    </row>
    <row r="163" spans="1:27" x14ac:dyDescent="0.2">
      <c r="A163">
        <f t="shared" si="28"/>
        <v>2087534.3848548846</v>
      </c>
      <c r="B163" s="28">
        <v>0.14299999999999999</v>
      </c>
      <c r="C163">
        <f t="shared" si="29"/>
        <v>2193508.3174681347</v>
      </c>
      <c r="E163">
        <f t="shared" si="30"/>
        <v>6591.5977055367084</v>
      </c>
      <c r="F163" s="28">
        <v>0.14299999999999999</v>
      </c>
      <c r="G163">
        <f t="shared" si="31"/>
        <v>4187.7936666906598</v>
      </c>
      <c r="I163">
        <f t="shared" si="32"/>
        <v>2395907.3776221653</v>
      </c>
      <c r="J163" s="28">
        <v>0.14299999999999999</v>
      </c>
      <c r="K163">
        <f t="shared" si="33"/>
        <v>2507180.0068660779</v>
      </c>
      <c r="M163">
        <f t="shared" si="34"/>
        <v>6531.7127798113152</v>
      </c>
      <c r="N163" s="28">
        <v>0.14299999999999999</v>
      </c>
      <c r="O163">
        <f t="shared" si="35"/>
        <v>4786.6481610274232</v>
      </c>
      <c r="Q163">
        <f t="shared" si="36"/>
        <v>308372.99276728072</v>
      </c>
      <c r="R163" s="28">
        <v>0.14299999999999999</v>
      </c>
      <c r="S163">
        <f t="shared" si="37"/>
        <v>314271.68939794321</v>
      </c>
      <c r="U163">
        <f t="shared" si="38"/>
        <v>38346.110831472135</v>
      </c>
      <c r="V163" s="48">
        <v>0.14299999999999999</v>
      </c>
      <c r="W163">
        <f t="shared" si="39"/>
        <v>56970.575519716942</v>
      </c>
      <c r="Y163">
        <f t="shared" si="40"/>
        <v>3389.8905968882086</v>
      </c>
      <c r="Z163" s="28">
        <v>0.14299999999999999</v>
      </c>
      <c r="AA163">
        <f t="shared" si="41"/>
        <v>3907.9863957086832</v>
      </c>
    </row>
    <row r="164" spans="1:27" x14ac:dyDescent="0.2">
      <c r="A164">
        <f t="shared" si="28"/>
        <v>2163564.2036940614</v>
      </c>
      <c r="B164" s="28">
        <v>0.14399999999999999</v>
      </c>
      <c r="C164">
        <f t="shared" si="29"/>
        <v>2269538.1363073117</v>
      </c>
      <c r="E164">
        <f t="shared" si="30"/>
        <v>6620.3603102743846</v>
      </c>
      <c r="F164" s="28">
        <v>0.14399999999999999</v>
      </c>
      <c r="G164">
        <f t="shared" si="31"/>
        <v>4159.0310619529837</v>
      </c>
      <c r="I164">
        <f t="shared" si="32"/>
        <v>2485078.998691652</v>
      </c>
      <c r="J164" s="28">
        <v>0.14399999999999999</v>
      </c>
      <c r="K164">
        <f t="shared" si="33"/>
        <v>2596351.6279355646</v>
      </c>
      <c r="M164">
        <f t="shared" si="34"/>
        <v>6560.4294059645244</v>
      </c>
      <c r="N164" s="28">
        <v>0.14399999999999999</v>
      </c>
      <c r="O164">
        <f t="shared" si="35"/>
        <v>4757.9315348742139</v>
      </c>
      <c r="Q164">
        <f t="shared" si="36"/>
        <v>321514.79499759036</v>
      </c>
      <c r="R164" s="28">
        <v>0.14399999999999999</v>
      </c>
      <c r="S164">
        <f t="shared" si="37"/>
        <v>327413.49162825284</v>
      </c>
      <c r="U164">
        <f t="shared" si="38"/>
        <v>39099.379439966098</v>
      </c>
      <c r="V164" s="48">
        <v>0.14399999999999999</v>
      </c>
      <c r="W164">
        <f t="shared" si="39"/>
        <v>57723.844128210905</v>
      </c>
      <c r="Y164">
        <f t="shared" si="40"/>
        <v>3411.7236209109478</v>
      </c>
      <c r="Z164" s="28">
        <v>0.14399999999999999</v>
      </c>
      <c r="AA164">
        <f t="shared" si="41"/>
        <v>3886.153371685944</v>
      </c>
    </row>
    <row r="165" spans="1:27" x14ac:dyDescent="0.2">
      <c r="A165">
        <f t="shared" si="28"/>
        <v>2242251.1109963595</v>
      </c>
      <c r="B165" s="28">
        <v>0.14499999999999999</v>
      </c>
      <c r="C165">
        <f t="shared" si="29"/>
        <v>2348225.0436096098</v>
      </c>
      <c r="E165">
        <f t="shared" si="30"/>
        <v>6648.7391775455662</v>
      </c>
      <c r="F165" s="28">
        <v>0.14499999999999999</v>
      </c>
      <c r="G165">
        <f t="shared" si="31"/>
        <v>4130.652194681802</v>
      </c>
      <c r="I165">
        <f t="shared" si="32"/>
        <v>2577445.0456890911</v>
      </c>
      <c r="J165" s="28">
        <v>0.14499999999999999</v>
      </c>
      <c r="K165">
        <f t="shared" si="33"/>
        <v>2688717.6749330037</v>
      </c>
      <c r="M165">
        <f t="shared" si="34"/>
        <v>6588.7641779280739</v>
      </c>
      <c r="N165" s="28">
        <v>0.14499999999999999</v>
      </c>
      <c r="O165">
        <f t="shared" si="35"/>
        <v>4729.5967629106644</v>
      </c>
      <c r="Q165">
        <f t="shared" si="36"/>
        <v>335193.93469273095</v>
      </c>
      <c r="R165" s="28">
        <v>0.14499999999999999</v>
      </c>
      <c r="S165">
        <f t="shared" si="37"/>
        <v>341092.63132339343</v>
      </c>
      <c r="U165">
        <f t="shared" si="38"/>
        <v>39863.839099430377</v>
      </c>
      <c r="V165" s="48">
        <v>0.14499999999999999</v>
      </c>
      <c r="W165">
        <f t="shared" si="39"/>
        <v>58488.303787675191</v>
      </c>
      <c r="Y165">
        <f t="shared" si="40"/>
        <v>3433.3533135899793</v>
      </c>
      <c r="Z165" s="28">
        <v>0.14499999999999999</v>
      </c>
      <c r="AA165">
        <f t="shared" si="41"/>
        <v>3864.5236790069125</v>
      </c>
    </row>
    <row r="166" spans="1:27" x14ac:dyDescent="0.2">
      <c r="A166">
        <f t="shared" si="28"/>
        <v>2323687.5785632613</v>
      </c>
      <c r="B166" s="28">
        <v>0.14599999999999999</v>
      </c>
      <c r="C166">
        <f t="shared" si="29"/>
        <v>2429661.5111765116</v>
      </c>
      <c r="E166">
        <f t="shared" si="30"/>
        <v>6676.7416534388158</v>
      </c>
      <c r="F166" s="28">
        <v>0.14599999999999999</v>
      </c>
      <c r="G166">
        <f t="shared" si="31"/>
        <v>4102.6497187885525</v>
      </c>
      <c r="I166">
        <f t="shared" si="32"/>
        <v>2673119.4625643692</v>
      </c>
      <c r="J166" s="28">
        <v>0.14599999999999999</v>
      </c>
      <c r="K166">
        <f t="shared" si="33"/>
        <v>2784392.0918082818</v>
      </c>
      <c r="M166">
        <f t="shared" si="34"/>
        <v>6616.7243631070587</v>
      </c>
      <c r="N166" s="28">
        <v>0.14599999999999999</v>
      </c>
      <c r="O166">
        <f t="shared" si="35"/>
        <v>4701.6365777316796</v>
      </c>
      <c r="Q166">
        <f t="shared" si="36"/>
        <v>349431.88400110818</v>
      </c>
      <c r="R166" s="28">
        <v>0.14599999999999999</v>
      </c>
      <c r="S166">
        <f t="shared" si="37"/>
        <v>355330.58063177066</v>
      </c>
      <c r="U166">
        <f t="shared" si="38"/>
        <v>40639.665254168591</v>
      </c>
      <c r="V166" s="48">
        <v>0.14599999999999999</v>
      </c>
      <c r="W166">
        <f t="shared" si="39"/>
        <v>59264.129942413398</v>
      </c>
      <c r="Y166">
        <f t="shared" si="40"/>
        <v>3454.7820496474287</v>
      </c>
      <c r="Z166" s="28">
        <v>0.14599999999999999</v>
      </c>
      <c r="AA166">
        <f t="shared" si="41"/>
        <v>3843.0949429494631</v>
      </c>
    </row>
    <row r="167" spans="1:27" x14ac:dyDescent="0.2">
      <c r="A167">
        <f t="shared" si="28"/>
        <v>2407969.2636922314</v>
      </c>
      <c r="B167" s="28">
        <v>0.14699999999999999</v>
      </c>
      <c r="C167">
        <f t="shared" si="29"/>
        <v>2513943.1963054817</v>
      </c>
      <c r="E167">
        <f t="shared" si="30"/>
        <v>6704.3749069506885</v>
      </c>
      <c r="F167" s="28">
        <v>0.14699999999999999</v>
      </c>
      <c r="G167">
        <f t="shared" si="31"/>
        <v>4075.0164652766803</v>
      </c>
      <c r="I167">
        <f t="shared" si="32"/>
        <v>2772220.216918475</v>
      </c>
      <c r="J167" s="28">
        <v>0.14699999999999999</v>
      </c>
      <c r="K167">
        <f t="shared" si="33"/>
        <v>2883492.8461623876</v>
      </c>
      <c r="M167">
        <f t="shared" si="34"/>
        <v>6644.3170551663861</v>
      </c>
      <c r="N167" s="28">
        <v>0.14699999999999999</v>
      </c>
      <c r="O167">
        <f t="shared" si="35"/>
        <v>4674.0438856723522</v>
      </c>
      <c r="Q167">
        <f t="shared" si="36"/>
        <v>364250.95322624332</v>
      </c>
      <c r="R167" s="28">
        <v>0.14699999999999999</v>
      </c>
      <c r="S167">
        <f t="shared" si="37"/>
        <v>370149.6498569058</v>
      </c>
      <c r="U167">
        <f t="shared" si="38"/>
        <v>41427.036190218787</v>
      </c>
      <c r="V167" s="48">
        <v>0.14699999999999999</v>
      </c>
      <c r="W167">
        <f t="shared" si="39"/>
        <v>60051.500878463601</v>
      </c>
      <c r="Y167">
        <f t="shared" si="40"/>
        <v>3476.0121724351225</v>
      </c>
      <c r="Z167" s="28">
        <v>0.14699999999999999</v>
      </c>
      <c r="AA167">
        <f t="shared" si="41"/>
        <v>3821.8648201617693</v>
      </c>
    </row>
    <row r="168" spans="1:27" x14ac:dyDescent="0.2">
      <c r="A168">
        <f t="shared" si="28"/>
        <v>2495195.1173858</v>
      </c>
      <c r="B168" s="28">
        <v>0.14799999999999999</v>
      </c>
      <c r="C168">
        <f t="shared" si="29"/>
        <v>2601169.0499990503</v>
      </c>
      <c r="E168">
        <f t="shared" si="30"/>
        <v>6731.6459349852958</v>
      </c>
      <c r="F168" s="28">
        <v>0.14799999999999999</v>
      </c>
      <c r="G168">
        <f t="shared" si="31"/>
        <v>4047.7454372420725</v>
      </c>
      <c r="I168">
        <f t="shared" si="32"/>
        <v>2874869.4401549972</v>
      </c>
      <c r="J168" s="28">
        <v>0.14799999999999999</v>
      </c>
      <c r="K168">
        <f t="shared" si="33"/>
        <v>2986142.0693989098</v>
      </c>
      <c r="M168">
        <f t="shared" si="34"/>
        <v>6671.5491788848394</v>
      </c>
      <c r="N168" s="28">
        <v>0.14799999999999999</v>
      </c>
      <c r="O168">
        <f t="shared" si="35"/>
        <v>4646.8117619538989</v>
      </c>
      <c r="Q168">
        <f t="shared" si="36"/>
        <v>379674.32276919694</v>
      </c>
      <c r="R168" s="28">
        <v>0.14799999999999999</v>
      </c>
      <c r="S168">
        <f t="shared" si="37"/>
        <v>385573.01939985942</v>
      </c>
      <c r="U168">
        <f t="shared" si="38"/>
        <v>42226.133082423359</v>
      </c>
      <c r="V168" s="48">
        <v>0.14799999999999999</v>
      </c>
      <c r="W168">
        <f t="shared" si="39"/>
        <v>60850.597770668166</v>
      </c>
      <c r="Y168">
        <f t="shared" si="40"/>
        <v>3497.0459943813698</v>
      </c>
      <c r="Z168" s="28">
        <v>0.14799999999999999</v>
      </c>
      <c r="AA168">
        <f t="shared" si="41"/>
        <v>3800.830998215522</v>
      </c>
    </row>
    <row r="169" spans="1:27" x14ac:dyDescent="0.2">
      <c r="A169">
        <f t="shared" si="28"/>
        <v>2585467.4961758545</v>
      </c>
      <c r="B169" s="28">
        <v>0.14899999999999999</v>
      </c>
      <c r="C169">
        <f t="shared" si="29"/>
        <v>2691441.4287891048</v>
      </c>
      <c r="E169">
        <f t="shared" si="30"/>
        <v>6758.561567195753</v>
      </c>
      <c r="F169" s="28">
        <v>0.14899999999999999</v>
      </c>
      <c r="G169">
        <f t="shared" si="31"/>
        <v>4020.8298050316153</v>
      </c>
      <c r="I169">
        <f t="shared" si="32"/>
        <v>2981193.572434769</v>
      </c>
      <c r="J169" s="28">
        <v>0.14899999999999999</v>
      </c>
      <c r="K169">
        <f t="shared" si="33"/>
        <v>3092466.2016786817</v>
      </c>
      <c r="M169">
        <f t="shared" si="34"/>
        <v>6698.427494857413</v>
      </c>
      <c r="N169" s="28">
        <v>0.14899999999999999</v>
      </c>
      <c r="O169">
        <f t="shared" si="35"/>
        <v>4619.9334459813253</v>
      </c>
      <c r="Q169">
        <f t="shared" si="36"/>
        <v>395726.07625891414</v>
      </c>
      <c r="R169" s="28">
        <v>0.14899999999999999</v>
      </c>
      <c r="S169">
        <f t="shared" si="37"/>
        <v>401624.77288957662</v>
      </c>
      <c r="U169">
        <f t="shared" si="38"/>
        <v>43037.140042291619</v>
      </c>
      <c r="V169" s="48">
        <v>0.14899999999999999</v>
      </c>
      <c r="W169">
        <f t="shared" si="39"/>
        <v>61661.604730536426</v>
      </c>
      <c r="Y169">
        <f t="shared" si="40"/>
        <v>3517.8857974310545</v>
      </c>
      <c r="Z169" s="28">
        <v>0.14899999999999999</v>
      </c>
      <c r="AA169">
        <f t="shared" si="41"/>
        <v>3779.9911951658373</v>
      </c>
    </row>
    <row r="170" spans="1:27" x14ac:dyDescent="0.2">
      <c r="A170">
        <f t="shared" si="28"/>
        <v>2678892.2776809791</v>
      </c>
      <c r="B170" s="28">
        <v>0.15</v>
      </c>
      <c r="C170">
        <f t="shared" si="29"/>
        <v>2784866.2102942294</v>
      </c>
      <c r="E170">
        <f t="shared" si="30"/>
        <v>6785.1284706729439</v>
      </c>
      <c r="F170" s="28">
        <v>0.15</v>
      </c>
      <c r="G170">
        <f t="shared" si="31"/>
        <v>3994.2629015544239</v>
      </c>
      <c r="I170">
        <f t="shared" si="32"/>
        <v>3091323.5125944512</v>
      </c>
      <c r="J170" s="28">
        <v>0.15</v>
      </c>
      <c r="K170">
        <f t="shared" si="33"/>
        <v>3202596.1418383638</v>
      </c>
      <c r="M170">
        <f t="shared" si="34"/>
        <v>6724.9586040511513</v>
      </c>
      <c r="N170" s="28">
        <v>0.15</v>
      </c>
      <c r="O170">
        <f t="shared" si="35"/>
        <v>4593.402336787587</v>
      </c>
      <c r="Q170">
        <f t="shared" si="36"/>
        <v>412431.23491347191</v>
      </c>
      <c r="R170" s="28">
        <v>0.15</v>
      </c>
      <c r="S170">
        <f t="shared" si="37"/>
        <v>418329.93154413439</v>
      </c>
      <c r="U170">
        <f t="shared" si="38"/>
        <v>43860.244166668374</v>
      </c>
      <c r="V170" s="48">
        <v>0.15</v>
      </c>
      <c r="W170">
        <f t="shared" si="39"/>
        <v>62484.70885491318</v>
      </c>
      <c r="Y170">
        <f t="shared" si="40"/>
        <v>3538.5338334791486</v>
      </c>
      <c r="Z170" s="28">
        <v>0.15</v>
      </c>
      <c r="AA170">
        <f t="shared" si="41"/>
        <v>3759.3431591177432</v>
      </c>
    </row>
    <row r="171" spans="1:27" x14ac:dyDescent="0.2">
      <c r="A171">
        <f t="shared" si="28"/>
        <v>2775578.9800198972</v>
      </c>
      <c r="B171" s="28">
        <v>0.151</v>
      </c>
      <c r="C171">
        <f t="shared" si="29"/>
        <v>2881552.9126331476</v>
      </c>
      <c r="E171">
        <f t="shared" si="30"/>
        <v>6811.3531544868511</v>
      </c>
      <c r="F171" s="28">
        <v>0.151</v>
      </c>
      <c r="G171">
        <f t="shared" si="31"/>
        <v>3968.0382177405168</v>
      </c>
      <c r="I171">
        <f t="shared" si="32"/>
        <v>3205394.7731968407</v>
      </c>
      <c r="J171" s="28">
        <v>0.151</v>
      </c>
      <c r="K171">
        <f t="shared" si="33"/>
        <v>3316667.4024407533</v>
      </c>
      <c r="M171">
        <f t="shared" si="34"/>
        <v>6751.1489522194033</v>
      </c>
      <c r="N171" s="28">
        <v>0.151</v>
      </c>
      <c r="O171">
        <f t="shared" si="35"/>
        <v>4567.211988619335</v>
      </c>
      <c r="Q171">
        <f t="shared" si="36"/>
        <v>429815.7931769428</v>
      </c>
      <c r="R171" s="28">
        <v>0.151</v>
      </c>
      <c r="S171">
        <f t="shared" si="37"/>
        <v>435714.48980760528</v>
      </c>
      <c r="U171">
        <f t="shared" si="38"/>
        <v>44695.635587222409</v>
      </c>
      <c r="V171" s="48">
        <v>0.151</v>
      </c>
      <c r="W171">
        <f t="shared" si="39"/>
        <v>63320.100275467215</v>
      </c>
      <c r="Y171">
        <f t="shared" si="40"/>
        <v>3558.992324797739</v>
      </c>
      <c r="Z171" s="28">
        <v>0.151</v>
      </c>
      <c r="AA171">
        <f t="shared" si="41"/>
        <v>3738.8846677991528</v>
      </c>
    </row>
    <row r="172" spans="1:27" x14ac:dyDescent="0.2">
      <c r="A172">
        <f t="shared" si="28"/>
        <v>2875640.8852064749</v>
      </c>
      <c r="B172" s="28">
        <v>0.152</v>
      </c>
      <c r="C172">
        <f t="shared" si="29"/>
        <v>2981614.8178197253</v>
      </c>
      <c r="E172">
        <f t="shared" si="30"/>
        <v>6837.2419740855075</v>
      </c>
      <c r="F172" s="28">
        <v>0.152</v>
      </c>
      <c r="G172">
        <f t="shared" si="31"/>
        <v>3942.1493981418603</v>
      </c>
      <c r="I172">
        <f t="shared" si="32"/>
        <v>3323547.6408844106</v>
      </c>
      <c r="J172" s="28">
        <v>0.152</v>
      </c>
      <c r="K172">
        <f t="shared" si="33"/>
        <v>3434820.2701283232</v>
      </c>
      <c r="M172">
        <f t="shared" si="34"/>
        <v>6777.0048341793154</v>
      </c>
      <c r="N172" s="28">
        <v>0.152</v>
      </c>
      <c r="O172">
        <f t="shared" si="35"/>
        <v>4541.3561066594229</v>
      </c>
      <c r="Q172">
        <f t="shared" si="36"/>
        <v>447906.75567793573</v>
      </c>
      <c r="R172" s="28">
        <v>0.152</v>
      </c>
      <c r="S172">
        <f t="shared" si="37"/>
        <v>453805.45230859821</v>
      </c>
      <c r="U172">
        <f t="shared" si="38"/>
        <v>45543.50752076869</v>
      </c>
      <c r="V172" s="48">
        <v>0.152</v>
      </c>
      <c r="W172">
        <f t="shared" si="39"/>
        <v>64167.972209013504</v>
      </c>
      <c r="Y172">
        <f t="shared" si="40"/>
        <v>3579.2634644566765</v>
      </c>
      <c r="Z172" s="28">
        <v>0.152</v>
      </c>
      <c r="AA172">
        <f t="shared" si="41"/>
        <v>3718.6135281402153</v>
      </c>
    </row>
    <row r="173" spans="1:27" x14ac:dyDescent="0.2">
      <c r="A173">
        <f t="shared" si="28"/>
        <v>2979195.1666573994</v>
      </c>
      <c r="B173" s="28">
        <v>0.153</v>
      </c>
      <c r="C173">
        <f t="shared" si="29"/>
        <v>3085169.0992706497</v>
      </c>
      <c r="E173">
        <f t="shared" si="30"/>
        <v>6862.8011355564395</v>
      </c>
      <c r="F173" s="28">
        <v>0.153</v>
      </c>
      <c r="G173">
        <f t="shared" si="31"/>
        <v>3916.5902366709288</v>
      </c>
      <c r="I173">
        <f t="shared" si="32"/>
        <v>3445927.3422151469</v>
      </c>
      <c r="J173" s="28">
        <v>0.153</v>
      </c>
      <c r="K173">
        <f t="shared" si="33"/>
        <v>3557199.9714590595</v>
      </c>
      <c r="M173">
        <f t="shared" si="34"/>
        <v>6802.5323979571567</v>
      </c>
      <c r="N173" s="28">
        <v>0.153</v>
      </c>
      <c r="O173">
        <f t="shared" si="35"/>
        <v>4515.8285428815816</v>
      </c>
      <c r="Q173">
        <f t="shared" si="36"/>
        <v>466732.1755577469</v>
      </c>
      <c r="R173" s="28">
        <v>0.153</v>
      </c>
      <c r="S173">
        <f t="shared" si="37"/>
        <v>472630.87218840938</v>
      </c>
      <c r="U173">
        <f t="shared" si="38"/>
        <v>46404.056320438875</v>
      </c>
      <c r="V173" s="48">
        <v>0.153</v>
      </c>
      <c r="W173">
        <f t="shared" si="39"/>
        <v>65028.521008683681</v>
      </c>
      <c r="Y173">
        <f t="shared" si="40"/>
        <v>3599.3494167379354</v>
      </c>
      <c r="Z173" s="28">
        <v>0.153</v>
      </c>
      <c r="AA173">
        <f t="shared" si="41"/>
        <v>3698.5275758589564</v>
      </c>
    </row>
    <row r="174" spans="1:27" x14ac:dyDescent="0.2">
      <c r="A174">
        <f t="shared" si="28"/>
        <v>3086363.0209461334</v>
      </c>
      <c r="B174" s="28">
        <v>0.154</v>
      </c>
      <c r="C174">
        <f t="shared" si="29"/>
        <v>3192336.9535593837</v>
      </c>
      <c r="E174">
        <f t="shared" si="30"/>
        <v>6888.036699755281</v>
      </c>
      <c r="F174" s="28">
        <v>0.154</v>
      </c>
      <c r="G174">
        <f t="shared" si="31"/>
        <v>3891.3546724720877</v>
      </c>
      <c r="I174">
        <f t="shared" si="32"/>
        <v>3572684.2151636165</v>
      </c>
      <c r="J174" s="28">
        <v>0.154</v>
      </c>
      <c r="K174">
        <f t="shared" si="33"/>
        <v>3683956.8444075291</v>
      </c>
      <c r="M174">
        <f t="shared" si="34"/>
        <v>6827.7376488059499</v>
      </c>
      <c r="N174" s="28">
        <v>0.154</v>
      </c>
      <c r="O174">
        <f t="shared" si="35"/>
        <v>4490.6232920327884</v>
      </c>
      <c r="Q174">
        <f t="shared" si="36"/>
        <v>486321.19421748264</v>
      </c>
      <c r="R174" s="28">
        <v>0.154</v>
      </c>
      <c r="S174">
        <f t="shared" si="37"/>
        <v>492219.89084814512</v>
      </c>
      <c r="U174">
        <f t="shared" si="38"/>
        <v>47277.481527714059</v>
      </c>
      <c r="V174" s="48">
        <v>0.154</v>
      </c>
      <c r="W174">
        <f t="shared" si="39"/>
        <v>65901.946215958873</v>
      </c>
      <c r="Y174">
        <f t="shared" si="40"/>
        <v>3619.2523175437927</v>
      </c>
      <c r="Z174" s="28">
        <v>0.154</v>
      </c>
      <c r="AA174">
        <f t="shared" si="41"/>
        <v>3678.6246750530991</v>
      </c>
    </row>
    <row r="175" spans="1:27" x14ac:dyDescent="0.2">
      <c r="A175">
        <f t="shared" si="28"/>
        <v>3197269.8039428112</v>
      </c>
      <c r="B175" s="28">
        <v>0.155</v>
      </c>
      <c r="C175">
        <f t="shared" si="29"/>
        <v>3303243.7365560615</v>
      </c>
      <c r="E175">
        <f t="shared" si="30"/>
        <v>6912.9545863060903</v>
      </c>
      <c r="F175" s="28">
        <v>0.155</v>
      </c>
      <c r="G175">
        <f t="shared" si="31"/>
        <v>3866.4367859212784</v>
      </c>
      <c r="I175">
        <f t="shared" si="32"/>
        <v>3703973.8864783389</v>
      </c>
      <c r="J175" s="28">
        <v>0.155</v>
      </c>
      <c r="K175">
        <f t="shared" si="33"/>
        <v>3815246.5157222515</v>
      </c>
      <c r="M175">
        <f t="shared" si="34"/>
        <v>6852.6264530996614</v>
      </c>
      <c r="N175" s="28">
        <v>0.155</v>
      </c>
      <c r="O175">
        <f t="shared" si="35"/>
        <v>4465.7344877390769</v>
      </c>
      <c r="Q175">
        <f t="shared" si="36"/>
        <v>506704.08253552706</v>
      </c>
      <c r="R175" s="28">
        <v>0.155</v>
      </c>
      <c r="S175">
        <f t="shared" si="37"/>
        <v>512602.77916618955</v>
      </c>
      <c r="U175">
        <f t="shared" si="38"/>
        <v>48163.985925335088</v>
      </c>
      <c r="V175" s="48">
        <v>0.155</v>
      </c>
      <c r="W175">
        <f t="shared" si="39"/>
        <v>66788.450613579902</v>
      </c>
      <c r="Y175">
        <f t="shared" si="40"/>
        <v>3638.9742747989221</v>
      </c>
      <c r="Z175" s="28">
        <v>0.155</v>
      </c>
      <c r="AA175">
        <f t="shared" si="41"/>
        <v>3658.9027177979697</v>
      </c>
    </row>
    <row r="176" spans="1:27" x14ac:dyDescent="0.2">
      <c r="A176">
        <f t="shared" si="28"/>
        <v>3312045.1714824084</v>
      </c>
      <c r="B176" s="28">
        <v>0.156</v>
      </c>
      <c r="C176">
        <f t="shared" si="29"/>
        <v>3418019.1040956588</v>
      </c>
      <c r="E176">
        <f t="shared" si="30"/>
        <v>6937.5605774777086</v>
      </c>
      <c r="F176" s="28">
        <v>0.156</v>
      </c>
      <c r="G176">
        <f t="shared" si="31"/>
        <v>3841.8307947496592</v>
      </c>
      <c r="I176">
        <f t="shared" si="32"/>
        <v>3839957.455090669</v>
      </c>
      <c r="J176" s="28">
        <v>0.156</v>
      </c>
      <c r="K176">
        <f t="shared" si="33"/>
        <v>3951230.0843345816</v>
      </c>
      <c r="M176">
        <f t="shared" si="34"/>
        <v>6877.204542108133</v>
      </c>
      <c r="N176" s="28">
        <v>0.156</v>
      </c>
      <c r="O176">
        <f t="shared" si="35"/>
        <v>4441.1563987306054</v>
      </c>
      <c r="Q176">
        <f t="shared" si="36"/>
        <v>527912.28360826022</v>
      </c>
      <c r="R176" s="28">
        <v>0.156</v>
      </c>
      <c r="S176">
        <f t="shared" si="37"/>
        <v>533810.98023892276</v>
      </c>
      <c r="U176">
        <f t="shared" si="38"/>
        <v>49063.775591104772</v>
      </c>
      <c r="V176" s="48">
        <v>0.156</v>
      </c>
      <c r="W176">
        <f t="shared" si="39"/>
        <v>67688.240279349586</v>
      </c>
      <c r="Y176">
        <f t="shared" si="40"/>
        <v>3658.5173688464761</v>
      </c>
      <c r="Z176" s="28">
        <v>0.156</v>
      </c>
      <c r="AA176">
        <f t="shared" si="41"/>
        <v>3639.3596237504157</v>
      </c>
    </row>
    <row r="177" spans="1:27" x14ac:dyDescent="0.2">
      <c r="A177">
        <f t="shared" si="28"/>
        <v>3430823.2247098587</v>
      </c>
      <c r="B177" s="28">
        <v>0.157</v>
      </c>
      <c r="C177">
        <f t="shared" si="29"/>
        <v>3536797.157323109</v>
      </c>
      <c r="E177">
        <f t="shared" si="30"/>
        <v>6961.8603219403794</v>
      </c>
      <c r="F177" s="28">
        <v>0.157</v>
      </c>
      <c r="G177">
        <f t="shared" si="31"/>
        <v>3817.5310502869893</v>
      </c>
      <c r="I177">
        <f t="shared" si="32"/>
        <v>3980801.6817789245</v>
      </c>
      <c r="J177" s="28">
        <v>0.157</v>
      </c>
      <c r="K177">
        <f t="shared" si="33"/>
        <v>4092074.3110228372</v>
      </c>
      <c r="M177">
        <f t="shared" si="34"/>
        <v>6901.4775156566911</v>
      </c>
      <c r="N177" s="28">
        <v>0.157</v>
      </c>
      <c r="O177">
        <f t="shared" si="35"/>
        <v>4416.8834251820472</v>
      </c>
      <c r="Q177">
        <f t="shared" si="36"/>
        <v>549978.45706906554</v>
      </c>
      <c r="R177" s="28">
        <v>0.157</v>
      </c>
      <c r="S177">
        <f t="shared" si="37"/>
        <v>555877.15369972808</v>
      </c>
      <c r="U177">
        <f t="shared" si="38"/>
        <v>49977.059952598021</v>
      </c>
      <c r="V177" s="48">
        <v>0.157</v>
      </c>
      <c r="W177">
        <f t="shared" si="39"/>
        <v>68601.524640842836</v>
      </c>
      <c r="Y177">
        <f t="shared" si="40"/>
        <v>3677.8836528382831</v>
      </c>
      <c r="Z177" s="28">
        <v>0.157</v>
      </c>
      <c r="AA177">
        <f t="shared" si="41"/>
        <v>3619.9933397586087</v>
      </c>
    </row>
    <row r="178" spans="1:27" x14ac:dyDescent="0.2">
      <c r="A178">
        <f t="shared" si="28"/>
        <v>3553742.6602537278</v>
      </c>
      <c r="B178" s="28">
        <v>0.158</v>
      </c>
      <c r="C178">
        <f t="shared" si="29"/>
        <v>3659716.5928669781</v>
      </c>
      <c r="E178">
        <f t="shared" si="30"/>
        <v>6985.8593384066317</v>
      </c>
      <c r="F178" s="28">
        <v>0.158</v>
      </c>
      <c r="G178">
        <f t="shared" si="31"/>
        <v>3793.5320338207371</v>
      </c>
      <c r="I178">
        <f t="shared" si="32"/>
        <v>4126679.1852960479</v>
      </c>
      <c r="J178" s="28">
        <v>0.158</v>
      </c>
      <c r="K178">
        <f t="shared" si="33"/>
        <v>4237951.8145399606</v>
      </c>
      <c r="M178">
        <f t="shared" si="34"/>
        <v>6925.4508456743251</v>
      </c>
      <c r="N178" s="28">
        <v>0.158</v>
      </c>
      <c r="O178">
        <f t="shared" si="35"/>
        <v>4392.9100951644132</v>
      </c>
      <c r="Q178">
        <f t="shared" si="36"/>
        <v>572936.52504232002</v>
      </c>
      <c r="R178" s="28">
        <v>0.158</v>
      </c>
      <c r="S178">
        <f t="shared" si="37"/>
        <v>578835.22167298256</v>
      </c>
      <c r="U178">
        <f t="shared" si="38"/>
        <v>50904.051842794375</v>
      </c>
      <c r="V178" s="48">
        <v>0.158</v>
      </c>
      <c r="W178">
        <f t="shared" si="39"/>
        <v>69528.516531039189</v>
      </c>
      <c r="Y178">
        <f t="shared" si="40"/>
        <v>3697.0751531192195</v>
      </c>
      <c r="Z178" s="28">
        <v>0.158</v>
      </c>
      <c r="AA178">
        <f t="shared" si="41"/>
        <v>3600.8018394776723</v>
      </c>
    </row>
    <row r="179" spans="1:27" x14ac:dyDescent="0.2">
      <c r="A179">
        <f t="shared" si="28"/>
        <v>3680946.9253868121</v>
      </c>
      <c r="B179" s="28">
        <v>0.159</v>
      </c>
      <c r="C179">
        <f t="shared" si="29"/>
        <v>3786920.8580000624</v>
      </c>
      <c r="E179">
        <f t="shared" si="30"/>
        <v>7009.5630191603759</v>
      </c>
      <c r="F179" s="28">
        <v>0.159</v>
      </c>
      <c r="G179">
        <f t="shared" si="31"/>
        <v>3769.8283530669923</v>
      </c>
      <c r="I179">
        <f t="shared" si="32"/>
        <v>4277768.6451781588</v>
      </c>
      <c r="J179" s="28">
        <v>0.159</v>
      </c>
      <c r="K179">
        <f t="shared" si="33"/>
        <v>4389041.2744220719</v>
      </c>
      <c r="M179">
        <f t="shared" si="34"/>
        <v>6949.1298796340943</v>
      </c>
      <c r="N179" s="28">
        <v>0.159</v>
      </c>
      <c r="O179">
        <f t="shared" si="35"/>
        <v>4369.231061204644</v>
      </c>
      <c r="Q179">
        <f t="shared" si="36"/>
        <v>596821.71979134739</v>
      </c>
      <c r="R179" s="28">
        <v>0.159</v>
      </c>
      <c r="S179">
        <f t="shared" si="37"/>
        <v>602720.41642200993</v>
      </c>
      <c r="U179">
        <f t="shared" si="38"/>
        <v>51844.967556649688</v>
      </c>
      <c r="V179" s="48">
        <v>0.159</v>
      </c>
      <c r="W179">
        <f t="shared" si="39"/>
        <v>70469.432244894502</v>
      </c>
      <c r="Y179">
        <f t="shared" si="40"/>
        <v>3716.0938696058679</v>
      </c>
      <c r="Z179" s="28">
        <v>0.159</v>
      </c>
      <c r="AA179">
        <f t="shared" si="41"/>
        <v>3581.7831229910239</v>
      </c>
    </row>
    <row r="180" spans="1:27" x14ac:dyDescent="0.2">
      <c r="A180">
        <f t="shared" si="28"/>
        <v>3812584.3783350592</v>
      </c>
      <c r="B180" s="28">
        <v>0.16</v>
      </c>
      <c r="C180">
        <f t="shared" si="29"/>
        <v>3918558.3109483095</v>
      </c>
      <c r="E180">
        <f t="shared" si="30"/>
        <v>7032.9766334779306</v>
      </c>
      <c r="F180" s="28">
        <v>0.16</v>
      </c>
      <c r="G180">
        <f t="shared" si="31"/>
        <v>3746.4147387494377</v>
      </c>
      <c r="I180">
        <f t="shared" si="32"/>
        <v>4434255.0114561254</v>
      </c>
      <c r="J180" s="28">
        <v>0.16</v>
      </c>
      <c r="K180">
        <f t="shared" si="33"/>
        <v>4545527.6407000385</v>
      </c>
      <c r="M180">
        <f t="shared" si="34"/>
        <v>6972.5198438893894</v>
      </c>
      <c r="N180" s="28">
        <v>0.16</v>
      </c>
      <c r="O180">
        <f t="shared" si="35"/>
        <v>4345.8410969493489</v>
      </c>
      <c r="Q180">
        <f t="shared" si="36"/>
        <v>621670.63312106696</v>
      </c>
      <c r="R180" s="28">
        <v>0.16</v>
      </c>
      <c r="S180">
        <f t="shared" si="37"/>
        <v>627569.3297517295</v>
      </c>
      <c r="U180">
        <f t="shared" si="38"/>
        <v>52800.026908622604</v>
      </c>
      <c r="V180" s="48">
        <v>0.16</v>
      </c>
      <c r="W180">
        <f t="shared" si="39"/>
        <v>71424.491596867418</v>
      </c>
      <c r="Y180">
        <f t="shared" si="40"/>
        <v>3734.9417761595382</v>
      </c>
      <c r="Z180" s="28">
        <v>0.16</v>
      </c>
      <c r="AA180">
        <f t="shared" si="41"/>
        <v>3562.9352164373536</v>
      </c>
    </row>
    <row r="181" spans="1:27" x14ac:dyDescent="0.2">
      <c r="A181">
        <f t="shared" si="28"/>
        <v>3948808.4539034599</v>
      </c>
      <c r="B181" s="28">
        <v>0.161</v>
      </c>
      <c r="C181">
        <f t="shared" si="29"/>
        <v>4054782.3865167103</v>
      </c>
      <c r="E181">
        <f t="shared" si="30"/>
        <v>7056.1053309446061</v>
      </c>
      <c r="F181" s="28">
        <v>0.161</v>
      </c>
      <c r="G181">
        <f t="shared" si="31"/>
        <v>3723.2860412827622</v>
      </c>
      <c r="I181">
        <f t="shared" si="32"/>
        <v>4596329.7215019874</v>
      </c>
      <c r="J181" s="28">
        <v>0.161</v>
      </c>
      <c r="K181">
        <f t="shared" si="33"/>
        <v>4707602.3507459005</v>
      </c>
      <c r="M181">
        <f t="shared" si="34"/>
        <v>6995.6258469094519</v>
      </c>
      <c r="N181" s="28">
        <v>0.161</v>
      </c>
      <c r="O181">
        <f t="shared" si="35"/>
        <v>4322.7350939292864</v>
      </c>
      <c r="Q181">
        <f t="shared" si="36"/>
        <v>647521.26759852783</v>
      </c>
      <c r="R181" s="28">
        <v>0.161</v>
      </c>
      <c r="S181">
        <f t="shared" si="37"/>
        <v>653419.96422919037</v>
      </c>
      <c r="U181">
        <f t="shared" si="38"/>
        <v>53769.45329117158</v>
      </c>
      <c r="V181" s="48">
        <v>0.161</v>
      </c>
      <c r="W181">
        <f t="shared" si="39"/>
        <v>72393.917979416394</v>
      </c>
      <c r="Y181">
        <f t="shared" si="40"/>
        <v>3753.6208209537385</v>
      </c>
      <c r="Z181" s="28">
        <v>0.161</v>
      </c>
      <c r="AA181">
        <f t="shared" si="41"/>
        <v>3544.2561716431533</v>
      </c>
    </row>
    <row r="182" spans="1:27" x14ac:dyDescent="0.2">
      <c r="A182">
        <f t="shared" si="28"/>
        <v>4089777.8345907587</v>
      </c>
      <c r="B182" s="28">
        <v>0.16200000000000001</v>
      </c>
      <c r="C182">
        <f t="shared" si="29"/>
        <v>4195751.767204009</v>
      </c>
      <c r="E182">
        <f t="shared" si="30"/>
        <v>7078.9541446703597</v>
      </c>
      <c r="F182" s="28">
        <v>0.16200000000000001</v>
      </c>
      <c r="G182">
        <f t="shared" si="31"/>
        <v>3700.4372275570086</v>
      </c>
      <c r="I182">
        <f t="shared" si="32"/>
        <v>4764190.9242471457</v>
      </c>
      <c r="J182" s="28">
        <v>0.16200000000000001</v>
      </c>
      <c r="K182">
        <f t="shared" si="33"/>
        <v>4875463.5534910588</v>
      </c>
      <c r="M182">
        <f t="shared" si="34"/>
        <v>7018.4528824174949</v>
      </c>
      <c r="N182" s="28">
        <v>0.16200000000000001</v>
      </c>
      <c r="O182">
        <f t="shared" si="35"/>
        <v>4299.9080584212434</v>
      </c>
      <c r="Q182">
        <f t="shared" si="36"/>
        <v>674413.08965638699</v>
      </c>
      <c r="R182" s="28">
        <v>0.16200000000000001</v>
      </c>
      <c r="S182">
        <f t="shared" si="37"/>
        <v>680311.78628704953</v>
      </c>
      <c r="U182">
        <f t="shared" si="38"/>
        <v>54753.473734240324</v>
      </c>
      <c r="V182" s="48">
        <v>0.16200000000000001</v>
      </c>
      <c r="W182">
        <f t="shared" si="39"/>
        <v>73377.938422485138</v>
      </c>
      <c r="Y182">
        <f t="shared" si="40"/>
        <v>3772.1329268361892</v>
      </c>
      <c r="Z182" s="28">
        <v>0.16200000000000001</v>
      </c>
      <c r="AA182">
        <f t="shared" si="41"/>
        <v>3525.7440657607026</v>
      </c>
    </row>
    <row r="183" spans="1:27" x14ac:dyDescent="0.2">
      <c r="A183">
        <f t="shared" si="28"/>
        <v>4235656.6273725741</v>
      </c>
      <c r="B183" s="28">
        <v>0.16300000000000001</v>
      </c>
      <c r="C183">
        <f t="shared" si="29"/>
        <v>4341630.5599858239</v>
      </c>
      <c r="E183">
        <f t="shared" si="30"/>
        <v>7101.5279944078566</v>
      </c>
      <c r="F183" s="28">
        <v>0.16300000000000001</v>
      </c>
      <c r="G183">
        <f t="shared" si="31"/>
        <v>3677.8633778195117</v>
      </c>
      <c r="I183">
        <f t="shared" si="32"/>
        <v>4938043.7120196009</v>
      </c>
      <c r="J183" s="28">
        <v>0.16300000000000001</v>
      </c>
      <c r="K183">
        <f t="shared" si="33"/>
        <v>5049316.341263514</v>
      </c>
      <c r="M183">
        <f t="shared" si="34"/>
        <v>7041.0058324346455</v>
      </c>
      <c r="N183" s="28">
        <v>0.16300000000000001</v>
      </c>
      <c r="O183">
        <f t="shared" si="35"/>
        <v>4277.3551084040928</v>
      </c>
      <c r="Q183">
        <f t="shared" si="36"/>
        <v>702387.08464702684</v>
      </c>
      <c r="R183" s="28">
        <v>0.16300000000000001</v>
      </c>
      <c r="S183">
        <f t="shared" si="37"/>
        <v>708285.78127768938</v>
      </c>
      <c r="U183">
        <f t="shared" si="38"/>
        <v>55752.318965747181</v>
      </c>
      <c r="V183" s="48">
        <v>0.16300000000000001</v>
      </c>
      <c r="W183">
        <f t="shared" si="39"/>
        <v>74376.783653991995</v>
      </c>
      <c r="Y183">
        <f t="shared" si="40"/>
        <v>3790.4799916854599</v>
      </c>
      <c r="Z183" s="28">
        <v>0.16300000000000001</v>
      </c>
      <c r="AA183">
        <f t="shared" si="41"/>
        <v>3507.3970009114319</v>
      </c>
    </row>
    <row r="184" spans="1:27" x14ac:dyDescent="0.2">
      <c r="A184">
        <f t="shared" si="28"/>
        <v>4386614.5463358564</v>
      </c>
      <c r="B184" s="28">
        <v>0.16400000000000001</v>
      </c>
      <c r="C184">
        <f t="shared" si="29"/>
        <v>4492588.4789491063</v>
      </c>
      <c r="E184">
        <f t="shared" si="30"/>
        <v>7123.8316895762046</v>
      </c>
      <c r="F184" s="28">
        <v>0.16400000000000001</v>
      </c>
      <c r="G184">
        <f t="shared" si="31"/>
        <v>3655.5596826511637</v>
      </c>
      <c r="I184">
        <f t="shared" si="32"/>
        <v>5118100.360252846</v>
      </c>
      <c r="J184" s="28">
        <v>0.16400000000000001</v>
      </c>
      <c r="K184">
        <f t="shared" si="33"/>
        <v>5229372.9894967591</v>
      </c>
      <c r="M184">
        <f t="shared" si="34"/>
        <v>7063.289470232784</v>
      </c>
      <c r="N184" s="28">
        <v>0.16400000000000001</v>
      </c>
      <c r="O184">
        <f t="shared" si="35"/>
        <v>4255.0714706059543</v>
      </c>
      <c r="Q184">
        <f t="shared" si="36"/>
        <v>731485.81391699088</v>
      </c>
      <c r="R184" s="28">
        <v>0.16400000000000001</v>
      </c>
      <c r="S184">
        <f t="shared" si="37"/>
        <v>737384.51054765342</v>
      </c>
      <c r="U184">
        <f t="shared" si="38"/>
        <v>56766.223473096543</v>
      </c>
      <c r="V184" s="48">
        <v>0.16400000000000001</v>
      </c>
      <c r="W184">
        <f t="shared" si="39"/>
        <v>75390.688161341357</v>
      </c>
      <c r="Y184">
        <f t="shared" si="40"/>
        <v>3808.6638887623099</v>
      </c>
      <c r="Z184" s="28">
        <v>0.16400000000000001</v>
      </c>
      <c r="AA184">
        <f t="shared" si="41"/>
        <v>3489.2131038345819</v>
      </c>
    </row>
    <row r="185" spans="1:27" x14ac:dyDescent="0.2">
      <c r="A185">
        <f t="shared" si="28"/>
        <v>4542827.101355968</v>
      </c>
      <c r="B185" s="28">
        <v>0.16500000000000001</v>
      </c>
      <c r="C185">
        <f t="shared" si="29"/>
        <v>4648801.0339692179</v>
      </c>
      <c r="E185">
        <f t="shared" si="30"/>
        <v>7145.8699321934819</v>
      </c>
      <c r="F185" s="28">
        <v>0.16500000000000001</v>
      </c>
      <c r="G185">
        <f t="shared" si="31"/>
        <v>3633.5214400338859</v>
      </c>
      <c r="I185">
        <f t="shared" si="32"/>
        <v>5304580.5753302248</v>
      </c>
      <c r="J185" s="28">
        <v>0.16500000000000001</v>
      </c>
      <c r="K185">
        <f t="shared" si="33"/>
        <v>5415853.2045741379</v>
      </c>
      <c r="M185">
        <f t="shared" si="34"/>
        <v>7085.3084631992615</v>
      </c>
      <c r="N185" s="28">
        <v>0.16500000000000001</v>
      </c>
      <c r="O185">
        <f t="shared" si="35"/>
        <v>4233.0524776394768</v>
      </c>
      <c r="Q185">
        <f t="shared" si="36"/>
        <v>761753.47397425841</v>
      </c>
      <c r="R185" s="28">
        <v>0.16500000000000001</v>
      </c>
      <c r="S185">
        <f t="shared" si="37"/>
        <v>767652.17060492095</v>
      </c>
      <c r="U185">
        <f t="shared" si="38"/>
        <v>57795.425565729369</v>
      </c>
      <c r="V185" s="48">
        <v>0.16500000000000001</v>
      </c>
      <c r="W185">
        <f t="shared" si="39"/>
        <v>76419.890253974183</v>
      </c>
      <c r="Y185">
        <f t="shared" si="40"/>
        <v>3826.6864670558157</v>
      </c>
      <c r="Z185" s="28">
        <v>0.16500000000000001</v>
      </c>
      <c r="AA185">
        <f t="shared" si="41"/>
        <v>3471.1905255410761</v>
      </c>
    </row>
    <row r="186" spans="1:27" x14ac:dyDescent="0.2">
      <c r="A186">
        <f t="shared" si="28"/>
        <v>4704475.7930110293</v>
      </c>
      <c r="B186" s="28">
        <v>0.16600000000000001</v>
      </c>
      <c r="C186">
        <f t="shared" si="29"/>
        <v>4810449.7256242791</v>
      </c>
      <c r="E186">
        <f t="shared" si="30"/>
        <v>7167.6473197210798</v>
      </c>
      <c r="F186" s="28">
        <v>0.16600000000000001</v>
      </c>
      <c r="G186">
        <f t="shared" si="31"/>
        <v>3611.7440525062884</v>
      </c>
      <c r="I186">
        <f t="shared" si="32"/>
        <v>5497711.7508339956</v>
      </c>
      <c r="J186" s="28">
        <v>0.16600000000000001</v>
      </c>
      <c r="K186">
        <f t="shared" si="33"/>
        <v>5608984.3800779087</v>
      </c>
      <c r="M186">
        <f t="shared" si="34"/>
        <v>7107.067375616406</v>
      </c>
      <c r="N186" s="28">
        <v>0.16600000000000001</v>
      </c>
      <c r="O186">
        <f t="shared" si="35"/>
        <v>4211.2935652223323</v>
      </c>
      <c r="Q186">
        <f t="shared" si="36"/>
        <v>793235.9578229679</v>
      </c>
      <c r="R186" s="28">
        <v>0.16600000000000001</v>
      </c>
      <c r="S186">
        <f t="shared" si="37"/>
        <v>799134.65445363044</v>
      </c>
      <c r="U186">
        <f t="shared" si="38"/>
        <v>58840.167438730597</v>
      </c>
      <c r="V186" s="48">
        <v>0.16600000000000001</v>
      </c>
      <c r="W186">
        <f t="shared" si="39"/>
        <v>77464.632126975412</v>
      </c>
      <c r="Y186">
        <f t="shared" si="40"/>
        <v>3844.5495516243664</v>
      </c>
      <c r="Z186" s="28">
        <v>0.16600000000000001</v>
      </c>
      <c r="AA186">
        <f t="shared" si="41"/>
        <v>3453.3274409725254</v>
      </c>
    </row>
    <row r="187" spans="1:27" x14ac:dyDescent="0.2">
      <c r="A187">
        <f t="shared" si="28"/>
        <v>4871748.3139372114</v>
      </c>
      <c r="B187" s="28">
        <v>0.16700000000000001</v>
      </c>
      <c r="C187">
        <f t="shared" si="29"/>
        <v>4977722.2465504613</v>
      </c>
      <c r="E187">
        <f t="shared" si="30"/>
        <v>7189.1683478227615</v>
      </c>
      <c r="F187" s="28">
        <v>0.16700000000000001</v>
      </c>
      <c r="G187">
        <f t="shared" si="31"/>
        <v>3590.2230244046068</v>
      </c>
      <c r="I187">
        <f t="shared" si="32"/>
        <v>5697729.2324804757</v>
      </c>
      <c r="J187" s="28">
        <v>0.16700000000000001</v>
      </c>
      <c r="K187">
        <f t="shared" si="33"/>
        <v>5809001.8617243888</v>
      </c>
      <c r="M187">
        <f t="shared" si="34"/>
        <v>7128.5706713585623</v>
      </c>
      <c r="N187" s="28">
        <v>0.16700000000000001</v>
      </c>
      <c r="O187">
        <f t="shared" si="35"/>
        <v>4189.790269480176</v>
      </c>
      <c r="Q187">
        <f t="shared" si="36"/>
        <v>825980.9185432645</v>
      </c>
      <c r="R187" s="28">
        <v>0.16700000000000001</v>
      </c>
      <c r="S187">
        <f t="shared" si="37"/>
        <v>831879.61517392704</v>
      </c>
      <c r="U187">
        <f t="shared" si="38"/>
        <v>59900.695237511667</v>
      </c>
      <c r="V187" s="48">
        <v>0.16700000000000001</v>
      </c>
      <c r="W187">
        <f t="shared" si="39"/>
        <v>78525.159925756481</v>
      </c>
      <c r="Y187">
        <f t="shared" si="40"/>
        <v>3862.2549439316081</v>
      </c>
      <c r="Z187" s="28">
        <v>0.16700000000000001</v>
      </c>
      <c r="AA187">
        <f t="shared" si="41"/>
        <v>3435.6220486652837</v>
      </c>
    </row>
    <row r="188" spans="1:27" x14ac:dyDescent="0.2">
      <c r="A188">
        <f t="shared" si="28"/>
        <v>5044838.7568322141</v>
      </c>
      <c r="B188" s="28">
        <v>0.16800000000000001</v>
      </c>
      <c r="C188">
        <f t="shared" si="29"/>
        <v>5150812.6894454639</v>
      </c>
      <c r="E188">
        <f t="shared" si="30"/>
        <v>7210.4374130412634</v>
      </c>
      <c r="F188" s="28">
        <v>0.16800000000000001</v>
      </c>
      <c r="G188">
        <f t="shared" si="31"/>
        <v>3568.9539591861053</v>
      </c>
      <c r="I188">
        <f t="shared" si="32"/>
        <v>5904876.5920283878</v>
      </c>
      <c r="J188" s="28">
        <v>0.16800000000000001</v>
      </c>
      <c r="K188">
        <f t="shared" si="33"/>
        <v>6016149.2212723009</v>
      </c>
      <c r="M188">
        <f t="shared" si="34"/>
        <v>7149.8227165093667</v>
      </c>
      <c r="N188" s="28">
        <v>0.16800000000000001</v>
      </c>
      <c r="O188">
        <f t="shared" si="35"/>
        <v>4168.5382243293716</v>
      </c>
      <c r="Q188">
        <f t="shared" si="36"/>
        <v>860037.83519617538</v>
      </c>
      <c r="R188" s="28">
        <v>0.16800000000000001</v>
      </c>
      <c r="S188">
        <f t="shared" si="37"/>
        <v>865936.53182683792</v>
      </c>
      <c r="U188">
        <f t="shared" si="38"/>
        <v>60977.259123586497</v>
      </c>
      <c r="V188" s="48">
        <v>0.16800000000000001</v>
      </c>
      <c r="W188">
        <f t="shared" si="39"/>
        <v>79601.723811831311</v>
      </c>
      <c r="Y188">
        <f t="shared" si="40"/>
        <v>3879.8044221774094</v>
      </c>
      <c r="Z188" s="28">
        <v>0.16800000000000001</v>
      </c>
      <c r="AA188">
        <f t="shared" si="41"/>
        <v>3418.0725704194824</v>
      </c>
    </row>
    <row r="189" spans="1:27" x14ac:dyDescent="0.2">
      <c r="A189">
        <f t="shared" si="28"/>
        <v>5223947.8293236578</v>
      </c>
      <c r="B189" s="28">
        <v>0.16900000000000001</v>
      </c>
      <c r="C189">
        <f t="shared" si="29"/>
        <v>5329921.7619369077</v>
      </c>
      <c r="E189">
        <f t="shared" si="30"/>
        <v>7231.4588153951217</v>
      </c>
      <c r="F189" s="28">
        <v>0.16900000000000001</v>
      </c>
      <c r="G189">
        <f t="shared" si="31"/>
        <v>3547.9325568322465</v>
      </c>
      <c r="I189">
        <f t="shared" si="32"/>
        <v>6119405.9104603315</v>
      </c>
      <c r="J189" s="28">
        <v>0.16900000000000001</v>
      </c>
      <c r="K189">
        <f t="shared" si="33"/>
        <v>6230678.5397042446</v>
      </c>
      <c r="M189">
        <f t="shared" si="34"/>
        <v>7170.8277819018422</v>
      </c>
      <c r="N189" s="28">
        <v>0.16900000000000001</v>
      </c>
      <c r="O189">
        <f t="shared" si="35"/>
        <v>4147.5331589368961</v>
      </c>
      <c r="Q189">
        <f t="shared" si="36"/>
        <v>895458.08113667497</v>
      </c>
      <c r="R189" s="28">
        <v>0.16900000000000001</v>
      </c>
      <c r="S189">
        <f t="shared" si="37"/>
        <v>901356.77776733751</v>
      </c>
      <c r="U189">
        <f t="shared" si="38"/>
        <v>62070.113341459422</v>
      </c>
      <c r="V189" s="48">
        <v>0.16900000000000001</v>
      </c>
      <c r="W189">
        <f t="shared" si="39"/>
        <v>80694.578029704237</v>
      </c>
      <c r="Y189">
        <f t="shared" si="40"/>
        <v>3897.1997416239283</v>
      </c>
      <c r="Z189" s="28">
        <v>0.16900000000000001</v>
      </c>
      <c r="AA189">
        <f t="shared" si="41"/>
        <v>3400.6772509729635</v>
      </c>
    </row>
    <row r="190" spans="1:27" x14ac:dyDescent="0.2">
      <c r="A190">
        <f t="shared" si="28"/>
        <v>5409283.0759231327</v>
      </c>
      <c r="B190" s="28">
        <v>0.17</v>
      </c>
      <c r="C190">
        <f t="shared" si="29"/>
        <v>5515257.0085363826</v>
      </c>
      <c r="E190">
        <f t="shared" si="30"/>
        <v>7252.2367608983632</v>
      </c>
      <c r="F190" s="28">
        <v>0.17</v>
      </c>
      <c r="G190">
        <f t="shared" si="31"/>
        <v>3527.1546113290051</v>
      </c>
      <c r="I190">
        <f t="shared" si="32"/>
        <v>6341578.0707436539</v>
      </c>
      <c r="J190" s="28">
        <v>0.17</v>
      </c>
      <c r="K190">
        <f t="shared" si="33"/>
        <v>6452850.699987567</v>
      </c>
      <c r="M190">
        <f t="shared" si="34"/>
        <v>7191.5900455838027</v>
      </c>
      <c r="N190" s="28">
        <v>0.17</v>
      </c>
      <c r="O190">
        <f t="shared" si="35"/>
        <v>4126.7708952549356</v>
      </c>
      <c r="Q190">
        <f t="shared" si="36"/>
        <v>932294.99482052249</v>
      </c>
      <c r="R190" s="28">
        <v>0.17</v>
      </c>
      <c r="S190">
        <f t="shared" si="37"/>
        <v>938193.69145118503</v>
      </c>
      <c r="U190">
        <f t="shared" si="38"/>
        <v>63179.516286644503</v>
      </c>
      <c r="V190" s="48">
        <v>0.17</v>
      </c>
      <c r="W190">
        <f t="shared" si="39"/>
        <v>81803.980974889317</v>
      </c>
      <c r="Y190">
        <f t="shared" si="40"/>
        <v>3914.4426349168562</v>
      </c>
      <c r="Z190" s="28">
        <v>0.17</v>
      </c>
      <c r="AA190">
        <f t="shared" si="41"/>
        <v>3383.4343576800356</v>
      </c>
    </row>
    <row r="191" spans="1:27" x14ac:dyDescent="0.2">
      <c r="A191">
        <f t="shared" si="28"/>
        <v>5601059.1072963523</v>
      </c>
      <c r="B191" s="28">
        <v>0.17100000000000001</v>
      </c>
      <c r="C191">
        <f t="shared" si="29"/>
        <v>5707033.0399096021</v>
      </c>
      <c r="E191">
        <f t="shared" si="30"/>
        <v>7272.7753640055525</v>
      </c>
      <c r="F191" s="28">
        <v>0.17100000000000001</v>
      </c>
      <c r="G191">
        <f t="shared" si="31"/>
        <v>3506.6160082218157</v>
      </c>
      <c r="I191">
        <f t="shared" si="32"/>
        <v>6571663.0604902301</v>
      </c>
      <c r="J191" s="28">
        <v>0.17100000000000001</v>
      </c>
      <c r="K191">
        <f t="shared" si="33"/>
        <v>6682935.6897341432</v>
      </c>
      <c r="M191">
        <f t="shared" si="34"/>
        <v>7212.1135952109917</v>
      </c>
      <c r="N191" s="28">
        <v>0.17100000000000001</v>
      </c>
      <c r="O191">
        <f t="shared" si="35"/>
        <v>4106.2473456277467</v>
      </c>
      <c r="Q191">
        <f t="shared" si="36"/>
        <v>970603.95319387945</v>
      </c>
      <c r="R191" s="28">
        <v>0.17100000000000001</v>
      </c>
      <c r="S191">
        <f t="shared" si="37"/>
        <v>976502.64982454199</v>
      </c>
      <c r="U191">
        <f t="shared" si="38"/>
        <v>64305.730574835092</v>
      </c>
      <c r="V191" s="48">
        <v>0.17100000000000001</v>
      </c>
      <c r="W191">
        <f t="shared" si="39"/>
        <v>82930.195263079906</v>
      </c>
      <c r="Y191">
        <f t="shared" si="40"/>
        <v>3931.5348124019097</v>
      </c>
      <c r="Z191" s="28">
        <v>0.17100000000000001</v>
      </c>
      <c r="AA191">
        <f t="shared" si="41"/>
        <v>3366.3421801949821</v>
      </c>
    </row>
    <row r="192" spans="1:27" x14ac:dyDescent="0.2">
      <c r="A192">
        <f t="shared" si="28"/>
        <v>5799497.837084596</v>
      </c>
      <c r="B192" s="28">
        <v>0.17199999999999999</v>
      </c>
      <c r="C192">
        <f t="shared" si="29"/>
        <v>5905471.7696978459</v>
      </c>
      <c r="E192">
        <f t="shared" si="30"/>
        <v>7293.0786499846527</v>
      </c>
      <c r="F192" s="28">
        <v>0.17199999999999999</v>
      </c>
      <c r="G192">
        <f t="shared" si="31"/>
        <v>3486.3127222427156</v>
      </c>
      <c r="I192">
        <f t="shared" si="32"/>
        <v>6809940.2848419612</v>
      </c>
      <c r="J192" s="28">
        <v>0.17199999999999999</v>
      </c>
      <c r="K192">
        <f t="shared" si="33"/>
        <v>6921212.9140858743</v>
      </c>
      <c r="M192">
        <f t="shared" si="34"/>
        <v>7232.4024303702763</v>
      </c>
      <c r="N192" s="28">
        <v>0.17199999999999999</v>
      </c>
      <c r="O192">
        <f t="shared" si="35"/>
        <v>4085.958510468462</v>
      </c>
      <c r="Q192">
        <f t="shared" si="36"/>
        <v>1010442.4477573668</v>
      </c>
      <c r="R192" s="28">
        <v>0.17199999999999999</v>
      </c>
      <c r="S192">
        <f t="shared" si="37"/>
        <v>1016341.1443880294</v>
      </c>
      <c r="U192">
        <f t="shared" si="38"/>
        <v>65449.023112243871</v>
      </c>
      <c r="V192" s="48">
        <v>0.17199999999999999</v>
      </c>
      <c r="W192">
        <f t="shared" si="39"/>
        <v>84073.487800488685</v>
      </c>
      <c r="Y192">
        <f t="shared" si="40"/>
        <v>3948.4779624366497</v>
      </c>
      <c r="Z192" s="28">
        <v>0.17199999999999999</v>
      </c>
      <c r="AA192">
        <f t="shared" si="41"/>
        <v>3349.3990301602421</v>
      </c>
    </row>
    <row r="193" spans="1:27" x14ac:dyDescent="0.2">
      <c r="A193">
        <f t="shared" si="28"/>
        <v>6004828.7265225956</v>
      </c>
      <c r="B193" s="28">
        <v>0.17299999999999999</v>
      </c>
      <c r="C193">
        <f t="shared" si="29"/>
        <v>6110802.6591358455</v>
      </c>
      <c r="E193">
        <f t="shared" si="30"/>
        <v>7313.1505572200304</v>
      </c>
      <c r="F193" s="28">
        <v>0.17299999999999999</v>
      </c>
      <c r="G193">
        <f t="shared" si="31"/>
        <v>3466.2408150073379</v>
      </c>
      <c r="I193">
        <f t="shared" si="32"/>
        <v>7056698.8899224345</v>
      </c>
      <c r="J193" s="28">
        <v>0.17299999999999999</v>
      </c>
      <c r="K193">
        <f t="shared" si="33"/>
        <v>7167971.5191663476</v>
      </c>
      <c r="M193">
        <f t="shared" si="34"/>
        <v>7252.4604648351306</v>
      </c>
      <c r="N193" s="28">
        <v>0.17299999999999999</v>
      </c>
      <c r="O193">
        <f t="shared" si="35"/>
        <v>4065.9004760036082</v>
      </c>
      <c r="Q193">
        <f t="shared" si="36"/>
        <v>1051870.1633998386</v>
      </c>
      <c r="R193" s="28">
        <v>0.17299999999999999</v>
      </c>
      <c r="S193">
        <f t="shared" si="37"/>
        <v>1057768.8600305011</v>
      </c>
      <c r="U193">
        <f t="shared" si="38"/>
        <v>66609.665167132916</v>
      </c>
      <c r="V193" s="48">
        <v>0.17299999999999999</v>
      </c>
      <c r="W193">
        <f t="shared" si="39"/>
        <v>85234.129855377731</v>
      </c>
      <c r="Y193">
        <f t="shared" si="40"/>
        <v>3965.2737516976922</v>
      </c>
      <c r="Z193" s="28">
        <v>0.17299999999999999</v>
      </c>
      <c r="AA193">
        <f t="shared" si="41"/>
        <v>3332.6032408991996</v>
      </c>
    </row>
    <row r="194" spans="1:27" x14ac:dyDescent="0.2">
      <c r="A194">
        <f t="shared" si="28"/>
        <v>6217289.0371031091</v>
      </c>
      <c r="B194" s="28">
        <v>0.17399999999999999</v>
      </c>
      <c r="C194">
        <f t="shared" si="29"/>
        <v>6323262.9697163589</v>
      </c>
      <c r="E194">
        <f t="shared" si="30"/>
        <v>7332.9949394478681</v>
      </c>
      <c r="F194" s="28">
        <v>0.17399999999999999</v>
      </c>
      <c r="G194">
        <f t="shared" si="31"/>
        <v>3446.3964327795006</v>
      </c>
      <c r="I194">
        <f t="shared" si="32"/>
        <v>7312238.0972030917</v>
      </c>
      <c r="J194" s="28">
        <v>0.17399999999999999</v>
      </c>
      <c r="K194">
        <f t="shared" si="33"/>
        <v>7423510.7264470048</v>
      </c>
      <c r="M194">
        <f t="shared" si="34"/>
        <v>7272.2915287556043</v>
      </c>
      <c r="N194" s="28">
        <v>0.17399999999999999</v>
      </c>
      <c r="O194">
        <f t="shared" si="35"/>
        <v>4046.069412083134</v>
      </c>
      <c r="Q194">
        <f t="shared" si="36"/>
        <v>1094949.0600999838</v>
      </c>
      <c r="R194" s="28">
        <v>0.17399999999999999</v>
      </c>
      <c r="S194">
        <f t="shared" si="37"/>
        <v>1100847.7567306464</v>
      </c>
      <c r="U194">
        <f t="shared" si="38"/>
        <v>67787.932442554433</v>
      </c>
      <c r="V194" s="48">
        <v>0.17399999999999999</v>
      </c>
      <c r="W194">
        <f t="shared" si="39"/>
        <v>86412.397130799247</v>
      </c>
      <c r="Y194">
        <f t="shared" si="40"/>
        <v>3981.923825483384</v>
      </c>
      <c r="Z194" s="28">
        <v>0.17399999999999999</v>
      </c>
      <c r="AA194">
        <f t="shared" si="41"/>
        <v>3315.9531671135078</v>
      </c>
    </row>
    <row r="195" spans="1:27" x14ac:dyDescent="0.2">
      <c r="A195">
        <f t="shared" si="28"/>
        <v>6437124.0915492307</v>
      </c>
      <c r="B195" s="28">
        <v>0.17499999999999999</v>
      </c>
      <c r="C195">
        <f t="shared" si="29"/>
        <v>6543098.0241624806</v>
      </c>
      <c r="E195">
        <f t="shared" si="30"/>
        <v>7352.6155679261792</v>
      </c>
      <c r="F195" s="28">
        <v>0.17499999999999999</v>
      </c>
      <c r="G195">
        <f t="shared" si="31"/>
        <v>3426.7758043011886</v>
      </c>
      <c r="I195">
        <f t="shared" si="32"/>
        <v>7576867.5491470005</v>
      </c>
      <c r="J195" s="28">
        <v>0.17499999999999999</v>
      </c>
      <c r="K195">
        <f t="shared" si="33"/>
        <v>7688140.1783909136</v>
      </c>
      <c r="M195">
        <f t="shared" si="34"/>
        <v>7291.8993707848413</v>
      </c>
      <c r="N195" s="28">
        <v>0.17499999999999999</v>
      </c>
      <c r="O195">
        <f t="shared" si="35"/>
        <v>4026.461570053897</v>
      </c>
      <c r="Q195">
        <f t="shared" si="36"/>
        <v>1139743.4575977714</v>
      </c>
      <c r="R195" s="28">
        <v>0.17499999999999999</v>
      </c>
      <c r="S195">
        <f t="shared" si="37"/>
        <v>1145642.154228434</v>
      </c>
      <c r="U195">
        <f t="shared" si="38"/>
        <v>68984.105150322866</v>
      </c>
      <c r="V195" s="48">
        <v>0.17499999999999999</v>
      </c>
      <c r="W195">
        <f t="shared" si="39"/>
        <v>87608.569838567681</v>
      </c>
      <c r="Y195">
        <f t="shared" si="40"/>
        <v>3998.4298080120157</v>
      </c>
      <c r="Z195" s="28">
        <v>0.17499999999999999</v>
      </c>
      <c r="AA195">
        <f t="shared" si="41"/>
        <v>3299.4471845848761</v>
      </c>
    </row>
    <row r="196" spans="1:27" x14ac:dyDescent="0.2">
      <c r="A196">
        <f t="shared" si="28"/>
        <v>6664587.5433605639</v>
      </c>
      <c r="B196" s="28">
        <v>0.17599999999999999</v>
      </c>
      <c r="C196">
        <f t="shared" si="29"/>
        <v>6770561.4759738138</v>
      </c>
      <c r="E196">
        <f t="shared" si="30"/>
        <v>7372.0161335415332</v>
      </c>
      <c r="F196" s="28">
        <v>0.17599999999999999</v>
      </c>
      <c r="G196">
        <f t="shared" si="31"/>
        <v>3407.375238685835</v>
      </c>
      <c r="I196">
        <f t="shared" si="32"/>
        <v>7850907.6665012902</v>
      </c>
      <c r="J196" s="28">
        <v>0.17599999999999999</v>
      </c>
      <c r="K196">
        <f t="shared" si="33"/>
        <v>7962180.2957452033</v>
      </c>
      <c r="M196">
        <f t="shared" si="34"/>
        <v>7311.2876601441967</v>
      </c>
      <c r="N196" s="28">
        <v>0.17599999999999999</v>
      </c>
      <c r="O196">
        <f t="shared" si="35"/>
        <v>4007.0732806945416</v>
      </c>
      <c r="Q196">
        <f t="shared" si="36"/>
        <v>1186320.1231407286</v>
      </c>
      <c r="R196" s="28">
        <v>0.17599999999999999</v>
      </c>
      <c r="S196">
        <f t="shared" si="37"/>
        <v>1192218.8197713911</v>
      </c>
      <c r="U196">
        <f t="shared" si="38"/>
        <v>70198.4680862393</v>
      </c>
      <c r="V196" s="48">
        <v>0.17599999999999999</v>
      </c>
      <c r="W196">
        <f t="shared" si="39"/>
        <v>88822.932774484114</v>
      </c>
      <c r="Y196">
        <f t="shared" si="40"/>
        <v>4014.7933027156369</v>
      </c>
      <c r="Z196" s="28">
        <v>0.17599999999999999</v>
      </c>
      <c r="AA196">
        <f t="shared" si="41"/>
        <v>3283.0836898812549</v>
      </c>
    </row>
    <row r="197" spans="1:27" x14ac:dyDescent="0.2">
      <c r="A197">
        <f t="shared" si="28"/>
        <v>6899941.6552111842</v>
      </c>
      <c r="B197" s="28">
        <v>0.17699999999999999</v>
      </c>
      <c r="C197">
        <f t="shared" si="29"/>
        <v>7005915.587824434</v>
      </c>
      <c r="E197">
        <f t="shared" si="30"/>
        <v>7391.2002488545058</v>
      </c>
      <c r="F197" s="28">
        <v>0.17699999999999999</v>
      </c>
      <c r="G197">
        <f t="shared" si="31"/>
        <v>3388.191123372862</v>
      </c>
      <c r="I197">
        <f t="shared" si="32"/>
        <v>8134690.0176254455</v>
      </c>
      <c r="J197" s="28">
        <v>0.17699999999999999</v>
      </c>
      <c r="K197">
        <f t="shared" si="33"/>
        <v>8245962.6468693586</v>
      </c>
      <c r="M197">
        <f t="shared" si="34"/>
        <v>7330.4599886288797</v>
      </c>
      <c r="N197" s="28">
        <v>0.17699999999999999</v>
      </c>
      <c r="O197">
        <f t="shared" si="35"/>
        <v>3987.9009522098586</v>
      </c>
      <c r="Q197">
        <f t="shared" si="36"/>
        <v>1234748.3624142623</v>
      </c>
      <c r="R197" s="28">
        <v>0.17699999999999999</v>
      </c>
      <c r="S197">
        <f t="shared" si="37"/>
        <v>1240647.0590449248</v>
      </c>
      <c r="U197">
        <f t="shared" si="38"/>
        <v>71431.310706590113</v>
      </c>
      <c r="V197" s="48">
        <v>0.17699999999999999</v>
      </c>
      <c r="W197">
        <f t="shared" si="39"/>
        <v>90055.775394834927</v>
      </c>
      <c r="Y197">
        <f t="shared" si="40"/>
        <v>4031.0158925295441</v>
      </c>
      <c r="Z197" s="28">
        <v>0.17699999999999999</v>
      </c>
      <c r="AA197">
        <f t="shared" si="41"/>
        <v>3266.8611000673477</v>
      </c>
    </row>
    <row r="198" spans="1:27" x14ac:dyDescent="0.2">
      <c r="A198">
        <f t="shared" si="28"/>
        <v>7143457.5864824662</v>
      </c>
      <c r="B198" s="28">
        <v>0.17799999999999999</v>
      </c>
      <c r="C198">
        <f t="shared" si="29"/>
        <v>7249431.5190957161</v>
      </c>
      <c r="E198">
        <f t="shared" si="30"/>
        <v>7410.1714500858561</v>
      </c>
      <c r="F198" s="28">
        <v>0.17799999999999999</v>
      </c>
      <c r="G198">
        <f t="shared" si="31"/>
        <v>3369.2199221415121</v>
      </c>
      <c r="I198">
        <f t="shared" si="32"/>
        <v>8428557.7002508398</v>
      </c>
      <c r="J198" s="28">
        <v>0.17799999999999999</v>
      </c>
      <c r="K198">
        <f t="shared" si="33"/>
        <v>8539830.329494752</v>
      </c>
      <c r="M198">
        <f t="shared" si="34"/>
        <v>7349.4198725560373</v>
      </c>
      <c r="N198" s="28">
        <v>0.17799999999999999</v>
      </c>
      <c r="O198">
        <f t="shared" si="35"/>
        <v>3968.9410682827011</v>
      </c>
      <c r="Q198">
        <f t="shared" si="36"/>
        <v>1285100.1137683748</v>
      </c>
      <c r="R198" s="28">
        <v>0.17799999999999999</v>
      </c>
      <c r="S198">
        <f t="shared" si="37"/>
        <v>1290998.8103990373</v>
      </c>
      <c r="U198">
        <f t="shared" si="38"/>
        <v>72682.927205940767</v>
      </c>
      <c r="V198" s="48">
        <v>0.17799999999999999</v>
      </c>
      <c r="W198">
        <f t="shared" si="39"/>
        <v>91307.391894185581</v>
      </c>
      <c r="Y198">
        <f t="shared" si="40"/>
        <v>4047.0991401775027</v>
      </c>
      <c r="Z198" s="28">
        <v>0.17799999999999999</v>
      </c>
      <c r="AA198">
        <f t="shared" si="41"/>
        <v>3250.7778524193891</v>
      </c>
    </row>
    <row r="199" spans="1:27" x14ac:dyDescent="0.2">
      <c r="A199">
        <f t="shared" si="28"/>
        <v>7395415.6902266126</v>
      </c>
      <c r="B199" s="28">
        <v>0.17899999999999999</v>
      </c>
      <c r="C199">
        <f t="shared" si="29"/>
        <v>7501389.6228398625</v>
      </c>
      <c r="E199">
        <f t="shared" si="30"/>
        <v>7428.9331990452847</v>
      </c>
      <c r="F199" s="28">
        <v>0.17899999999999999</v>
      </c>
      <c r="G199">
        <f t="shared" si="31"/>
        <v>3350.458173182084</v>
      </c>
      <c r="I199">
        <f t="shared" si="32"/>
        <v>8732865.7360842861</v>
      </c>
      <c r="J199" s="28">
        <v>0.17899999999999999</v>
      </c>
      <c r="K199">
        <f t="shared" si="33"/>
        <v>8844138.3653281983</v>
      </c>
      <c r="M199">
        <f t="shared" si="34"/>
        <v>7368.1707546570615</v>
      </c>
      <c r="N199" s="28">
        <v>0.17899999999999999</v>
      </c>
      <c r="O199">
        <f t="shared" si="35"/>
        <v>3950.1901861816768</v>
      </c>
      <c r="Q199">
        <f t="shared" si="36"/>
        <v>1337450.0458576728</v>
      </c>
      <c r="R199" s="28">
        <v>0.17899999999999999</v>
      </c>
      <c r="S199">
        <f t="shared" si="37"/>
        <v>1343348.7424883354</v>
      </c>
      <c r="U199">
        <f t="shared" si="38"/>
        <v>73953.616596248015</v>
      </c>
      <c r="V199" s="48">
        <v>0.17899999999999999</v>
      </c>
      <c r="W199">
        <f t="shared" si="39"/>
        <v>92578.08128449283</v>
      </c>
      <c r="Y199">
        <f t="shared" si="40"/>
        <v>4063.0445884527735</v>
      </c>
      <c r="Z199" s="28">
        <v>0.17899999999999999</v>
      </c>
      <c r="AA199">
        <f t="shared" si="41"/>
        <v>3234.8324041441183</v>
      </c>
    </row>
    <row r="200" spans="1:27" x14ac:dyDescent="0.2">
      <c r="A200">
        <f t="shared" si="28"/>
        <v>7656105.8198619597</v>
      </c>
      <c r="B200" s="28">
        <v>0.18</v>
      </c>
      <c r="C200">
        <f t="shared" si="29"/>
        <v>7762079.7524752095</v>
      </c>
      <c r="E200">
        <f t="shared" si="30"/>
        <v>7447.4888850046445</v>
      </c>
      <c r="F200" s="28">
        <v>0.18</v>
      </c>
      <c r="G200">
        <f t="shared" si="31"/>
        <v>3331.9024872227233</v>
      </c>
      <c r="I200">
        <f t="shared" si="32"/>
        <v>9047981.4786768351</v>
      </c>
      <c r="J200" s="28">
        <v>0.18</v>
      </c>
      <c r="K200">
        <f t="shared" si="33"/>
        <v>9159254.1079207473</v>
      </c>
      <c r="M200">
        <f t="shared" si="34"/>
        <v>7386.7160059159251</v>
      </c>
      <c r="N200" s="28">
        <v>0.18</v>
      </c>
      <c r="O200">
        <f t="shared" si="35"/>
        <v>3931.6449349228133</v>
      </c>
      <c r="Q200">
        <f t="shared" si="36"/>
        <v>1391875.6588148752</v>
      </c>
      <c r="R200" s="28">
        <v>0.18</v>
      </c>
      <c r="S200">
        <f t="shared" si="37"/>
        <v>1397774.3554455377</v>
      </c>
      <c r="U200">
        <f t="shared" si="38"/>
        <v>75243.682787312297</v>
      </c>
      <c r="V200" s="48">
        <v>0.18</v>
      </c>
      <c r="W200">
        <f t="shared" si="39"/>
        <v>93868.147475557111</v>
      </c>
      <c r="Y200">
        <f t="shared" si="40"/>
        <v>4078.8537604950079</v>
      </c>
      <c r="Z200" s="28">
        <v>0.18</v>
      </c>
      <c r="AA200">
        <f t="shared" si="41"/>
        <v>3219.0232321018839</v>
      </c>
    </row>
    <row r="201" spans="1:27" x14ac:dyDescent="0.2">
      <c r="A201">
        <f t="shared" si="28"/>
        <v>7925827.6459148731</v>
      </c>
      <c r="B201" s="28">
        <v>0.18099999999999999</v>
      </c>
      <c r="C201">
        <f t="shared" si="29"/>
        <v>8031801.578528123</v>
      </c>
      <c r="E201">
        <f t="shared" si="30"/>
        <v>7465.8418265173459</v>
      </c>
      <c r="F201" s="28">
        <v>0.18099999999999999</v>
      </c>
      <c r="G201">
        <f t="shared" si="31"/>
        <v>3313.5495457100228</v>
      </c>
      <c r="I201">
        <f t="shared" si="32"/>
        <v>9374285.0349978004</v>
      </c>
      <c r="J201" s="28">
        <v>0.18099999999999999</v>
      </c>
      <c r="K201">
        <f t="shared" si="33"/>
        <v>9485557.6642417125</v>
      </c>
      <c r="M201">
        <f t="shared" si="34"/>
        <v>7405.0589273552014</v>
      </c>
      <c r="N201" s="28">
        <v>0.18099999999999999</v>
      </c>
      <c r="O201">
        <f t="shared" si="35"/>
        <v>3913.3020134835369</v>
      </c>
      <c r="Q201">
        <f t="shared" si="36"/>
        <v>1448457.3890829277</v>
      </c>
      <c r="R201" s="28">
        <v>0.18099999999999999</v>
      </c>
      <c r="S201">
        <f t="shared" si="37"/>
        <v>1454356.0857135903</v>
      </c>
      <c r="U201">
        <f t="shared" si="38"/>
        <v>76553.434668593734</v>
      </c>
      <c r="V201" s="48">
        <v>0.18099999999999999</v>
      </c>
      <c r="W201">
        <f t="shared" si="39"/>
        <v>95177.899356838549</v>
      </c>
      <c r="Y201">
        <f t="shared" si="40"/>
        <v>4094.5281600630683</v>
      </c>
      <c r="Z201" s="28">
        <v>0.18099999999999999</v>
      </c>
      <c r="AA201">
        <f t="shared" si="41"/>
        <v>3203.3488325338235</v>
      </c>
    </row>
    <row r="202" spans="1:27" x14ac:dyDescent="0.2">
      <c r="A202">
        <f t="shared" si="28"/>
        <v>8204890.9831285309</v>
      </c>
      <c r="B202" s="28">
        <v>0.182</v>
      </c>
      <c r="C202">
        <f t="shared" si="29"/>
        <v>8310864.9157417808</v>
      </c>
      <c r="E202">
        <f t="shared" si="30"/>
        <v>7483.995273185662</v>
      </c>
      <c r="F202" s="28">
        <v>0.182</v>
      </c>
      <c r="G202">
        <f t="shared" si="31"/>
        <v>3295.3960990417063</v>
      </c>
      <c r="I202">
        <f t="shared" si="32"/>
        <v>9712169.701162871</v>
      </c>
      <c r="J202" s="28">
        <v>0.182</v>
      </c>
      <c r="K202">
        <f t="shared" si="33"/>
        <v>9823442.3304067831</v>
      </c>
      <c r="M202">
        <f t="shared" si="34"/>
        <v>7423.2027517714423</v>
      </c>
      <c r="N202" s="28">
        <v>0.182</v>
      </c>
      <c r="O202">
        <f t="shared" si="35"/>
        <v>3895.158189067296</v>
      </c>
      <c r="Q202">
        <f t="shared" si="36"/>
        <v>1507278.7180343415</v>
      </c>
      <c r="R202" s="28">
        <v>0.182</v>
      </c>
      <c r="S202">
        <f t="shared" si="37"/>
        <v>1513177.414665004</v>
      </c>
      <c r="U202">
        <f t="shared" si="38"/>
        <v>77883.186192414883</v>
      </c>
      <c r="V202" s="48">
        <v>0.182</v>
      </c>
      <c r="W202">
        <f t="shared" si="39"/>
        <v>96507.650880659698</v>
      </c>
      <c r="Y202">
        <f t="shared" si="40"/>
        <v>4110.0692718038445</v>
      </c>
      <c r="Z202" s="28">
        <v>0.182</v>
      </c>
      <c r="AA202">
        <f t="shared" si="41"/>
        <v>3187.8077207930478</v>
      </c>
    </row>
    <row r="203" spans="1:27" x14ac:dyDescent="0.2">
      <c r="A203">
        <f t="shared" si="28"/>
        <v>8493616.1282734703</v>
      </c>
      <c r="B203" s="28">
        <v>0.183</v>
      </c>
      <c r="C203">
        <f t="shared" si="29"/>
        <v>8599590.0608867202</v>
      </c>
      <c r="E203">
        <f t="shared" si="30"/>
        <v>7501.952407377612</v>
      </c>
      <c r="F203" s="28">
        <v>0.183</v>
      </c>
      <c r="G203">
        <f t="shared" si="31"/>
        <v>3277.4389648497558</v>
      </c>
      <c r="I203">
        <f t="shared" si="32"/>
        <v>10062042.412785079</v>
      </c>
      <c r="J203" s="28">
        <v>0.183</v>
      </c>
      <c r="K203">
        <f t="shared" si="33"/>
        <v>10173315.042028992</v>
      </c>
      <c r="M203">
        <f t="shared" si="34"/>
        <v>7441.1506454214768</v>
      </c>
      <c r="N203" s="28">
        <v>0.183</v>
      </c>
      <c r="O203">
        <f t="shared" si="35"/>
        <v>3877.2102954172615</v>
      </c>
      <c r="Q203">
        <f t="shared" si="36"/>
        <v>1568426.2845116074</v>
      </c>
      <c r="R203" s="28">
        <v>0.183</v>
      </c>
      <c r="S203">
        <f t="shared" si="37"/>
        <v>1574324.9811422699</v>
      </c>
      <c r="U203">
        <f t="shared" si="38"/>
        <v>79233.256458574207</v>
      </c>
      <c r="V203" s="48">
        <v>0.183</v>
      </c>
      <c r="W203">
        <f t="shared" si="39"/>
        <v>97857.721146819022</v>
      </c>
      <c r="Y203">
        <f t="shared" si="40"/>
        <v>4125.4785615171186</v>
      </c>
      <c r="Z203" s="28">
        <v>0.183</v>
      </c>
      <c r="AA203">
        <f t="shared" si="41"/>
        <v>3172.3984310797737</v>
      </c>
    </row>
    <row r="204" spans="1:27" x14ac:dyDescent="0.2">
      <c r="A204">
        <f t="shared" si="28"/>
        <v>8792334.2090008147</v>
      </c>
      <c r="B204" s="28">
        <v>0.184</v>
      </c>
      <c r="C204">
        <f t="shared" si="29"/>
        <v>8898308.1416140646</v>
      </c>
      <c r="E204">
        <f t="shared" si="30"/>
        <v>7519.7163458949763</v>
      </c>
      <c r="F204" s="28">
        <v>0.184</v>
      </c>
      <c r="G204">
        <f t="shared" si="31"/>
        <v>3259.6750263323916</v>
      </c>
      <c r="I204">
        <f t="shared" si="32"/>
        <v>10424324.210427139</v>
      </c>
      <c r="J204" s="28">
        <v>0.184</v>
      </c>
      <c r="K204">
        <f t="shared" si="33"/>
        <v>10535596.839671051</v>
      </c>
      <c r="M204">
        <f t="shared" si="34"/>
        <v>7458.9057096611868</v>
      </c>
      <c r="N204" s="28">
        <v>0.184</v>
      </c>
      <c r="O204">
        <f t="shared" si="35"/>
        <v>3859.4552311775519</v>
      </c>
      <c r="Q204">
        <f t="shared" si="36"/>
        <v>1631990.0014263252</v>
      </c>
      <c r="R204" s="28">
        <v>0.184</v>
      </c>
      <c r="S204">
        <f t="shared" si="37"/>
        <v>1637888.6980569877</v>
      </c>
      <c r="U204">
        <f t="shared" si="38"/>
        <v>80603.969800394247</v>
      </c>
      <c r="V204" s="48">
        <v>0.184</v>
      </c>
      <c r="W204">
        <f t="shared" si="39"/>
        <v>99228.434488639061</v>
      </c>
      <c r="Y204">
        <f t="shared" si="40"/>
        <v>4140.7574764165529</v>
      </c>
      <c r="Z204" s="28">
        <v>0.184</v>
      </c>
      <c r="AA204">
        <f t="shared" si="41"/>
        <v>3157.1195161803385</v>
      </c>
    </row>
    <row r="205" spans="1:27" x14ac:dyDescent="0.2">
      <c r="A205">
        <f t="shared" si="28"/>
        <v>9101387.5440941378</v>
      </c>
      <c r="B205" s="28">
        <v>0.185</v>
      </c>
      <c r="C205">
        <f t="shared" si="29"/>
        <v>9207361.4767073877</v>
      </c>
      <c r="E205">
        <f t="shared" si="30"/>
        <v>7537.2901415940087</v>
      </c>
      <c r="F205" s="28">
        <v>0.185</v>
      </c>
      <c r="G205">
        <f t="shared" si="31"/>
        <v>3242.1012306333591</v>
      </c>
      <c r="I205">
        <f t="shared" si="32"/>
        <v>10799450.72065434</v>
      </c>
      <c r="J205" s="28">
        <v>0.185</v>
      </c>
      <c r="K205">
        <f t="shared" si="33"/>
        <v>10910723.349898253</v>
      </c>
      <c r="M205">
        <f t="shared" si="34"/>
        <v>7476.4709825382079</v>
      </c>
      <c r="N205" s="28">
        <v>0.185</v>
      </c>
      <c r="O205">
        <f t="shared" si="35"/>
        <v>3841.8899583005305</v>
      </c>
      <c r="Q205">
        <f t="shared" si="36"/>
        <v>1698063.176560204</v>
      </c>
      <c r="R205" s="28">
        <v>0.185</v>
      </c>
      <c r="S205">
        <f t="shared" si="37"/>
        <v>1703961.8731908666</v>
      </c>
      <c r="U205">
        <f t="shared" si="38"/>
        <v>81995.655872229268</v>
      </c>
      <c r="V205" s="48">
        <v>0.185</v>
      </c>
      <c r="W205">
        <f t="shared" si="39"/>
        <v>100620.12056047408</v>
      </c>
      <c r="Y205">
        <f t="shared" si="40"/>
        <v>4155.9074453868452</v>
      </c>
      <c r="Z205" s="28">
        <v>0.185</v>
      </c>
      <c r="AA205">
        <f t="shared" si="41"/>
        <v>3141.969547210047</v>
      </c>
    </row>
    <row r="206" spans="1:27" x14ac:dyDescent="0.2">
      <c r="A206">
        <f t="shared" si="28"/>
        <v>9421130.0154827014</v>
      </c>
      <c r="B206" s="28">
        <v>0.186</v>
      </c>
      <c r="C206">
        <f t="shared" si="29"/>
        <v>9527103.9480959512</v>
      </c>
      <c r="E206">
        <f t="shared" si="30"/>
        <v>7554.6767849603239</v>
      </c>
      <c r="F206" s="28">
        <v>0.186</v>
      </c>
      <c r="G206">
        <f t="shared" si="31"/>
        <v>3224.7145872670444</v>
      </c>
      <c r="I206">
        <f t="shared" si="32"/>
        <v>11187872.653197886</v>
      </c>
      <c r="J206" s="28">
        <v>0.186</v>
      </c>
      <c r="K206">
        <f t="shared" si="33"/>
        <v>11299145.282441799</v>
      </c>
      <c r="M206">
        <f t="shared" si="34"/>
        <v>7493.8494403400236</v>
      </c>
      <c r="N206" s="28">
        <v>0.186</v>
      </c>
      <c r="O206">
        <f t="shared" si="35"/>
        <v>3824.5115004987142</v>
      </c>
      <c r="Q206">
        <f t="shared" si="36"/>
        <v>1766742.6377151844</v>
      </c>
      <c r="R206" s="28">
        <v>0.186</v>
      </c>
      <c r="S206">
        <f t="shared" si="37"/>
        <v>1772641.3343458469</v>
      </c>
      <c r="U206">
        <f t="shared" si="38"/>
        <v>83408.649738457359</v>
      </c>
      <c r="V206" s="48">
        <v>0.186</v>
      </c>
      <c r="W206">
        <f t="shared" si="39"/>
        <v>102033.11442670217</v>
      </c>
      <c r="Y206">
        <f t="shared" si="40"/>
        <v>4170.9298792371055</v>
      </c>
      <c r="Z206" s="28">
        <v>0.186</v>
      </c>
      <c r="AA206">
        <f t="shared" si="41"/>
        <v>3126.9471133597863</v>
      </c>
    </row>
    <row r="207" spans="1:27" x14ac:dyDescent="0.2">
      <c r="A207">
        <f t="shared" si="28"/>
        <v>9751927.4523948766</v>
      </c>
      <c r="B207" s="28">
        <v>0.187</v>
      </c>
      <c r="C207">
        <f t="shared" si="29"/>
        <v>9857901.3850081265</v>
      </c>
      <c r="E207">
        <f t="shared" si="30"/>
        <v>7571.8792056393859</v>
      </c>
      <c r="F207" s="28">
        <v>0.187</v>
      </c>
      <c r="G207">
        <f t="shared" si="31"/>
        <v>3207.5121665879824</v>
      </c>
      <c r="I207">
        <f t="shared" si="32"/>
        <v>11590056.314760737</v>
      </c>
      <c r="J207" s="28">
        <v>0.187</v>
      </c>
      <c r="K207">
        <f t="shared" si="33"/>
        <v>11701328.944004649</v>
      </c>
      <c r="M207">
        <f t="shared" si="34"/>
        <v>7511.0439990988025</v>
      </c>
      <c r="N207" s="28">
        <v>0.187</v>
      </c>
      <c r="O207">
        <f t="shared" si="35"/>
        <v>3807.3169417399358</v>
      </c>
      <c r="Q207">
        <f t="shared" si="36"/>
        <v>1838128.8623658572</v>
      </c>
      <c r="R207" s="28">
        <v>0.187</v>
      </c>
      <c r="S207">
        <f t="shared" si="37"/>
        <v>1844027.5589965198</v>
      </c>
      <c r="U207">
        <f t="shared" si="38"/>
        <v>84843.291963982381</v>
      </c>
      <c r="V207" s="48">
        <v>0.187</v>
      </c>
      <c r="W207">
        <f t="shared" si="39"/>
        <v>103467.7566522272</v>
      </c>
      <c r="Y207">
        <f t="shared" si="40"/>
        <v>4185.8261709505441</v>
      </c>
      <c r="Z207" s="28">
        <v>0.187</v>
      </c>
      <c r="AA207">
        <f t="shared" si="41"/>
        <v>3112.0508216463472</v>
      </c>
    </row>
    <row r="208" spans="1:27" x14ac:dyDescent="0.2">
      <c r="A208">
        <f t="shared" si="28"/>
        <v>10094158.028037416</v>
      </c>
      <c r="B208" s="28">
        <v>0.188</v>
      </c>
      <c r="C208">
        <f t="shared" si="29"/>
        <v>10200131.960650666</v>
      </c>
      <c r="E208">
        <f t="shared" si="30"/>
        <v>7588.9002739240004</v>
      </c>
      <c r="F208" s="28">
        <v>0.188</v>
      </c>
      <c r="G208">
        <f t="shared" si="31"/>
        <v>3190.4910983033678</v>
      </c>
      <c r="I208">
        <f t="shared" si="32"/>
        <v>12006484.140009079</v>
      </c>
      <c r="J208" s="28">
        <v>0.188</v>
      </c>
      <c r="K208">
        <f t="shared" si="33"/>
        <v>12117756.769252991</v>
      </c>
      <c r="M208">
        <f t="shared" si="34"/>
        <v>7528.0575160543376</v>
      </c>
      <c r="N208" s="28">
        <v>0.188</v>
      </c>
      <c r="O208">
        <f t="shared" si="35"/>
        <v>3790.3034247844002</v>
      </c>
      <c r="Q208">
        <f t="shared" si="36"/>
        <v>1912326.1119716626</v>
      </c>
      <c r="R208" s="28">
        <v>0.188</v>
      </c>
      <c r="S208">
        <f t="shared" si="37"/>
        <v>1918224.8086023252</v>
      </c>
      <c r="U208">
        <f t="shared" si="38"/>
        <v>86299.928706271894</v>
      </c>
      <c r="V208" s="48">
        <v>0.188</v>
      </c>
      <c r="W208">
        <f t="shared" si="39"/>
        <v>104924.39339451671</v>
      </c>
      <c r="Y208">
        <f t="shared" si="40"/>
        <v>4200.5976959304862</v>
      </c>
      <c r="Z208" s="28">
        <v>0.188</v>
      </c>
      <c r="AA208">
        <f t="shared" si="41"/>
        <v>3097.279296666406</v>
      </c>
    </row>
    <row r="209" spans="1:27" x14ac:dyDescent="0.2">
      <c r="A209">
        <f t="shared" si="28"/>
        <v>10448212.669203239</v>
      </c>
      <c r="B209" s="28">
        <v>0.189</v>
      </c>
      <c r="C209">
        <f t="shared" si="29"/>
        <v>10554186.601816488</v>
      </c>
      <c r="E209">
        <f t="shared" si="30"/>
        <v>7605.7428022001404</v>
      </c>
      <c r="F209" s="28">
        <v>0.189</v>
      </c>
      <c r="G209">
        <f t="shared" si="31"/>
        <v>3173.6485700272283</v>
      </c>
      <c r="I209">
        <f t="shared" si="32"/>
        <v>12437655.240315894</v>
      </c>
      <c r="J209" s="28">
        <v>0.189</v>
      </c>
      <c r="K209">
        <f t="shared" si="33"/>
        <v>12548927.869559806</v>
      </c>
      <c r="M209">
        <f t="shared" si="34"/>
        <v>7544.8927910763632</v>
      </c>
      <c r="N209" s="28">
        <v>0.189</v>
      </c>
      <c r="O209">
        <f t="shared" si="35"/>
        <v>3773.4681497623747</v>
      </c>
      <c r="Q209">
        <f t="shared" si="36"/>
        <v>1989442.5711126537</v>
      </c>
      <c r="R209" s="28">
        <v>0.189</v>
      </c>
      <c r="S209">
        <f t="shared" si="37"/>
        <v>1995341.2677433162</v>
      </c>
      <c r="U209">
        <f t="shared" si="38"/>
        <v>87778.911808956836</v>
      </c>
      <c r="V209" s="48">
        <v>0.189</v>
      </c>
      <c r="W209">
        <f t="shared" si="39"/>
        <v>106403.37649720165</v>
      </c>
      <c r="Y209">
        <f t="shared" si="40"/>
        <v>4215.2458122427925</v>
      </c>
      <c r="Z209" s="28">
        <v>0.189</v>
      </c>
      <c r="AA209">
        <f t="shared" si="41"/>
        <v>3082.6311803540993</v>
      </c>
    </row>
    <row r="210" spans="1:27" x14ac:dyDescent="0.2">
      <c r="A210">
        <f t="shared" si="28"/>
        <v>10814495.479218341</v>
      </c>
      <c r="B210" s="28">
        <v>0.19</v>
      </c>
      <c r="C210">
        <f t="shared" si="29"/>
        <v>10920469.411831591</v>
      </c>
      <c r="E210">
        <f t="shared" si="30"/>
        <v>7622.40954635239</v>
      </c>
      <c r="F210" s="28">
        <v>0.19</v>
      </c>
      <c r="G210">
        <f t="shared" si="31"/>
        <v>3156.9818258749779</v>
      </c>
      <c r="I210">
        <f t="shared" si="32"/>
        <v>12884085.97083568</v>
      </c>
      <c r="J210" s="28">
        <v>0.19</v>
      </c>
      <c r="K210">
        <f t="shared" si="33"/>
        <v>12995358.600079592</v>
      </c>
      <c r="M210">
        <f t="shared" si="34"/>
        <v>7561.5525680475139</v>
      </c>
      <c r="N210" s="28">
        <v>0.19</v>
      </c>
      <c r="O210">
        <f t="shared" si="35"/>
        <v>3756.8083727912244</v>
      </c>
      <c r="Q210">
        <f t="shared" si="36"/>
        <v>2069590.4916173397</v>
      </c>
      <c r="R210" s="28">
        <v>0.19</v>
      </c>
      <c r="S210">
        <f t="shared" si="37"/>
        <v>2075489.1882480022</v>
      </c>
      <c r="U210">
        <f t="shared" si="38"/>
        <v>89280.598897020944</v>
      </c>
      <c r="V210" s="48">
        <v>0.19</v>
      </c>
      <c r="W210">
        <f t="shared" si="39"/>
        <v>107905.06358526576</v>
      </c>
      <c r="Y210">
        <f t="shared" si="40"/>
        <v>4229.7718608547439</v>
      </c>
      <c r="Z210" s="28">
        <v>0.19</v>
      </c>
      <c r="AA210">
        <f t="shared" si="41"/>
        <v>3068.1051317421479</v>
      </c>
    </row>
    <row r="211" spans="1:27" x14ac:dyDescent="0.2">
      <c r="A211">
        <f t="shared" si="28"/>
        <v>11193424.174655898</v>
      </c>
      <c r="B211" s="28">
        <v>0.191</v>
      </c>
      <c r="C211">
        <f t="shared" si="29"/>
        <v>11299398.107269147</v>
      </c>
      <c r="E211">
        <f t="shared" si="30"/>
        <v>7638.9032071302881</v>
      </c>
      <c r="F211" s="28">
        <v>0.191</v>
      </c>
      <c r="G211">
        <f t="shared" si="31"/>
        <v>3140.4881650970806</v>
      </c>
      <c r="I211">
        <f t="shared" si="32"/>
        <v>13346310.516513642</v>
      </c>
      <c r="J211" s="28">
        <v>0.191</v>
      </c>
      <c r="K211">
        <f t="shared" si="33"/>
        <v>13457583.145757554</v>
      </c>
      <c r="M211">
        <f t="shared" si="34"/>
        <v>7578.0395362081154</v>
      </c>
      <c r="N211" s="28">
        <v>0.191</v>
      </c>
      <c r="O211">
        <f t="shared" si="35"/>
        <v>3740.321404630623</v>
      </c>
      <c r="Q211">
        <f t="shared" si="36"/>
        <v>2152886.3418577448</v>
      </c>
      <c r="R211" s="28">
        <v>0.191</v>
      </c>
      <c r="S211">
        <f t="shared" si="37"/>
        <v>2158785.0384884072</v>
      </c>
      <c r="U211">
        <f t="shared" si="38"/>
        <v>90805.353473605734</v>
      </c>
      <c r="V211" s="48">
        <v>0.191</v>
      </c>
      <c r="W211">
        <f t="shared" si="39"/>
        <v>109429.81816185055</v>
      </c>
      <c r="Y211">
        <f t="shared" si="40"/>
        <v>4244.177165870422</v>
      </c>
      <c r="Z211" s="28">
        <v>0.191</v>
      </c>
      <c r="AA211">
        <f t="shared" si="41"/>
        <v>3053.6998267264694</v>
      </c>
    </row>
    <row r="212" spans="1:27" x14ac:dyDescent="0.2">
      <c r="A212">
        <f t="shared" si="28"/>
        <v>11585430.536253998</v>
      </c>
      <c r="B212" s="28">
        <v>0.192</v>
      </c>
      <c r="C212">
        <f t="shared" si="29"/>
        <v>11691404.468867248</v>
      </c>
      <c r="E212">
        <f t="shared" si="30"/>
        <v>7655.2264314767381</v>
      </c>
      <c r="F212" s="28">
        <v>0.192</v>
      </c>
      <c r="G212">
        <f t="shared" si="31"/>
        <v>3124.1649407506306</v>
      </c>
      <c r="I212">
        <f t="shared" si="32"/>
        <v>13824881.497645846</v>
      </c>
      <c r="J212" s="28">
        <v>0.192</v>
      </c>
      <c r="K212">
        <f t="shared" si="33"/>
        <v>13936154.126889758</v>
      </c>
      <c r="M212">
        <f t="shared" si="34"/>
        <v>7594.3563314639869</v>
      </c>
      <c r="N212" s="28">
        <v>0.192</v>
      </c>
      <c r="O212">
        <f t="shared" si="35"/>
        <v>3724.004609374751</v>
      </c>
      <c r="Q212">
        <f t="shared" si="36"/>
        <v>2239450.9613918494</v>
      </c>
      <c r="R212" s="28">
        <v>0.192</v>
      </c>
      <c r="S212">
        <f t="shared" si="37"/>
        <v>2245349.6580225118</v>
      </c>
      <c r="U212">
        <f t="shared" si="38"/>
        <v>92353.545018459758</v>
      </c>
      <c r="V212" s="48">
        <v>0.192</v>
      </c>
      <c r="W212">
        <f t="shared" si="39"/>
        <v>110978.00970670457</v>
      </c>
      <c r="Y212">
        <f t="shared" si="40"/>
        <v>4258.463034762668</v>
      </c>
      <c r="Z212" s="28">
        <v>0.192</v>
      </c>
      <c r="AA212">
        <f t="shared" si="41"/>
        <v>3039.4139578342233</v>
      </c>
    </row>
    <row r="213" spans="1:27" x14ac:dyDescent="0.2">
      <c r="A213">
        <f t="shared" si="28"/>
        <v>11990960.874492597</v>
      </c>
      <c r="B213" s="28">
        <v>0.193</v>
      </c>
      <c r="C213">
        <f t="shared" si="29"/>
        <v>12096934.807105847</v>
      </c>
      <c r="E213">
        <f t="shared" si="30"/>
        <v>7671.3818138196912</v>
      </c>
      <c r="F213" s="28">
        <v>0.193</v>
      </c>
      <c r="G213">
        <f t="shared" si="31"/>
        <v>3108.0095584076771</v>
      </c>
      <c r="I213">
        <f t="shared" si="32"/>
        <v>14320370.595633363</v>
      </c>
      <c r="J213" s="28">
        <v>0.193</v>
      </c>
      <c r="K213">
        <f t="shared" si="33"/>
        <v>14431643.224877276</v>
      </c>
      <c r="M213">
        <f t="shared" si="34"/>
        <v>7610.5055376583796</v>
      </c>
      <c r="N213" s="28">
        <v>0.193</v>
      </c>
      <c r="O213">
        <f t="shared" si="35"/>
        <v>3707.8554031803587</v>
      </c>
      <c r="Q213">
        <f t="shared" si="36"/>
        <v>2329409.7211407661</v>
      </c>
      <c r="R213" s="28">
        <v>0.193</v>
      </c>
      <c r="S213">
        <f t="shared" si="37"/>
        <v>2335308.4177714284</v>
      </c>
      <c r="U213">
        <f t="shared" si="38"/>
        <v>93925.549088060216</v>
      </c>
      <c r="V213" s="48">
        <v>0.193</v>
      </c>
      <c r="W213">
        <f t="shared" si="39"/>
        <v>112550.01377630503</v>
      </c>
      <c r="Y213">
        <f t="shared" si="40"/>
        <v>4272.6307586016428</v>
      </c>
      <c r="Z213" s="28">
        <v>0.193</v>
      </c>
      <c r="AA213">
        <f t="shared" si="41"/>
        <v>3025.2462339952485</v>
      </c>
    </row>
    <row r="214" spans="1:27" x14ac:dyDescent="0.2">
      <c r="A214">
        <f t="shared" ref="A214:A277" si="42">ABS($D$11-C214)</f>
        <v>12410476.510293422</v>
      </c>
      <c r="B214" s="28">
        <v>0.19400000000000001</v>
      </c>
      <c r="C214">
        <f t="shared" ref="C214:C277" si="43">($B$4)*(((1+B214)^($B$6*$B$5))-1)/B214</f>
        <v>12516450.442906672</v>
      </c>
      <c r="E214">
        <f t="shared" ref="E214:E277" si="44">ABS($E$12-G214)</f>
        <v>7687.3718973282084</v>
      </c>
      <c r="F214" s="28">
        <v>0.19400000000000001</v>
      </c>
      <c r="G214">
        <f t="shared" ref="G214:G277" si="45">$B$4*(((1-(1+F214)^(-$B$5*$B$6)))/F214)</f>
        <v>3092.0194748991598</v>
      </c>
      <c r="I214">
        <f t="shared" ref="I214:I277" si="46">ABS($F$11-K214)</f>
        <v>14833369.199586654</v>
      </c>
      <c r="J214" s="28">
        <v>0.19400000000000001</v>
      </c>
      <c r="K214">
        <f t="shared" ref="K214:K277" si="47">($B$4*(1+J214)*(((1+J214)^($B$6*$B$5))-1))/J214</f>
        <v>14944641.828830566</v>
      </c>
      <c r="M214">
        <f t="shared" ref="M214:M277" si="48">ABS($G$12-O214)</f>
        <v>7626.4896878091413</v>
      </c>
      <c r="N214" s="28">
        <v>0.19400000000000001</v>
      </c>
      <c r="O214">
        <f t="shared" ref="O214:O277" si="49">($B$4*(1+N214)*(1-((1+N214)^(-$B$6*$B$5))))/N214</f>
        <v>3691.871253029597</v>
      </c>
      <c r="Q214">
        <f t="shared" ref="Q214:Q277" si="50">ABS($H$11-S214)</f>
        <v>2422892.6892932323</v>
      </c>
      <c r="R214" s="28">
        <v>0.19400000000000001</v>
      </c>
      <c r="S214">
        <f t="shared" ref="S214:S277" si="51">$B$3*((1+R214)^($B$6*$B$5))</f>
        <v>2428791.3859238946</v>
      </c>
      <c r="U214">
        <f t="shared" ref="U214:U277" si="52">ABS($I$11-W214)</f>
        <v>95521.747417435356</v>
      </c>
      <c r="V214" s="48">
        <v>0.19400000000000001</v>
      </c>
      <c r="W214">
        <f t="shared" ref="W214:W277" si="53">($B$4*(EXP(V214*$B$6)-1))/V214</f>
        <v>114146.21210568017</v>
      </c>
      <c r="Y214">
        <f t="shared" ref="Y214:Y277" si="54">ABS($I$12-AA214)</f>
        <v>4286.6816122800656</v>
      </c>
      <c r="Z214" s="28">
        <v>0.19400000000000001</v>
      </c>
      <c r="AA214">
        <f t="shared" ref="AA214:AA277" si="55">$B$4*(1-EXP(-Z214*$B$6))/Z214</f>
        <v>3011.1953803168262</v>
      </c>
    </row>
    <row r="215" spans="1:27" x14ac:dyDescent="0.2">
      <c r="A215">
        <f t="shared" si="42"/>
        <v>12844454.271327525</v>
      </c>
      <c r="B215" s="28">
        <v>0.19500000000000001</v>
      </c>
      <c r="C215">
        <f t="shared" si="43"/>
        <v>12950428.203940775</v>
      </c>
      <c r="E215">
        <f t="shared" si="44"/>
        <v>7703.1991751339956</v>
      </c>
      <c r="F215" s="28">
        <v>0.19500000000000001</v>
      </c>
      <c r="G215">
        <f t="shared" si="45"/>
        <v>3076.1921970933731</v>
      </c>
      <c r="I215">
        <f t="shared" si="46"/>
        <v>15364489.074465314</v>
      </c>
      <c r="J215" s="28">
        <v>0.19500000000000001</v>
      </c>
      <c r="K215">
        <f t="shared" si="47"/>
        <v>15475761.703709226</v>
      </c>
      <c r="M215">
        <f t="shared" si="48"/>
        <v>7642.311265312157</v>
      </c>
      <c r="N215" s="28">
        <v>0.19500000000000001</v>
      </c>
      <c r="O215">
        <f t="shared" si="49"/>
        <v>3676.0496755265813</v>
      </c>
      <c r="Q215">
        <f t="shared" si="50"/>
        <v>2520034.803137789</v>
      </c>
      <c r="R215" s="28">
        <v>0.19500000000000001</v>
      </c>
      <c r="S215">
        <f t="shared" si="51"/>
        <v>2525933.4997684513</v>
      </c>
      <c r="U215">
        <f t="shared" si="52"/>
        <v>97142.528023717197</v>
      </c>
      <c r="V215" s="48">
        <v>0.19500000000000001</v>
      </c>
      <c r="W215">
        <f t="shared" si="53"/>
        <v>115766.99271196201</v>
      </c>
      <c r="Y215">
        <f t="shared" si="54"/>
        <v>4300.6168547351617</v>
      </c>
      <c r="Z215" s="28">
        <v>0.19500000000000001</v>
      </c>
      <c r="AA215">
        <f t="shared" si="55"/>
        <v>2997.2601378617301</v>
      </c>
    </row>
    <row r="216" spans="1:27" x14ac:dyDescent="0.2">
      <c r="A216">
        <f t="shared" si="42"/>
        <v>13293387.004423466</v>
      </c>
      <c r="B216" s="28">
        <v>0.19600000000000001</v>
      </c>
      <c r="C216">
        <f t="shared" si="43"/>
        <v>13399360.937036715</v>
      </c>
      <c r="E216">
        <f t="shared" si="44"/>
        <v>7718.8660915194778</v>
      </c>
      <c r="F216" s="28">
        <v>0.19600000000000001</v>
      </c>
      <c r="G216">
        <f t="shared" si="45"/>
        <v>3060.52528070789</v>
      </c>
      <c r="I216">
        <f t="shared" si="46"/>
        <v>15914363.051452002</v>
      </c>
      <c r="J216" s="28">
        <v>0.19600000000000001</v>
      </c>
      <c r="K216">
        <f t="shared" si="47"/>
        <v>16025635.680695914</v>
      </c>
      <c r="M216">
        <f t="shared" si="48"/>
        <v>7657.9727051121017</v>
      </c>
      <c r="N216" s="28">
        <v>0.19600000000000001</v>
      </c>
      <c r="O216">
        <f t="shared" si="49"/>
        <v>3660.3882357266366</v>
      </c>
      <c r="Q216">
        <f t="shared" si="50"/>
        <v>2620976.0470285341</v>
      </c>
      <c r="R216" s="28">
        <v>0.19600000000000001</v>
      </c>
      <c r="S216">
        <f t="shared" si="51"/>
        <v>2626874.7436591964</v>
      </c>
      <c r="U216">
        <f t="shared" si="52"/>
        <v>98788.285311454019</v>
      </c>
      <c r="V216" s="48">
        <v>0.19600000000000001</v>
      </c>
      <c r="W216">
        <f t="shared" si="53"/>
        <v>117412.74999969883</v>
      </c>
      <c r="Y216">
        <f t="shared" si="54"/>
        <v>4314.4377291673818</v>
      </c>
      <c r="Z216" s="28">
        <v>0.19600000000000001</v>
      </c>
      <c r="AA216">
        <f t="shared" si="55"/>
        <v>2983.43926342951</v>
      </c>
    </row>
    <row r="217" spans="1:27" x14ac:dyDescent="0.2">
      <c r="A217">
        <f t="shared" si="42"/>
        <v>13757784.104591491</v>
      </c>
      <c r="B217" s="28">
        <v>0.19700000000000001</v>
      </c>
      <c r="C217">
        <f t="shared" si="43"/>
        <v>13863758.037204741</v>
      </c>
      <c r="E217">
        <f t="shared" si="44"/>
        <v>7734.3750430734235</v>
      </c>
      <c r="F217" s="28">
        <v>0.19700000000000001</v>
      </c>
      <c r="G217">
        <f t="shared" si="45"/>
        <v>3045.0163291539443</v>
      </c>
      <c r="I217">
        <f t="shared" si="46"/>
        <v>16483645.741290161</v>
      </c>
      <c r="J217" s="28">
        <v>0.19700000000000001</v>
      </c>
      <c r="K217">
        <f t="shared" si="47"/>
        <v>16594918.370534074</v>
      </c>
      <c r="M217">
        <f t="shared" si="48"/>
        <v>7673.4763948414666</v>
      </c>
      <c r="N217" s="28">
        <v>0.19700000000000001</v>
      </c>
      <c r="O217">
        <f t="shared" si="49"/>
        <v>3644.8845459972717</v>
      </c>
      <c r="Q217">
        <f t="shared" si="50"/>
        <v>2725861.6366986716</v>
      </c>
      <c r="R217" s="28">
        <v>0.19700000000000001</v>
      </c>
      <c r="S217">
        <f t="shared" si="51"/>
        <v>2731760.3333293339</v>
      </c>
      <c r="U217">
        <f t="shared" si="52"/>
        <v>100459.42017971314</v>
      </c>
      <c r="V217" s="48">
        <v>0.19700000000000001</v>
      </c>
      <c r="W217">
        <f t="shared" si="53"/>
        <v>119083.88486795795</v>
      </c>
      <c r="Y217">
        <f t="shared" si="54"/>
        <v>4328.1454632559398</v>
      </c>
      <c r="Z217" s="28">
        <v>0.19700000000000001</v>
      </c>
      <c r="AA217">
        <f t="shared" si="55"/>
        <v>2969.7315293409524</v>
      </c>
    </row>
    <row r="218" spans="1:27" x14ac:dyDescent="0.2">
      <c r="A218">
        <f t="shared" si="42"/>
        <v>14238172.061187781</v>
      </c>
      <c r="B218" s="28">
        <v>0.19800000000000001</v>
      </c>
      <c r="C218">
        <f t="shared" si="43"/>
        <v>14344145.993801031</v>
      </c>
      <c r="E218">
        <f t="shared" si="44"/>
        <v>7749.7283798151038</v>
      </c>
      <c r="F218" s="28">
        <v>0.19800000000000001</v>
      </c>
      <c r="G218">
        <f t="shared" si="45"/>
        <v>3029.6629924122644</v>
      </c>
      <c r="I218">
        <f t="shared" si="46"/>
        <v>17073014.27132972</v>
      </c>
      <c r="J218" s="28">
        <v>0.19800000000000001</v>
      </c>
      <c r="K218">
        <f t="shared" si="47"/>
        <v>17184286.900573634</v>
      </c>
      <c r="M218">
        <f t="shared" si="48"/>
        <v>7688.824675928845</v>
      </c>
      <c r="N218" s="28">
        <v>0.19800000000000001</v>
      </c>
      <c r="O218">
        <f t="shared" si="49"/>
        <v>3629.5362649098929</v>
      </c>
      <c r="Q218">
        <f t="shared" si="50"/>
        <v>2834842.2101419419</v>
      </c>
      <c r="R218" s="28">
        <v>0.19800000000000001</v>
      </c>
      <c r="S218">
        <f t="shared" si="51"/>
        <v>2840740.9067726042</v>
      </c>
      <c r="U218">
        <f t="shared" si="52"/>
        <v>102156.34013100447</v>
      </c>
      <c r="V218" s="48">
        <v>0.19800000000000001</v>
      </c>
      <c r="W218">
        <f t="shared" si="53"/>
        <v>120780.80481924929</v>
      </c>
      <c r="Y218">
        <f t="shared" si="54"/>
        <v>4341.7412693712049</v>
      </c>
      <c r="Z218" s="28">
        <v>0.19800000000000001</v>
      </c>
      <c r="AA218">
        <f t="shared" si="55"/>
        <v>2956.1357232256873</v>
      </c>
    </row>
    <row r="219" spans="1:27" x14ac:dyDescent="0.2">
      <c r="A219">
        <f t="shared" si="42"/>
        <v>14735095.021766743</v>
      </c>
      <c r="B219" s="28">
        <v>0.19900000000000001</v>
      </c>
      <c r="C219">
        <f t="shared" si="43"/>
        <v>14841068.954379993</v>
      </c>
      <c r="E219">
        <f t="shared" si="44"/>
        <v>7764.9284062879451</v>
      </c>
      <c r="F219" s="28">
        <v>0.19900000000000001</v>
      </c>
      <c r="G219">
        <f t="shared" si="45"/>
        <v>3014.4629659394236</v>
      </c>
      <c r="I219">
        <f t="shared" si="46"/>
        <v>17683169.047057699</v>
      </c>
      <c r="J219" s="28">
        <v>0.19900000000000001</v>
      </c>
      <c r="K219">
        <f t="shared" si="47"/>
        <v>17794441.676301613</v>
      </c>
      <c r="M219">
        <f t="shared" si="48"/>
        <v>7704.0198446773684</v>
      </c>
      <c r="N219" s="28">
        <v>0.19900000000000001</v>
      </c>
      <c r="O219">
        <f t="shared" si="49"/>
        <v>3614.3410961613695</v>
      </c>
      <c r="Q219">
        <f t="shared" si="50"/>
        <v>2948074.0252909563</v>
      </c>
      <c r="R219" s="28">
        <v>0.19900000000000001</v>
      </c>
      <c r="S219">
        <f t="shared" si="51"/>
        <v>2953972.7219216186</v>
      </c>
      <c r="U219">
        <f t="shared" si="52"/>
        <v>103879.4593820564</v>
      </c>
      <c r="V219" s="48">
        <v>0.19900000000000001</v>
      </c>
      <c r="W219">
        <f t="shared" si="53"/>
        <v>122503.92407030122</v>
      </c>
      <c r="Y219">
        <f t="shared" si="54"/>
        <v>4355.2263447840223</v>
      </c>
      <c r="Z219" s="28">
        <v>0.19900000000000001</v>
      </c>
      <c r="AA219">
        <f t="shared" si="55"/>
        <v>2942.6506478128695</v>
      </c>
    </row>
    <row r="220" spans="1:27" x14ac:dyDescent="0.2">
      <c r="A220">
        <f t="shared" si="42"/>
        <v>15249115.374178383</v>
      </c>
      <c r="B220" s="28">
        <v>0.2</v>
      </c>
      <c r="C220">
        <f t="shared" si="43"/>
        <v>15355089.306791633</v>
      </c>
      <c r="E220">
        <f t="shared" si="44"/>
        <v>7779.9773826235978</v>
      </c>
      <c r="F220" s="28">
        <v>0.2</v>
      </c>
      <c r="G220">
        <f t="shared" si="45"/>
        <v>2999.41398960377</v>
      </c>
      <c r="I220">
        <f t="shared" si="46"/>
        <v>18314834.538906045</v>
      </c>
      <c r="J220" s="28">
        <v>0.2</v>
      </c>
      <c r="K220">
        <f t="shared" si="47"/>
        <v>18426107.168149959</v>
      </c>
      <c r="M220">
        <f t="shared" si="48"/>
        <v>7719.0641533142134</v>
      </c>
      <c r="N220" s="28">
        <v>0.2</v>
      </c>
      <c r="O220">
        <f t="shared" si="49"/>
        <v>3599.2967875245245</v>
      </c>
      <c r="Q220">
        <f t="shared" si="50"/>
        <v>3065719.1647276646</v>
      </c>
      <c r="R220" s="28">
        <v>0.2</v>
      </c>
      <c r="S220">
        <f t="shared" si="51"/>
        <v>3071617.8613583269</v>
      </c>
      <c r="U220">
        <f t="shared" si="52"/>
        <v>105629.19897647556</v>
      </c>
      <c r="V220" s="48">
        <v>0.2</v>
      </c>
      <c r="W220">
        <f t="shared" si="53"/>
        <v>124253.66366472037</v>
      </c>
      <c r="Y220">
        <f t="shared" si="54"/>
        <v>4368.6018718719806</v>
      </c>
      <c r="Z220" s="28">
        <v>0.2</v>
      </c>
      <c r="AA220">
        <f t="shared" si="55"/>
        <v>2929.2751207249116</v>
      </c>
    </row>
    <row r="221" spans="1:27" x14ac:dyDescent="0.2">
      <c r="A221">
        <f t="shared" si="42"/>
        <v>15780814.347493446</v>
      </c>
      <c r="B221" s="28">
        <v>0.20100000000000001</v>
      </c>
      <c r="C221">
        <f t="shared" si="43"/>
        <v>15886788.280106695</v>
      </c>
      <c r="E221">
        <f t="shared" si="44"/>
        <v>7794.8775255773126</v>
      </c>
      <c r="F221" s="28">
        <v>0.20100000000000001</v>
      </c>
      <c r="G221">
        <f t="shared" si="45"/>
        <v>2984.5138466500557</v>
      </c>
      <c r="I221">
        <f t="shared" si="46"/>
        <v>18968760.095164228</v>
      </c>
      <c r="J221" s="28">
        <v>0.20100000000000001</v>
      </c>
      <c r="K221">
        <f t="shared" si="47"/>
        <v>19080032.724408142</v>
      </c>
      <c r="M221">
        <f t="shared" si="48"/>
        <v>7733.9598110120223</v>
      </c>
      <c r="N221" s="28">
        <v>0.20100000000000001</v>
      </c>
      <c r="O221">
        <f t="shared" si="49"/>
        <v>3584.4011298267164</v>
      </c>
      <c r="Q221">
        <f t="shared" si="50"/>
        <v>3187945.7476707837</v>
      </c>
      <c r="R221" s="28">
        <v>0.20100000000000001</v>
      </c>
      <c r="S221">
        <f t="shared" si="51"/>
        <v>3193844.444301446</v>
      </c>
      <c r="U221">
        <f t="shared" si="52"/>
        <v>107405.98689932322</v>
      </c>
      <c r="V221" s="48">
        <v>0.20100000000000001</v>
      </c>
      <c r="W221">
        <f t="shared" si="53"/>
        <v>126030.45158756804</v>
      </c>
      <c r="Y221">
        <f t="shared" si="54"/>
        <v>4381.8690183226845</v>
      </c>
      <c r="Z221" s="28">
        <v>0.20100000000000001</v>
      </c>
      <c r="AA221">
        <f t="shared" si="55"/>
        <v>2916.0079742742078</v>
      </c>
    </row>
    <row r="222" spans="1:27" x14ac:dyDescent="0.2">
      <c r="A222">
        <f t="shared" si="42"/>
        <v>16330792.632348547</v>
      </c>
      <c r="B222" s="28">
        <v>0.20200000000000001</v>
      </c>
      <c r="C222">
        <f t="shared" si="43"/>
        <v>16436766.564961797</v>
      </c>
      <c r="E222">
        <f t="shared" si="44"/>
        <v>7809.6310095354784</v>
      </c>
      <c r="F222" s="28">
        <v>0.20200000000000001</v>
      </c>
      <c r="G222">
        <f t="shared" si="45"/>
        <v>2969.7603626918899</v>
      </c>
      <c r="I222">
        <f t="shared" si="46"/>
        <v>19645720.78184016</v>
      </c>
      <c r="J222" s="28">
        <v>0.20200000000000001</v>
      </c>
      <c r="K222">
        <f t="shared" si="47"/>
        <v>19756993.411084075</v>
      </c>
      <c r="M222">
        <f t="shared" si="48"/>
        <v>7748.7089848830865</v>
      </c>
      <c r="N222" s="28">
        <v>0.20200000000000001</v>
      </c>
      <c r="O222">
        <f t="shared" si="49"/>
        <v>3569.6519559556518</v>
      </c>
      <c r="Q222">
        <f t="shared" si="50"/>
        <v>3314928.1494916207</v>
      </c>
      <c r="R222" s="28">
        <v>0.20200000000000001</v>
      </c>
      <c r="S222">
        <f t="shared" si="51"/>
        <v>3320826.846122283</v>
      </c>
      <c r="U222">
        <f t="shared" si="52"/>
        <v>109210.25819364081</v>
      </c>
      <c r="V222" s="48">
        <v>0.20200000000000001</v>
      </c>
      <c r="W222">
        <f t="shared" si="53"/>
        <v>127834.72288188562</v>
      </c>
      <c r="Y222">
        <f t="shared" si="54"/>
        <v>4395.0289373340884</v>
      </c>
      <c r="Z222" s="28">
        <v>0.20200000000000001</v>
      </c>
      <c r="AA222">
        <f t="shared" si="55"/>
        <v>2902.8480552628034</v>
      </c>
    </row>
    <row r="223" spans="1:27" x14ac:dyDescent="0.2">
      <c r="A223">
        <f t="shared" si="42"/>
        <v>16899671.021330051</v>
      </c>
      <c r="B223" s="28">
        <v>0.20300000000000001</v>
      </c>
      <c r="C223">
        <f t="shared" si="43"/>
        <v>17005644.953943301</v>
      </c>
      <c r="E223">
        <f t="shared" si="44"/>
        <v>7824.2399674961671</v>
      </c>
      <c r="F223" s="28">
        <v>0.20300000000000001</v>
      </c>
      <c r="G223">
        <f t="shared" si="45"/>
        <v>2955.1514047312016</v>
      </c>
      <c r="I223">
        <f t="shared" si="46"/>
        <v>20346518.250349879</v>
      </c>
      <c r="J223" s="28">
        <v>0.20300000000000001</v>
      </c>
      <c r="K223">
        <f t="shared" si="47"/>
        <v>20457790.879593793</v>
      </c>
      <c r="M223">
        <f t="shared" si="48"/>
        <v>7763.3138009471022</v>
      </c>
      <c r="N223" s="28">
        <v>0.20300000000000001</v>
      </c>
      <c r="O223">
        <f t="shared" si="49"/>
        <v>3555.0471398916361</v>
      </c>
      <c r="Q223">
        <f t="shared" si="50"/>
        <v>3446847.2290198281</v>
      </c>
      <c r="R223" s="28">
        <v>0.20300000000000001</v>
      </c>
      <c r="S223">
        <f t="shared" si="51"/>
        <v>3452745.9256504904</v>
      </c>
      <c r="U223">
        <f t="shared" si="52"/>
        <v>111042.45507895862</v>
      </c>
      <c r="V223" s="48">
        <v>0.20300000000000001</v>
      </c>
      <c r="W223">
        <f t="shared" si="53"/>
        <v>129666.91976720344</v>
      </c>
      <c r="Y223">
        <f t="shared" si="54"/>
        <v>4408.0827678119149</v>
      </c>
      <c r="Z223" s="28">
        <v>0.20300000000000001</v>
      </c>
      <c r="AA223">
        <f t="shared" si="55"/>
        <v>2889.7942247849774</v>
      </c>
    </row>
    <row r="224" spans="1:27" x14ac:dyDescent="0.2">
      <c r="A224">
        <f t="shared" si="42"/>
        <v>17488091.070026994</v>
      </c>
      <c r="B224" s="28">
        <v>0.20399999999999999</v>
      </c>
      <c r="C224">
        <f t="shared" si="43"/>
        <v>17594065.002640244</v>
      </c>
      <c r="E224">
        <f t="shared" si="44"/>
        <v>7838.7064920234916</v>
      </c>
      <c r="F224" s="28">
        <v>0.20399999999999999</v>
      </c>
      <c r="G224">
        <f t="shared" si="45"/>
        <v>2940.6848802038771</v>
      </c>
      <c r="I224">
        <f t="shared" si="46"/>
        <v>21071981.633934937</v>
      </c>
      <c r="J224" s="28">
        <v>0.20399999999999999</v>
      </c>
      <c r="K224">
        <f t="shared" si="47"/>
        <v>21183254.263178851</v>
      </c>
      <c r="M224">
        <f t="shared" si="48"/>
        <v>7777.77634507327</v>
      </c>
      <c r="N224" s="28">
        <v>0.20399999999999999</v>
      </c>
      <c r="O224">
        <f t="shared" si="49"/>
        <v>3540.5845957654683</v>
      </c>
      <c r="Q224">
        <f t="shared" si="50"/>
        <v>3583890.5639079469</v>
      </c>
      <c r="R224" s="28">
        <v>0.20399999999999999</v>
      </c>
      <c r="S224">
        <f t="shared" si="51"/>
        <v>3589789.2605386092</v>
      </c>
      <c r="U224">
        <f t="shared" si="52"/>
        <v>112903.02707182137</v>
      </c>
      <c r="V224" s="48">
        <v>0.20399999999999999</v>
      </c>
      <c r="W224">
        <f t="shared" si="53"/>
        <v>131527.49176006619</v>
      </c>
      <c r="Y224">
        <f t="shared" si="54"/>
        <v>4421.0316345642113</v>
      </c>
      <c r="Z224" s="28">
        <v>0.20399999999999999</v>
      </c>
      <c r="AA224">
        <f t="shared" si="55"/>
        <v>2876.84535803268</v>
      </c>
    </row>
    <row r="225" spans="1:27" x14ac:dyDescent="0.2">
      <c r="A225">
        <f t="shared" si="42"/>
        <v>18096715.779410399</v>
      </c>
      <c r="B225" s="28">
        <v>0.20499999999999999</v>
      </c>
      <c r="C225">
        <f t="shared" si="43"/>
        <v>18202689.712023649</v>
      </c>
      <c r="E225">
        <f t="shared" si="44"/>
        <v>7853.032636176551</v>
      </c>
      <c r="F225" s="28">
        <v>0.20499999999999999</v>
      </c>
      <c r="G225">
        <f t="shared" si="45"/>
        <v>2926.3587360508168</v>
      </c>
      <c r="I225">
        <f t="shared" si="46"/>
        <v>21822968.473744582</v>
      </c>
      <c r="J225" s="28">
        <v>0.20499999999999999</v>
      </c>
      <c r="K225">
        <f t="shared" si="47"/>
        <v>21934241.102988496</v>
      </c>
      <c r="M225">
        <f t="shared" si="48"/>
        <v>7792.0986638975046</v>
      </c>
      <c r="N225" s="28">
        <v>0.20499999999999999</v>
      </c>
      <c r="O225">
        <f t="shared" si="49"/>
        <v>3526.2622769412337</v>
      </c>
      <c r="Q225">
        <f t="shared" si="50"/>
        <v>3726252.6943341857</v>
      </c>
      <c r="R225" s="28">
        <v>0.20499999999999999</v>
      </c>
      <c r="S225">
        <f t="shared" si="51"/>
        <v>3732151.390964848</v>
      </c>
      <c r="U225">
        <f t="shared" si="52"/>
        <v>114792.43110836561</v>
      </c>
      <c r="V225" s="48">
        <v>0.20499999999999999</v>
      </c>
      <c r="W225">
        <f t="shared" si="53"/>
        <v>133416.89579661042</v>
      </c>
      <c r="Y225">
        <f t="shared" si="54"/>
        <v>4433.8766484931057</v>
      </c>
      <c r="Z225" s="28">
        <v>0.20499999999999999</v>
      </c>
      <c r="AA225">
        <f t="shared" si="55"/>
        <v>2864.0003441037857</v>
      </c>
    </row>
    <row r="226" spans="1:27" x14ac:dyDescent="0.2">
      <c r="A226">
        <f t="shared" si="42"/>
        <v>18726230.300208524</v>
      </c>
      <c r="B226" s="28">
        <v>0.20599999999999999</v>
      </c>
      <c r="C226">
        <f t="shared" si="43"/>
        <v>18832204.232821774</v>
      </c>
      <c r="E226">
        <f t="shared" si="44"/>
        <v>7867.2204144137249</v>
      </c>
      <c r="F226" s="28">
        <v>0.20599999999999999</v>
      </c>
      <c r="G226">
        <f t="shared" si="45"/>
        <v>2912.1709578136429</v>
      </c>
      <c r="I226">
        <f t="shared" si="46"/>
        <v>22600365.675539147</v>
      </c>
      <c r="J226" s="28">
        <v>0.20599999999999999</v>
      </c>
      <c r="K226">
        <f t="shared" si="47"/>
        <v>22711638.304783061</v>
      </c>
      <c r="M226">
        <f t="shared" si="48"/>
        <v>7806.2827657154849</v>
      </c>
      <c r="N226" s="28">
        <v>0.20599999999999999</v>
      </c>
      <c r="O226">
        <f t="shared" si="49"/>
        <v>3512.078175123253</v>
      </c>
      <c r="Q226">
        <f t="shared" si="50"/>
        <v>3874135.3753306232</v>
      </c>
      <c r="R226" s="28">
        <v>0.20599999999999999</v>
      </c>
      <c r="S226">
        <f t="shared" si="51"/>
        <v>3880034.0719612855</v>
      </c>
      <c r="U226">
        <f t="shared" si="52"/>
        <v>116711.13166898371</v>
      </c>
      <c r="V226" s="48">
        <v>0.20599999999999999</v>
      </c>
      <c r="W226">
        <f t="shared" si="53"/>
        <v>135335.59635722853</v>
      </c>
      <c r="Y226">
        <f t="shared" si="54"/>
        <v>4446.618906783764</v>
      </c>
      <c r="Z226" s="28">
        <v>0.20599999999999999</v>
      </c>
      <c r="AA226">
        <f t="shared" si="55"/>
        <v>2851.2580858131278</v>
      </c>
    </row>
    <row r="227" spans="1:27" x14ac:dyDescent="0.2">
      <c r="A227">
        <f t="shared" si="42"/>
        <v>19377342.65997735</v>
      </c>
      <c r="B227" s="28">
        <v>0.20699999999999999</v>
      </c>
      <c r="C227">
        <f t="shared" si="43"/>
        <v>19483316.5925906</v>
      </c>
      <c r="E227">
        <f t="shared" si="44"/>
        <v>7881.2718034730387</v>
      </c>
      <c r="F227" s="28">
        <v>0.20699999999999999</v>
      </c>
      <c r="G227">
        <f t="shared" si="45"/>
        <v>2898.1195687543295</v>
      </c>
      <c r="I227">
        <f t="shared" si="46"/>
        <v>23405090.498012938</v>
      </c>
      <c r="J227" s="28">
        <v>0.20699999999999999</v>
      </c>
      <c r="K227">
        <f t="shared" si="47"/>
        <v>23516363.127256852</v>
      </c>
      <c r="M227">
        <f t="shared" si="48"/>
        <v>7820.3306213522628</v>
      </c>
      <c r="N227" s="28">
        <v>0.20699999999999999</v>
      </c>
      <c r="O227">
        <f t="shared" si="49"/>
        <v>3498.0303194864759</v>
      </c>
      <c r="Q227">
        <f t="shared" si="50"/>
        <v>4027747.8380355914</v>
      </c>
      <c r="R227" s="28">
        <v>0.20699999999999999</v>
      </c>
      <c r="S227">
        <f t="shared" si="51"/>
        <v>4033646.5346662537</v>
      </c>
      <c r="U227">
        <f t="shared" si="52"/>
        <v>118659.60090511139</v>
      </c>
      <c r="V227" s="48">
        <v>0.20699999999999999</v>
      </c>
      <c r="W227">
        <f t="shared" si="53"/>
        <v>137284.06559335621</v>
      </c>
      <c r="Y227">
        <f t="shared" si="54"/>
        <v>4459.2594930906289</v>
      </c>
      <c r="Z227" s="28">
        <v>0.20699999999999999</v>
      </c>
      <c r="AA227">
        <f t="shared" si="55"/>
        <v>2838.6174995062624</v>
      </c>
    </row>
    <row r="228" spans="1:27" x14ac:dyDescent="0.2">
      <c r="A228">
        <f t="shared" si="42"/>
        <v>20050784.513577193</v>
      </c>
      <c r="B228" s="28">
        <v>0.20799999999999999</v>
      </c>
      <c r="C228">
        <f t="shared" si="43"/>
        <v>20156758.446190443</v>
      </c>
      <c r="E228">
        <f t="shared" si="44"/>
        <v>7895.1887432293206</v>
      </c>
      <c r="F228" s="28">
        <v>0.20799999999999999</v>
      </c>
      <c r="G228">
        <f t="shared" si="45"/>
        <v>2884.2026289980481</v>
      </c>
      <c r="I228">
        <f t="shared" si="46"/>
        <v>24238091.573754143</v>
      </c>
      <c r="J228" s="28">
        <v>0.20799999999999999</v>
      </c>
      <c r="K228">
        <f t="shared" si="47"/>
        <v>24349364.202998057</v>
      </c>
      <c r="M228">
        <f t="shared" si="48"/>
        <v>7834.2441650090959</v>
      </c>
      <c r="N228" s="28">
        <v>0.20799999999999999</v>
      </c>
      <c r="O228">
        <f t="shared" si="49"/>
        <v>3484.1167758296424</v>
      </c>
      <c r="Q228">
        <f t="shared" si="50"/>
        <v>4187307.0601769499</v>
      </c>
      <c r="R228" s="28">
        <v>0.20799999999999999</v>
      </c>
      <c r="S228">
        <f t="shared" si="51"/>
        <v>4193205.7568076123</v>
      </c>
      <c r="U228">
        <f t="shared" si="52"/>
        <v>120638.31876817426</v>
      </c>
      <c r="V228" s="48">
        <v>0.20799999999999999</v>
      </c>
      <c r="W228">
        <f t="shared" si="53"/>
        <v>139262.78345641907</v>
      </c>
      <c r="Y228">
        <f t="shared" si="54"/>
        <v>4471.7994777209678</v>
      </c>
      <c r="Z228" s="28">
        <v>0.20799999999999999</v>
      </c>
      <c r="AA228">
        <f t="shared" si="55"/>
        <v>2826.0775148759235</v>
      </c>
    </row>
    <row r="229" spans="1:27" x14ac:dyDescent="0.2">
      <c r="A229">
        <f t="shared" si="42"/>
        <v>20747311.917799078</v>
      </c>
      <c r="B229" s="28">
        <v>0.20899999999999999</v>
      </c>
      <c r="C229">
        <f t="shared" si="43"/>
        <v>20853285.850412328</v>
      </c>
      <c r="E229">
        <f t="shared" si="44"/>
        <v>7908.9731375288247</v>
      </c>
      <c r="F229" s="28">
        <v>0.20899999999999999</v>
      </c>
      <c r="G229">
        <f t="shared" si="45"/>
        <v>2870.418234698544</v>
      </c>
      <c r="I229">
        <f t="shared" si="46"/>
        <v>25100349.963904597</v>
      </c>
      <c r="J229" s="28">
        <v>0.20899999999999999</v>
      </c>
      <c r="K229">
        <f t="shared" si="47"/>
        <v>25211622.593148511</v>
      </c>
      <c r="M229">
        <f t="shared" si="48"/>
        <v>7848.0252950881986</v>
      </c>
      <c r="N229" s="28">
        <v>0.20899999999999999</v>
      </c>
      <c r="O229">
        <f t="shared" si="49"/>
        <v>3470.3356457505402</v>
      </c>
      <c r="Q229">
        <f t="shared" si="50"/>
        <v>4353038.0461055143</v>
      </c>
      <c r="R229" s="28">
        <v>0.20899999999999999</v>
      </c>
      <c r="S229">
        <f t="shared" si="51"/>
        <v>4358936.7427361766</v>
      </c>
      <c r="U229">
        <f t="shared" si="52"/>
        <v>122647.77314073114</v>
      </c>
      <c r="V229" s="48">
        <v>0.20899999999999999</v>
      </c>
      <c r="W229">
        <f t="shared" si="53"/>
        <v>141272.23782897595</v>
      </c>
      <c r="Y229">
        <f t="shared" si="54"/>
        <v>4484.239917815763</v>
      </c>
      <c r="Z229" s="28">
        <v>0.20899999999999999</v>
      </c>
      <c r="AA229">
        <f t="shared" si="55"/>
        <v>2813.6370747811288</v>
      </c>
    </row>
    <row r="230" spans="1:27" x14ac:dyDescent="0.2">
      <c r="A230">
        <f t="shared" si="42"/>
        <v>21467706.130896013</v>
      </c>
      <c r="B230" s="28">
        <v>0.21</v>
      </c>
      <c r="C230">
        <f t="shared" si="43"/>
        <v>21573680.063509263</v>
      </c>
      <c r="E230">
        <f t="shared" si="44"/>
        <v>7922.6268550019895</v>
      </c>
      <c r="F230" s="28">
        <v>0.21</v>
      </c>
      <c r="G230">
        <f t="shared" si="45"/>
        <v>2856.7645172253788</v>
      </c>
      <c r="I230">
        <f t="shared" si="46"/>
        <v>25992880.247602295</v>
      </c>
      <c r="J230" s="28">
        <v>0.21</v>
      </c>
      <c r="K230">
        <f t="shared" si="47"/>
        <v>26104152.876846209</v>
      </c>
      <c r="M230">
        <f t="shared" si="48"/>
        <v>7861.67587499603</v>
      </c>
      <c r="N230" s="28">
        <v>0.21</v>
      </c>
      <c r="O230">
        <f t="shared" si="49"/>
        <v>3456.6850658427084</v>
      </c>
      <c r="Q230">
        <f t="shared" si="50"/>
        <v>4525174.1167062828</v>
      </c>
      <c r="R230" s="28">
        <v>0.21</v>
      </c>
      <c r="S230">
        <f t="shared" si="51"/>
        <v>4531072.8133369451</v>
      </c>
      <c r="U230">
        <f t="shared" si="52"/>
        <v>124688.45996985181</v>
      </c>
      <c r="V230" s="48">
        <v>0.21</v>
      </c>
      <c r="W230">
        <f t="shared" si="53"/>
        <v>143312.92465809663</v>
      </c>
      <c r="Y230">
        <f t="shared" si="54"/>
        <v>4496.58185752799</v>
      </c>
      <c r="Z230" s="28">
        <v>0.21</v>
      </c>
      <c r="AA230">
        <f t="shared" si="55"/>
        <v>2801.2951350689013</v>
      </c>
    </row>
    <row r="231" spans="1:27" x14ac:dyDescent="0.2">
      <c r="A231">
        <f t="shared" si="42"/>
        <v>22212774.437809516</v>
      </c>
      <c r="B231" s="28">
        <v>0.21099999999999999</v>
      </c>
      <c r="C231">
        <f t="shared" si="43"/>
        <v>22318748.370422766</v>
      </c>
      <c r="E231">
        <f t="shared" si="44"/>
        <v>7936.1517298549625</v>
      </c>
      <c r="F231" s="28">
        <v>0.21099999999999999</v>
      </c>
      <c r="G231">
        <f t="shared" si="45"/>
        <v>2843.2396423724063</v>
      </c>
      <c r="I231">
        <f t="shared" si="46"/>
        <v>26916731.647338055</v>
      </c>
      <c r="J231" s="28">
        <v>0.21099999999999999</v>
      </c>
      <c r="K231">
        <f t="shared" si="47"/>
        <v>27028004.276581969</v>
      </c>
      <c r="M231">
        <f t="shared" si="48"/>
        <v>7875.1977339257537</v>
      </c>
      <c r="N231" s="28">
        <v>0.21099999999999999</v>
      </c>
      <c r="O231">
        <f t="shared" si="49"/>
        <v>3443.1632069129842</v>
      </c>
      <c r="Q231">
        <f t="shared" si="50"/>
        <v>4703957.2095285412</v>
      </c>
      <c r="R231" s="28">
        <v>0.21099999999999999</v>
      </c>
      <c r="S231">
        <f t="shared" si="51"/>
        <v>4709855.9061592035</v>
      </c>
      <c r="U231">
        <f t="shared" si="52"/>
        <v>126760.88340276769</v>
      </c>
      <c r="V231" s="48">
        <v>0.21099999999999999</v>
      </c>
      <c r="W231">
        <f t="shared" si="53"/>
        <v>145385.34809101251</v>
      </c>
      <c r="Y231">
        <f t="shared" si="54"/>
        <v>4508.8263281983345</v>
      </c>
      <c r="Z231" s="28">
        <v>0.21099999999999999</v>
      </c>
      <c r="AA231">
        <f t="shared" si="55"/>
        <v>2789.0506643985568</v>
      </c>
    </row>
    <row r="232" spans="1:27" x14ac:dyDescent="0.2">
      <c r="A232">
        <f t="shared" si="42"/>
        <v>22983351.001893956</v>
      </c>
      <c r="B232" s="28">
        <v>0.21199999999999999</v>
      </c>
      <c r="C232">
        <f t="shared" si="43"/>
        <v>23089324.934507206</v>
      </c>
      <c r="E232">
        <f t="shared" si="44"/>
        <v>7949.5495626405209</v>
      </c>
      <c r="F232" s="28">
        <v>0.21199999999999999</v>
      </c>
      <c r="G232">
        <f t="shared" si="45"/>
        <v>2829.8418095868474</v>
      </c>
      <c r="I232">
        <f t="shared" si="46"/>
        <v>27872989.191378821</v>
      </c>
      <c r="J232" s="28">
        <v>0.21199999999999999</v>
      </c>
      <c r="K232">
        <f t="shared" si="47"/>
        <v>27984261.820622735</v>
      </c>
      <c r="M232">
        <f t="shared" si="48"/>
        <v>7888.5926676194795</v>
      </c>
      <c r="N232" s="28">
        <v>0.21199999999999999</v>
      </c>
      <c r="O232">
        <f t="shared" si="49"/>
        <v>3429.7682732192584</v>
      </c>
      <c r="Q232">
        <f t="shared" si="50"/>
        <v>4889638.1894848654</v>
      </c>
      <c r="R232" s="28">
        <v>0.21199999999999999</v>
      </c>
      <c r="S232">
        <f t="shared" si="51"/>
        <v>4895536.8861155277</v>
      </c>
      <c r="U232">
        <f t="shared" si="52"/>
        <v>128865.55592483444</v>
      </c>
      <c r="V232" s="48">
        <v>0.21199999999999999</v>
      </c>
      <c r="W232">
        <f t="shared" si="53"/>
        <v>147490.02061307925</v>
      </c>
      <c r="Y232">
        <f t="shared" si="54"/>
        <v>4520.9743485283652</v>
      </c>
      <c r="Z232" s="28">
        <v>0.21199999999999999</v>
      </c>
      <c r="AA232">
        <f t="shared" si="55"/>
        <v>2776.9026440685266</v>
      </c>
    </row>
    <row r="233" spans="1:27" x14ac:dyDescent="0.2">
      <c r="A233">
        <f t="shared" si="42"/>
        <v>23780297.743977908</v>
      </c>
      <c r="B233" s="28">
        <v>0.21299999999999999</v>
      </c>
      <c r="C233">
        <f t="shared" si="43"/>
        <v>23886271.676591158</v>
      </c>
      <c r="E233">
        <f t="shared" si="44"/>
        <v>7962.8221210089923</v>
      </c>
      <c r="F233" s="28">
        <v>0.21299999999999999</v>
      </c>
      <c r="G233">
        <f t="shared" si="45"/>
        <v>2816.5692512183755</v>
      </c>
      <c r="I233">
        <f t="shared" si="46"/>
        <v>28862774.914461162</v>
      </c>
      <c r="J233" s="28">
        <v>0.21299999999999999</v>
      </c>
      <c r="K233">
        <f t="shared" si="47"/>
        <v>28974047.543705076</v>
      </c>
      <c r="M233">
        <f t="shared" si="48"/>
        <v>7901.8624391108488</v>
      </c>
      <c r="N233" s="28">
        <v>0.21299999999999999</v>
      </c>
      <c r="O233">
        <f t="shared" si="49"/>
        <v>3416.4985017278896</v>
      </c>
      <c r="Q233">
        <f t="shared" si="50"/>
        <v>5082477.1704832539</v>
      </c>
      <c r="R233" s="28">
        <v>0.21299999999999999</v>
      </c>
      <c r="S233">
        <f t="shared" si="51"/>
        <v>5088375.8671139162</v>
      </c>
      <c r="U233">
        <f t="shared" si="52"/>
        <v>131002.99849984662</v>
      </c>
      <c r="V233" s="48">
        <v>0.21299999999999999</v>
      </c>
      <c r="W233">
        <f t="shared" si="53"/>
        <v>149627.46318809144</v>
      </c>
      <c r="Y233">
        <f t="shared" si="54"/>
        <v>4533.0269247512151</v>
      </c>
      <c r="Z233" s="28">
        <v>0.21299999999999999</v>
      </c>
      <c r="AA233">
        <f t="shared" si="55"/>
        <v>2764.8500678456771</v>
      </c>
    </row>
    <row r="234" spans="1:27" x14ac:dyDescent="0.2">
      <c r="A234">
        <f t="shared" si="42"/>
        <v>24604505.249615606</v>
      </c>
      <c r="B234" s="28">
        <v>0.214</v>
      </c>
      <c r="C234">
        <f t="shared" si="43"/>
        <v>24710479.182228856</v>
      </c>
      <c r="E234">
        <f t="shared" si="44"/>
        <v>7975.971140439744</v>
      </c>
      <c r="F234" s="28">
        <v>0.214</v>
      </c>
      <c r="G234">
        <f t="shared" si="45"/>
        <v>2803.4202317876243</v>
      </c>
      <c r="I234">
        <f t="shared" si="46"/>
        <v>29887249.097981919</v>
      </c>
      <c r="J234" s="28">
        <v>0.214</v>
      </c>
      <c r="K234">
        <f t="shared" si="47"/>
        <v>29998521.727225833</v>
      </c>
      <c r="M234">
        <f t="shared" si="48"/>
        <v>7915.0087794485626</v>
      </c>
      <c r="N234" s="28">
        <v>0.214</v>
      </c>
      <c r="O234">
        <f t="shared" si="49"/>
        <v>3403.3521613901762</v>
      </c>
      <c r="Q234">
        <f t="shared" si="50"/>
        <v>5282743.8483663127</v>
      </c>
      <c r="R234" s="28">
        <v>0.214</v>
      </c>
      <c r="S234">
        <f t="shared" si="51"/>
        <v>5288642.544996975</v>
      </c>
      <c r="U234">
        <f t="shared" si="52"/>
        <v>133173.74071274453</v>
      </c>
      <c r="V234" s="48">
        <v>0.214</v>
      </c>
      <c r="W234">
        <f t="shared" si="53"/>
        <v>151798.20540098933</v>
      </c>
      <c r="Y234">
        <f t="shared" si="54"/>
        <v>4544.9850507998099</v>
      </c>
      <c r="Z234" s="28">
        <v>0.214</v>
      </c>
      <c r="AA234">
        <f t="shared" si="55"/>
        <v>2752.8919417970819</v>
      </c>
    </row>
    <row r="235" spans="1:27" x14ac:dyDescent="0.2">
      <c r="A235">
        <f t="shared" si="42"/>
        <v>25456893.705420464</v>
      </c>
      <c r="B235" s="28">
        <v>0.215</v>
      </c>
      <c r="C235">
        <f t="shared" si="43"/>
        <v>25562867.638033714</v>
      </c>
      <c r="E235">
        <f t="shared" si="44"/>
        <v>7988.9983249538091</v>
      </c>
      <c r="F235" s="28">
        <v>0.215</v>
      </c>
      <c r="G235">
        <f t="shared" si="45"/>
        <v>2790.3930472735597</v>
      </c>
      <c r="I235">
        <f t="shared" si="46"/>
        <v>30947611.550967049</v>
      </c>
      <c r="J235" s="28">
        <v>0.215</v>
      </c>
      <c r="K235">
        <f t="shared" si="47"/>
        <v>31058884.180210963</v>
      </c>
      <c r="M235">
        <f t="shared" si="48"/>
        <v>7928.0333884013635</v>
      </c>
      <c r="N235" s="28">
        <v>0.215</v>
      </c>
      <c r="O235">
        <f t="shared" si="49"/>
        <v>3390.3275524373748</v>
      </c>
      <c r="Q235">
        <f t="shared" si="50"/>
        <v>5490717.8455465864</v>
      </c>
      <c r="R235" s="28">
        <v>0.215</v>
      </c>
      <c r="S235">
        <f t="shared" si="51"/>
        <v>5496616.5421772487</v>
      </c>
      <c r="U235">
        <f t="shared" si="52"/>
        <v>135378.32091475476</v>
      </c>
      <c r="V235" s="48">
        <v>0.215</v>
      </c>
      <c r="W235">
        <f t="shared" si="53"/>
        <v>154002.78560299956</v>
      </c>
      <c r="Y235">
        <f t="shared" si="54"/>
        <v>4556.8497084726714</v>
      </c>
      <c r="Z235" s="28">
        <v>0.215</v>
      </c>
      <c r="AA235">
        <f t="shared" si="55"/>
        <v>2741.0272841242204</v>
      </c>
    </row>
    <row r="236" spans="1:27" x14ac:dyDescent="0.2">
      <c r="A236">
        <f t="shared" si="42"/>
        <v>26338413.86538614</v>
      </c>
      <c r="B236" s="28">
        <v>0.216</v>
      </c>
      <c r="C236">
        <f t="shared" si="43"/>
        <v>26444387.797999389</v>
      </c>
      <c r="E236">
        <f t="shared" si="44"/>
        <v>8001.9053478082105</v>
      </c>
      <c r="F236" s="28">
        <v>0.216</v>
      </c>
      <c r="G236">
        <f t="shared" si="45"/>
        <v>2777.4860244191577</v>
      </c>
      <c r="I236">
        <f t="shared" si="46"/>
        <v>32045102.933123343</v>
      </c>
      <c r="J236" s="28">
        <v>0.216</v>
      </c>
      <c r="K236">
        <f t="shared" si="47"/>
        <v>32156375.562367257</v>
      </c>
      <c r="M236">
        <f t="shared" si="48"/>
        <v>7940.9379351450425</v>
      </c>
      <c r="N236" s="28">
        <v>0.216</v>
      </c>
      <c r="O236">
        <f t="shared" si="49"/>
        <v>3377.4230056936958</v>
      </c>
      <c r="Q236">
        <f t="shared" si="50"/>
        <v>5706689.0677372059</v>
      </c>
      <c r="R236" s="28">
        <v>0.216</v>
      </c>
      <c r="S236">
        <f t="shared" si="51"/>
        <v>5712587.7643678682</v>
      </c>
      <c r="U236">
        <f t="shared" si="52"/>
        <v>137617.28637100619</v>
      </c>
      <c r="V236" s="48">
        <v>0.216</v>
      </c>
      <c r="W236">
        <f t="shared" si="53"/>
        <v>156241.75105925099</v>
      </c>
      <c r="Y236">
        <f t="shared" si="54"/>
        <v>4568.6218675973387</v>
      </c>
      <c r="Z236" s="28">
        <v>0.216</v>
      </c>
      <c r="AA236">
        <f t="shared" si="55"/>
        <v>2729.2551249995531</v>
      </c>
    </row>
    <row r="237" spans="1:27" x14ac:dyDescent="0.2">
      <c r="A237">
        <f t="shared" si="42"/>
        <v>27250048.048143536</v>
      </c>
      <c r="B237" s="28">
        <v>0.217</v>
      </c>
      <c r="C237">
        <f t="shared" si="43"/>
        <v>27356021.980756786</v>
      </c>
      <c r="E237">
        <f t="shared" si="44"/>
        <v>8014.6938521724851</v>
      </c>
      <c r="F237" s="28">
        <v>0.217</v>
      </c>
      <c r="G237">
        <f t="shared" si="45"/>
        <v>2764.6975200548832</v>
      </c>
      <c r="I237">
        <f t="shared" si="46"/>
        <v>33181006.121337097</v>
      </c>
      <c r="J237" s="28">
        <v>0.217</v>
      </c>
      <c r="K237">
        <f t="shared" si="47"/>
        <v>33292278.750581011</v>
      </c>
      <c r="M237">
        <f t="shared" si="48"/>
        <v>7953.7240589319454</v>
      </c>
      <c r="N237" s="28">
        <v>0.217</v>
      </c>
      <c r="O237">
        <f t="shared" si="49"/>
        <v>3364.636881906793</v>
      </c>
      <c r="Q237">
        <f t="shared" si="50"/>
        <v>5930958.0731935604</v>
      </c>
      <c r="R237" s="28">
        <v>0.217</v>
      </c>
      <c r="S237">
        <f t="shared" si="51"/>
        <v>5936856.7698242227</v>
      </c>
      <c r="U237">
        <f t="shared" si="52"/>
        <v>139891.19341066433</v>
      </c>
      <c r="V237" s="48">
        <v>0.217</v>
      </c>
      <c r="W237">
        <f t="shared" si="53"/>
        <v>158515.65809890913</v>
      </c>
      <c r="Y237">
        <f t="shared" si="54"/>
        <v>4580.30248619144</v>
      </c>
      <c r="Z237" s="28">
        <v>0.217</v>
      </c>
      <c r="AA237">
        <f t="shared" si="55"/>
        <v>2717.5745064054518</v>
      </c>
    </row>
    <row r="238" spans="1:27" x14ac:dyDescent="0.2">
      <c r="A238">
        <f t="shared" si="42"/>
        <v>28192811.166115001</v>
      </c>
      <c r="B238" s="28">
        <v>0.218</v>
      </c>
      <c r="C238">
        <f t="shared" si="43"/>
        <v>28298785.098728251</v>
      </c>
      <c r="E238">
        <f t="shared" si="44"/>
        <v>8027.3654517879349</v>
      </c>
      <c r="F238" s="28">
        <v>0.218</v>
      </c>
      <c r="G238">
        <f t="shared" si="45"/>
        <v>2752.0259204394338</v>
      </c>
      <c r="I238">
        <f t="shared" si="46"/>
        <v>34356647.6210071</v>
      </c>
      <c r="J238" s="28">
        <v>0.218</v>
      </c>
      <c r="K238">
        <f t="shared" si="47"/>
        <v>34467920.25025101</v>
      </c>
      <c r="M238">
        <f t="shared" si="48"/>
        <v>7966.3933697435077</v>
      </c>
      <c r="N238" s="28">
        <v>0.218</v>
      </c>
      <c r="O238">
        <f t="shared" si="49"/>
        <v>3351.9675710952301</v>
      </c>
      <c r="Q238">
        <f t="shared" si="50"/>
        <v>6163836.4548920961</v>
      </c>
      <c r="R238" s="28">
        <v>0.218</v>
      </c>
      <c r="S238">
        <f t="shared" si="51"/>
        <v>6169735.1515227584</v>
      </c>
      <c r="U238">
        <f t="shared" si="52"/>
        <v>142200.60757962696</v>
      </c>
      <c r="V238" s="48">
        <v>0.218</v>
      </c>
      <c r="W238">
        <f t="shared" si="53"/>
        <v>160825.07226787176</v>
      </c>
      <c r="Y238">
        <f t="shared" si="54"/>
        <v>4591.8925106214538</v>
      </c>
      <c r="Z238" s="28">
        <v>0.218</v>
      </c>
      <c r="AA238">
        <f t="shared" si="55"/>
        <v>2705.9844819754385</v>
      </c>
    </row>
    <row r="239" spans="1:27" x14ac:dyDescent="0.2">
      <c r="A239">
        <f t="shared" si="42"/>
        <v>29167751.78757342</v>
      </c>
      <c r="B239" s="28">
        <v>0.219</v>
      </c>
      <c r="C239">
        <f t="shared" si="43"/>
        <v>29273725.720186669</v>
      </c>
      <c r="E239">
        <f t="shared" si="44"/>
        <v>8039.9217316100967</v>
      </c>
      <c r="F239" s="28">
        <v>0.219</v>
      </c>
      <c r="G239">
        <f t="shared" si="45"/>
        <v>2739.4696406172716</v>
      </c>
      <c r="I239">
        <f t="shared" si="46"/>
        <v>35573399.02366364</v>
      </c>
      <c r="J239" s="28">
        <v>0.219</v>
      </c>
      <c r="K239">
        <f t="shared" si="47"/>
        <v>35684671.65290755</v>
      </c>
      <c r="M239">
        <f t="shared" si="48"/>
        <v>7978.9474489262839</v>
      </c>
      <c r="N239" s="28">
        <v>0.219</v>
      </c>
      <c r="O239">
        <f t="shared" si="49"/>
        <v>3339.4134919124544</v>
      </c>
      <c r="Q239">
        <f t="shared" si="50"/>
        <v>6405647.2360902186</v>
      </c>
      <c r="R239" s="28">
        <v>0.219</v>
      </c>
      <c r="S239">
        <f t="shared" si="51"/>
        <v>6411545.932720881</v>
      </c>
      <c r="U239">
        <f t="shared" si="52"/>
        <v>144546.10379582562</v>
      </c>
      <c r="V239" s="48">
        <v>0.219</v>
      </c>
      <c r="W239">
        <f t="shared" si="53"/>
        <v>163170.56848407042</v>
      </c>
      <c r="Y239">
        <f t="shared" si="54"/>
        <v>4603.3928757591912</v>
      </c>
      <c r="Z239" s="28">
        <v>0.219</v>
      </c>
      <c r="AA239">
        <f t="shared" si="55"/>
        <v>2694.4841168377011</v>
      </c>
    </row>
    <row r="240" spans="1:27" x14ac:dyDescent="0.2">
      <c r="A240">
        <f t="shared" si="42"/>
        <v>30175953.232627802</v>
      </c>
      <c r="B240" s="28">
        <v>0.22</v>
      </c>
      <c r="C240">
        <f t="shared" si="43"/>
        <v>30281927.165241051</v>
      </c>
      <c r="E240">
        <f t="shared" si="44"/>
        <v>8052.3642484349175</v>
      </c>
      <c r="F240" s="28">
        <v>0.22</v>
      </c>
      <c r="G240">
        <f t="shared" si="45"/>
        <v>2727.0271237924508</v>
      </c>
      <c r="I240">
        <f t="shared" si="46"/>
        <v>36832678.512350172</v>
      </c>
      <c r="J240" s="28">
        <v>0.22</v>
      </c>
      <c r="K240">
        <f t="shared" si="47"/>
        <v>36943951.141594082</v>
      </c>
      <c r="M240">
        <f t="shared" si="48"/>
        <v>7991.3878498119484</v>
      </c>
      <c r="N240" s="28">
        <v>0.22</v>
      </c>
      <c r="O240">
        <f t="shared" si="49"/>
        <v>3326.9730910267904</v>
      </c>
      <c r="Q240">
        <f t="shared" si="50"/>
        <v>6656725.2797223693</v>
      </c>
      <c r="R240" s="28">
        <v>0.22</v>
      </c>
      <c r="S240">
        <f t="shared" si="51"/>
        <v>6662623.9763530316</v>
      </c>
      <c r="U240">
        <f t="shared" si="52"/>
        <v>146928.2665071779</v>
      </c>
      <c r="V240" s="48">
        <v>0.22</v>
      </c>
      <c r="W240">
        <f t="shared" si="53"/>
        <v>165552.7311954227</v>
      </c>
      <c r="Y240">
        <f t="shared" si="54"/>
        <v>4614.804505136035</v>
      </c>
      <c r="Z240" s="28">
        <v>0.22</v>
      </c>
      <c r="AA240">
        <f t="shared" si="55"/>
        <v>2683.0724874608568</v>
      </c>
    </row>
    <row r="241" spans="1:27" x14ac:dyDescent="0.2">
      <c r="A241">
        <f t="shared" si="42"/>
        <v>31218534.704204332</v>
      </c>
      <c r="B241" s="28">
        <v>0.221</v>
      </c>
      <c r="C241">
        <f t="shared" si="43"/>
        <v>31324508.636817582</v>
      </c>
      <c r="E241">
        <f t="shared" si="44"/>
        <v>8064.6945315090825</v>
      </c>
      <c r="F241" s="28">
        <v>0.221</v>
      </c>
      <c r="G241">
        <f t="shared" si="45"/>
        <v>2714.6968407182858</v>
      </c>
      <c r="I241">
        <f t="shared" si="46"/>
        <v>38135952.416310355</v>
      </c>
      <c r="J241" s="28">
        <v>0.221</v>
      </c>
      <c r="K241">
        <f t="shared" si="47"/>
        <v>38247225.045554265</v>
      </c>
      <c r="M241">
        <f t="shared" si="48"/>
        <v>8003.7160983217109</v>
      </c>
      <c r="N241" s="28">
        <v>0.221</v>
      </c>
      <c r="O241">
        <f t="shared" si="49"/>
        <v>3314.644842517027</v>
      </c>
      <c r="Q241">
        <f t="shared" si="50"/>
        <v>6917417.712106023</v>
      </c>
      <c r="R241" s="28">
        <v>0.221</v>
      </c>
      <c r="S241">
        <f t="shared" si="51"/>
        <v>6923316.4087366853</v>
      </c>
      <c r="U241">
        <f t="shared" si="52"/>
        <v>149347.68985223584</v>
      </c>
      <c r="V241" s="48">
        <v>0.221</v>
      </c>
      <c r="W241">
        <f t="shared" si="53"/>
        <v>167972.15454048064</v>
      </c>
      <c r="Y241">
        <f t="shared" si="54"/>
        <v>4626.1283110949671</v>
      </c>
      <c r="Z241" s="28">
        <v>0.221</v>
      </c>
      <c r="AA241">
        <f t="shared" si="55"/>
        <v>2671.7486815019247</v>
      </c>
    </row>
    <row r="242" spans="1:27" x14ac:dyDescent="0.2">
      <c r="A242">
        <f t="shared" si="42"/>
        <v>32296652.455109779</v>
      </c>
      <c r="B242" s="28">
        <v>0.222</v>
      </c>
      <c r="C242">
        <f t="shared" si="43"/>
        <v>32402626.387723029</v>
      </c>
      <c r="E242">
        <f t="shared" si="44"/>
        <v>8076.9140831249661</v>
      </c>
      <c r="F242" s="28">
        <v>0.222</v>
      </c>
      <c r="G242">
        <f t="shared" si="45"/>
        <v>2702.4772891024022</v>
      </c>
      <c r="I242">
        <f t="shared" si="46"/>
        <v>39484736.816553622</v>
      </c>
      <c r="J242" s="28">
        <v>0.222</v>
      </c>
      <c r="K242">
        <f t="shared" si="47"/>
        <v>39596009.445797533</v>
      </c>
      <c r="M242">
        <f t="shared" si="48"/>
        <v>8015.9336935556039</v>
      </c>
      <c r="N242" s="28">
        <v>0.222</v>
      </c>
      <c r="O242">
        <f t="shared" si="49"/>
        <v>3302.4272472831349</v>
      </c>
      <c r="Q242">
        <f t="shared" si="50"/>
        <v>7188084.3614438502</v>
      </c>
      <c r="R242" s="28">
        <v>0.222</v>
      </c>
      <c r="S242">
        <f t="shared" si="51"/>
        <v>7193983.0580745125</v>
      </c>
      <c r="U242">
        <f t="shared" si="52"/>
        <v>151804.97782357747</v>
      </c>
      <c r="V242" s="48">
        <v>0.222</v>
      </c>
      <c r="W242">
        <f t="shared" si="53"/>
        <v>170429.44251182227</v>
      </c>
      <c r="Y242">
        <f t="shared" si="54"/>
        <v>4637.3651949404211</v>
      </c>
      <c r="Z242" s="28">
        <v>0.222</v>
      </c>
      <c r="AA242">
        <f t="shared" si="55"/>
        <v>2660.5117976564707</v>
      </c>
    </row>
    <row r="243" spans="1:27" x14ac:dyDescent="0.2">
      <c r="A243">
        <f t="shared" si="42"/>
        <v>33411500.992311124</v>
      </c>
      <c r="B243" s="28">
        <v>0.223</v>
      </c>
      <c r="C243">
        <f t="shared" si="43"/>
        <v>33517474.924924374</v>
      </c>
      <c r="E243">
        <f t="shared" si="44"/>
        <v>8089.0243792006277</v>
      </c>
      <c r="F243" s="28">
        <v>0.223</v>
      </c>
      <c r="G243">
        <f t="shared" si="45"/>
        <v>2690.3669930267411</v>
      </c>
      <c r="I243">
        <f t="shared" si="46"/>
        <v>40880599.203938603</v>
      </c>
      <c r="J243" s="28">
        <v>0.223</v>
      </c>
      <c r="K243">
        <f t="shared" si="47"/>
        <v>40991871.833182514</v>
      </c>
      <c r="M243">
        <f t="shared" si="48"/>
        <v>8028.0421083670335</v>
      </c>
      <c r="N243" s="28">
        <v>0.223</v>
      </c>
      <c r="O243">
        <f t="shared" si="49"/>
        <v>3290.3188324717044</v>
      </c>
      <c r="Q243">
        <f t="shared" si="50"/>
        <v>7469098.2116274731</v>
      </c>
      <c r="R243" s="28">
        <v>0.223</v>
      </c>
      <c r="S243">
        <f t="shared" si="51"/>
        <v>7474996.9082581354</v>
      </c>
      <c r="U243">
        <f t="shared" si="52"/>
        <v>154300.74443398768</v>
      </c>
      <c r="V243" s="48">
        <v>0.223</v>
      </c>
      <c r="W243">
        <f t="shared" si="53"/>
        <v>172925.20912223248</v>
      </c>
      <c r="Y243">
        <f t="shared" si="54"/>
        <v>4648.5160470859882</v>
      </c>
      <c r="Z243" s="28">
        <v>0.223</v>
      </c>
      <c r="AA243">
        <f t="shared" si="55"/>
        <v>2649.360945510904</v>
      </c>
    </row>
    <row r="244" spans="1:27" x14ac:dyDescent="0.2">
      <c r="A244">
        <f t="shared" si="42"/>
        <v>34564314.319586046</v>
      </c>
      <c r="B244" s="28">
        <v>0.224</v>
      </c>
      <c r="C244">
        <f t="shared" si="43"/>
        <v>34670288.2521993</v>
      </c>
      <c r="E244">
        <f t="shared" si="44"/>
        <v>8101.026869845281</v>
      </c>
      <c r="F244" s="28">
        <v>0.224</v>
      </c>
      <c r="G244">
        <f t="shared" si="45"/>
        <v>2678.3645023820873</v>
      </c>
      <c r="I244">
        <f t="shared" si="46"/>
        <v>42325160.191448033</v>
      </c>
      <c r="J244" s="28">
        <v>0.224</v>
      </c>
      <c r="K244">
        <f t="shared" si="47"/>
        <v>42436432.820691943</v>
      </c>
      <c r="M244">
        <f t="shared" si="48"/>
        <v>8040.0427899230635</v>
      </c>
      <c r="N244" s="28">
        <v>0.224</v>
      </c>
      <c r="O244">
        <f t="shared" si="49"/>
        <v>3278.3181509156748</v>
      </c>
      <c r="Q244">
        <f t="shared" si="50"/>
        <v>7760845.8718619812</v>
      </c>
      <c r="R244" s="28">
        <v>0.224</v>
      </c>
      <c r="S244">
        <f t="shared" si="51"/>
        <v>7766744.5684926435</v>
      </c>
      <c r="U244">
        <f t="shared" si="52"/>
        <v>156835.61388547899</v>
      </c>
      <c r="V244" s="48">
        <v>0.224</v>
      </c>
      <c r="W244">
        <f t="shared" si="53"/>
        <v>175460.07857372379</v>
      </c>
      <c r="Y244">
        <f t="shared" si="54"/>
        <v>4659.5817472000117</v>
      </c>
      <c r="Z244" s="28">
        <v>0.224</v>
      </c>
      <c r="AA244">
        <f t="shared" si="55"/>
        <v>2638.2952453968801</v>
      </c>
    </row>
    <row r="245" spans="1:27" x14ac:dyDescent="0.2">
      <c r="A245">
        <f t="shared" si="42"/>
        <v>35756367.219749488</v>
      </c>
      <c r="B245" s="28">
        <v>0.22500000000000001</v>
      </c>
      <c r="C245">
        <f t="shared" si="43"/>
        <v>35862341.152362742</v>
      </c>
      <c r="E245">
        <f t="shared" si="44"/>
        <v>8112.922979910647</v>
      </c>
      <c r="F245" s="28">
        <v>0.22500000000000001</v>
      </c>
      <c r="G245">
        <f t="shared" si="45"/>
        <v>2666.4683923167208</v>
      </c>
      <c r="I245">
        <f t="shared" si="46"/>
        <v>43820095.282400452</v>
      </c>
      <c r="J245" s="28">
        <v>0.22500000000000001</v>
      </c>
      <c r="K245">
        <f t="shared" si="47"/>
        <v>43931367.911644362</v>
      </c>
      <c r="M245">
        <f t="shared" si="48"/>
        <v>8051.9371602507545</v>
      </c>
      <c r="N245" s="28">
        <v>0.22500000000000001</v>
      </c>
      <c r="O245">
        <f t="shared" si="49"/>
        <v>3266.4237805879834</v>
      </c>
      <c r="Q245">
        <f t="shared" si="50"/>
        <v>8063728.0626509553</v>
      </c>
      <c r="R245" s="28">
        <v>0.22500000000000001</v>
      </c>
      <c r="S245">
        <f t="shared" si="51"/>
        <v>8069626.7592816176</v>
      </c>
      <c r="U245">
        <f t="shared" si="52"/>
        <v>159410.22074119779</v>
      </c>
      <c r="V245" s="48">
        <v>0.22500000000000001</v>
      </c>
      <c r="W245">
        <f t="shared" si="53"/>
        <v>178034.68542944259</v>
      </c>
      <c r="Y245">
        <f t="shared" si="54"/>
        <v>4670.5631643491033</v>
      </c>
      <c r="Z245" s="28">
        <v>0.22500000000000001</v>
      </c>
      <c r="AA245">
        <f t="shared" si="55"/>
        <v>2627.313828247788</v>
      </c>
    </row>
    <row r="246" spans="1:27" x14ac:dyDescent="0.2">
      <c r="A246">
        <f t="shared" si="42"/>
        <v>36988976.57768093</v>
      </c>
      <c r="B246" s="28">
        <v>0.22600000000000001</v>
      </c>
      <c r="C246">
        <f t="shared" si="43"/>
        <v>37094950.510294184</v>
      </c>
      <c r="E246">
        <f t="shared" si="44"/>
        <v>8124.7141095285861</v>
      </c>
      <c r="F246" s="28">
        <v>0.22600000000000001</v>
      </c>
      <c r="G246">
        <f t="shared" si="45"/>
        <v>2654.6772626987822</v>
      </c>
      <c r="I246">
        <f t="shared" si="46"/>
        <v>45367136.696376756</v>
      </c>
      <c r="J246" s="28">
        <v>0.22600000000000001</v>
      </c>
      <c r="K246">
        <f t="shared" si="47"/>
        <v>45478409.325620666</v>
      </c>
      <c r="M246">
        <f t="shared" si="48"/>
        <v>8063.7266167700309</v>
      </c>
      <c r="N246" s="28">
        <v>0.22600000000000001</v>
      </c>
      <c r="O246">
        <f t="shared" si="49"/>
        <v>3254.6343240687074</v>
      </c>
      <c r="Q246">
        <f t="shared" si="50"/>
        <v>8378160.1186958235</v>
      </c>
      <c r="R246" s="28">
        <v>0.22600000000000001</v>
      </c>
      <c r="S246">
        <f t="shared" si="51"/>
        <v>8384058.8153264858</v>
      </c>
      <c r="U246">
        <f t="shared" si="52"/>
        <v>162025.21010026871</v>
      </c>
      <c r="V246" s="48">
        <v>0.22600000000000001</v>
      </c>
      <c r="W246">
        <f t="shared" si="53"/>
        <v>180649.67478851351</v>
      </c>
      <c r="Y246">
        <f t="shared" si="54"/>
        <v>4681.4611571396099</v>
      </c>
      <c r="Z246" s="28">
        <v>0.22600000000000001</v>
      </c>
      <c r="AA246">
        <f t="shared" si="55"/>
        <v>2616.4158354572819</v>
      </c>
    </row>
    <row r="247" spans="1:27" x14ac:dyDescent="0.2">
      <c r="A247">
        <f t="shared" si="42"/>
        <v>38263502.745433308</v>
      </c>
      <c r="B247" s="28">
        <v>0.22700000000000001</v>
      </c>
      <c r="C247">
        <f t="shared" si="43"/>
        <v>38369476.678046562</v>
      </c>
      <c r="E247">
        <f t="shared" si="44"/>
        <v>8136.4016346353874</v>
      </c>
      <c r="F247" s="28">
        <v>0.22700000000000001</v>
      </c>
      <c r="G247">
        <f t="shared" si="45"/>
        <v>2642.9897375919809</v>
      </c>
      <c r="I247">
        <f t="shared" si="46"/>
        <v>46968075.254719235</v>
      </c>
      <c r="J247" s="28">
        <v>0.22700000000000001</v>
      </c>
      <c r="K247">
        <f t="shared" si="47"/>
        <v>47079347.883963145</v>
      </c>
      <c r="M247">
        <f t="shared" si="48"/>
        <v>8075.4125328133778</v>
      </c>
      <c r="N247" s="28">
        <v>0.22700000000000001</v>
      </c>
      <c r="O247">
        <f t="shared" si="49"/>
        <v>3242.9484080253601</v>
      </c>
      <c r="Q247">
        <f t="shared" si="50"/>
        <v>8704572.5092859082</v>
      </c>
      <c r="R247" s="28">
        <v>0.22700000000000001</v>
      </c>
      <c r="S247">
        <f t="shared" si="51"/>
        <v>8710471.2059165705</v>
      </c>
      <c r="U247">
        <f t="shared" si="52"/>
        <v>164681.23777562645</v>
      </c>
      <c r="V247" s="48">
        <v>0.22700000000000001</v>
      </c>
      <c r="W247">
        <f t="shared" si="53"/>
        <v>183305.70246387125</v>
      </c>
      <c r="Y247">
        <f t="shared" si="54"/>
        <v>4692.2765738570506</v>
      </c>
      <c r="Z247" s="28">
        <v>0.22700000000000001</v>
      </c>
      <c r="AA247">
        <f t="shared" si="55"/>
        <v>2605.6004187398407</v>
      </c>
    </row>
    <row r="248" spans="1:27" x14ac:dyDescent="0.2">
      <c r="A248">
        <f t="shared" si="42"/>
        <v>39581350.950723387</v>
      </c>
      <c r="B248" s="28">
        <v>0.22800000000000001</v>
      </c>
      <c r="C248">
        <f t="shared" si="43"/>
        <v>39687324.883336641</v>
      </c>
      <c r="E248">
        <f t="shared" si="44"/>
        <v>8147.986907483104</v>
      </c>
      <c r="F248" s="28">
        <v>0.22800000000000001</v>
      </c>
      <c r="G248">
        <f t="shared" si="45"/>
        <v>2631.4044647442638</v>
      </c>
      <c r="I248">
        <f t="shared" si="46"/>
        <v>48624762.327493481</v>
      </c>
      <c r="J248" s="28">
        <v>0.22800000000000001</v>
      </c>
      <c r="K248">
        <f t="shared" si="47"/>
        <v>48736034.956737392</v>
      </c>
      <c r="M248">
        <f t="shared" si="48"/>
        <v>8086.9962581327827</v>
      </c>
      <c r="N248" s="28">
        <v>0.22800000000000001</v>
      </c>
      <c r="O248">
        <f t="shared" si="49"/>
        <v>3231.3646827059556</v>
      </c>
      <c r="Q248">
        <f t="shared" si="50"/>
        <v>9043411.3767700922</v>
      </c>
      <c r="R248" s="28">
        <v>0.22800000000000001</v>
      </c>
      <c r="S248">
        <f t="shared" si="51"/>
        <v>9049310.0734007545</v>
      </c>
      <c r="U248">
        <f t="shared" si="52"/>
        <v>167378.97047488665</v>
      </c>
      <c r="V248" s="48">
        <v>0.22800000000000001</v>
      </c>
      <c r="W248">
        <f t="shared" si="53"/>
        <v>186003.43516313145</v>
      </c>
      <c r="Y248">
        <f t="shared" si="54"/>
        <v>4703.0102526035871</v>
      </c>
      <c r="Z248" s="28">
        <v>0.22800000000000001</v>
      </c>
      <c r="AA248">
        <f t="shared" si="55"/>
        <v>2594.8667399933047</v>
      </c>
    </row>
    <row r="249" spans="1:27" x14ac:dyDescent="0.2">
      <c r="A249">
        <f t="shared" si="42"/>
        <v>40943972.75016398</v>
      </c>
      <c r="B249" s="28">
        <v>0.22900000000000001</v>
      </c>
      <c r="C249">
        <f t="shared" si="43"/>
        <v>41049946.682777233</v>
      </c>
      <c r="E249">
        <f t="shared" si="44"/>
        <v>8159.4712571382788</v>
      </c>
      <c r="F249" s="28">
        <v>0.22900000000000001</v>
      </c>
      <c r="G249">
        <f t="shared" si="45"/>
        <v>2619.9201150890899</v>
      </c>
      <c r="I249">
        <f t="shared" si="46"/>
        <v>50339111.843889311</v>
      </c>
      <c r="J249" s="28">
        <v>0.22900000000000001</v>
      </c>
      <c r="K249">
        <f t="shared" si="47"/>
        <v>50450384.473133221</v>
      </c>
      <c r="M249">
        <f t="shared" si="48"/>
        <v>8098.4791193942465</v>
      </c>
      <c r="N249" s="28">
        <v>0.22900000000000001</v>
      </c>
      <c r="O249">
        <f t="shared" si="49"/>
        <v>3219.8818214444918</v>
      </c>
      <c r="Q249">
        <f t="shared" si="50"/>
        <v>9395139.0937253237</v>
      </c>
      <c r="R249" s="28">
        <v>0.22900000000000001</v>
      </c>
      <c r="S249">
        <f t="shared" si="51"/>
        <v>9401037.790355986</v>
      </c>
      <c r="U249">
        <f t="shared" si="52"/>
        <v>170119.08598430912</v>
      </c>
      <c r="V249" s="48">
        <v>0.22900000000000001</v>
      </c>
      <c r="W249">
        <f t="shared" si="53"/>
        <v>188743.55067255392</v>
      </c>
      <c r="Y249">
        <f t="shared" si="54"/>
        <v>4713.6630214335128</v>
      </c>
      <c r="Z249" s="28">
        <v>0.22900000000000001</v>
      </c>
      <c r="AA249">
        <f t="shared" si="55"/>
        <v>2584.213971163379</v>
      </c>
    </row>
    <row r="250" spans="1:27" x14ac:dyDescent="0.2">
      <c r="A250">
        <f t="shared" si="42"/>
        <v>42352867.528618701</v>
      </c>
      <c r="B250" s="28">
        <v>0.23</v>
      </c>
      <c r="C250">
        <f t="shared" si="43"/>
        <v>42458841.461231954</v>
      </c>
      <c r="E250">
        <f t="shared" si="44"/>
        <v>8170.8559899684142</v>
      </c>
      <c r="F250" s="28">
        <v>0.23</v>
      </c>
      <c r="G250">
        <f t="shared" si="45"/>
        <v>2608.5353822589541</v>
      </c>
      <c r="I250">
        <f t="shared" si="46"/>
        <v>52113102.3680714</v>
      </c>
      <c r="J250" s="28">
        <v>0.23</v>
      </c>
      <c r="K250">
        <f t="shared" si="47"/>
        <v>52224374.99731531</v>
      </c>
      <c r="M250">
        <f t="shared" si="48"/>
        <v>8109.8624206602253</v>
      </c>
      <c r="N250" s="28">
        <v>0.23</v>
      </c>
      <c r="O250">
        <f t="shared" si="49"/>
        <v>3208.4985201785134</v>
      </c>
      <c r="Q250">
        <f t="shared" si="50"/>
        <v>9760234.8394526877</v>
      </c>
      <c r="R250" s="28">
        <v>0.23</v>
      </c>
      <c r="S250">
        <f t="shared" si="51"/>
        <v>9766133.53608335</v>
      </c>
      <c r="U250">
        <f t="shared" si="52"/>
        <v>172902.27335590555</v>
      </c>
      <c r="V250" s="48">
        <v>0.23</v>
      </c>
      <c r="W250">
        <f t="shared" si="53"/>
        <v>191526.73804415035</v>
      </c>
      <c r="Y250">
        <f t="shared" si="54"/>
        <v>4724.2356984868256</v>
      </c>
      <c r="Z250" s="28">
        <v>0.23</v>
      </c>
      <c r="AA250">
        <f t="shared" si="55"/>
        <v>2573.6412941100662</v>
      </c>
    </row>
    <row r="251" spans="1:27" x14ac:dyDescent="0.2">
      <c r="A251">
        <f t="shared" si="42"/>
        <v>43809584.046122119</v>
      </c>
      <c r="B251" s="28">
        <v>0.23100000000000001</v>
      </c>
      <c r="C251">
        <f t="shared" si="43"/>
        <v>43915557.978735372</v>
      </c>
      <c r="E251">
        <f t="shared" si="44"/>
        <v>8182.1423901165435</v>
      </c>
      <c r="F251" s="28">
        <v>0.23100000000000001</v>
      </c>
      <c r="G251">
        <f t="shared" si="45"/>
        <v>2597.2489821108252</v>
      </c>
      <c r="I251">
        <f t="shared" si="46"/>
        <v>53948779.242579341</v>
      </c>
      <c r="J251" s="28">
        <v>0.23100000000000001</v>
      </c>
      <c r="K251">
        <f t="shared" si="47"/>
        <v>54060051.871823251</v>
      </c>
      <c r="M251">
        <f t="shared" si="48"/>
        <v>8121.1474438603127</v>
      </c>
      <c r="N251" s="28">
        <v>0.23100000000000001</v>
      </c>
      <c r="O251">
        <f t="shared" si="49"/>
        <v>3197.2134969784261</v>
      </c>
      <c r="Q251">
        <f t="shared" si="50"/>
        <v>10139195.196457209</v>
      </c>
      <c r="R251" s="28">
        <v>0.23100000000000001</v>
      </c>
      <c r="S251">
        <f t="shared" si="51"/>
        <v>10145093.893087871</v>
      </c>
      <c r="U251">
        <f t="shared" si="52"/>
        <v>175729.23309774711</v>
      </c>
      <c r="V251" s="48">
        <v>0.23100000000000001</v>
      </c>
      <c r="W251">
        <f t="shared" si="53"/>
        <v>194353.69778599191</v>
      </c>
      <c r="Y251">
        <f t="shared" si="54"/>
        <v>4734.7290921208951</v>
      </c>
      <c r="Z251" s="28">
        <v>0.23100000000000001</v>
      </c>
      <c r="AA251">
        <f t="shared" si="55"/>
        <v>2563.1479004759963</v>
      </c>
    </row>
    <row r="252" spans="1:27" x14ac:dyDescent="0.2">
      <c r="A252">
        <f t="shared" si="42"/>
        <v>45315722.033832736</v>
      </c>
      <c r="B252" s="28">
        <v>0.23200000000000001</v>
      </c>
      <c r="C252">
        <f t="shared" si="43"/>
        <v>45421695.96644599</v>
      </c>
      <c r="E252">
        <f t="shared" si="44"/>
        <v>8193.3317199642006</v>
      </c>
      <c r="F252" s="28">
        <v>0.23200000000000001</v>
      </c>
      <c r="G252">
        <f t="shared" si="45"/>
        <v>2586.0596522631681</v>
      </c>
      <c r="I252">
        <f t="shared" si="46"/>
        <v>55848256.801417552</v>
      </c>
      <c r="J252" s="28">
        <v>0.23200000000000001</v>
      </c>
      <c r="K252">
        <f t="shared" si="47"/>
        <v>55959529.430661462</v>
      </c>
      <c r="M252">
        <f t="shared" si="48"/>
        <v>8132.335449250515</v>
      </c>
      <c r="N252" s="28">
        <v>0.23200000000000001</v>
      </c>
      <c r="O252">
        <f t="shared" si="49"/>
        <v>3186.0254915882233</v>
      </c>
      <c r="Q252">
        <f t="shared" si="50"/>
        <v>10532534.767584808</v>
      </c>
      <c r="R252" s="28">
        <v>0.23200000000000001</v>
      </c>
      <c r="S252">
        <f t="shared" si="51"/>
        <v>10538433.46421547</v>
      </c>
      <c r="U252">
        <f t="shared" si="52"/>
        <v>178600.67736752651</v>
      </c>
      <c r="V252" s="48">
        <v>0.23200000000000001</v>
      </c>
      <c r="W252">
        <f t="shared" si="53"/>
        <v>197225.14205577131</v>
      </c>
      <c r="Y252">
        <f t="shared" si="54"/>
        <v>4745.1440010402621</v>
      </c>
      <c r="Z252" s="28">
        <v>0.23200000000000001</v>
      </c>
      <c r="AA252">
        <f t="shared" si="55"/>
        <v>2552.7329915566297</v>
      </c>
    </row>
    <row r="253" spans="1:27" x14ac:dyDescent="0.2">
      <c r="A253">
        <f t="shared" si="42"/>
        <v>46872933.840550095</v>
      </c>
      <c r="B253" s="28">
        <v>0.23300000000000001</v>
      </c>
      <c r="C253">
        <f t="shared" si="43"/>
        <v>46978907.773163348</v>
      </c>
      <c r="E253">
        <f t="shared" si="44"/>
        <v>8204.4252205831363</v>
      </c>
      <c r="F253" s="28">
        <v>0.23300000000000001</v>
      </c>
      <c r="G253">
        <f t="shared" si="45"/>
        <v>2574.9661516442311</v>
      </c>
      <c r="I253">
        <f t="shared" si="46"/>
        <v>57813720.655066505</v>
      </c>
      <c r="J253" s="28">
        <v>0.23300000000000001</v>
      </c>
      <c r="K253">
        <f t="shared" si="47"/>
        <v>57924993.284310415</v>
      </c>
      <c r="M253">
        <f t="shared" si="48"/>
        <v>8143.4276758614014</v>
      </c>
      <c r="N253" s="28">
        <v>0.23300000000000001</v>
      </c>
      <c r="O253">
        <f t="shared" si="49"/>
        <v>3174.9332649773369</v>
      </c>
      <c r="Q253">
        <f t="shared" si="50"/>
        <v>10940786.814516399</v>
      </c>
      <c r="R253" s="28">
        <v>0.23300000000000001</v>
      </c>
      <c r="S253">
        <f t="shared" si="51"/>
        <v>10946685.511147061</v>
      </c>
      <c r="U253">
        <f t="shared" si="52"/>
        <v>181517.33016943105</v>
      </c>
      <c r="V253" s="48">
        <v>0.23300000000000001</v>
      </c>
      <c r="W253">
        <f t="shared" si="53"/>
        <v>200141.79485767585</v>
      </c>
      <c r="Y253">
        <f t="shared" si="54"/>
        <v>4755.4812144245825</v>
      </c>
      <c r="Z253" s="28">
        <v>0.23300000000000001</v>
      </c>
      <c r="AA253">
        <f t="shared" si="55"/>
        <v>2542.3957781723088</v>
      </c>
    </row>
    <row r="254" spans="1:27" x14ac:dyDescent="0.2">
      <c r="A254">
        <f t="shared" si="42"/>
        <v>48482926.131352916</v>
      </c>
      <c r="B254" s="28">
        <v>0.23400000000000001</v>
      </c>
      <c r="C254">
        <f t="shared" si="43"/>
        <v>48588900.06396617</v>
      </c>
      <c r="E254">
        <f t="shared" si="44"/>
        <v>8215.4241121760824</v>
      </c>
      <c r="F254" s="28">
        <v>0.23400000000000001</v>
      </c>
      <c r="G254">
        <f t="shared" si="45"/>
        <v>2563.9672600512863</v>
      </c>
      <c r="I254">
        <f t="shared" si="46"/>
        <v>59847430.049690336</v>
      </c>
      <c r="J254" s="28">
        <v>0.23400000000000001</v>
      </c>
      <c r="K254">
        <f t="shared" si="47"/>
        <v>59958702.678934246</v>
      </c>
      <c r="M254">
        <f t="shared" si="48"/>
        <v>8154.4253419354509</v>
      </c>
      <c r="N254" s="28">
        <v>0.23400000000000001</v>
      </c>
      <c r="O254">
        <f t="shared" si="49"/>
        <v>3163.9355989032874</v>
      </c>
      <c r="Q254">
        <f t="shared" si="50"/>
        <v>11364503.918337421</v>
      </c>
      <c r="R254" s="28">
        <v>0.23400000000000001</v>
      </c>
      <c r="S254">
        <f t="shared" si="51"/>
        <v>11370402.614968084</v>
      </c>
      <c r="U254">
        <f t="shared" si="52"/>
        <v>184479.92755438376</v>
      </c>
      <c r="V254" s="48">
        <v>0.23400000000000001</v>
      </c>
      <c r="W254">
        <f t="shared" si="53"/>
        <v>203104.39224262856</v>
      </c>
      <c r="Y254">
        <f t="shared" si="54"/>
        <v>4765.7415120547712</v>
      </c>
      <c r="Z254" s="28">
        <v>0.23400000000000001</v>
      </c>
      <c r="AA254">
        <f t="shared" si="55"/>
        <v>2532.1354805421206</v>
      </c>
    </row>
    <row r="255" spans="1:27" x14ac:dyDescent="0.2">
      <c r="A255">
        <f t="shared" si="42"/>
        <v>50147461.639985241</v>
      </c>
      <c r="B255" s="28">
        <v>0.23499999999999999</v>
      </c>
      <c r="C255">
        <f t="shared" si="43"/>
        <v>50253435.572598495</v>
      </c>
      <c r="E255">
        <f t="shared" si="44"/>
        <v>8226.3295945068385</v>
      </c>
      <c r="F255" s="28">
        <v>0.23499999999999999</v>
      </c>
      <c r="G255">
        <f t="shared" si="45"/>
        <v>2553.0617777205293</v>
      </c>
      <c r="I255">
        <f t="shared" si="46"/>
        <v>61951720.30291523</v>
      </c>
      <c r="J255" s="28">
        <v>0.23499999999999999</v>
      </c>
      <c r="K255">
        <f t="shared" si="47"/>
        <v>62062992.932159141</v>
      </c>
      <c r="M255">
        <f t="shared" si="48"/>
        <v>8165.3296453538842</v>
      </c>
      <c r="N255" s="28">
        <v>0.23499999999999999</v>
      </c>
      <c r="O255">
        <f t="shared" si="49"/>
        <v>3153.0312954848537</v>
      </c>
      <c r="Q255">
        <f t="shared" si="50"/>
        <v>11804258.662929984</v>
      </c>
      <c r="R255" s="28">
        <v>0.23499999999999999</v>
      </c>
      <c r="S255">
        <f t="shared" si="51"/>
        <v>11810157.359560646</v>
      </c>
      <c r="U255">
        <f t="shared" si="52"/>
        <v>187489.21782371047</v>
      </c>
      <c r="V255" s="48">
        <v>0.23499999999999999</v>
      </c>
      <c r="W255">
        <f t="shared" si="53"/>
        <v>206113.68251195527</v>
      </c>
      <c r="Y255">
        <f t="shared" si="54"/>
        <v>4775.9256644373363</v>
      </c>
      <c r="Z255" s="28">
        <v>0.23499999999999999</v>
      </c>
      <c r="AA255">
        <f t="shared" si="55"/>
        <v>2521.9513281595559</v>
      </c>
    </row>
    <row r="256" spans="1:27" x14ac:dyDescent="0.2">
      <c r="A256">
        <f t="shared" si="42"/>
        <v>51868360.976645187</v>
      </c>
      <c r="B256" s="28">
        <v>0.23599999999999999</v>
      </c>
      <c r="C256">
        <f t="shared" si="43"/>
        <v>51974334.90925844</v>
      </c>
      <c r="E256">
        <f t="shared" si="44"/>
        <v>8237.1428473200303</v>
      </c>
      <c r="F256" s="28">
        <v>0.23599999999999999</v>
      </c>
      <c r="G256">
        <f t="shared" si="45"/>
        <v>2542.2485249073379</v>
      </c>
      <c r="I256">
        <f t="shared" si="46"/>
        <v>64129005.318599515</v>
      </c>
      <c r="J256" s="28">
        <v>0.23599999999999999</v>
      </c>
      <c r="K256">
        <f t="shared" si="47"/>
        <v>64240277.947843425</v>
      </c>
      <c r="M256">
        <f t="shared" si="48"/>
        <v>8176.1417640532691</v>
      </c>
      <c r="N256" s="28">
        <v>0.23599999999999999</v>
      </c>
      <c r="O256">
        <f t="shared" si="49"/>
        <v>3142.2191767854692</v>
      </c>
      <c r="Q256">
        <f t="shared" si="50"/>
        <v>12260644.341954328</v>
      </c>
      <c r="R256" s="28">
        <v>0.23599999999999999</v>
      </c>
      <c r="S256">
        <f t="shared" si="51"/>
        <v>12266543.03858499</v>
      </c>
      <c r="U256">
        <f t="shared" si="52"/>
        <v>190545.9617362936</v>
      </c>
      <c r="V256" s="48">
        <v>0.23599999999999999</v>
      </c>
      <c r="W256">
        <f t="shared" si="53"/>
        <v>209170.4264245384</v>
      </c>
      <c r="Y256">
        <f t="shared" si="54"/>
        <v>4786.0344329269665</v>
      </c>
      <c r="Z256" s="28">
        <v>0.23599999999999999</v>
      </c>
      <c r="AA256">
        <f t="shared" si="55"/>
        <v>2511.8425596699249</v>
      </c>
    </row>
    <row r="257" spans="1:27" x14ac:dyDescent="0.2">
      <c r="A257">
        <f t="shared" si="42"/>
        <v>53647504.492894568</v>
      </c>
      <c r="B257" s="28">
        <v>0.23699999999999999</v>
      </c>
      <c r="C257">
        <f t="shared" si="43"/>
        <v>53753478.425507821</v>
      </c>
      <c r="E257">
        <f t="shared" si="44"/>
        <v>8247.8650307507542</v>
      </c>
      <c r="F257" s="28">
        <v>0.23699999999999999</v>
      </c>
      <c r="G257">
        <f t="shared" si="45"/>
        <v>2531.5263414766146</v>
      </c>
      <c r="I257">
        <f t="shared" si="46"/>
        <v>66381780.183109261</v>
      </c>
      <c r="J257" s="28">
        <v>0.23699999999999999</v>
      </c>
      <c r="K257">
        <f t="shared" si="47"/>
        <v>66493052.812353171</v>
      </c>
      <c r="M257">
        <f t="shared" si="48"/>
        <v>8186.8628564321662</v>
      </c>
      <c r="N257" s="28">
        <v>0.23699999999999999</v>
      </c>
      <c r="O257">
        <f t="shared" si="49"/>
        <v>3131.4980844065726</v>
      </c>
      <c r="Q257">
        <f t="shared" si="50"/>
        <v>12734275.69021469</v>
      </c>
      <c r="R257" s="28">
        <v>0.23699999999999999</v>
      </c>
      <c r="S257">
        <f t="shared" si="51"/>
        <v>12740174.386845352</v>
      </c>
      <c r="U257">
        <f t="shared" si="52"/>
        <v>193650.93271926927</v>
      </c>
      <c r="V257" s="48">
        <v>0.23699999999999999</v>
      </c>
      <c r="W257">
        <f t="shared" si="53"/>
        <v>212275.39740751407</v>
      </c>
      <c r="Y257">
        <f t="shared" si="54"/>
        <v>4796.0685698473771</v>
      </c>
      <c r="Z257" s="28">
        <v>0.23699999999999999</v>
      </c>
      <c r="AA257">
        <f t="shared" si="55"/>
        <v>2501.8084227495146</v>
      </c>
    </row>
    <row r="258" spans="1:27" x14ac:dyDescent="0.2">
      <c r="A258">
        <f t="shared" si="42"/>
        <v>55486834.205457687</v>
      </c>
      <c r="B258" s="28">
        <v>0.23799999999999999</v>
      </c>
      <c r="C258">
        <f t="shared" si="43"/>
        <v>55592808.138070941</v>
      </c>
      <c r="E258">
        <f t="shared" si="44"/>
        <v>8258.4972857244247</v>
      </c>
      <c r="F258" s="28">
        <v>0.23799999999999999</v>
      </c>
      <c r="G258">
        <f t="shared" si="45"/>
        <v>2520.8940865029435</v>
      </c>
      <c r="I258">
        <f t="shared" si="46"/>
        <v>68712623.845687911</v>
      </c>
      <c r="J258" s="28">
        <v>0.23799999999999999</v>
      </c>
      <c r="K258">
        <f t="shared" si="47"/>
        <v>68823896.474931821</v>
      </c>
      <c r="M258">
        <f t="shared" si="48"/>
        <v>8197.4940617480934</v>
      </c>
      <c r="N258" s="28">
        <v>0.23799999999999999</v>
      </c>
      <c r="O258">
        <f t="shared" si="49"/>
        <v>3120.866879090644</v>
      </c>
      <c r="Q258">
        <f t="shared" si="50"/>
        <v>13225789.640230222</v>
      </c>
      <c r="R258" s="28">
        <v>0.23799999999999999</v>
      </c>
      <c r="S258">
        <f t="shared" si="51"/>
        <v>13231688.336860884</v>
      </c>
      <c r="U258">
        <f t="shared" si="52"/>
        <v>196804.91708233402</v>
      </c>
      <c r="V258" s="48">
        <v>0.23799999999999999</v>
      </c>
      <c r="W258">
        <f t="shared" si="53"/>
        <v>215429.38177057882</v>
      </c>
      <c r="Y258">
        <f t="shared" si="54"/>
        <v>4806.0288186104353</v>
      </c>
      <c r="Z258" s="28">
        <v>0.23799999999999999</v>
      </c>
      <c r="AA258">
        <f t="shared" si="55"/>
        <v>2491.848173986456</v>
      </c>
    </row>
    <row r="259" spans="1:27" x14ac:dyDescent="0.2">
      <c r="A259">
        <f t="shared" si="42"/>
        <v>57388355.780727163</v>
      </c>
      <c r="B259" s="28">
        <v>0.23899999999999999</v>
      </c>
      <c r="C259">
        <f t="shared" si="43"/>
        <v>57494329.713340417</v>
      </c>
      <c r="E259">
        <f t="shared" si="44"/>
        <v>8269.0407343470943</v>
      </c>
      <c r="F259" s="28">
        <v>0.23899999999999999</v>
      </c>
      <c r="G259">
        <f t="shared" si="45"/>
        <v>2510.3506378802745</v>
      </c>
      <c r="I259">
        <f t="shared" si="46"/>
        <v>71124201.885584861</v>
      </c>
      <c r="J259" s="28">
        <v>0.23899999999999999</v>
      </c>
      <c r="K259">
        <f t="shared" si="47"/>
        <v>71235474.514828771</v>
      </c>
      <c r="M259">
        <f t="shared" si="48"/>
        <v>8208.0365005050771</v>
      </c>
      <c r="N259" s="28">
        <v>0.23899999999999999</v>
      </c>
      <c r="O259">
        <f t="shared" si="49"/>
        <v>3110.3244403336603</v>
      </c>
      <c r="Q259">
        <f t="shared" si="50"/>
        <v>13735846.104857696</v>
      </c>
      <c r="R259" s="28">
        <v>0.23899999999999999</v>
      </c>
      <c r="S259">
        <f t="shared" si="51"/>
        <v>13741744.801488359</v>
      </c>
      <c r="U259">
        <f t="shared" si="52"/>
        <v>200008.71423571845</v>
      </c>
      <c r="V259" s="48">
        <v>0.23899999999999999</v>
      </c>
      <c r="W259">
        <f t="shared" si="53"/>
        <v>218633.17892396325</v>
      </c>
      <c r="Y259">
        <f t="shared" si="54"/>
        <v>4815.9159138336126</v>
      </c>
      <c r="Z259" s="28">
        <v>0.23899999999999999</v>
      </c>
      <c r="AA259">
        <f t="shared" si="55"/>
        <v>2481.9610787632791</v>
      </c>
    </row>
    <row r="260" spans="1:27" x14ac:dyDescent="0.2">
      <c r="A260">
        <f t="shared" si="42"/>
        <v>59354140.58185143</v>
      </c>
      <c r="B260" s="28">
        <v>0.24</v>
      </c>
      <c r="C260">
        <f t="shared" si="43"/>
        <v>59460114.514464684</v>
      </c>
      <c r="E260">
        <f t="shared" si="44"/>
        <v>8279.4964802864579</v>
      </c>
      <c r="F260" s="28">
        <v>0.24</v>
      </c>
      <c r="G260">
        <f t="shared" si="45"/>
        <v>2499.8948919409108</v>
      </c>
      <c r="I260">
        <f t="shared" si="46"/>
        <v>73619269.368692309</v>
      </c>
      <c r="J260" s="28">
        <v>0.24</v>
      </c>
      <c r="K260">
        <f t="shared" si="47"/>
        <v>73730541.997936219</v>
      </c>
      <c r="M260">
        <f t="shared" si="48"/>
        <v>8218.4912748320094</v>
      </c>
      <c r="N260" s="28">
        <v>0.24</v>
      </c>
      <c r="O260">
        <f t="shared" si="49"/>
        <v>3099.8696660067294</v>
      </c>
      <c r="Q260">
        <f t="shared" si="50"/>
        <v>14265128.786840862</v>
      </c>
      <c r="R260" s="28">
        <v>0.24</v>
      </c>
      <c r="S260">
        <f t="shared" si="51"/>
        <v>14271027.483471524</v>
      </c>
      <c r="U260">
        <f t="shared" si="52"/>
        <v>203263.13691189606</v>
      </c>
      <c r="V260" s="48">
        <v>0.24</v>
      </c>
      <c r="W260">
        <f t="shared" si="53"/>
        <v>221887.60160014086</v>
      </c>
      <c r="Y260">
        <f t="shared" si="54"/>
        <v>4825.7305814557694</v>
      </c>
      <c r="Z260" s="28">
        <v>0.24</v>
      </c>
      <c r="AA260">
        <f t="shared" si="55"/>
        <v>2472.1464111411224</v>
      </c>
    </row>
    <row r="261" spans="1:27" x14ac:dyDescent="0.2">
      <c r="A261">
        <f t="shared" si="42"/>
        <v>61386327.780333571</v>
      </c>
      <c r="B261" s="28">
        <v>0.24099999999999999</v>
      </c>
      <c r="C261">
        <f t="shared" si="43"/>
        <v>61492301.712946825</v>
      </c>
      <c r="E261">
        <f t="shared" si="44"/>
        <v>8289.8656091438534</v>
      </c>
      <c r="F261" s="28">
        <v>0.24099999999999999</v>
      </c>
      <c r="G261">
        <f t="shared" si="45"/>
        <v>2489.5257630835149</v>
      </c>
      <c r="I261">
        <f t="shared" si="46"/>
        <v>76200673.796523094</v>
      </c>
      <c r="J261" s="28">
        <v>0.24099999999999999</v>
      </c>
      <c r="K261">
        <f t="shared" si="47"/>
        <v>76311946.425767004</v>
      </c>
      <c r="M261">
        <f t="shared" si="48"/>
        <v>8228.8594688520971</v>
      </c>
      <c r="N261" s="28">
        <v>0.24099999999999999</v>
      </c>
      <c r="O261">
        <f t="shared" si="49"/>
        <v>3089.5014719866422</v>
      </c>
      <c r="Q261">
        <f t="shared" si="50"/>
        <v>14814346.016189521</v>
      </c>
      <c r="R261" s="28">
        <v>0.24099999999999999</v>
      </c>
      <c r="S261">
        <f t="shared" si="51"/>
        <v>14820244.712820183</v>
      </c>
      <c r="U261">
        <f t="shared" si="52"/>
        <v>206569.01139108706</v>
      </c>
      <c r="V261" s="48">
        <v>0.24099999999999999</v>
      </c>
      <c r="W261">
        <f t="shared" si="53"/>
        <v>225193.47607933186</v>
      </c>
      <c r="Y261">
        <f t="shared" si="54"/>
        <v>4835.4735388513045</v>
      </c>
      <c r="Z261" s="28">
        <v>0.24099999999999999</v>
      </c>
      <c r="AA261">
        <f t="shared" si="55"/>
        <v>2462.4034537455873</v>
      </c>
    </row>
    <row r="262" spans="1:27" x14ac:dyDescent="0.2">
      <c r="A262">
        <f t="shared" si="42"/>
        <v>63487126.534137048</v>
      </c>
      <c r="B262" s="28">
        <v>0.24199999999999999</v>
      </c>
      <c r="C262">
        <f t="shared" si="43"/>
        <v>63593100.466750301</v>
      </c>
      <c r="E262">
        <f t="shared" si="44"/>
        <v>8300.1491888174496</v>
      </c>
      <c r="F262" s="28">
        <v>0.24199999999999999</v>
      </c>
      <c r="G262">
        <f t="shared" si="45"/>
        <v>2479.2421834099182</v>
      </c>
      <c r="I262">
        <f t="shared" si="46"/>
        <v>78871358.150459975</v>
      </c>
      <c r="J262" s="28">
        <v>0.24199999999999999</v>
      </c>
      <c r="K262">
        <f t="shared" si="47"/>
        <v>78982630.779703885</v>
      </c>
      <c r="M262">
        <f t="shared" si="48"/>
        <v>8239.1421490436187</v>
      </c>
      <c r="N262" s="28">
        <v>0.24199999999999999</v>
      </c>
      <c r="O262">
        <f t="shared" si="49"/>
        <v>3079.2187917951187</v>
      </c>
      <c r="Q262">
        <f t="shared" si="50"/>
        <v>15384231.61632291</v>
      </c>
      <c r="R262" s="28">
        <v>0.24199999999999999</v>
      </c>
      <c r="S262">
        <f t="shared" si="51"/>
        <v>15390130.312953573</v>
      </c>
      <c r="U262">
        <f t="shared" si="52"/>
        <v>209927.1777306266</v>
      </c>
      <c r="V262" s="48">
        <v>0.24199999999999999</v>
      </c>
      <c r="W262">
        <f t="shared" si="53"/>
        <v>228551.6424188714</v>
      </c>
      <c r="Y262">
        <f t="shared" si="54"/>
        <v>4845.1454949426952</v>
      </c>
      <c r="Z262" s="28">
        <v>0.24199999999999999</v>
      </c>
      <c r="AA262">
        <f t="shared" si="55"/>
        <v>2452.731497654197</v>
      </c>
    </row>
    <row r="263" spans="1:27" x14ac:dyDescent="0.2">
      <c r="A263">
        <f t="shared" si="42"/>
        <v>65658818.234343968</v>
      </c>
      <c r="B263" s="28">
        <v>0.24299999999999999</v>
      </c>
      <c r="C263">
        <f t="shared" si="43"/>
        <v>65764792.166957222</v>
      </c>
      <c r="E263">
        <f t="shared" si="44"/>
        <v>8310.3482698568878</v>
      </c>
      <c r="F263" s="28">
        <v>0.24299999999999999</v>
      </c>
      <c r="G263">
        <f t="shared" si="45"/>
        <v>2469.0431023704809</v>
      </c>
      <c r="I263">
        <f t="shared" si="46"/>
        <v>81634364.034283906</v>
      </c>
      <c r="J263" s="28">
        <v>0.24299999999999999</v>
      </c>
      <c r="K263">
        <f t="shared" si="47"/>
        <v>81745636.663527817</v>
      </c>
      <c r="M263">
        <f t="shared" si="48"/>
        <v>8249.3403645922299</v>
      </c>
      <c r="N263" s="28">
        <v>0.24299999999999999</v>
      </c>
      <c r="O263">
        <f t="shared" si="49"/>
        <v>3069.0205762465075</v>
      </c>
      <c r="Q263">
        <f t="shared" si="50"/>
        <v>15975545.799939942</v>
      </c>
      <c r="R263" s="28">
        <v>0.24299999999999999</v>
      </c>
      <c r="S263">
        <f t="shared" si="51"/>
        <v>15981444.496570604</v>
      </c>
      <c r="U263">
        <f t="shared" si="52"/>
        <v>213338.48999826191</v>
      </c>
      <c r="V263" s="48">
        <v>0.24299999999999999</v>
      </c>
      <c r="W263">
        <f t="shared" si="53"/>
        <v>231962.95468650671</v>
      </c>
      <c r="Y263">
        <f t="shared" si="54"/>
        <v>4854.747150311443</v>
      </c>
      <c r="Z263" s="28">
        <v>0.24299999999999999</v>
      </c>
      <c r="AA263">
        <f t="shared" si="55"/>
        <v>2443.1298422854484</v>
      </c>
    </row>
    <row r="264" spans="1:27" x14ac:dyDescent="0.2">
      <c r="A264">
        <f t="shared" si="42"/>
        <v>67903758.822475389</v>
      </c>
      <c r="B264" s="28">
        <v>0.24399999999999999</v>
      </c>
      <c r="C264">
        <f t="shared" si="43"/>
        <v>68009732.755088642</v>
      </c>
      <c r="E264">
        <f t="shared" si="44"/>
        <v>8320.4638858095859</v>
      </c>
      <c r="F264" s="28">
        <v>0.24399999999999999</v>
      </c>
      <c r="G264">
        <f t="shared" si="45"/>
        <v>2458.9274864177833</v>
      </c>
      <c r="I264">
        <f t="shared" si="46"/>
        <v>84492834.918086365</v>
      </c>
      <c r="J264" s="28">
        <v>0.24399999999999999</v>
      </c>
      <c r="K264">
        <f t="shared" si="47"/>
        <v>84604107.547330275</v>
      </c>
      <c r="M264">
        <f t="shared" si="48"/>
        <v>8259.455147735016</v>
      </c>
      <c r="N264" s="28">
        <v>0.24399999999999999</v>
      </c>
      <c r="O264">
        <f t="shared" si="49"/>
        <v>3058.9057931037228</v>
      </c>
      <c r="Q264">
        <f t="shared" si="50"/>
        <v>16589076.095610965</v>
      </c>
      <c r="R264" s="28">
        <v>0.24399999999999999</v>
      </c>
      <c r="S264">
        <f t="shared" si="51"/>
        <v>16594974.792241627</v>
      </c>
      <c r="U264">
        <f t="shared" si="52"/>
        <v>216803.81650944788</v>
      </c>
      <c r="V264" s="48">
        <v>0.24399999999999999</v>
      </c>
      <c r="W264">
        <f t="shared" si="53"/>
        <v>235428.28119769268</v>
      </c>
      <c r="Y264">
        <f t="shared" si="54"/>
        <v>4864.2791973074673</v>
      </c>
      <c r="Z264" s="28">
        <v>0.24399999999999999</v>
      </c>
      <c r="AA264">
        <f t="shared" si="55"/>
        <v>2433.5977952894241</v>
      </c>
    </row>
    <row r="265" spans="1:27" x14ac:dyDescent="0.2">
      <c r="A265">
        <f t="shared" si="42"/>
        <v>70224381.180652261</v>
      </c>
      <c r="B265" s="28">
        <v>0.245</v>
      </c>
      <c r="C265">
        <f t="shared" si="43"/>
        <v>70330355.113265514</v>
      </c>
      <c r="E265">
        <f t="shared" si="44"/>
        <v>8330.4970535589455</v>
      </c>
      <c r="F265" s="28">
        <v>0.245</v>
      </c>
      <c r="G265">
        <f t="shared" si="45"/>
        <v>2448.8943186684232</v>
      </c>
      <c r="I265">
        <f t="shared" si="46"/>
        <v>87450019.486771673</v>
      </c>
      <c r="J265" s="28">
        <v>0.245</v>
      </c>
      <c r="K265">
        <f t="shared" si="47"/>
        <v>87561292.116015583</v>
      </c>
      <c r="M265">
        <f t="shared" si="48"/>
        <v>8269.4875140965505</v>
      </c>
      <c r="N265" s="28">
        <v>0.245</v>
      </c>
      <c r="O265">
        <f t="shared" si="49"/>
        <v>3048.8734267421873</v>
      </c>
      <c r="Q265">
        <f t="shared" si="50"/>
        <v>17225638.306119386</v>
      </c>
      <c r="R265" s="28">
        <v>0.245</v>
      </c>
      <c r="S265">
        <f t="shared" si="51"/>
        <v>17231537.00275005</v>
      </c>
      <c r="U265">
        <f t="shared" si="52"/>
        <v>220324.04006870868</v>
      </c>
      <c r="V265" s="48">
        <v>0.245</v>
      </c>
      <c r="W265">
        <f t="shared" si="53"/>
        <v>238948.50475695348</v>
      </c>
      <c r="Y265">
        <f t="shared" si="54"/>
        <v>4873.7423201569436</v>
      </c>
      <c r="Z265" s="28">
        <v>0.245</v>
      </c>
      <c r="AA265">
        <f t="shared" si="55"/>
        <v>2424.1346724399482</v>
      </c>
    </row>
    <row r="266" spans="1:27" x14ac:dyDescent="0.2">
      <c r="A266">
        <f t="shared" si="42"/>
        <v>72623197.596836403</v>
      </c>
      <c r="B266" s="28">
        <v>0.246</v>
      </c>
      <c r="C266">
        <f t="shared" si="43"/>
        <v>72729171.529449657</v>
      </c>
      <c r="E266">
        <f t="shared" si="44"/>
        <v>8340.4487736546653</v>
      </c>
      <c r="F266" s="28">
        <v>0.246</v>
      </c>
      <c r="G266">
        <f t="shared" si="45"/>
        <v>2438.9425985727034</v>
      </c>
      <c r="I266">
        <f t="shared" si="46"/>
        <v>90509275.096450359</v>
      </c>
      <c r="J266" s="28">
        <v>0.246</v>
      </c>
      <c r="K266">
        <f t="shared" si="47"/>
        <v>90620547.725694269</v>
      </c>
      <c r="M266">
        <f t="shared" si="48"/>
        <v>8279.4384630171498</v>
      </c>
      <c r="N266" s="28">
        <v>0.246</v>
      </c>
      <c r="O266">
        <f t="shared" si="49"/>
        <v>3038.9224778215885</v>
      </c>
      <c r="Q266">
        <f t="shared" si="50"/>
        <v>17886077.499613952</v>
      </c>
      <c r="R266" s="28">
        <v>0.246</v>
      </c>
      <c r="S266">
        <f t="shared" si="51"/>
        <v>17891976.196244616</v>
      </c>
      <c r="U266">
        <f t="shared" si="52"/>
        <v>223900.05821513719</v>
      </c>
      <c r="V266" s="48">
        <v>0.246</v>
      </c>
      <c r="W266">
        <f t="shared" si="53"/>
        <v>242524.52290338199</v>
      </c>
      <c r="Y266">
        <f t="shared" si="54"/>
        <v>4883.1371950686316</v>
      </c>
      <c r="Z266" s="28">
        <v>0.246</v>
      </c>
      <c r="AA266">
        <f t="shared" si="55"/>
        <v>2414.7397975282602</v>
      </c>
    </row>
    <row r="267" spans="1:27" x14ac:dyDescent="0.2">
      <c r="A267">
        <f t="shared" si="42"/>
        <v>75102802.3074615</v>
      </c>
      <c r="B267" s="28">
        <v>0.247</v>
      </c>
      <c r="C267">
        <f t="shared" si="43"/>
        <v>75208776.240074754</v>
      </c>
      <c r="E267">
        <f t="shared" si="44"/>
        <v>8350.3200306353647</v>
      </c>
      <c r="F267" s="28">
        <v>0.247</v>
      </c>
      <c r="G267">
        <f t="shared" si="45"/>
        <v>2429.0713415920045</v>
      </c>
      <c r="I267">
        <f t="shared" si="46"/>
        <v>93674071.342129305</v>
      </c>
      <c r="J267" s="28">
        <v>0.247</v>
      </c>
      <c r="K267">
        <f t="shared" si="47"/>
        <v>93785343.971373215</v>
      </c>
      <c r="M267">
        <f t="shared" si="48"/>
        <v>8289.3089778735084</v>
      </c>
      <c r="N267" s="28">
        <v>0.247</v>
      </c>
      <c r="O267">
        <f t="shared" si="49"/>
        <v>3029.0519629652294</v>
      </c>
      <c r="Q267">
        <f t="shared" si="50"/>
        <v>18571269.034667801</v>
      </c>
      <c r="R267" s="28">
        <v>0.247</v>
      </c>
      <c r="S267">
        <f t="shared" si="51"/>
        <v>18577167.731298465</v>
      </c>
      <c r="U267">
        <f t="shared" si="52"/>
        <v>227532.78347210318</v>
      </c>
      <c r="V267" s="48">
        <v>0.247</v>
      </c>
      <c r="W267">
        <f t="shared" si="53"/>
        <v>246157.24816034798</v>
      </c>
      <c r="Y267">
        <f t="shared" si="54"/>
        <v>4892.4644903387052</v>
      </c>
      <c r="Z267" s="28">
        <v>0.247</v>
      </c>
      <c r="AA267">
        <f t="shared" si="55"/>
        <v>2405.4125022581861</v>
      </c>
    </row>
    <row r="268" spans="1:27" x14ac:dyDescent="0.2">
      <c r="A268">
        <f t="shared" si="42"/>
        <v>77665874.119825721</v>
      </c>
      <c r="B268" s="28">
        <v>0.248</v>
      </c>
      <c r="C268">
        <f t="shared" si="43"/>
        <v>77771848.052438974</v>
      </c>
      <c r="E268">
        <f t="shared" si="44"/>
        <v>8360.1117933437326</v>
      </c>
      <c r="F268" s="28">
        <v>0.248</v>
      </c>
      <c r="G268">
        <f t="shared" si="45"/>
        <v>2419.2795788836356</v>
      </c>
      <c r="I268">
        <f t="shared" si="46"/>
        <v>96947993.740199938</v>
      </c>
      <c r="J268" s="28">
        <v>0.248</v>
      </c>
      <c r="K268">
        <f t="shared" si="47"/>
        <v>97059266.369443849</v>
      </c>
      <c r="M268">
        <f t="shared" si="48"/>
        <v>8299.1000263919614</v>
      </c>
      <c r="N268" s="28">
        <v>0.248</v>
      </c>
      <c r="O268">
        <f t="shared" si="49"/>
        <v>3019.2609144467774</v>
      </c>
      <c r="Q268">
        <f t="shared" si="50"/>
        <v>19282119.620374203</v>
      </c>
      <c r="R268" s="28">
        <v>0.248</v>
      </c>
      <c r="S268">
        <f t="shared" si="51"/>
        <v>19288018.317004867</v>
      </c>
      <c r="U268">
        <f t="shared" si="52"/>
        <v>231223.14360124277</v>
      </c>
      <c r="V268" s="48">
        <v>0.248</v>
      </c>
      <c r="W268">
        <f t="shared" si="53"/>
        <v>249847.60828948757</v>
      </c>
      <c r="Y268">
        <f t="shared" si="54"/>
        <v>4901.724866454113</v>
      </c>
      <c r="Z268" s="28">
        <v>0.248</v>
      </c>
      <c r="AA268">
        <f t="shared" si="55"/>
        <v>2396.1521261427788</v>
      </c>
    </row>
    <row r="269" spans="1:27" x14ac:dyDescent="0.2">
      <c r="A269">
        <f t="shared" si="42"/>
        <v>80315179.116697863</v>
      </c>
      <c r="B269" s="28">
        <v>0.249</v>
      </c>
      <c r="C269">
        <f t="shared" si="43"/>
        <v>80421153.049311116</v>
      </c>
      <c r="E269">
        <f t="shared" si="44"/>
        <v>8369.8250152343971</v>
      </c>
      <c r="F269" s="28">
        <v>0.249</v>
      </c>
      <c r="G269">
        <f t="shared" si="45"/>
        <v>2409.5663569929707</v>
      </c>
      <c r="I269">
        <f t="shared" si="46"/>
        <v>100334747.52934568</v>
      </c>
      <c r="J269" s="28">
        <v>0.249</v>
      </c>
      <c r="K269">
        <f t="shared" si="47"/>
        <v>100446020.15858959</v>
      </c>
      <c r="M269">
        <f t="shared" si="48"/>
        <v>8308.8125609545168</v>
      </c>
      <c r="N269" s="28">
        <v>0.249</v>
      </c>
      <c r="O269">
        <f t="shared" si="49"/>
        <v>3009.5483798842206</v>
      </c>
      <c r="Q269">
        <f t="shared" si="50"/>
        <v>20019568.412647802</v>
      </c>
      <c r="R269" s="28">
        <v>0.249</v>
      </c>
      <c r="S269">
        <f t="shared" si="51"/>
        <v>20025467.109278467</v>
      </c>
      <c r="U269">
        <f t="shared" si="52"/>
        <v>234972.08186080382</v>
      </c>
      <c r="V269" s="48">
        <v>0.249</v>
      </c>
      <c r="W269">
        <f t="shared" si="53"/>
        <v>253596.54654904862</v>
      </c>
      <c r="Y269">
        <f t="shared" si="54"/>
        <v>4910.9189761944763</v>
      </c>
      <c r="Z269" s="28">
        <v>0.249</v>
      </c>
      <c r="AA269">
        <f t="shared" si="55"/>
        <v>2386.9580164024151</v>
      </c>
    </row>
    <row r="270" spans="1:27" x14ac:dyDescent="0.2">
      <c r="A270">
        <f t="shared" si="42"/>
        <v>83053573.445661753</v>
      </c>
      <c r="B270" s="28">
        <v>0.25</v>
      </c>
      <c r="C270">
        <f t="shared" si="43"/>
        <v>83159547.378275007</v>
      </c>
      <c r="E270">
        <f t="shared" si="44"/>
        <v>8379.4606346746968</v>
      </c>
      <c r="F270" s="28">
        <v>0.25</v>
      </c>
      <c r="G270">
        <f t="shared" si="45"/>
        <v>2399.9307375526719</v>
      </c>
      <c r="I270">
        <f t="shared" si="46"/>
        <v>103838161.59359986</v>
      </c>
      <c r="J270" s="28">
        <v>0.25</v>
      </c>
      <c r="K270">
        <f t="shared" si="47"/>
        <v>103949434.22284377</v>
      </c>
      <c r="M270">
        <f t="shared" si="48"/>
        <v>8318.4475188978977</v>
      </c>
      <c r="N270" s="28">
        <v>0.25</v>
      </c>
      <c r="O270">
        <f t="shared" si="49"/>
        <v>2999.9134219408397</v>
      </c>
      <c r="Q270">
        <f t="shared" si="50"/>
        <v>20784588.147938088</v>
      </c>
      <c r="R270" s="28">
        <v>0.25</v>
      </c>
      <c r="S270">
        <f t="shared" si="51"/>
        <v>20790486.844568752</v>
      </c>
      <c r="U270">
        <f t="shared" si="52"/>
        <v>238780.55726842262</v>
      </c>
      <c r="V270" s="48">
        <v>0.25</v>
      </c>
      <c r="W270">
        <f t="shared" si="53"/>
        <v>257405.02195666742</v>
      </c>
      <c r="Y270">
        <f t="shared" si="54"/>
        <v>4920.0474647325718</v>
      </c>
      <c r="Z270" s="28">
        <v>0.25</v>
      </c>
      <c r="AA270">
        <f t="shared" si="55"/>
        <v>2377.82952786432</v>
      </c>
    </row>
    <row r="271" spans="1:27" x14ac:dyDescent="0.2">
      <c r="A271">
        <f t="shared" si="42"/>
        <v>85884006.19579345</v>
      </c>
      <c r="B271" s="28">
        <v>0.251</v>
      </c>
      <c r="C271">
        <f t="shared" si="43"/>
        <v>85989980.128406703</v>
      </c>
      <c r="E271">
        <f t="shared" si="44"/>
        <v>8389.0195752385407</v>
      </c>
      <c r="F271" s="28">
        <v>0.251</v>
      </c>
      <c r="G271">
        <f t="shared" si="45"/>
        <v>2390.3717969888266</v>
      </c>
      <c r="I271">
        <f t="shared" si="46"/>
        <v>107462192.51139286</v>
      </c>
      <c r="J271" s="28">
        <v>0.251</v>
      </c>
      <c r="K271">
        <f t="shared" si="47"/>
        <v>107573465.14063677</v>
      </c>
      <c r="M271">
        <f t="shared" si="48"/>
        <v>8328.0058228057169</v>
      </c>
      <c r="N271" s="28">
        <v>0.251</v>
      </c>
      <c r="O271">
        <f t="shared" si="49"/>
        <v>2990.3551180330219</v>
      </c>
      <c r="Q271">
        <f t="shared" si="50"/>
        <v>21578186.315599419</v>
      </c>
      <c r="R271" s="28">
        <v>0.251</v>
      </c>
      <c r="S271">
        <f t="shared" si="51"/>
        <v>21584085.012230083</v>
      </c>
      <c r="U271">
        <f t="shared" si="52"/>
        <v>242649.54486840812</v>
      </c>
      <c r="V271" s="48">
        <v>0.251</v>
      </c>
      <c r="W271">
        <f t="shared" si="53"/>
        <v>261274.00955665292</v>
      </c>
      <c r="Y271">
        <f t="shared" si="54"/>
        <v>4929.1109697333868</v>
      </c>
      <c r="Z271" s="28">
        <v>0.251</v>
      </c>
      <c r="AA271">
        <f t="shared" si="55"/>
        <v>2368.766022863505</v>
      </c>
    </row>
    <row r="272" spans="1:27" x14ac:dyDescent="0.2">
      <c r="A272">
        <f t="shared" si="42"/>
        <v>88809522.364345342</v>
      </c>
      <c r="B272" s="28">
        <v>0.252</v>
      </c>
      <c r="C272">
        <f t="shared" si="43"/>
        <v>88915496.296958596</v>
      </c>
      <c r="E272">
        <f t="shared" si="44"/>
        <v>8398.5027459935627</v>
      </c>
      <c r="F272" s="28">
        <v>0.252</v>
      </c>
      <c r="G272">
        <f t="shared" si="45"/>
        <v>2380.8886262338056</v>
      </c>
      <c r="I272">
        <f t="shared" si="46"/>
        <v>111210928.73454826</v>
      </c>
      <c r="J272" s="28">
        <v>0.252</v>
      </c>
      <c r="K272">
        <f t="shared" si="47"/>
        <v>111322201.36379217</v>
      </c>
      <c r="M272">
        <f t="shared" si="48"/>
        <v>8337.4883807940132</v>
      </c>
      <c r="N272" s="28">
        <v>0.252</v>
      </c>
      <c r="O272">
        <f t="shared" si="49"/>
        <v>2980.8725600447247</v>
      </c>
      <c r="Q272">
        <f t="shared" si="50"/>
        <v>22401406.370202903</v>
      </c>
      <c r="R272" s="28">
        <v>0.252</v>
      </c>
      <c r="S272">
        <f t="shared" si="51"/>
        <v>22407305.066833567</v>
      </c>
      <c r="U272">
        <f t="shared" si="52"/>
        <v>246580.03600361227</v>
      </c>
      <c r="V272" s="48">
        <v>0.252</v>
      </c>
      <c r="W272">
        <f t="shared" si="53"/>
        <v>265204.50069185707</v>
      </c>
      <c r="Y272">
        <f t="shared" si="54"/>
        <v>4938.1101214518039</v>
      </c>
      <c r="Z272" s="28">
        <v>0.252</v>
      </c>
      <c r="AA272">
        <f t="shared" si="55"/>
        <v>2359.7668711450883</v>
      </c>
    </row>
    <row r="273" spans="1:27" x14ac:dyDescent="0.2">
      <c r="A273">
        <f t="shared" si="42"/>
        <v>91833265.916193575</v>
      </c>
      <c r="B273" s="28">
        <v>0.253</v>
      </c>
      <c r="C273">
        <f t="shared" si="43"/>
        <v>91939239.848806828</v>
      </c>
      <c r="E273">
        <f t="shared" si="44"/>
        <v>8407.9110417816955</v>
      </c>
      <c r="F273" s="28">
        <v>0.253</v>
      </c>
      <c r="G273">
        <f t="shared" si="45"/>
        <v>2371.4803304456736</v>
      </c>
      <c r="I273">
        <f t="shared" si="46"/>
        <v>115088594.90131107</v>
      </c>
      <c r="J273" s="28">
        <v>0.253</v>
      </c>
      <c r="K273">
        <f t="shared" si="47"/>
        <v>115199867.53055498</v>
      </c>
      <c r="M273">
        <f t="shared" si="48"/>
        <v>8346.8960867903097</v>
      </c>
      <c r="N273" s="28">
        <v>0.253</v>
      </c>
      <c r="O273">
        <f t="shared" si="49"/>
        <v>2971.4648540484291</v>
      </c>
      <c r="Q273">
        <f t="shared" si="50"/>
        <v>23255328.985117465</v>
      </c>
      <c r="R273" s="28">
        <v>0.253</v>
      </c>
      <c r="S273">
        <f t="shared" si="51"/>
        <v>23261227.681748129</v>
      </c>
      <c r="U273">
        <f t="shared" si="52"/>
        <v>250573.03859196539</v>
      </c>
      <c r="V273" s="48">
        <v>0.253</v>
      </c>
      <c r="W273">
        <f t="shared" si="53"/>
        <v>269197.50328021019</v>
      </c>
      <c r="Y273">
        <f t="shared" si="54"/>
        <v>4947.0455428289024</v>
      </c>
      <c r="Z273" s="28">
        <v>0.253</v>
      </c>
      <c r="AA273">
        <f t="shared" si="55"/>
        <v>2350.8314497679894</v>
      </c>
    </row>
    <row r="274" spans="1:27" x14ac:dyDescent="0.2">
      <c r="A274">
        <f t="shared" si="42"/>
        <v>94958482.938890323</v>
      </c>
      <c r="B274" s="28">
        <v>0.254</v>
      </c>
      <c r="C274">
        <f t="shared" si="43"/>
        <v>95064456.871503577</v>
      </c>
      <c r="E274">
        <f t="shared" si="44"/>
        <v>8417.245343493385</v>
      </c>
      <c r="F274" s="28">
        <v>0.254</v>
      </c>
      <c r="G274">
        <f t="shared" si="45"/>
        <v>2362.1460287339833</v>
      </c>
      <c r="I274">
        <f t="shared" si="46"/>
        <v>119099556.28762159</v>
      </c>
      <c r="J274" s="28">
        <v>0.254</v>
      </c>
      <c r="K274">
        <f t="shared" si="47"/>
        <v>119210828.9168655</v>
      </c>
      <c r="M274">
        <f t="shared" si="48"/>
        <v>8356.2298208063221</v>
      </c>
      <c r="N274" s="28">
        <v>0.254</v>
      </c>
      <c r="O274">
        <f t="shared" si="49"/>
        <v>2962.1311200324153</v>
      </c>
      <c r="Q274">
        <f t="shared" si="50"/>
        <v>24141073.348731246</v>
      </c>
      <c r="R274" s="28">
        <v>0.254</v>
      </c>
      <c r="S274">
        <f t="shared" si="51"/>
        <v>24146972.04536191</v>
      </c>
      <c r="U274">
        <f t="shared" si="52"/>
        <v>254629.57740775804</v>
      </c>
      <c r="V274" s="48">
        <v>0.254</v>
      </c>
      <c r="W274">
        <f t="shared" si="53"/>
        <v>273254.04209600284</v>
      </c>
      <c r="Y274">
        <f t="shared" si="54"/>
        <v>4955.9178495869246</v>
      </c>
      <c r="Z274" s="28">
        <v>0.254</v>
      </c>
      <c r="AA274">
        <f t="shared" si="55"/>
        <v>2341.9591430099672</v>
      </c>
    </row>
    <row r="275" spans="1:27" x14ac:dyDescent="0.2">
      <c r="A275">
        <f t="shared" si="42"/>
        <v>98188524.896242529</v>
      </c>
      <c r="B275" s="28">
        <v>0.255</v>
      </c>
      <c r="C275">
        <f t="shared" si="43"/>
        <v>98294498.828855783</v>
      </c>
      <c r="E275">
        <f t="shared" si="44"/>
        <v>8426.5065183355837</v>
      </c>
      <c r="F275" s="28">
        <v>0.255</v>
      </c>
      <c r="G275">
        <f t="shared" si="45"/>
        <v>2352.884853891785</v>
      </c>
      <c r="I275">
        <f t="shared" si="46"/>
        <v>123248323.40097007</v>
      </c>
      <c r="J275" s="28">
        <v>0.255</v>
      </c>
      <c r="K275">
        <f t="shared" si="47"/>
        <v>123359596.03021398</v>
      </c>
      <c r="M275">
        <f t="shared" si="48"/>
        <v>8365.490449204548</v>
      </c>
      <c r="N275" s="28">
        <v>0.255</v>
      </c>
      <c r="O275">
        <f t="shared" si="49"/>
        <v>2952.8704916341899</v>
      </c>
      <c r="Q275">
        <f t="shared" si="50"/>
        <v>25059798.504727561</v>
      </c>
      <c r="R275" s="28">
        <v>0.255</v>
      </c>
      <c r="S275">
        <f t="shared" si="51"/>
        <v>25065697.201358225</v>
      </c>
      <c r="U275">
        <f t="shared" si="52"/>
        <v>258750.69436775072</v>
      </c>
      <c r="V275" s="48">
        <v>0.255</v>
      </c>
      <c r="W275">
        <f t="shared" si="53"/>
        <v>277375.15905599552</v>
      </c>
      <c r="Y275">
        <f t="shared" si="54"/>
        <v>4964.7276503229032</v>
      </c>
      <c r="Z275" s="28">
        <v>0.255</v>
      </c>
      <c r="AA275">
        <f t="shared" si="55"/>
        <v>2333.1493422739886</v>
      </c>
    </row>
    <row r="276" spans="1:27" x14ac:dyDescent="0.2">
      <c r="A276">
        <f t="shared" si="42"/>
        <v>101526851.98342173</v>
      </c>
      <c r="B276" s="28">
        <v>0.25600000000000001</v>
      </c>
      <c r="C276">
        <f t="shared" si="43"/>
        <v>101632825.91603498</v>
      </c>
      <c r="E276">
        <f t="shared" si="44"/>
        <v>8435.695420093678</v>
      </c>
      <c r="F276" s="28">
        <v>0.25600000000000001</v>
      </c>
      <c r="G276">
        <f t="shared" si="45"/>
        <v>2343.6959521336898</v>
      </c>
      <c r="I276">
        <f t="shared" si="46"/>
        <v>127539556.72129604</v>
      </c>
      <c r="J276" s="28">
        <v>0.25600000000000001</v>
      </c>
      <c r="K276">
        <f t="shared" si="47"/>
        <v>127650829.35053995</v>
      </c>
      <c r="M276">
        <f t="shared" si="48"/>
        <v>8374.6788249588244</v>
      </c>
      <c r="N276" s="28">
        <v>0.25600000000000001</v>
      </c>
      <c r="O276">
        <f t="shared" si="49"/>
        <v>2943.6821158799144</v>
      </c>
      <c r="Q276">
        <f t="shared" si="50"/>
        <v>26012704.737874292</v>
      </c>
      <c r="R276" s="28">
        <v>0.25600000000000001</v>
      </c>
      <c r="S276">
        <f t="shared" si="51"/>
        <v>26018603.434504956</v>
      </c>
      <c r="U276">
        <f t="shared" si="52"/>
        <v>262937.44882219582</v>
      </c>
      <c r="V276" s="48">
        <v>0.25600000000000001</v>
      </c>
      <c r="W276">
        <f t="shared" si="53"/>
        <v>281561.91351044062</v>
      </c>
      <c r="Y276">
        <f t="shared" si="54"/>
        <v>4973.4755466009865</v>
      </c>
      <c r="Z276" s="28">
        <v>0.25600000000000001</v>
      </c>
      <c r="AA276">
        <f t="shared" si="55"/>
        <v>2324.4014459959058</v>
      </c>
    </row>
    <row r="277" spans="1:27" x14ac:dyDescent="0.2">
      <c r="A277">
        <f t="shared" si="42"/>
        <v>104977036.58670974</v>
      </c>
      <c r="B277" s="28">
        <v>0.25700000000000001</v>
      </c>
      <c r="C277">
        <f t="shared" si="43"/>
        <v>105083010.51932299</v>
      </c>
      <c r="E277">
        <f t="shared" si="44"/>
        <v>8444.8128893875291</v>
      </c>
      <c r="F277" s="28">
        <v>0.25700000000000001</v>
      </c>
      <c r="G277">
        <f t="shared" si="45"/>
        <v>2334.5784828398391</v>
      </c>
      <c r="I277">
        <f t="shared" si="46"/>
        <v>131978071.59354511</v>
      </c>
      <c r="J277" s="28">
        <v>0.25700000000000001</v>
      </c>
      <c r="K277">
        <f t="shared" si="47"/>
        <v>132089344.22278902</v>
      </c>
      <c r="M277">
        <f t="shared" si="48"/>
        <v>8383.7957879090609</v>
      </c>
      <c r="N277" s="28">
        <v>0.25700000000000001</v>
      </c>
      <c r="O277">
        <f t="shared" si="49"/>
        <v>2934.5651529296779</v>
      </c>
      <c r="Q277">
        <f t="shared" si="50"/>
        <v>27001035.006835345</v>
      </c>
      <c r="R277" s="28">
        <v>0.25700000000000001</v>
      </c>
      <c r="S277">
        <f t="shared" si="51"/>
        <v>27006933.703466009</v>
      </c>
      <c r="U277">
        <f t="shared" si="52"/>
        <v>267190.91785085644</v>
      </c>
      <c r="V277" s="48">
        <v>0.25700000000000001</v>
      </c>
      <c r="W277">
        <f t="shared" si="53"/>
        <v>285815.38253910124</v>
      </c>
      <c r="Y277">
        <f t="shared" si="54"/>
        <v>4982.1621330434718</v>
      </c>
      <c r="Z277" s="28">
        <v>0.25700000000000001</v>
      </c>
      <c r="AA277">
        <f t="shared" si="55"/>
        <v>2315.7148595534204</v>
      </c>
    </row>
    <row r="278" spans="1:27" x14ac:dyDescent="0.2">
      <c r="A278">
        <f t="shared" ref="A278:A341" si="56">ABS($D$11-C278)</f>
        <v>108542766.85107559</v>
      </c>
      <c r="B278" s="28">
        <v>0.25800000000000001</v>
      </c>
      <c r="C278">
        <f t="shared" ref="C278:C341" si="57">($B$4)*(((1+B278)^($B$6*$B$5))-1)/B278</f>
        <v>108648740.78368884</v>
      </c>
      <c r="E278">
        <f t="shared" ref="E278:E341" si="58">ABS($E$12-G278)</f>
        <v>8453.8597539217517</v>
      </c>
      <c r="F278" s="28">
        <v>0.25800000000000001</v>
      </c>
      <c r="G278">
        <f t="shared" ref="G278:G341" si="59">$B$4*(((1-(1+F278)^(-$B$5*$B$6)))/F278)</f>
        <v>2325.5316183056166</v>
      </c>
      <c r="I278">
        <f t="shared" ref="I278:I341" si="60">ABS($F$11-K278)</f>
        <v>136568843.27663663</v>
      </c>
      <c r="J278" s="28">
        <v>0.25800000000000001</v>
      </c>
      <c r="K278">
        <f t="shared" ref="K278:K341" si="61">($B$4*(1+J278)*(((1+J278)^($B$6*$B$5))-1))/J278</f>
        <v>136680115.90588054</v>
      </c>
      <c r="M278">
        <f t="shared" ref="M278:M341" si="62">ABS($G$12-O278)</f>
        <v>8392.8421650102719</v>
      </c>
      <c r="N278" s="28">
        <v>0.25800000000000001</v>
      </c>
      <c r="O278">
        <f t="shared" ref="O278:O341" si="63">($B$4*(1+N278)*(1-((1+N278)^(-$B$6*$B$5))))/N278</f>
        <v>2925.518775828466</v>
      </c>
      <c r="Q278">
        <f t="shared" ref="Q278:Q341" si="64">ABS($H$11-S278)</f>
        <v>28026076.425561059</v>
      </c>
      <c r="R278" s="28">
        <v>0.25800000000000001</v>
      </c>
      <c r="S278">
        <f t="shared" ref="S278:S341" si="65">$B$3*((1+R278)^($B$6*$B$5))</f>
        <v>28031975.122191723</v>
      </c>
      <c r="U278">
        <f t="shared" ref="U278:U341" si="66">ABS($I$11-W278)</f>
        <v>271512.19656410889</v>
      </c>
      <c r="V278" s="48">
        <v>0.25800000000000001</v>
      </c>
      <c r="W278">
        <f t="shared" ref="W278:W341" si="67">($B$4*(EXP(V278*$B$6)-1))/V278</f>
        <v>290136.66125235369</v>
      </c>
      <c r="Y278">
        <f t="shared" ref="Y278:Y341" si="68">ABS($I$12-AA278)</f>
        <v>4990.7879974205698</v>
      </c>
      <c r="Z278" s="28">
        <v>0.25800000000000001</v>
      </c>
      <c r="AA278">
        <f t="shared" ref="AA278:AA341" si="69">$B$4*(1-EXP(-Z278*$B$6))/Z278</f>
        <v>2307.0889951763215</v>
      </c>
    </row>
    <row r="279" spans="1:27" x14ac:dyDescent="0.2">
      <c r="A279">
        <f t="shared" si="56"/>
        <v>112227850.35886873</v>
      </c>
      <c r="B279" s="28">
        <v>0.25900000000000001</v>
      </c>
      <c r="C279">
        <f t="shared" si="57"/>
        <v>112333824.29148199</v>
      </c>
      <c r="E279">
        <f t="shared" si="58"/>
        <v>8462.8368287304002</v>
      </c>
      <c r="F279" s="28">
        <v>0.25900000000000001</v>
      </c>
      <c r="G279">
        <f t="shared" si="59"/>
        <v>2316.5545434969686</v>
      </c>
      <c r="I279">
        <f t="shared" si="60"/>
        <v>141317012.15373191</v>
      </c>
      <c r="J279" s="28">
        <v>0.25900000000000001</v>
      </c>
      <c r="K279">
        <f t="shared" si="61"/>
        <v>141428284.78297582</v>
      </c>
      <c r="M279">
        <f t="shared" si="62"/>
        <v>8401.8187705760538</v>
      </c>
      <c r="N279" s="28">
        <v>0.25900000000000001</v>
      </c>
      <c r="O279">
        <f t="shared" si="63"/>
        <v>2916.5421702626836</v>
      </c>
      <c r="Q279">
        <f t="shared" si="64"/>
        <v>29089161.794863172</v>
      </c>
      <c r="R279" s="28">
        <v>0.25900000000000001</v>
      </c>
      <c r="S279">
        <f t="shared" si="65"/>
        <v>29095060.491493836</v>
      </c>
      <c r="U279">
        <f t="shared" si="66"/>
        <v>275902.39840921701</v>
      </c>
      <c r="V279" s="48">
        <v>0.25900000000000001</v>
      </c>
      <c r="W279">
        <f t="shared" si="67"/>
        <v>294526.86309746181</v>
      </c>
      <c r="Y279">
        <f t="shared" si="68"/>
        <v>4999.3537207389199</v>
      </c>
      <c r="Z279" s="28">
        <v>0.25900000000000001</v>
      </c>
      <c r="AA279">
        <f t="shared" si="69"/>
        <v>2298.5232718579718</v>
      </c>
    </row>
    <row r="280" spans="1:27" x14ac:dyDescent="0.2">
      <c r="A280">
        <f t="shared" si="56"/>
        <v>116036217.92300947</v>
      </c>
      <c r="B280" s="28">
        <v>0.26</v>
      </c>
      <c r="C280">
        <f t="shared" si="57"/>
        <v>116142191.85562272</v>
      </c>
      <c r="E280">
        <f t="shared" si="58"/>
        <v>8471.7449164161881</v>
      </c>
      <c r="F280" s="28">
        <v>0.26</v>
      </c>
      <c r="G280">
        <f t="shared" si="59"/>
        <v>2307.6464558111793</v>
      </c>
      <c r="I280">
        <f t="shared" si="60"/>
        <v>146227889.1088407</v>
      </c>
      <c r="J280" s="28">
        <v>0.26</v>
      </c>
      <c r="K280">
        <f t="shared" si="61"/>
        <v>146339161.73808461</v>
      </c>
      <c r="M280">
        <f t="shared" si="62"/>
        <v>8410.7264065166528</v>
      </c>
      <c r="N280" s="28">
        <v>0.26</v>
      </c>
      <c r="O280">
        <f t="shared" si="63"/>
        <v>2907.634534322086</v>
      </c>
      <c r="Q280">
        <f t="shared" si="64"/>
        <v>30191671.185831245</v>
      </c>
      <c r="R280" s="28">
        <v>0.26</v>
      </c>
      <c r="S280">
        <f t="shared" si="65"/>
        <v>30197569.882461909</v>
      </c>
      <c r="U280">
        <f t="shared" si="66"/>
        <v>280362.65548186749</v>
      </c>
      <c r="V280" s="48">
        <v>0.26</v>
      </c>
      <c r="W280">
        <f t="shared" si="67"/>
        <v>298987.12017011229</v>
      </c>
      <c r="Y280">
        <f t="shared" si="68"/>
        <v>5007.8598773288631</v>
      </c>
      <c r="Z280" s="28">
        <v>0.26</v>
      </c>
      <c r="AA280">
        <f t="shared" si="69"/>
        <v>2290.0171152680286</v>
      </c>
    </row>
    <row r="281" spans="1:27" x14ac:dyDescent="0.2">
      <c r="A281">
        <f t="shared" si="56"/>
        <v>119971927.49816822</v>
      </c>
      <c r="B281" s="28">
        <v>0.26100000000000001</v>
      </c>
      <c r="C281">
        <f t="shared" si="57"/>
        <v>120077901.43078147</v>
      </c>
      <c r="E281">
        <f t="shared" si="58"/>
        <v>8480.584807384399</v>
      </c>
      <c r="F281" s="28">
        <v>0.26100000000000001</v>
      </c>
      <c r="G281">
        <f t="shared" si="59"/>
        <v>2298.8065648429692</v>
      </c>
      <c r="I281">
        <f t="shared" si="60"/>
        <v>151306961.07497153</v>
      </c>
      <c r="J281" s="28">
        <v>0.26100000000000001</v>
      </c>
      <c r="K281">
        <f t="shared" si="61"/>
        <v>151418233.70421544</v>
      </c>
      <c r="M281">
        <f t="shared" si="62"/>
        <v>8419.5658625717551</v>
      </c>
      <c r="N281" s="28">
        <v>0.26100000000000001</v>
      </c>
      <c r="O281">
        <f t="shared" si="63"/>
        <v>2898.7950782669841</v>
      </c>
      <c r="Q281">
        <f t="shared" si="64"/>
        <v>31335033.576803301</v>
      </c>
      <c r="R281" s="28">
        <v>0.26100000000000001</v>
      </c>
      <c r="S281">
        <f t="shared" si="65"/>
        <v>31340932.273433965</v>
      </c>
      <c r="U281">
        <f t="shared" si="66"/>
        <v>284894.11884305807</v>
      </c>
      <c r="V281" s="48">
        <v>0.26100000000000001</v>
      </c>
      <c r="W281">
        <f t="shared" si="67"/>
        <v>303518.58353130287</v>
      </c>
      <c r="Y281">
        <f t="shared" si="68"/>
        <v>5016.3070349305108</v>
      </c>
      <c r="Z281" s="28">
        <v>0.26100000000000001</v>
      </c>
      <c r="AA281">
        <f t="shared" si="69"/>
        <v>2281.5699576663815</v>
      </c>
    </row>
    <row r="282" spans="1:27" x14ac:dyDescent="0.2">
      <c r="A282">
        <f t="shared" si="56"/>
        <v>124039168.21352795</v>
      </c>
      <c r="B282" s="28">
        <v>0.26200000000000001</v>
      </c>
      <c r="C282">
        <f t="shared" si="57"/>
        <v>124145142.1461412</v>
      </c>
      <c r="E282">
        <f t="shared" si="58"/>
        <v>8489.3572800715883</v>
      </c>
      <c r="F282" s="28">
        <v>0.26200000000000001</v>
      </c>
      <c r="G282">
        <f t="shared" si="59"/>
        <v>2290.0340921557795</v>
      </c>
      <c r="I282">
        <f t="shared" si="60"/>
        <v>156559896.7591863</v>
      </c>
      <c r="J282" s="28">
        <v>0.26200000000000001</v>
      </c>
      <c r="K282">
        <f t="shared" si="61"/>
        <v>156671169.38843021</v>
      </c>
      <c r="M282">
        <f t="shared" si="62"/>
        <v>8428.3379165381448</v>
      </c>
      <c r="N282" s="28">
        <v>0.26200000000000001</v>
      </c>
      <c r="O282">
        <f t="shared" si="63"/>
        <v>2890.0230243005935</v>
      </c>
      <c r="Q282">
        <f t="shared" si="64"/>
        <v>32520728.545658331</v>
      </c>
      <c r="R282" s="28">
        <v>0.26200000000000001</v>
      </c>
      <c r="S282">
        <f t="shared" si="65"/>
        <v>32526627.242288996</v>
      </c>
      <c r="U282">
        <f t="shared" si="66"/>
        <v>289497.95884143107</v>
      </c>
      <c r="V282" s="48">
        <v>0.26200000000000001</v>
      </c>
      <c r="W282">
        <f t="shared" si="67"/>
        <v>308122.42352967587</v>
      </c>
      <c r="Y282">
        <f t="shared" si="68"/>
        <v>5024.6957547786087</v>
      </c>
      <c r="Z282" s="28">
        <v>0.26200000000000001</v>
      </c>
      <c r="AA282">
        <f t="shared" si="69"/>
        <v>2273.1812378182831</v>
      </c>
    </row>
    <row r="283" spans="1:27" x14ac:dyDescent="0.2">
      <c r="A283">
        <f t="shared" si="56"/>
        <v>128242264.53081986</v>
      </c>
      <c r="B283" s="28">
        <v>0.26300000000000001</v>
      </c>
      <c r="C283">
        <f t="shared" si="57"/>
        <v>128348238.46343312</v>
      </c>
      <c r="E283">
        <f t="shared" si="58"/>
        <v>8498.0631011692585</v>
      </c>
      <c r="F283" s="28">
        <v>0.26300000000000001</v>
      </c>
      <c r="G283">
        <f t="shared" si="59"/>
        <v>2281.3282710581093</v>
      </c>
      <c r="I283">
        <f t="shared" si="60"/>
        <v>161992552.5500721</v>
      </c>
      <c r="J283" s="28">
        <v>0.26300000000000001</v>
      </c>
      <c r="K283">
        <f t="shared" si="61"/>
        <v>162103825.17931601</v>
      </c>
      <c r="M283">
        <f t="shared" si="62"/>
        <v>8437.0433344923458</v>
      </c>
      <c r="N283" s="28">
        <v>0.26300000000000001</v>
      </c>
      <c r="O283">
        <f t="shared" si="63"/>
        <v>2881.317606346392</v>
      </c>
      <c r="Q283">
        <f t="shared" si="64"/>
        <v>33750288.019252248</v>
      </c>
      <c r="R283" s="28">
        <v>0.26300000000000001</v>
      </c>
      <c r="S283">
        <f t="shared" si="65"/>
        <v>33756186.715882912</v>
      </c>
      <c r="U283">
        <f t="shared" si="66"/>
        <v>294175.36544114642</v>
      </c>
      <c r="V283" s="48">
        <v>0.26300000000000001</v>
      </c>
      <c r="W283">
        <f t="shared" si="67"/>
        <v>312799.83012939122</v>
      </c>
      <c r="Y283">
        <f t="shared" si="68"/>
        <v>5033.0265916862263</v>
      </c>
      <c r="Z283" s="28">
        <v>0.26300000000000001</v>
      </c>
      <c r="AA283">
        <f t="shared" si="69"/>
        <v>2264.850400910665</v>
      </c>
    </row>
    <row r="284" spans="1:27" x14ac:dyDescent="0.2">
      <c r="A284">
        <f t="shared" si="56"/>
        <v>132585680.53143999</v>
      </c>
      <c r="B284" s="28">
        <v>0.26400000000000001</v>
      </c>
      <c r="C284">
        <f t="shared" si="57"/>
        <v>132691654.46405324</v>
      </c>
      <c r="E284">
        <f t="shared" si="58"/>
        <v>8506.7030258425857</v>
      </c>
      <c r="F284" s="28">
        <v>0.26400000000000001</v>
      </c>
      <c r="G284">
        <f t="shared" si="59"/>
        <v>2272.6883463847826</v>
      </c>
      <c r="I284">
        <f t="shared" si="60"/>
        <v>167610978.61331937</v>
      </c>
      <c r="J284" s="28">
        <v>0.26400000000000001</v>
      </c>
      <c r="K284">
        <f t="shared" si="61"/>
        <v>167722251.24256328</v>
      </c>
      <c r="M284">
        <f t="shared" si="62"/>
        <v>8445.6828710083737</v>
      </c>
      <c r="N284" s="28">
        <v>0.26400000000000001</v>
      </c>
      <c r="O284">
        <f t="shared" si="63"/>
        <v>2872.6780698303651</v>
      </c>
      <c r="Q284">
        <f t="shared" si="64"/>
        <v>35025298.081879392</v>
      </c>
      <c r="R284" s="28">
        <v>0.26400000000000001</v>
      </c>
      <c r="S284">
        <f t="shared" si="65"/>
        <v>35031196.778510056</v>
      </c>
      <c r="U284">
        <f t="shared" si="66"/>
        <v>298927.54855539009</v>
      </c>
      <c r="V284" s="48">
        <v>0.26400000000000001</v>
      </c>
      <c r="W284">
        <f t="shared" si="67"/>
        <v>317552.01324363489</v>
      </c>
      <c r="Y284">
        <f t="shared" si="68"/>
        <v>5041.3000941272794</v>
      </c>
      <c r="Z284" s="28">
        <v>0.26400000000000001</v>
      </c>
      <c r="AA284">
        <f t="shared" si="69"/>
        <v>2256.5768984696124</v>
      </c>
    </row>
    <row r="285" spans="1:27" x14ac:dyDescent="0.2">
      <c r="A285">
        <f t="shared" si="56"/>
        <v>137074024.33656859</v>
      </c>
      <c r="B285" s="28">
        <v>0.26500000000000001</v>
      </c>
      <c r="C285">
        <f t="shared" si="57"/>
        <v>137179998.26918185</v>
      </c>
      <c r="E285">
        <f t="shared" si="58"/>
        <v>8515.277797944349</v>
      </c>
      <c r="F285" s="28">
        <v>0.26500000000000001</v>
      </c>
      <c r="G285">
        <f t="shared" si="59"/>
        <v>2264.1135742830184</v>
      </c>
      <c r="I285">
        <f t="shared" si="60"/>
        <v>173421425.18127117</v>
      </c>
      <c r="J285" s="28">
        <v>0.26500000000000001</v>
      </c>
      <c r="K285">
        <f t="shared" si="61"/>
        <v>173532697.81051508</v>
      </c>
      <c r="M285">
        <f t="shared" si="62"/>
        <v>8454.2572693707189</v>
      </c>
      <c r="N285" s="28">
        <v>0.26500000000000001</v>
      </c>
      <c r="O285">
        <f t="shared" si="63"/>
        <v>2864.1036714680185</v>
      </c>
      <c r="Q285">
        <f t="shared" si="64"/>
        <v>36347400.844702527</v>
      </c>
      <c r="R285" s="28">
        <v>0.26500000000000001</v>
      </c>
      <c r="S285">
        <f t="shared" si="65"/>
        <v>36353299.541333191</v>
      </c>
      <c r="U285">
        <f t="shared" si="66"/>
        <v>303755.73838561779</v>
      </c>
      <c r="V285" s="48">
        <v>0.26500000000000001</v>
      </c>
      <c r="W285">
        <f t="shared" si="67"/>
        <v>322380.20307386259</v>
      </c>
      <c r="Y285">
        <f t="shared" si="68"/>
        <v>5049.5168043179083</v>
      </c>
      <c r="Z285" s="28">
        <v>0.26500000000000001</v>
      </c>
      <c r="AA285">
        <f t="shared" si="69"/>
        <v>2248.3601882789835</v>
      </c>
    </row>
    <row r="286" spans="1:27" x14ac:dyDescent="0.2">
      <c r="A286">
        <f t="shared" si="56"/>
        <v>141712052.66433087</v>
      </c>
      <c r="B286" s="28">
        <v>0.26600000000000001</v>
      </c>
      <c r="C286">
        <f t="shared" si="57"/>
        <v>141818026.59694412</v>
      </c>
      <c r="E286">
        <f t="shared" si="58"/>
        <v>8523.7881502241853</v>
      </c>
      <c r="F286" s="28">
        <v>0.26600000000000001</v>
      </c>
      <c r="G286">
        <f t="shared" si="59"/>
        <v>2255.603222003183</v>
      </c>
      <c r="I286">
        <f t="shared" si="60"/>
        <v>179430349.04248735</v>
      </c>
      <c r="J286" s="28">
        <v>0.26600000000000001</v>
      </c>
      <c r="K286">
        <f t="shared" si="61"/>
        <v>179541621.67173126</v>
      </c>
      <c r="M286">
        <f t="shared" si="62"/>
        <v>8462.7672617827084</v>
      </c>
      <c r="N286" s="28">
        <v>0.26600000000000001</v>
      </c>
      <c r="O286">
        <f t="shared" si="63"/>
        <v>2855.5936790560295</v>
      </c>
      <c r="Q286">
        <f t="shared" si="64"/>
        <v>37718296.378156476</v>
      </c>
      <c r="R286" s="28">
        <v>0.26600000000000001</v>
      </c>
      <c r="S286">
        <f t="shared" si="65"/>
        <v>37724195.07478714</v>
      </c>
      <c r="U286">
        <f t="shared" si="66"/>
        <v>308661.18576662941</v>
      </c>
      <c r="V286" s="48">
        <v>0.26600000000000001</v>
      </c>
      <c r="W286">
        <f t="shared" si="67"/>
        <v>327285.65045487421</v>
      </c>
      <c r="Y286">
        <f t="shared" si="68"/>
        <v>5057.6772582967296</v>
      </c>
      <c r="Z286" s="28">
        <v>0.26600000000000001</v>
      </c>
      <c r="AA286">
        <f t="shared" si="69"/>
        <v>2240.1997343001617</v>
      </c>
    </row>
    <row r="287" spans="1:27" x14ac:dyDescent="0.2">
      <c r="A287">
        <f t="shared" si="56"/>
        <v>146504675.52815339</v>
      </c>
      <c r="B287" s="28">
        <v>0.26700000000000002</v>
      </c>
      <c r="C287">
        <f t="shared" si="57"/>
        <v>146610649.46076664</v>
      </c>
      <c r="E287">
        <f t="shared" si="58"/>
        <v>8532.2348045332583</v>
      </c>
      <c r="F287" s="28">
        <v>0.26700000000000002</v>
      </c>
      <c r="G287">
        <f t="shared" si="59"/>
        <v>2247.1565676941091</v>
      </c>
      <c r="I287">
        <f t="shared" si="60"/>
        <v>185644420.2375474</v>
      </c>
      <c r="J287" s="28">
        <v>0.26700000000000002</v>
      </c>
      <c r="K287">
        <f t="shared" si="61"/>
        <v>185755692.86679131</v>
      </c>
      <c r="M287">
        <f t="shared" si="62"/>
        <v>8471.2135695703037</v>
      </c>
      <c r="N287" s="28">
        <v>0.26700000000000002</v>
      </c>
      <c r="O287">
        <f t="shared" si="63"/>
        <v>2847.1473712684356</v>
      </c>
      <c r="Q287">
        <f t="shared" si="64"/>
        <v>39139744.70939403</v>
      </c>
      <c r="R287" s="28">
        <v>0.26700000000000002</v>
      </c>
      <c r="S287">
        <f t="shared" si="65"/>
        <v>39145643.406024694</v>
      </c>
      <c r="U287">
        <f t="shared" si="66"/>
        <v>313645.16251757939</v>
      </c>
      <c r="V287" s="48">
        <v>0.26700000000000002</v>
      </c>
      <c r="W287">
        <f t="shared" si="67"/>
        <v>332269.62720582419</v>
      </c>
      <c r="Y287">
        <f t="shared" si="68"/>
        <v>5065.7819860039763</v>
      </c>
      <c r="Z287" s="28">
        <v>0.26700000000000002</v>
      </c>
      <c r="AA287">
        <f t="shared" si="69"/>
        <v>2232.0950065929151</v>
      </c>
    </row>
    <row r="288" spans="1:27" x14ac:dyDescent="0.2">
      <c r="A288">
        <f t="shared" si="56"/>
        <v>151456961.0805929</v>
      </c>
      <c r="B288" s="28">
        <v>0.26800000000000002</v>
      </c>
      <c r="C288">
        <f t="shared" si="57"/>
        <v>151562935.01320615</v>
      </c>
      <c r="E288">
        <f t="shared" si="58"/>
        <v>8540.6184720245001</v>
      </c>
      <c r="F288" s="28">
        <v>0.26800000000000002</v>
      </c>
      <c r="G288">
        <f t="shared" si="59"/>
        <v>2238.7729002028691</v>
      </c>
      <c r="I288">
        <f t="shared" si="60"/>
        <v>192070528.96750149</v>
      </c>
      <c r="J288" s="28">
        <v>0.26800000000000002</v>
      </c>
      <c r="K288">
        <f t="shared" si="61"/>
        <v>192181801.5967454</v>
      </c>
      <c r="M288">
        <f t="shared" si="62"/>
        <v>8479.5969033815018</v>
      </c>
      <c r="N288" s="28">
        <v>0.26800000000000002</v>
      </c>
      <c r="O288">
        <f t="shared" si="63"/>
        <v>2838.7640374572375</v>
      </c>
      <c r="Q288">
        <f t="shared" si="64"/>
        <v>40613567.886908591</v>
      </c>
      <c r="R288" s="28">
        <v>0.26800000000000002</v>
      </c>
      <c r="S288">
        <f t="shared" si="65"/>
        <v>40619466.583539255</v>
      </c>
      <c r="U288">
        <f t="shared" si="66"/>
        <v>318708.96179902286</v>
      </c>
      <c r="V288" s="48">
        <v>0.26800000000000002</v>
      </c>
      <c r="W288">
        <f t="shared" si="67"/>
        <v>337333.42648726766</v>
      </c>
      <c r="Y288">
        <f t="shared" si="68"/>
        <v>5073.8315113595363</v>
      </c>
      <c r="Z288" s="28">
        <v>0.26800000000000002</v>
      </c>
      <c r="AA288">
        <f t="shared" si="69"/>
        <v>2224.0454812373559</v>
      </c>
    </row>
    <row r="289" spans="1:27" x14ac:dyDescent="0.2">
      <c r="A289">
        <f t="shared" si="56"/>
        <v>156574140.60704118</v>
      </c>
      <c r="B289" s="28">
        <v>0.26900000000000002</v>
      </c>
      <c r="C289">
        <f t="shared" si="57"/>
        <v>156680114.53965443</v>
      </c>
      <c r="E289">
        <f t="shared" si="58"/>
        <v>8548.93985334848</v>
      </c>
      <c r="F289" s="28">
        <v>0.26900000000000002</v>
      </c>
      <c r="G289">
        <f t="shared" si="59"/>
        <v>2230.4515188788887</v>
      </c>
      <c r="I289">
        <f t="shared" si="60"/>
        <v>198715792.72157761</v>
      </c>
      <c r="J289" s="28">
        <v>0.26900000000000002</v>
      </c>
      <c r="K289">
        <f t="shared" si="61"/>
        <v>198827065.35082152</v>
      </c>
      <c r="M289">
        <f t="shared" si="62"/>
        <v>8487.9179633814274</v>
      </c>
      <c r="N289" s="28">
        <v>0.26900000000000002</v>
      </c>
      <c r="O289">
        <f t="shared" si="63"/>
        <v>2830.44297745731</v>
      </c>
      <c r="Q289">
        <f t="shared" si="64"/>
        <v>42141652.114536382</v>
      </c>
      <c r="R289" s="28">
        <v>0.26900000000000002</v>
      </c>
      <c r="S289">
        <f t="shared" si="65"/>
        <v>42147550.811167046</v>
      </c>
      <c r="U289">
        <f t="shared" si="66"/>
        <v>323853.89847610489</v>
      </c>
      <c r="V289" s="48">
        <v>0.26900000000000002</v>
      </c>
      <c r="W289">
        <f t="shared" si="67"/>
        <v>342478.36316434969</v>
      </c>
      <c r="Y289">
        <f t="shared" si="68"/>
        <v>5081.8263523399137</v>
      </c>
      <c r="Z289" s="28">
        <v>0.26900000000000002</v>
      </c>
      <c r="AA289">
        <f t="shared" si="69"/>
        <v>2216.0506402569781</v>
      </c>
    </row>
    <row r="290" spans="1:27" x14ac:dyDescent="0.2">
      <c r="A290">
        <f t="shared" si="56"/>
        <v>161861613.67385492</v>
      </c>
      <c r="B290" s="28">
        <v>0.27</v>
      </c>
      <c r="C290">
        <f t="shared" si="57"/>
        <v>161967587.60646817</v>
      </c>
      <c r="E290">
        <f t="shared" si="58"/>
        <v>8557.1996388450734</v>
      </c>
      <c r="F290" s="28">
        <v>0.27</v>
      </c>
      <c r="G290">
        <f t="shared" si="59"/>
        <v>2222.1917333822948</v>
      </c>
      <c r="I290">
        <f t="shared" si="60"/>
        <v>205587563.63097069</v>
      </c>
      <c r="J290" s="28">
        <v>0.27</v>
      </c>
      <c r="K290">
        <f t="shared" si="61"/>
        <v>205698836.2602146</v>
      </c>
      <c r="M290">
        <f t="shared" si="62"/>
        <v>8496.177439443225</v>
      </c>
      <c r="N290" s="28">
        <v>0.27</v>
      </c>
      <c r="O290">
        <f t="shared" si="63"/>
        <v>2822.1835013955142</v>
      </c>
      <c r="Q290">
        <f t="shared" si="64"/>
        <v>43725949.957115747</v>
      </c>
      <c r="R290" s="28">
        <v>0.27</v>
      </c>
      <c r="S290">
        <f t="shared" si="65"/>
        <v>43731848.653746411</v>
      </c>
      <c r="U290">
        <f t="shared" si="66"/>
        <v>329081.30948799697</v>
      </c>
      <c r="V290" s="48">
        <v>0.27</v>
      </c>
      <c r="W290">
        <f t="shared" si="67"/>
        <v>347705.77417624177</v>
      </c>
      <c r="Y290">
        <f t="shared" si="68"/>
        <v>5089.7670210541346</v>
      </c>
      <c r="Z290" s="28">
        <v>0.27</v>
      </c>
      <c r="AA290">
        <f t="shared" si="69"/>
        <v>2208.1099715427567</v>
      </c>
    </row>
    <row r="291" spans="1:27" x14ac:dyDescent="0.2">
      <c r="A291">
        <f t="shared" si="56"/>
        <v>167324953.43557012</v>
      </c>
      <c r="B291" s="28">
        <v>0.27100000000000002</v>
      </c>
      <c r="C291">
        <f t="shared" si="57"/>
        <v>167430927.36818337</v>
      </c>
      <c r="E291">
        <f t="shared" si="58"/>
        <v>8565.398508730972</v>
      </c>
      <c r="F291" s="28">
        <v>0.27100000000000002</v>
      </c>
      <c r="G291">
        <f t="shared" si="59"/>
        <v>2213.9928634963958</v>
      </c>
      <c r="I291">
        <f t="shared" si="60"/>
        <v>212693436.05571711</v>
      </c>
      <c r="J291" s="28">
        <v>0.27100000000000002</v>
      </c>
      <c r="K291">
        <f t="shared" si="61"/>
        <v>212804708.68496102</v>
      </c>
      <c r="M291">
        <f t="shared" si="62"/>
        <v>8504.3760113348199</v>
      </c>
      <c r="N291" s="28">
        <v>0.27100000000000002</v>
      </c>
      <c r="O291">
        <f t="shared" si="63"/>
        <v>2813.9849295039189</v>
      </c>
      <c r="Q291">
        <f t="shared" si="64"/>
        <v>45368482.620147035</v>
      </c>
      <c r="R291" s="28">
        <v>0.27100000000000002</v>
      </c>
      <c r="S291">
        <f t="shared" si="65"/>
        <v>45374381.316777699</v>
      </c>
      <c r="U291">
        <f t="shared" si="66"/>
        <v>334392.55422369193</v>
      </c>
      <c r="V291" s="48">
        <v>0.27100000000000002</v>
      </c>
      <c r="W291">
        <f t="shared" si="67"/>
        <v>353017.01891193673</v>
      </c>
      <c r="Y291">
        <f t="shared" si="68"/>
        <v>5097.6540238185917</v>
      </c>
      <c r="Z291" s="28">
        <v>0.27100000000000002</v>
      </c>
      <c r="AA291">
        <f t="shared" si="69"/>
        <v>2200.2229687782997</v>
      </c>
    </row>
    <row r="292" spans="1:27" x14ac:dyDescent="0.2">
      <c r="A292">
        <f t="shared" si="56"/>
        <v>172969912.10600868</v>
      </c>
      <c r="B292" s="28">
        <v>0.27200000000000002</v>
      </c>
      <c r="C292">
        <f t="shared" si="57"/>
        <v>173075886.03862193</v>
      </c>
      <c r="E292">
        <f t="shared" si="58"/>
        <v>8573.5371332831801</v>
      </c>
      <c r="F292" s="28">
        <v>0.27200000000000002</v>
      </c>
      <c r="G292">
        <f t="shared" si="59"/>
        <v>2205.8542389441882</v>
      </c>
      <c r="I292">
        <f t="shared" si="60"/>
        <v>220041254.41188318</v>
      </c>
      <c r="J292" s="28">
        <v>0.27200000000000002</v>
      </c>
      <c r="K292">
        <f t="shared" si="61"/>
        <v>220152527.04112709</v>
      </c>
      <c r="M292">
        <f t="shared" si="62"/>
        <v>8512.5143489017319</v>
      </c>
      <c r="N292" s="28">
        <v>0.27200000000000002</v>
      </c>
      <c r="O292">
        <f t="shared" si="63"/>
        <v>2805.8465919370074</v>
      </c>
      <c r="Q292">
        <f t="shared" si="64"/>
        <v>47071342.305874504</v>
      </c>
      <c r="R292" s="28">
        <v>0.27200000000000002</v>
      </c>
      <c r="S292">
        <f t="shared" si="65"/>
        <v>47077241.002505168</v>
      </c>
      <c r="U292">
        <f t="shared" si="66"/>
        <v>339789.01490426407</v>
      </c>
      <c r="V292" s="48">
        <v>0.27200000000000002</v>
      </c>
      <c r="W292">
        <f t="shared" si="67"/>
        <v>358413.47959250887</v>
      </c>
      <c r="Y292">
        <f t="shared" si="68"/>
        <v>5105.4878612308603</v>
      </c>
      <c r="Z292" s="28">
        <v>0.27200000000000002</v>
      </c>
      <c r="AA292">
        <f t="shared" si="69"/>
        <v>2192.3891313660315</v>
      </c>
    </row>
    <row r="293" spans="1:27" x14ac:dyDescent="0.2">
      <c r="A293">
        <f t="shared" si="56"/>
        <v>178802426.59823087</v>
      </c>
      <c r="B293" s="28">
        <v>0.27300000000000002</v>
      </c>
      <c r="C293">
        <f t="shared" si="57"/>
        <v>178908400.53084412</v>
      </c>
      <c r="E293">
        <f t="shared" si="58"/>
        <v>8581.6161730185777</v>
      </c>
      <c r="F293" s="28">
        <v>0.27300000000000002</v>
      </c>
      <c r="G293">
        <f t="shared" si="59"/>
        <v>2197.7751992087906</v>
      </c>
      <c r="I293">
        <f t="shared" si="60"/>
        <v>227639121.2465207</v>
      </c>
      <c r="J293" s="28">
        <v>0.27300000000000002</v>
      </c>
      <c r="K293">
        <f t="shared" si="61"/>
        <v>227750393.87576461</v>
      </c>
      <c r="M293">
        <f t="shared" si="62"/>
        <v>8520.5931122459479</v>
      </c>
      <c r="N293" s="28">
        <v>0.27300000000000002</v>
      </c>
      <c r="O293">
        <f t="shared" si="63"/>
        <v>2797.7678285927905</v>
      </c>
      <c r="Q293">
        <f t="shared" si="64"/>
        <v>48836694.648289785</v>
      </c>
      <c r="R293" s="28">
        <v>0.27300000000000002</v>
      </c>
      <c r="S293">
        <f t="shared" si="65"/>
        <v>48842593.344920449</v>
      </c>
      <c r="U293">
        <f t="shared" si="66"/>
        <v>345272.09697171097</v>
      </c>
      <c r="V293" s="48">
        <v>0.27300000000000002</v>
      </c>
      <c r="W293">
        <f t="shared" si="67"/>
        <v>363896.56165995577</v>
      </c>
      <c r="Y293">
        <f t="shared" si="68"/>
        <v>5113.2690282424974</v>
      </c>
      <c r="Z293" s="28">
        <v>0.27300000000000002</v>
      </c>
      <c r="AA293">
        <f t="shared" si="69"/>
        <v>2184.6079643543944</v>
      </c>
    </row>
    <row r="294" spans="1:27" x14ac:dyDescent="0.2">
      <c r="A294">
        <f t="shared" si="56"/>
        <v>184828624.33843496</v>
      </c>
      <c r="B294" s="28">
        <v>0.27400000000000002</v>
      </c>
      <c r="C294">
        <f t="shared" si="57"/>
        <v>184934598.27104822</v>
      </c>
      <c r="E294">
        <f t="shared" si="58"/>
        <v>8589.6362788696533</v>
      </c>
      <c r="F294" s="28">
        <v>0.27400000000000002</v>
      </c>
      <c r="G294">
        <f t="shared" si="59"/>
        <v>2189.7550933577159</v>
      </c>
      <c r="I294">
        <f t="shared" si="60"/>
        <v>235495405.56807151</v>
      </c>
      <c r="J294" s="28">
        <v>0.27400000000000002</v>
      </c>
      <c r="K294">
        <f t="shared" si="61"/>
        <v>235606678.19731542</v>
      </c>
      <c r="M294">
        <f t="shared" si="62"/>
        <v>8528.6129519010083</v>
      </c>
      <c r="N294" s="28">
        <v>0.27400000000000002</v>
      </c>
      <c r="O294">
        <f t="shared" si="63"/>
        <v>2789.74798893773</v>
      </c>
      <c r="Q294">
        <f t="shared" si="64"/>
        <v>50666781.22963655</v>
      </c>
      <c r="R294" s="28">
        <v>0.27400000000000002</v>
      </c>
      <c r="S294">
        <f t="shared" si="65"/>
        <v>50672679.926267214</v>
      </c>
      <c r="U294">
        <f t="shared" si="66"/>
        <v>350843.22948448744</v>
      </c>
      <c r="V294" s="48">
        <v>0.27400000000000002</v>
      </c>
      <c r="W294">
        <f t="shared" si="67"/>
        <v>369467.69417273224</v>
      </c>
      <c r="Y294">
        <f t="shared" si="68"/>
        <v>5120.9980142308377</v>
      </c>
      <c r="Z294" s="28">
        <v>0.27400000000000002</v>
      </c>
      <c r="AA294">
        <f t="shared" si="69"/>
        <v>2176.8789783660536</v>
      </c>
    </row>
    <row r="295" spans="1:27" x14ac:dyDescent="0.2">
      <c r="A295">
        <f t="shared" si="56"/>
        <v>191054829.25904721</v>
      </c>
      <c r="B295" s="28">
        <v>0.27500000000000002</v>
      </c>
      <c r="C295">
        <f t="shared" si="57"/>
        <v>191160803.19166046</v>
      </c>
      <c r="E295">
        <f t="shared" si="58"/>
        <v>8597.5980923564875</v>
      </c>
      <c r="F295" s="28">
        <v>0.27500000000000002</v>
      </c>
      <c r="G295">
        <f t="shared" si="59"/>
        <v>2181.7932798708812</v>
      </c>
      <c r="I295">
        <f t="shared" si="60"/>
        <v>243618751.4401232</v>
      </c>
      <c r="J295" s="28">
        <v>0.27500000000000002</v>
      </c>
      <c r="K295">
        <f t="shared" si="61"/>
        <v>243730024.06936711</v>
      </c>
      <c r="M295">
        <f t="shared" si="62"/>
        <v>8536.5745090033652</v>
      </c>
      <c r="N295" s="28">
        <v>0.27500000000000002</v>
      </c>
      <c r="O295">
        <f t="shared" si="63"/>
        <v>2781.7864318353732</v>
      </c>
      <c r="Q295">
        <f t="shared" si="64"/>
        <v>52563922.181075968</v>
      </c>
      <c r="R295" s="28">
        <v>0.27500000000000002</v>
      </c>
      <c r="S295">
        <f t="shared" si="65"/>
        <v>52569820.877706632</v>
      </c>
      <c r="U295">
        <f t="shared" si="66"/>
        <v>356503.86551985005</v>
      </c>
      <c r="V295" s="48">
        <v>0.27500000000000002</v>
      </c>
      <c r="W295">
        <f t="shared" si="67"/>
        <v>375128.33020809485</v>
      </c>
      <c r="Y295">
        <f t="shared" si="68"/>
        <v>5128.6753030698028</v>
      </c>
      <c r="Z295" s="28">
        <v>0.27500000000000002</v>
      </c>
      <c r="AA295">
        <f t="shared" si="69"/>
        <v>2169.201689527089</v>
      </c>
    </row>
    <row r="296" spans="1:27" x14ac:dyDescent="0.2">
      <c r="A296">
        <f t="shared" si="56"/>
        <v>197487567.97639808</v>
      </c>
      <c r="B296" s="28">
        <v>0.27600000000000002</v>
      </c>
      <c r="C296">
        <f t="shared" si="57"/>
        <v>197593541.90901133</v>
      </c>
      <c r="E296">
        <f t="shared" si="58"/>
        <v>8605.5022457551058</v>
      </c>
      <c r="F296" s="28">
        <v>0.27600000000000002</v>
      </c>
      <c r="G296">
        <f t="shared" si="59"/>
        <v>2173.889126472262</v>
      </c>
      <c r="I296">
        <f t="shared" si="60"/>
        <v>252018086.84665453</v>
      </c>
      <c r="J296" s="28">
        <v>0.27600000000000002</v>
      </c>
      <c r="K296">
        <f t="shared" si="61"/>
        <v>252129359.47589844</v>
      </c>
      <c r="M296">
        <f t="shared" si="62"/>
        <v>8544.478415460133</v>
      </c>
      <c r="N296" s="28">
        <v>0.27600000000000002</v>
      </c>
      <c r="O296">
        <f t="shared" si="63"/>
        <v>2773.8825253786063</v>
      </c>
      <c r="Q296">
        <f t="shared" si="64"/>
        <v>54530518.870256469</v>
      </c>
      <c r="R296" s="28">
        <v>0.27600000000000002</v>
      </c>
      <c r="S296">
        <f t="shared" si="65"/>
        <v>54536417.566887133</v>
      </c>
      <c r="U296">
        <f t="shared" si="66"/>
        <v>362255.48258312972</v>
      </c>
      <c r="V296" s="48">
        <v>0.27600000000000002</v>
      </c>
      <c r="W296">
        <f t="shared" si="67"/>
        <v>380879.94727137452</v>
      </c>
      <c r="Y296">
        <f t="shared" si="68"/>
        <v>5136.3013731997262</v>
      </c>
      <c r="Z296" s="28">
        <v>0.27600000000000002</v>
      </c>
      <c r="AA296">
        <f t="shared" si="69"/>
        <v>2161.5756193971656</v>
      </c>
    </row>
    <row r="297" spans="1:27" x14ac:dyDescent="0.2">
      <c r="A297">
        <f t="shared" si="56"/>
        <v>204133576.15855047</v>
      </c>
      <c r="B297" s="28">
        <v>0.27700000000000002</v>
      </c>
      <c r="C297">
        <f t="shared" si="57"/>
        <v>204239550.09116372</v>
      </c>
      <c r="E297">
        <f t="shared" si="58"/>
        <v>8613.3493622622536</v>
      </c>
      <c r="F297" s="28">
        <v>0.27700000000000002</v>
      </c>
      <c r="G297">
        <f t="shared" si="59"/>
        <v>2166.0420099651142</v>
      </c>
      <c r="I297">
        <f t="shared" si="60"/>
        <v>260702632.83717221</v>
      </c>
      <c r="J297" s="28">
        <v>0.27700000000000002</v>
      </c>
      <c r="K297">
        <f t="shared" si="61"/>
        <v>260813905.46641612</v>
      </c>
      <c r="M297">
        <f t="shared" si="62"/>
        <v>8552.3252941132869</v>
      </c>
      <c r="N297" s="28">
        <v>0.27700000000000002</v>
      </c>
      <c r="O297">
        <f t="shared" si="63"/>
        <v>2766.035646725451</v>
      </c>
      <c r="Q297">
        <f t="shared" si="64"/>
        <v>56569056.678621694</v>
      </c>
      <c r="R297" s="28">
        <v>0.27700000000000002</v>
      </c>
      <c r="S297">
        <f t="shared" si="65"/>
        <v>56574955.375252359</v>
      </c>
      <c r="U297">
        <f t="shared" si="66"/>
        <v>368099.58302405349</v>
      </c>
      <c r="V297" s="48">
        <v>0.27700000000000002</v>
      </c>
      <c r="W297">
        <f t="shared" si="67"/>
        <v>386724.04771229828</v>
      </c>
      <c r="Y297">
        <f t="shared" si="68"/>
        <v>5143.8766976962306</v>
      </c>
      <c r="Z297" s="28">
        <v>0.27700000000000002</v>
      </c>
      <c r="AA297">
        <f t="shared" si="69"/>
        <v>2154.0002949006607</v>
      </c>
    </row>
    <row r="298" spans="1:27" x14ac:dyDescent="0.2">
      <c r="A298">
        <f t="shared" si="56"/>
        <v>210999805.08900779</v>
      </c>
      <c r="B298" s="28">
        <v>0.27800000000000002</v>
      </c>
      <c r="C298">
        <f t="shared" si="57"/>
        <v>211105779.02162105</v>
      </c>
      <c r="E298">
        <f t="shared" si="58"/>
        <v>8621.1400561567061</v>
      </c>
      <c r="F298" s="28">
        <v>0.27800000000000002</v>
      </c>
      <c r="G298">
        <f t="shared" si="59"/>
        <v>2158.2513160706617</v>
      </c>
      <c r="I298">
        <f t="shared" si="60"/>
        <v>269681912.96038783</v>
      </c>
      <c r="J298" s="28">
        <v>0.27800000000000002</v>
      </c>
      <c r="K298">
        <f t="shared" si="61"/>
        <v>269793185.58963174</v>
      </c>
      <c r="M298">
        <f t="shared" si="62"/>
        <v>8560.1157589004324</v>
      </c>
      <c r="N298" s="28">
        <v>0.27800000000000002</v>
      </c>
      <c r="O298">
        <f t="shared" si="63"/>
        <v>2758.2451819383054</v>
      </c>
      <c r="Q298">
        <f t="shared" si="64"/>
        <v>58682107.871379994</v>
      </c>
      <c r="R298" s="28">
        <v>0.27800000000000002</v>
      </c>
      <c r="S298">
        <f t="shared" si="65"/>
        <v>58688006.568010658</v>
      </c>
      <c r="U298">
        <f t="shared" si="66"/>
        <v>374037.69446023629</v>
      </c>
      <c r="V298" s="48">
        <v>0.27800000000000002</v>
      </c>
      <c r="W298">
        <f t="shared" si="67"/>
        <v>392662.15914848109</v>
      </c>
      <c r="Y298">
        <f t="shared" si="68"/>
        <v>5151.4017443381535</v>
      </c>
      <c r="Z298" s="28">
        <v>0.27800000000000002</v>
      </c>
      <c r="AA298">
        <f t="shared" si="69"/>
        <v>2146.4752482587382</v>
      </c>
    </row>
    <row r="299" spans="1:27" x14ac:dyDescent="0.2">
      <c r="A299">
        <f t="shared" si="56"/>
        <v>218093428.43219551</v>
      </c>
      <c r="B299" s="28">
        <v>0.27900000000000003</v>
      </c>
      <c r="C299">
        <f t="shared" si="57"/>
        <v>218199402.36480877</v>
      </c>
      <c r="E299">
        <f t="shared" si="58"/>
        <v>8628.8749329571856</v>
      </c>
      <c r="F299" s="28">
        <v>0.27900000000000003</v>
      </c>
      <c r="G299">
        <f t="shared" si="59"/>
        <v>2150.5164392701827</v>
      </c>
      <c r="I299">
        <f t="shared" si="60"/>
        <v>278965762.99534649</v>
      </c>
      <c r="J299" s="28">
        <v>0.27900000000000003</v>
      </c>
      <c r="K299">
        <f t="shared" si="61"/>
        <v>279077035.6245904</v>
      </c>
      <c r="M299">
        <f t="shared" si="62"/>
        <v>8567.8504150121735</v>
      </c>
      <c r="N299" s="28">
        <v>0.27900000000000003</v>
      </c>
      <c r="O299">
        <f t="shared" si="63"/>
        <v>2750.5105258265639</v>
      </c>
      <c r="Q299">
        <f t="shared" si="64"/>
        <v>60872334.563150987</v>
      </c>
      <c r="R299" s="28">
        <v>0.27900000000000003</v>
      </c>
      <c r="S299">
        <f t="shared" si="65"/>
        <v>60878233.259781651</v>
      </c>
      <c r="U299">
        <f t="shared" si="66"/>
        <v>380071.37020796875</v>
      </c>
      <c r="V299" s="48">
        <v>0.27900000000000003</v>
      </c>
      <c r="W299">
        <f t="shared" si="67"/>
        <v>398695.83489621355</v>
      </c>
      <c r="Y299">
        <f t="shared" si="68"/>
        <v>5158.8769756745369</v>
      </c>
      <c r="Z299" s="28">
        <v>0.27900000000000003</v>
      </c>
      <c r="AA299">
        <f t="shared" si="69"/>
        <v>2139.0000169223554</v>
      </c>
    </row>
    <row r="300" spans="1:27" x14ac:dyDescent="0.2">
      <c r="A300">
        <f t="shared" si="56"/>
        <v>225421849.20676681</v>
      </c>
      <c r="B300" s="28">
        <v>0.28000000000000003</v>
      </c>
      <c r="C300">
        <f t="shared" si="57"/>
        <v>225527823.13938007</v>
      </c>
      <c r="E300">
        <f t="shared" si="58"/>
        <v>8636.5545895769701</v>
      </c>
      <c r="F300" s="28">
        <v>0.28000000000000003</v>
      </c>
      <c r="G300">
        <f t="shared" si="59"/>
        <v>2142.8367826503986</v>
      </c>
      <c r="I300">
        <f t="shared" si="60"/>
        <v>288564340.98916256</v>
      </c>
      <c r="J300" s="28">
        <v>0.28000000000000003</v>
      </c>
      <c r="K300">
        <f t="shared" si="61"/>
        <v>288675613.61840647</v>
      </c>
      <c r="M300">
        <f t="shared" si="62"/>
        <v>8575.529859046228</v>
      </c>
      <c r="N300" s="28">
        <v>0.28000000000000003</v>
      </c>
      <c r="O300">
        <f t="shared" si="63"/>
        <v>2742.8310817925103</v>
      </c>
      <c r="Q300">
        <f t="shared" si="64"/>
        <v>63142491.782395758</v>
      </c>
      <c r="R300" s="28">
        <v>0.28000000000000003</v>
      </c>
      <c r="S300">
        <f t="shared" si="65"/>
        <v>63148390.479026422</v>
      </c>
      <c r="U300">
        <f t="shared" si="66"/>
        <v>386202.18972042791</v>
      </c>
      <c r="V300" s="48">
        <v>0.28000000000000003</v>
      </c>
      <c r="W300">
        <f t="shared" si="67"/>
        <v>404826.65440867271</v>
      </c>
      <c r="Y300">
        <f t="shared" si="68"/>
        <v>5166.3028490907027</v>
      </c>
      <c r="Z300" s="28">
        <v>0.28000000000000003</v>
      </c>
      <c r="AA300">
        <f t="shared" si="69"/>
        <v>2131.5741435061891</v>
      </c>
    </row>
    <row r="301" spans="1:27" x14ac:dyDescent="0.2">
      <c r="A301">
        <f t="shared" si="56"/>
        <v>232992706.97299179</v>
      </c>
      <c r="B301" s="28">
        <v>0.28100000000000003</v>
      </c>
      <c r="C301">
        <f t="shared" si="57"/>
        <v>233098680.90560505</v>
      </c>
      <c r="E301">
        <f t="shared" si="58"/>
        <v>8644.179614475277</v>
      </c>
      <c r="F301" s="28">
        <v>0.28100000000000003</v>
      </c>
      <c r="G301">
        <f t="shared" si="59"/>
        <v>2135.2117577520912</v>
      </c>
      <c r="I301">
        <f t="shared" si="60"/>
        <v>298488137.61083621</v>
      </c>
      <c r="J301" s="28">
        <v>0.28100000000000003</v>
      </c>
      <c r="K301">
        <f t="shared" si="61"/>
        <v>298599410.24008012</v>
      </c>
      <c r="M301">
        <f t="shared" si="62"/>
        <v>8583.1546791583096</v>
      </c>
      <c r="N301" s="28">
        <v>0.28100000000000003</v>
      </c>
      <c r="O301">
        <f t="shared" si="63"/>
        <v>2735.2062616804292</v>
      </c>
      <c r="Q301">
        <f t="shared" si="64"/>
        <v>65495430.637844361</v>
      </c>
      <c r="R301" s="28">
        <v>0.28100000000000003</v>
      </c>
      <c r="S301">
        <f t="shared" si="65"/>
        <v>65501329.334475026</v>
      </c>
      <c r="U301">
        <f t="shared" si="66"/>
        <v>392431.75903343788</v>
      </c>
      <c r="V301" s="48">
        <v>0.28100000000000003</v>
      </c>
      <c r="W301">
        <f t="shared" si="67"/>
        <v>411056.22372168268</v>
      </c>
      <c r="Y301">
        <f t="shared" si="68"/>
        <v>5173.6798168734258</v>
      </c>
      <c r="Z301" s="28">
        <v>0.28100000000000003</v>
      </c>
      <c r="AA301">
        <f t="shared" si="69"/>
        <v>2124.1971757234655</v>
      </c>
    </row>
    <row r="302" spans="1:27" x14ac:dyDescent="0.2">
      <c r="A302">
        <f t="shared" si="56"/>
        <v>240813885.240655</v>
      </c>
      <c r="B302" s="28">
        <v>0.28199999999999997</v>
      </c>
      <c r="C302">
        <f t="shared" si="57"/>
        <v>240919859.17326826</v>
      </c>
      <c r="E302">
        <f t="shared" si="58"/>
        <v>8651.7505878054908</v>
      </c>
      <c r="F302" s="28">
        <v>0.28199999999999997</v>
      </c>
      <c r="G302">
        <f t="shared" si="59"/>
        <v>2127.6407844218784</v>
      </c>
      <c r="I302">
        <f t="shared" si="60"/>
        <v>308747986.83088601</v>
      </c>
      <c r="J302" s="28">
        <v>0.28199999999999997</v>
      </c>
      <c r="K302">
        <f t="shared" si="61"/>
        <v>308859259.46012992</v>
      </c>
      <c r="M302">
        <f t="shared" si="62"/>
        <v>8590.7254552098893</v>
      </c>
      <c r="N302" s="28">
        <v>0.28199999999999997</v>
      </c>
      <c r="O302">
        <f t="shared" si="63"/>
        <v>2727.6354856288485</v>
      </c>
      <c r="Q302">
        <f t="shared" si="64"/>
        <v>67934101.590230986</v>
      </c>
      <c r="R302" s="28">
        <v>0.28199999999999997</v>
      </c>
      <c r="S302">
        <f t="shared" si="65"/>
        <v>67940000.286861643</v>
      </c>
      <c r="U302">
        <f t="shared" si="66"/>
        <v>398761.71121891419</v>
      </c>
      <c r="V302" s="48">
        <v>0.28199999999999997</v>
      </c>
      <c r="W302">
        <f t="shared" si="67"/>
        <v>417386.17590715899</v>
      </c>
      <c r="Y302">
        <f t="shared" si="68"/>
        <v>5181.008326275205</v>
      </c>
      <c r="Z302" s="28">
        <v>0.28199999999999997</v>
      </c>
      <c r="AA302">
        <f t="shared" si="69"/>
        <v>2116.8686663216863</v>
      </c>
    </row>
    <row r="303" spans="1:27" x14ac:dyDescent="0.2">
      <c r="A303">
        <f t="shared" si="56"/>
        <v>248893519.10407946</v>
      </c>
      <c r="B303" s="28">
        <v>0.28299999999999997</v>
      </c>
      <c r="C303">
        <f t="shared" si="57"/>
        <v>248999493.03669271</v>
      </c>
      <c r="E303">
        <f t="shared" si="58"/>
        <v>8659.2680815603089</v>
      </c>
      <c r="F303" s="28">
        <v>0.28299999999999997</v>
      </c>
      <c r="G303">
        <f t="shared" si="59"/>
        <v>2120.1232906670593</v>
      </c>
      <c r="I303">
        <f t="shared" si="60"/>
        <v>319355076.93683285</v>
      </c>
      <c r="J303" s="28">
        <v>0.28299999999999997</v>
      </c>
      <c r="K303">
        <f t="shared" si="61"/>
        <v>319466349.56607676</v>
      </c>
      <c r="M303">
        <f t="shared" si="62"/>
        <v>8598.2427589129002</v>
      </c>
      <c r="N303" s="28">
        <v>0.28299999999999997</v>
      </c>
      <c r="O303">
        <f t="shared" si="63"/>
        <v>2720.1181819258372</v>
      </c>
      <c r="Q303">
        <f t="shared" si="64"/>
        <v>70461557.832753375</v>
      </c>
      <c r="R303" s="28">
        <v>0.28299999999999997</v>
      </c>
      <c r="S303">
        <f t="shared" si="65"/>
        <v>70467456.529384032</v>
      </c>
      <c r="U303">
        <f t="shared" si="66"/>
        <v>405193.7068461249</v>
      </c>
      <c r="V303" s="48">
        <v>0.28299999999999997</v>
      </c>
      <c r="W303">
        <f t="shared" si="67"/>
        <v>423818.1715343697</v>
      </c>
      <c r="Y303">
        <f t="shared" si="68"/>
        <v>5188.2888195776613</v>
      </c>
      <c r="Z303" s="28">
        <v>0.28299999999999997</v>
      </c>
      <c r="AA303">
        <f t="shared" si="69"/>
        <v>2109.58817301923</v>
      </c>
    </row>
    <row r="304" spans="1:27" x14ac:dyDescent="0.2">
      <c r="A304">
        <f t="shared" si="56"/>
        <v>257240003.11107397</v>
      </c>
      <c r="B304" s="28">
        <v>0.28399999999999997</v>
      </c>
      <c r="C304">
        <f t="shared" si="57"/>
        <v>257345977.04368722</v>
      </c>
      <c r="E304">
        <f t="shared" si="58"/>
        <v>8666.7326597138999</v>
      </c>
      <c r="F304" s="28">
        <v>0.28399999999999997</v>
      </c>
      <c r="G304">
        <f t="shared" si="59"/>
        <v>2112.6587125134679</v>
      </c>
      <c r="I304">
        <f t="shared" si="60"/>
        <v>330320961.89485049</v>
      </c>
      <c r="J304" s="28">
        <v>0.28399999999999997</v>
      </c>
      <c r="K304">
        <f t="shared" si="61"/>
        <v>330432234.5240944</v>
      </c>
      <c r="M304">
        <f t="shared" si="62"/>
        <v>8605.7071539714452</v>
      </c>
      <c r="N304" s="28">
        <v>0.28399999999999997</v>
      </c>
      <c r="O304">
        <f t="shared" si="63"/>
        <v>2712.6537868672931</v>
      </c>
      <c r="Q304">
        <f t="shared" si="64"/>
        <v>73080958.783776507</v>
      </c>
      <c r="R304" s="28">
        <v>0.28399999999999997</v>
      </c>
      <c r="S304">
        <f t="shared" si="65"/>
        <v>73086857.480407164</v>
      </c>
      <c r="U304">
        <f t="shared" si="66"/>
        <v>411729.43445090053</v>
      </c>
      <c r="V304" s="48">
        <v>0.28399999999999997</v>
      </c>
      <c r="W304">
        <f t="shared" si="67"/>
        <v>430353.89913914533</v>
      </c>
      <c r="Y304">
        <f t="shared" si="68"/>
        <v>5195.5217341540683</v>
      </c>
      <c r="Z304" s="28">
        <v>0.28399999999999997</v>
      </c>
      <c r="AA304">
        <f t="shared" si="69"/>
        <v>2102.3552584428235</v>
      </c>
    </row>
    <row r="305" spans="1:27" x14ac:dyDescent="0.2">
      <c r="A305">
        <f t="shared" si="56"/>
        <v>265861999.37281898</v>
      </c>
      <c r="B305" s="28">
        <v>0.28499999999999998</v>
      </c>
      <c r="C305">
        <f t="shared" si="57"/>
        <v>265967973.30543223</v>
      </c>
      <c r="E305">
        <f t="shared" si="58"/>
        <v>8674.1448783611104</v>
      </c>
      <c r="F305" s="28">
        <v>0.28499999999999998</v>
      </c>
      <c r="G305">
        <f t="shared" si="59"/>
        <v>2105.2464938662574</v>
      </c>
      <c r="I305">
        <f t="shared" si="60"/>
        <v>341657573.06823653</v>
      </c>
      <c r="J305" s="28">
        <v>0.28499999999999998</v>
      </c>
      <c r="K305">
        <f t="shared" si="61"/>
        <v>341768845.69748044</v>
      </c>
      <c r="M305">
        <f t="shared" si="62"/>
        <v>8613.1191962205976</v>
      </c>
      <c r="N305" s="28">
        <v>0.28499999999999998</v>
      </c>
      <c r="O305">
        <f t="shared" si="63"/>
        <v>2705.2417446181407</v>
      </c>
      <c r="Q305">
        <f t="shared" si="64"/>
        <v>75795573.695417523</v>
      </c>
      <c r="R305" s="28">
        <v>0.28499999999999998</v>
      </c>
      <c r="S305">
        <f t="shared" si="65"/>
        <v>75801472.39204818</v>
      </c>
      <c r="U305">
        <f t="shared" si="66"/>
        <v>418370.61101293768</v>
      </c>
      <c r="V305" s="48">
        <v>0.28499999999999998</v>
      </c>
      <c r="W305">
        <f t="shared" si="67"/>
        <v>436995.07570118248</v>
      </c>
      <c r="Y305">
        <f t="shared" si="68"/>
        <v>5202.7075025310278</v>
      </c>
      <c r="Z305" s="28">
        <v>0.28499999999999998</v>
      </c>
      <c r="AA305">
        <f t="shared" si="69"/>
        <v>2095.1694900658645</v>
      </c>
    </row>
    <row r="306" spans="1:27" x14ac:dyDescent="0.2">
      <c r="A306">
        <f t="shared" si="56"/>
        <v>274768445.92192966</v>
      </c>
      <c r="B306" s="28">
        <v>0.28599999999999998</v>
      </c>
      <c r="C306">
        <f t="shared" si="57"/>
        <v>274874419.85454291</v>
      </c>
      <c r="E306">
        <f t="shared" si="58"/>
        <v>8681.505285853822</v>
      </c>
      <c r="F306" s="28">
        <v>0.28599999999999998</v>
      </c>
      <c r="G306">
        <f t="shared" si="59"/>
        <v>2097.8860863735458</v>
      </c>
      <c r="I306">
        <f t="shared" si="60"/>
        <v>353377231.30369824</v>
      </c>
      <c r="J306" s="28">
        <v>0.28599999999999998</v>
      </c>
      <c r="K306">
        <f t="shared" si="61"/>
        <v>353488503.93294215</v>
      </c>
      <c r="M306">
        <f t="shared" si="62"/>
        <v>8620.4794337623571</v>
      </c>
      <c r="N306" s="28">
        <v>0.28599999999999998</v>
      </c>
      <c r="O306">
        <f t="shared" si="63"/>
        <v>2697.8815070763803</v>
      </c>
      <c r="Q306">
        <f t="shared" si="64"/>
        <v>78608785.381768614</v>
      </c>
      <c r="R306" s="28">
        <v>0.28599999999999998</v>
      </c>
      <c r="S306">
        <f t="shared" si="65"/>
        <v>78614684.078399271</v>
      </c>
      <c r="U306">
        <f t="shared" si="66"/>
        <v>425118.98244133155</v>
      </c>
      <c r="V306" s="48">
        <v>0.28599999999999998</v>
      </c>
      <c r="W306">
        <f t="shared" si="67"/>
        <v>443743.44712957635</v>
      </c>
      <c r="Y306">
        <f t="shared" si="68"/>
        <v>5209.8465524493022</v>
      </c>
      <c r="Z306" s="28">
        <v>0.28599999999999998</v>
      </c>
      <c r="AA306">
        <f t="shared" si="69"/>
        <v>2088.0304401475892</v>
      </c>
    </row>
    <row r="307" spans="1:27" x14ac:dyDescent="0.2">
      <c r="A307">
        <f t="shared" si="56"/>
        <v>283968565.32606673</v>
      </c>
      <c r="B307" s="28">
        <v>0.28699999999999998</v>
      </c>
      <c r="C307">
        <f t="shared" si="57"/>
        <v>284074539.25867999</v>
      </c>
      <c r="E307">
        <f t="shared" si="58"/>
        <v>8688.8144229345089</v>
      </c>
      <c r="F307" s="28">
        <v>0.28699999999999998</v>
      </c>
      <c r="G307">
        <f t="shared" si="59"/>
        <v>2090.5769492928603</v>
      </c>
      <c r="I307">
        <f t="shared" si="60"/>
        <v>365492659.3966772</v>
      </c>
      <c r="J307" s="28">
        <v>0.28699999999999998</v>
      </c>
      <c r="K307">
        <f t="shared" si="61"/>
        <v>365603932.02592111</v>
      </c>
      <c r="M307">
        <f t="shared" si="62"/>
        <v>8627.7884070988275</v>
      </c>
      <c r="N307" s="28">
        <v>0.28699999999999998</v>
      </c>
      <c r="O307">
        <f t="shared" si="63"/>
        <v>2690.5725337399113</v>
      </c>
      <c r="Q307">
        <f t="shared" si="64"/>
        <v>81524094.070610493</v>
      </c>
      <c r="R307" s="28">
        <v>0.28699999999999998</v>
      </c>
      <c r="S307">
        <f t="shared" si="65"/>
        <v>81529992.76724115</v>
      </c>
      <c r="U307">
        <f t="shared" si="66"/>
        <v>431976.32406848285</v>
      </c>
      <c r="V307" s="48">
        <v>0.28699999999999998</v>
      </c>
      <c r="W307">
        <f t="shared" si="67"/>
        <v>450600.78875672765</v>
      </c>
      <c r="Y307">
        <f t="shared" si="68"/>
        <v>5216.9393069238231</v>
      </c>
      <c r="Z307" s="28">
        <v>0.28699999999999998</v>
      </c>
      <c r="AA307">
        <f t="shared" si="69"/>
        <v>2080.9376856730687</v>
      </c>
    </row>
    <row r="308" spans="1:27" x14ac:dyDescent="0.2">
      <c r="A308">
        <f t="shared" si="56"/>
        <v>293471873.56481177</v>
      </c>
      <c r="B308" s="28">
        <v>0.28799999999999998</v>
      </c>
      <c r="C308">
        <f t="shared" si="57"/>
        <v>293577847.49742502</v>
      </c>
      <c r="E308">
        <f t="shared" si="58"/>
        <v>8696.0728228670596</v>
      </c>
      <c r="F308" s="28">
        <v>0.28799999999999998</v>
      </c>
      <c r="G308">
        <f t="shared" si="59"/>
        <v>2083.3185493603096</v>
      </c>
      <c r="I308">
        <f t="shared" si="60"/>
        <v>378016994.94743961</v>
      </c>
      <c r="J308" s="28">
        <v>0.28799999999999998</v>
      </c>
      <c r="K308">
        <f t="shared" si="61"/>
        <v>378128267.57668352</v>
      </c>
      <c r="M308">
        <f t="shared" si="62"/>
        <v>8635.0466492626601</v>
      </c>
      <c r="N308" s="28">
        <v>0.28799999999999998</v>
      </c>
      <c r="O308">
        <f t="shared" si="63"/>
        <v>2683.3142915760786</v>
      </c>
      <c r="Q308">
        <f t="shared" si="64"/>
        <v>84545121.382627741</v>
      </c>
      <c r="R308" s="28">
        <v>0.28799999999999998</v>
      </c>
      <c r="S308">
        <f t="shared" si="65"/>
        <v>84551020.079258397</v>
      </c>
      <c r="U308">
        <f t="shared" si="66"/>
        <v>438944.44115252455</v>
      </c>
      <c r="V308" s="48">
        <v>0.28799999999999998</v>
      </c>
      <c r="W308">
        <f t="shared" si="67"/>
        <v>457568.90584076935</v>
      </c>
      <c r="Y308">
        <f t="shared" si="68"/>
        <v>5223.9861843028721</v>
      </c>
      <c r="Z308" s="28">
        <v>0.28799999999999998</v>
      </c>
      <c r="AA308">
        <f t="shared" si="69"/>
        <v>2073.8908082940202</v>
      </c>
    </row>
    <row r="309" spans="1:27" x14ac:dyDescent="0.2">
      <c r="A309">
        <f t="shared" si="56"/>
        <v>303288189.17758685</v>
      </c>
      <c r="B309" s="28">
        <v>0.28899999999999998</v>
      </c>
      <c r="C309">
        <f t="shared" si="57"/>
        <v>303394163.11020011</v>
      </c>
      <c r="E309">
        <f t="shared" si="58"/>
        <v>8703.2810115649481</v>
      </c>
      <c r="F309" s="28">
        <v>0.28899999999999998</v>
      </c>
      <c r="G309">
        <f t="shared" si="59"/>
        <v>2076.1103606624201</v>
      </c>
      <c r="I309">
        <f t="shared" si="60"/>
        <v>390963803.61980402</v>
      </c>
      <c r="J309" s="28">
        <v>0.28899999999999998</v>
      </c>
      <c r="K309">
        <f t="shared" si="61"/>
        <v>391075076.24904794</v>
      </c>
      <c r="M309">
        <f t="shared" si="62"/>
        <v>8642.2546859448794</v>
      </c>
      <c r="N309" s="28">
        <v>0.28899999999999998</v>
      </c>
      <c r="O309">
        <f t="shared" si="63"/>
        <v>2676.1062548938594</v>
      </c>
      <c r="Q309">
        <f t="shared" si="64"/>
        <v>87675614.442217171</v>
      </c>
      <c r="R309" s="28">
        <v>0.28899999999999998</v>
      </c>
      <c r="S309">
        <f t="shared" si="65"/>
        <v>87681513.138847828</v>
      </c>
      <c r="U309">
        <f t="shared" si="66"/>
        <v>446025.16938841587</v>
      </c>
      <c r="V309" s="48">
        <v>0.28899999999999998</v>
      </c>
      <c r="W309">
        <f t="shared" si="67"/>
        <v>464649.63407666067</v>
      </c>
      <c r="Y309">
        <f t="shared" si="68"/>
        <v>5230.9875983264628</v>
      </c>
      <c r="Z309" s="28">
        <v>0.28899999999999998</v>
      </c>
      <c r="AA309">
        <f t="shared" si="69"/>
        <v>2066.889394270429</v>
      </c>
    </row>
    <row r="310" spans="1:27" x14ac:dyDescent="0.2">
      <c r="A310">
        <f t="shared" si="56"/>
        <v>313427642.690804</v>
      </c>
      <c r="B310" s="28">
        <v>0.28999999999999998</v>
      </c>
      <c r="C310">
        <f t="shared" si="57"/>
        <v>313533616.62341726</v>
      </c>
      <c r="E310">
        <f t="shared" si="58"/>
        <v>8710.4395077167883</v>
      </c>
      <c r="F310" s="28">
        <v>0.28999999999999998</v>
      </c>
      <c r="G310">
        <f t="shared" si="59"/>
        <v>2068.9518645105795</v>
      </c>
      <c r="I310">
        <f t="shared" si="60"/>
        <v>404347092.81496441</v>
      </c>
      <c r="J310" s="28">
        <v>0.28999999999999998</v>
      </c>
      <c r="K310">
        <f t="shared" si="61"/>
        <v>404458365.44420832</v>
      </c>
      <c r="M310">
        <f t="shared" si="62"/>
        <v>8649.4130356200913</v>
      </c>
      <c r="N310" s="28">
        <v>0.28999999999999998</v>
      </c>
      <c r="O310">
        <f t="shared" si="63"/>
        <v>2668.9479052186475</v>
      </c>
      <c r="Q310">
        <f t="shared" si="64"/>
        <v>90919450.124160349</v>
      </c>
      <c r="R310" s="28">
        <v>0.28999999999999998</v>
      </c>
      <c r="S310">
        <f t="shared" si="65"/>
        <v>90925348.820791006</v>
      </c>
      <c r="U310">
        <f t="shared" si="66"/>
        <v>453220.37542785541</v>
      </c>
      <c r="V310" s="48">
        <v>0.28999999999999998</v>
      </c>
      <c r="W310">
        <f t="shared" si="67"/>
        <v>471844.84011610021</v>
      </c>
      <c r="Y310">
        <f t="shared" si="68"/>
        <v>5237.9439581839315</v>
      </c>
      <c r="Z310" s="28">
        <v>0.28999999999999998</v>
      </c>
      <c r="AA310">
        <f t="shared" si="69"/>
        <v>2059.9330344129603</v>
      </c>
    </row>
    <row r="311" spans="1:27" x14ac:dyDescent="0.2">
      <c r="A311">
        <f t="shared" si="56"/>
        <v>323900686.33249289</v>
      </c>
      <c r="B311" s="28">
        <v>0.29099999999999998</v>
      </c>
      <c r="C311">
        <f t="shared" si="57"/>
        <v>324006660.26510614</v>
      </c>
      <c r="E311">
        <f t="shared" si="58"/>
        <v>8717.5488229093462</v>
      </c>
      <c r="F311" s="28">
        <v>0.29099999999999998</v>
      </c>
      <c r="G311">
        <f t="shared" si="59"/>
        <v>2061.8425493180212</v>
      </c>
      <c r="I311">
        <f t="shared" si="60"/>
        <v>418181325.77300805</v>
      </c>
      <c r="J311" s="28">
        <v>0.29099999999999998</v>
      </c>
      <c r="K311">
        <f t="shared" si="61"/>
        <v>418292598.40225196</v>
      </c>
      <c r="M311">
        <f t="shared" si="62"/>
        <v>8656.5222096691723</v>
      </c>
      <c r="N311" s="28">
        <v>0.29099999999999998</v>
      </c>
      <c r="O311">
        <f t="shared" si="63"/>
        <v>2661.8387311695651</v>
      </c>
      <c r="Q311">
        <f t="shared" si="64"/>
        <v>94280639.44051522</v>
      </c>
      <c r="R311" s="28">
        <v>0.29099999999999998</v>
      </c>
      <c r="S311">
        <f t="shared" si="65"/>
        <v>94286538.137145877</v>
      </c>
      <c r="U311">
        <f t="shared" si="66"/>
        <v>460531.95740816533</v>
      </c>
      <c r="V311" s="48">
        <v>0.29099999999999998</v>
      </c>
      <c r="W311">
        <f t="shared" si="67"/>
        <v>479156.42209641013</v>
      </c>
      <c r="Y311">
        <f t="shared" si="68"/>
        <v>5244.8556685707345</v>
      </c>
      <c r="Z311" s="28">
        <v>0.29099999999999998</v>
      </c>
      <c r="AA311">
        <f t="shared" si="69"/>
        <v>2053.0213240261573</v>
      </c>
    </row>
    <row r="312" spans="1:27" x14ac:dyDescent="0.2">
      <c r="A312">
        <f t="shared" si="56"/>
        <v>334718104.04305071</v>
      </c>
      <c r="B312" s="28">
        <v>0.29199999999999998</v>
      </c>
      <c r="C312">
        <f t="shared" si="57"/>
        <v>334824077.97566396</v>
      </c>
      <c r="E312">
        <f t="shared" si="58"/>
        <v>8724.6094617480776</v>
      </c>
      <c r="F312" s="28">
        <v>0.29199999999999998</v>
      </c>
      <c r="G312">
        <f t="shared" si="59"/>
        <v>2054.7819104792907</v>
      </c>
      <c r="I312">
        <f t="shared" si="60"/>
        <v>432481436.11531395</v>
      </c>
      <c r="J312" s="28">
        <v>0.29199999999999998</v>
      </c>
      <c r="K312">
        <f t="shared" si="61"/>
        <v>432592708.74455786</v>
      </c>
      <c r="M312">
        <f t="shared" si="62"/>
        <v>8663.5827124994939</v>
      </c>
      <c r="N312" s="28">
        <v>0.29199999999999998</v>
      </c>
      <c r="O312">
        <f t="shared" si="63"/>
        <v>2654.7782283392435</v>
      </c>
      <c r="Q312">
        <f t="shared" si="64"/>
        <v>97763332.072263211</v>
      </c>
      <c r="R312" s="28">
        <v>0.29199999999999998</v>
      </c>
      <c r="S312">
        <f t="shared" si="65"/>
        <v>97769230.768893868</v>
      </c>
      <c r="U312">
        <f t="shared" si="66"/>
        <v>467961.84549030522</v>
      </c>
      <c r="V312" s="48">
        <v>0.29199999999999998</v>
      </c>
      <c r="W312">
        <f t="shared" si="67"/>
        <v>486586.31017855002</v>
      </c>
      <c r="Y312">
        <f t="shared" si="68"/>
        <v>5251.7231297444832</v>
      </c>
      <c r="Z312" s="28">
        <v>0.29199999999999998</v>
      </c>
      <c r="AA312">
        <f t="shared" si="69"/>
        <v>2046.1538628524083</v>
      </c>
    </row>
    <row r="313" spans="1:27" x14ac:dyDescent="0.2">
      <c r="A313">
        <f t="shared" si="56"/>
        <v>345891021.79087961</v>
      </c>
      <c r="B313" s="28">
        <v>0.29299999999999998</v>
      </c>
      <c r="C313">
        <f t="shared" si="57"/>
        <v>345996995.72349286</v>
      </c>
      <c r="E313">
        <f t="shared" si="58"/>
        <v>8731.6219219752275</v>
      </c>
      <c r="F313" s="28">
        <v>0.29299999999999998</v>
      </c>
      <c r="G313">
        <f t="shared" si="59"/>
        <v>2047.7694502521399</v>
      </c>
      <c r="I313">
        <f t="shared" si="60"/>
        <v>447262842.84123236</v>
      </c>
      <c r="J313" s="28">
        <v>0.29299999999999998</v>
      </c>
      <c r="K313">
        <f t="shared" si="61"/>
        <v>447374115.47047627</v>
      </c>
      <c r="M313">
        <f t="shared" si="62"/>
        <v>8670.595041662722</v>
      </c>
      <c r="N313" s="28">
        <v>0.29299999999999998</v>
      </c>
      <c r="O313">
        <f t="shared" si="63"/>
        <v>2647.7658991760168</v>
      </c>
      <c r="Q313">
        <f t="shared" si="64"/>
        <v>101371821.05035274</v>
      </c>
      <c r="R313" s="28">
        <v>0.29299999999999998</v>
      </c>
      <c r="S313">
        <f t="shared" si="65"/>
        <v>101377719.74698339</v>
      </c>
      <c r="U313">
        <f t="shared" si="66"/>
        <v>475512.00240617059</v>
      </c>
      <c r="V313" s="48">
        <v>0.29299999999999998</v>
      </c>
      <c r="W313">
        <f t="shared" si="67"/>
        <v>494136.46709441539</v>
      </c>
      <c r="Y313">
        <f t="shared" si="68"/>
        <v>5258.5467375802154</v>
      </c>
      <c r="Z313" s="28">
        <v>0.29299999999999998</v>
      </c>
      <c r="AA313">
        <f t="shared" si="69"/>
        <v>2039.3302550166766</v>
      </c>
    </row>
    <row r="314" spans="1:27" x14ac:dyDescent="0.2">
      <c r="A314">
        <f t="shared" si="56"/>
        <v>357430918.20204949</v>
      </c>
      <c r="B314" s="28">
        <v>0.29399999999999998</v>
      </c>
      <c r="C314">
        <f t="shared" si="57"/>
        <v>357536892.13466275</v>
      </c>
      <c r="E314">
        <f t="shared" si="58"/>
        <v>8738.586694585576</v>
      </c>
      <c r="F314" s="28">
        <v>0.29399999999999998</v>
      </c>
      <c r="G314">
        <f t="shared" si="59"/>
        <v>2040.8046776417928</v>
      </c>
      <c r="I314">
        <f t="shared" si="60"/>
        <v>462541465.7930097</v>
      </c>
      <c r="J314" s="28">
        <v>0.29399999999999998</v>
      </c>
      <c r="K314">
        <f t="shared" si="61"/>
        <v>462652738.42225361</v>
      </c>
      <c r="M314">
        <f t="shared" si="62"/>
        <v>8677.5596879702589</v>
      </c>
      <c r="N314" s="28">
        <v>0.29399999999999998</v>
      </c>
      <c r="O314">
        <f t="shared" si="63"/>
        <v>2640.8012528684799</v>
      </c>
      <c r="Q314">
        <f t="shared" si="64"/>
        <v>105110547.59096019</v>
      </c>
      <c r="R314" s="28">
        <v>0.29399999999999998</v>
      </c>
      <c r="S314">
        <f t="shared" si="65"/>
        <v>105116446.28759085</v>
      </c>
      <c r="U314">
        <f t="shared" si="66"/>
        <v>483184.42401534278</v>
      </c>
      <c r="V314" s="48">
        <v>0.29399999999999998</v>
      </c>
      <c r="W314">
        <f t="shared" si="67"/>
        <v>501808.88870358758</v>
      </c>
      <c r="Y314">
        <f t="shared" si="68"/>
        <v>5265.3268836249163</v>
      </c>
      <c r="Z314" s="28">
        <v>0.29399999999999998</v>
      </c>
      <c r="AA314">
        <f t="shared" si="69"/>
        <v>2032.5501089719755</v>
      </c>
    </row>
    <row r="315" spans="1:27" x14ac:dyDescent="0.2">
      <c r="A315">
        <f t="shared" si="56"/>
        <v>369349635.51327056</v>
      </c>
      <c r="B315" s="28">
        <v>0.29499999999999998</v>
      </c>
      <c r="C315">
        <f t="shared" si="57"/>
        <v>369455609.44588381</v>
      </c>
      <c r="E315">
        <f t="shared" si="58"/>
        <v>8745.5042639398471</v>
      </c>
      <c r="F315" s="28">
        <v>0.29499999999999998</v>
      </c>
      <c r="G315">
        <f t="shared" si="59"/>
        <v>2033.8871082875219</v>
      </c>
      <c r="I315">
        <f t="shared" si="60"/>
        <v>478333741.6031757</v>
      </c>
      <c r="J315" s="28">
        <v>0.29499999999999998</v>
      </c>
      <c r="K315">
        <f t="shared" si="61"/>
        <v>478445014.23241961</v>
      </c>
      <c r="M315">
        <f t="shared" si="62"/>
        <v>8684.4771356063975</v>
      </c>
      <c r="N315" s="28">
        <v>0.29499999999999998</v>
      </c>
      <c r="O315">
        <f t="shared" si="63"/>
        <v>2633.8838052323408</v>
      </c>
      <c r="Q315">
        <f t="shared" si="64"/>
        <v>108984106.08990507</v>
      </c>
      <c r="R315" s="28">
        <v>0.29499999999999998</v>
      </c>
      <c r="S315">
        <f t="shared" si="65"/>
        <v>108990004.78653572</v>
      </c>
      <c r="U315">
        <f t="shared" si="66"/>
        <v>490981.13987144741</v>
      </c>
      <c r="V315" s="48">
        <v>0.29499999999999998</v>
      </c>
      <c r="W315">
        <f t="shared" si="67"/>
        <v>509605.6045596922</v>
      </c>
      <c r="Y315">
        <f t="shared" si="68"/>
        <v>5272.0639551513023</v>
      </c>
      <c r="Z315" s="28">
        <v>0.29499999999999998</v>
      </c>
      <c r="AA315">
        <f t="shared" si="69"/>
        <v>2025.8130374455898</v>
      </c>
    </row>
    <row r="316" spans="1:27" x14ac:dyDescent="0.2">
      <c r="A316">
        <f t="shared" si="56"/>
        <v>381659390.85786152</v>
      </c>
      <c r="B316" s="28">
        <v>0.29599999999999999</v>
      </c>
      <c r="C316">
        <f t="shared" si="57"/>
        <v>381765364.79047477</v>
      </c>
      <c r="E316">
        <f t="shared" si="58"/>
        <v>8752.3751078758778</v>
      </c>
      <c r="F316" s="28">
        <v>0.29599999999999999</v>
      </c>
      <c r="G316">
        <f t="shared" si="59"/>
        <v>2027.0162643514911</v>
      </c>
      <c r="I316">
        <f t="shared" si="60"/>
        <v>494656640.13921142</v>
      </c>
      <c r="J316" s="28">
        <v>0.29599999999999999</v>
      </c>
      <c r="K316">
        <f t="shared" si="61"/>
        <v>494767912.76845533</v>
      </c>
      <c r="M316">
        <f t="shared" si="62"/>
        <v>8691.3478622392067</v>
      </c>
      <c r="N316" s="28">
        <v>0.29599999999999999</v>
      </c>
      <c r="O316">
        <f t="shared" si="63"/>
        <v>2627.0130785995325</v>
      </c>
      <c r="Q316">
        <f t="shared" si="64"/>
        <v>112997249.28134987</v>
      </c>
      <c r="R316" s="28">
        <v>0.29599999999999999</v>
      </c>
      <c r="S316">
        <f t="shared" si="65"/>
        <v>113003147.97798052</v>
      </c>
      <c r="U316">
        <f t="shared" si="66"/>
        <v>498904.21379829943</v>
      </c>
      <c r="V316" s="48">
        <v>0.29599999999999999</v>
      </c>
      <c r="W316">
        <f t="shared" si="67"/>
        <v>517528.67848654423</v>
      </c>
      <c r="Y316">
        <f t="shared" si="68"/>
        <v>5278.7583352108768</v>
      </c>
      <c r="Z316" s="28">
        <v>0.29599999999999999</v>
      </c>
      <c r="AA316">
        <f t="shared" si="69"/>
        <v>2019.118657386015</v>
      </c>
    </row>
    <row r="317" spans="1:27" x14ac:dyDescent="0.2">
      <c r="A317">
        <f t="shared" si="56"/>
        <v>394372787.89452893</v>
      </c>
      <c r="B317" s="28">
        <v>0.29699999999999999</v>
      </c>
      <c r="C317">
        <f t="shared" si="57"/>
        <v>394478761.82714218</v>
      </c>
      <c r="E317">
        <f t="shared" si="58"/>
        <v>8759.1996978175594</v>
      </c>
      <c r="F317" s="28">
        <v>0.29699999999999999</v>
      </c>
      <c r="G317">
        <f t="shared" si="59"/>
        <v>2020.1916744098087</v>
      </c>
      <c r="I317">
        <f t="shared" si="60"/>
        <v>511527681.46055943</v>
      </c>
      <c r="J317" s="28">
        <v>0.29699999999999999</v>
      </c>
      <c r="K317">
        <f t="shared" si="61"/>
        <v>511638954.08980334</v>
      </c>
      <c r="M317">
        <f t="shared" si="62"/>
        <v>8698.1723391292162</v>
      </c>
      <c r="N317" s="28">
        <v>0.29699999999999999</v>
      </c>
      <c r="O317">
        <f t="shared" si="63"/>
        <v>2620.1886017095217</v>
      </c>
      <c r="Q317">
        <f t="shared" si="64"/>
        <v>117154893.56603056</v>
      </c>
      <c r="R317" s="28">
        <v>0.29699999999999999</v>
      </c>
      <c r="S317">
        <f t="shared" si="65"/>
        <v>117160792.26266122</v>
      </c>
      <c r="U317">
        <f t="shared" si="66"/>
        <v>506955.74447599315</v>
      </c>
      <c r="V317" s="48">
        <v>0.29699999999999999</v>
      </c>
      <c r="W317">
        <f t="shared" si="67"/>
        <v>525580.20916423795</v>
      </c>
      <c r="Y317">
        <f t="shared" si="68"/>
        <v>5285.410402686266</v>
      </c>
      <c r="Z317" s="28">
        <v>0.29699999999999999</v>
      </c>
      <c r="AA317">
        <f t="shared" si="69"/>
        <v>2012.4665899106258</v>
      </c>
    </row>
    <row r="318" spans="1:27" x14ac:dyDescent="0.2">
      <c r="A318">
        <f t="shared" si="56"/>
        <v>407502828.78923559</v>
      </c>
      <c r="B318" s="28">
        <v>0.29799999999999999</v>
      </c>
      <c r="C318">
        <f t="shared" si="57"/>
        <v>407608802.72184885</v>
      </c>
      <c r="E318">
        <f t="shared" si="58"/>
        <v>8765.9784988816336</v>
      </c>
      <c r="F318" s="28">
        <v>0.29799999999999999</v>
      </c>
      <c r="G318">
        <f t="shared" si="59"/>
        <v>2013.4128733457349</v>
      </c>
      <c r="I318">
        <f t="shared" si="60"/>
        <v>528964953.30371594</v>
      </c>
      <c r="J318" s="28">
        <v>0.29799999999999999</v>
      </c>
      <c r="K318">
        <f t="shared" si="61"/>
        <v>529076225.93295985</v>
      </c>
      <c r="M318">
        <f t="shared" si="62"/>
        <v>8704.9510312359744</v>
      </c>
      <c r="N318" s="28">
        <v>0.29799999999999999</v>
      </c>
      <c r="O318">
        <f t="shared" si="63"/>
        <v>2613.4099096027639</v>
      </c>
      <c r="Q318">
        <f t="shared" si="64"/>
        <v>121462124.51448029</v>
      </c>
      <c r="R318" s="28">
        <v>0.29799999999999999</v>
      </c>
      <c r="S318">
        <f t="shared" si="65"/>
        <v>121468023.21111095</v>
      </c>
      <c r="U318">
        <f t="shared" si="66"/>
        <v>515137.86603711796</v>
      </c>
      <c r="V318" s="48">
        <v>0.29799999999999999</v>
      </c>
      <c r="W318">
        <f t="shared" si="67"/>
        <v>533762.33072536276</v>
      </c>
      <c r="Y318">
        <f t="shared" si="68"/>
        <v>5292.0205323428527</v>
      </c>
      <c r="Z318" s="28">
        <v>0.29799999999999999</v>
      </c>
      <c r="AA318">
        <f t="shared" si="69"/>
        <v>2005.8564602540396</v>
      </c>
    </row>
    <row r="319" spans="1:27" x14ac:dyDescent="0.2">
      <c r="A319">
        <f t="shared" si="56"/>
        <v>421062926.56053567</v>
      </c>
      <c r="B319" s="28">
        <v>0.29899999999999999</v>
      </c>
      <c r="C319">
        <f t="shared" si="57"/>
        <v>421168900.49314892</v>
      </c>
      <c r="E319">
        <f t="shared" si="58"/>
        <v>8772.7119699823597</v>
      </c>
      <c r="F319" s="28">
        <v>0.29899999999999999</v>
      </c>
      <c r="G319">
        <f t="shared" si="59"/>
        <v>2006.6794022450081</v>
      </c>
      <c r="I319">
        <f t="shared" si="60"/>
        <v>546987129.11135638</v>
      </c>
      <c r="J319" s="28">
        <v>0.29899999999999999</v>
      </c>
      <c r="K319">
        <f t="shared" si="61"/>
        <v>547098401.74060035</v>
      </c>
      <c r="M319">
        <f t="shared" si="62"/>
        <v>8711.6843973224732</v>
      </c>
      <c r="N319" s="28">
        <v>0.29899999999999999</v>
      </c>
      <c r="O319">
        <f t="shared" si="63"/>
        <v>2606.6765435162652</v>
      </c>
      <c r="Q319">
        <f t="shared" si="64"/>
        <v>125924202.55082086</v>
      </c>
      <c r="R319" s="28">
        <v>0.29899999999999999</v>
      </c>
      <c r="S319">
        <f t="shared" si="65"/>
        <v>125930101.24745151</v>
      </c>
      <c r="U319">
        <f t="shared" si="66"/>
        <v>523452.74867327622</v>
      </c>
      <c r="V319" s="48">
        <v>0.29899999999999999</v>
      </c>
      <c r="W319">
        <f t="shared" si="67"/>
        <v>542077.21336152102</v>
      </c>
      <c r="Y319">
        <f t="shared" si="68"/>
        <v>5298.5890948797023</v>
      </c>
      <c r="Z319" s="28">
        <v>0.29899999999999999</v>
      </c>
      <c r="AA319">
        <f t="shared" si="69"/>
        <v>1999.2878977171893</v>
      </c>
    </row>
    <row r="320" spans="1:27" x14ac:dyDescent="0.2">
      <c r="A320">
        <f t="shared" si="56"/>
        <v>435066917.79926163</v>
      </c>
      <c r="B320" s="28">
        <v>0.3</v>
      </c>
      <c r="C320">
        <f t="shared" si="57"/>
        <v>435172891.73187488</v>
      </c>
      <c r="E320">
        <f t="shared" si="58"/>
        <v>8779.4005639341412</v>
      </c>
      <c r="F320" s="28">
        <v>0.3</v>
      </c>
      <c r="G320">
        <f t="shared" si="59"/>
        <v>1999.9908082932266</v>
      </c>
      <c r="I320">
        <f t="shared" si="60"/>
        <v>565613486.62219334</v>
      </c>
      <c r="J320" s="28">
        <v>0.3</v>
      </c>
      <c r="K320">
        <f t="shared" si="61"/>
        <v>565724759.25143731</v>
      </c>
      <c r="M320">
        <f t="shared" si="62"/>
        <v>8718.3728900575443</v>
      </c>
      <c r="N320" s="28">
        <v>0.3</v>
      </c>
      <c r="O320">
        <f t="shared" si="63"/>
        <v>2599.9880507811945</v>
      </c>
      <c r="Q320">
        <f t="shared" si="64"/>
        <v>130546568.8229318</v>
      </c>
      <c r="R320" s="28">
        <v>0.3</v>
      </c>
      <c r="S320">
        <f t="shared" si="65"/>
        <v>130552467.51956245</v>
      </c>
      <c r="U320">
        <f t="shared" si="66"/>
        <v>531902.5992520767</v>
      </c>
      <c r="V320" s="48">
        <v>0.3</v>
      </c>
      <c r="W320">
        <f t="shared" si="67"/>
        <v>550527.06394032156</v>
      </c>
      <c r="Y320">
        <f t="shared" si="68"/>
        <v>5305.1164569798202</v>
      </c>
      <c r="Z320" s="28">
        <v>0.3</v>
      </c>
      <c r="AA320">
        <f t="shared" si="69"/>
        <v>1992.7605356170716</v>
      </c>
    </row>
    <row r="321" spans="1:27" x14ac:dyDescent="0.2">
      <c r="A321">
        <f t="shared" si="56"/>
        <v>449529075.77355629</v>
      </c>
      <c r="B321" s="28">
        <v>0.30099999999999999</v>
      </c>
      <c r="C321">
        <f t="shared" si="57"/>
        <v>449635049.70616955</v>
      </c>
      <c r="E321">
        <f t="shared" si="58"/>
        <v>8786.0447275521183</v>
      </c>
      <c r="F321" s="28">
        <v>0.30099999999999999</v>
      </c>
      <c r="G321">
        <f t="shared" si="59"/>
        <v>1993.3466446752504</v>
      </c>
      <c r="I321">
        <f t="shared" si="60"/>
        <v>584863927.03848255</v>
      </c>
      <c r="J321" s="28">
        <v>0.30099999999999999</v>
      </c>
      <c r="K321">
        <f t="shared" si="61"/>
        <v>584975199.66772652</v>
      </c>
      <c r="M321">
        <f t="shared" si="62"/>
        <v>8725.0169561162384</v>
      </c>
      <c r="N321" s="28">
        <v>0.30099999999999999</v>
      </c>
      <c r="O321">
        <f t="shared" si="63"/>
        <v>2593.3439847225004</v>
      </c>
      <c r="Q321">
        <f t="shared" si="64"/>
        <v>135334851.26492637</v>
      </c>
      <c r="R321" s="28">
        <v>0.30099999999999999</v>
      </c>
      <c r="S321">
        <f t="shared" si="65"/>
        <v>135340749.96155703</v>
      </c>
      <c r="U321">
        <f t="shared" si="66"/>
        <v>540489.66194479354</v>
      </c>
      <c r="V321" s="48">
        <v>0.30099999999999999</v>
      </c>
      <c r="W321">
        <f t="shared" si="67"/>
        <v>559114.1266330384</v>
      </c>
      <c r="Y321">
        <f t="shared" si="68"/>
        <v>5311.6029813597079</v>
      </c>
      <c r="Z321" s="28">
        <v>0.30099999999999999</v>
      </c>
      <c r="AA321">
        <f t="shared" si="69"/>
        <v>1986.2740112371837</v>
      </c>
    </row>
    <row r="322" spans="1:27" x14ac:dyDescent="0.2">
      <c r="A322">
        <f t="shared" si="56"/>
        <v>464464123.93077278</v>
      </c>
      <c r="B322" s="28">
        <v>0.30199999999999999</v>
      </c>
      <c r="C322">
        <f t="shared" si="57"/>
        <v>464570097.86338603</v>
      </c>
      <c r="E322">
        <f t="shared" si="58"/>
        <v>8792.6449017507966</v>
      </c>
      <c r="F322" s="28">
        <v>0.30199999999999999</v>
      </c>
      <c r="G322">
        <f t="shared" si="59"/>
        <v>1986.7464704765714</v>
      </c>
      <c r="I322">
        <f t="shared" si="60"/>
        <v>604758994.78888476</v>
      </c>
      <c r="J322" s="28">
        <v>0.30199999999999999</v>
      </c>
      <c r="K322">
        <f t="shared" si="61"/>
        <v>604870267.41812873</v>
      </c>
      <c r="M322">
        <f t="shared" si="62"/>
        <v>8731.6170362782432</v>
      </c>
      <c r="N322" s="28">
        <v>0.30199999999999999</v>
      </c>
      <c r="O322">
        <f t="shared" si="63"/>
        <v>2586.743904560496</v>
      </c>
      <c r="Q322">
        <f t="shared" si="64"/>
        <v>140294870.85811192</v>
      </c>
      <c r="R322" s="28">
        <v>0.30199999999999999</v>
      </c>
      <c r="S322">
        <f t="shared" si="65"/>
        <v>140300769.55474257</v>
      </c>
      <c r="U322">
        <f t="shared" si="66"/>
        <v>549216.21886487131</v>
      </c>
      <c r="V322" s="48">
        <v>0.30199999999999999</v>
      </c>
      <c r="W322">
        <f t="shared" si="67"/>
        <v>567840.68355311616</v>
      </c>
      <c r="Y322">
        <f t="shared" si="68"/>
        <v>5318.049026818273</v>
      </c>
      <c r="Z322" s="28">
        <v>0.30199999999999999</v>
      </c>
      <c r="AA322">
        <f t="shared" si="69"/>
        <v>1979.827965778619</v>
      </c>
    </row>
    <row r="323" spans="1:27" x14ac:dyDescent="0.2">
      <c r="A323">
        <f t="shared" si="56"/>
        <v>479887249.80787534</v>
      </c>
      <c r="B323" s="28">
        <v>0.30299999999999999</v>
      </c>
      <c r="C323">
        <f t="shared" si="57"/>
        <v>479993223.74048859</v>
      </c>
      <c r="E323">
        <f t="shared" si="58"/>
        <v>8799.2015216407581</v>
      </c>
      <c r="F323" s="28">
        <v>0.30299999999999999</v>
      </c>
      <c r="G323">
        <f t="shared" si="59"/>
        <v>1980.1898505866102</v>
      </c>
      <c r="I323">
        <f t="shared" si="60"/>
        <v>625319897.90461254</v>
      </c>
      <c r="J323" s="28">
        <v>0.30299999999999999</v>
      </c>
      <c r="K323">
        <f t="shared" si="61"/>
        <v>625431170.53385651</v>
      </c>
      <c r="M323">
        <f t="shared" si="62"/>
        <v>8738.1735655243865</v>
      </c>
      <c r="N323" s="28">
        <v>0.30299999999999999</v>
      </c>
      <c r="O323">
        <f t="shared" si="63"/>
        <v>2580.1873753143527</v>
      </c>
      <c r="Q323">
        <f t="shared" si="64"/>
        <v>145432648.09673738</v>
      </c>
      <c r="R323" s="28">
        <v>0.30299999999999999</v>
      </c>
      <c r="S323">
        <f t="shared" si="65"/>
        <v>145438546.79336804</v>
      </c>
      <c r="U323">
        <f t="shared" si="66"/>
        <v>558084.5907174669</v>
      </c>
      <c r="V323" s="48">
        <v>0.30299999999999999</v>
      </c>
      <c r="W323">
        <f t="shared" si="67"/>
        <v>576709.05540571176</v>
      </c>
      <c r="Y323">
        <f t="shared" si="68"/>
        <v>5324.4549482850671</v>
      </c>
      <c r="Z323" s="28">
        <v>0.30299999999999999</v>
      </c>
      <c r="AA323">
        <f t="shared" si="69"/>
        <v>1973.4220443118249</v>
      </c>
    </row>
    <row r="324" spans="1:27" x14ac:dyDescent="0.2">
      <c r="A324">
        <f t="shared" si="56"/>
        <v>495814119.36255431</v>
      </c>
      <c r="B324" s="28">
        <v>0.30399999999999999</v>
      </c>
      <c r="C324">
        <f t="shared" si="57"/>
        <v>495920093.29516757</v>
      </c>
      <c r="E324">
        <f t="shared" si="58"/>
        <v>8805.7150166234733</v>
      </c>
      <c r="F324" s="28">
        <v>0.30399999999999999</v>
      </c>
      <c r="G324">
        <f t="shared" si="59"/>
        <v>1973.676355603895</v>
      </c>
      <c r="I324">
        <f t="shared" si="60"/>
        <v>646568529.02765453</v>
      </c>
      <c r="J324" s="28">
        <v>0.30399999999999999</v>
      </c>
      <c r="K324">
        <f t="shared" si="61"/>
        <v>646679801.6568985</v>
      </c>
      <c r="M324">
        <f t="shared" si="62"/>
        <v>8744.6869731312599</v>
      </c>
      <c r="N324" s="28">
        <v>0.30399999999999999</v>
      </c>
      <c r="O324">
        <f t="shared" si="63"/>
        <v>2573.6739677074788</v>
      </c>
      <c r="Q324">
        <f t="shared" si="64"/>
        <v>150754409.66510028</v>
      </c>
      <c r="R324" s="28">
        <v>0.30399999999999999</v>
      </c>
      <c r="S324">
        <f t="shared" si="65"/>
        <v>150760308.36173093</v>
      </c>
      <c r="U324">
        <f t="shared" si="66"/>
        <v>567097.13746022119</v>
      </c>
      <c r="V324" s="48">
        <v>0.30399999999999999</v>
      </c>
      <c r="W324">
        <f t="shared" si="67"/>
        <v>585721.60214846605</v>
      </c>
      <c r="Y324">
        <f t="shared" si="68"/>
        <v>5330.8210968678832</v>
      </c>
      <c r="Z324" s="28">
        <v>0.30399999999999999</v>
      </c>
      <c r="AA324">
        <f t="shared" si="69"/>
        <v>1967.0558957290086</v>
      </c>
    </row>
    <row r="325" spans="1:27" x14ac:dyDescent="0.2">
      <c r="A325">
        <f t="shared" si="56"/>
        <v>512260891.7373476</v>
      </c>
      <c r="B325" s="28">
        <v>0.30499999999999999</v>
      </c>
      <c r="C325">
        <f t="shared" si="57"/>
        <v>512366865.66996086</v>
      </c>
      <c r="E325">
        <f t="shared" si="58"/>
        <v>8812.185810484285</v>
      </c>
      <c r="F325" s="28">
        <v>0.30499999999999999</v>
      </c>
      <c r="G325">
        <f t="shared" si="59"/>
        <v>1967.2055617430826</v>
      </c>
      <c r="I325">
        <f t="shared" si="60"/>
        <v>668527487.07005501</v>
      </c>
      <c r="J325" s="28">
        <v>0.30499999999999999</v>
      </c>
      <c r="K325">
        <f t="shared" si="61"/>
        <v>668638759.69929898</v>
      </c>
      <c r="M325">
        <f t="shared" si="62"/>
        <v>8751.1576827640165</v>
      </c>
      <c r="N325" s="28">
        <v>0.30499999999999999</v>
      </c>
      <c r="O325">
        <f t="shared" si="63"/>
        <v>2567.2032580747227</v>
      </c>
      <c r="Q325">
        <f t="shared" si="64"/>
        <v>156266595.33270741</v>
      </c>
      <c r="R325" s="28">
        <v>0.30499999999999999</v>
      </c>
      <c r="S325">
        <f t="shared" si="65"/>
        <v>156272494.02933806</v>
      </c>
      <c r="U325">
        <f t="shared" si="66"/>
        <v>576256.25897545344</v>
      </c>
      <c r="V325" s="48">
        <v>0.30499999999999999</v>
      </c>
      <c r="W325">
        <f t="shared" si="67"/>
        <v>594880.7236636983</v>
      </c>
      <c r="Y325">
        <f t="shared" si="68"/>
        <v>5337.1478198997083</v>
      </c>
      <c r="Z325" s="28">
        <v>0.30499999999999999</v>
      </c>
      <c r="AA325">
        <f t="shared" si="69"/>
        <v>1960.7291726971839</v>
      </c>
    </row>
    <row r="326" spans="1:27" x14ac:dyDescent="0.2">
      <c r="A326">
        <f t="shared" si="56"/>
        <v>529244234.46972346</v>
      </c>
      <c r="B326" s="28">
        <v>0.30599999999999999</v>
      </c>
      <c r="C326">
        <f t="shared" si="57"/>
        <v>529350208.40233672</v>
      </c>
      <c r="E326">
        <f t="shared" si="58"/>
        <v>8818.614321483592</v>
      </c>
      <c r="F326" s="28">
        <v>0.30599999999999999</v>
      </c>
      <c r="G326">
        <f t="shared" si="59"/>
        <v>1960.7770507437763</v>
      </c>
      <c r="I326">
        <f t="shared" si="60"/>
        <v>691220099.54420781</v>
      </c>
      <c r="J326" s="28">
        <v>0.30599999999999999</v>
      </c>
      <c r="K326">
        <f t="shared" si="61"/>
        <v>691331372.17345178</v>
      </c>
      <c r="M326">
        <f t="shared" si="62"/>
        <v>8757.5861125673655</v>
      </c>
      <c r="N326" s="28">
        <v>0.30599999999999999</v>
      </c>
      <c r="O326">
        <f t="shared" si="63"/>
        <v>2560.7748282713724</v>
      </c>
      <c r="Q326">
        <f t="shared" si="64"/>
        <v>161975865.07448438</v>
      </c>
      <c r="R326" s="28">
        <v>0.30599999999999999</v>
      </c>
      <c r="S326">
        <f t="shared" si="65"/>
        <v>161981763.77111503</v>
      </c>
      <c r="U326">
        <f t="shared" si="66"/>
        <v>585564.39575398283</v>
      </c>
      <c r="V326" s="48">
        <v>0.30599999999999999</v>
      </c>
      <c r="W326">
        <f t="shared" si="67"/>
        <v>604188.86044222768</v>
      </c>
      <c r="Y326">
        <f t="shared" si="68"/>
        <v>5343.4354609850488</v>
      </c>
      <c r="Z326" s="28">
        <v>0.30599999999999999</v>
      </c>
      <c r="AA326">
        <f t="shared" si="69"/>
        <v>1954.4415316118425</v>
      </c>
    </row>
    <row r="327" spans="1:27" x14ac:dyDescent="0.2">
      <c r="A327">
        <f t="shared" si="56"/>
        <v>546781339.16112554</v>
      </c>
      <c r="B327" s="28">
        <v>0.307</v>
      </c>
      <c r="C327">
        <f t="shared" si="57"/>
        <v>546887313.09373879</v>
      </c>
      <c r="E327">
        <f t="shared" si="58"/>
        <v>8825.0009624462637</v>
      </c>
      <c r="F327" s="28">
        <v>0.307</v>
      </c>
      <c r="G327">
        <f t="shared" si="59"/>
        <v>1954.3904097811051</v>
      </c>
      <c r="I327">
        <f t="shared" si="60"/>
        <v>714670445.5842725</v>
      </c>
      <c r="J327" s="28">
        <v>0.307</v>
      </c>
      <c r="K327">
        <f t="shared" si="61"/>
        <v>714781718.21351647</v>
      </c>
      <c r="M327">
        <f t="shared" si="62"/>
        <v>8763.972675254834</v>
      </c>
      <c r="N327" s="28">
        <v>0.307</v>
      </c>
      <c r="O327">
        <f t="shared" si="63"/>
        <v>2554.3882655839038</v>
      </c>
      <c r="Q327">
        <f t="shared" si="64"/>
        <v>167889106.42314714</v>
      </c>
      <c r="R327" s="28">
        <v>0.307</v>
      </c>
      <c r="S327">
        <f t="shared" si="65"/>
        <v>167895005.1197778</v>
      </c>
      <c r="U327">
        <f t="shared" si="66"/>
        <v>595024.0295907727</v>
      </c>
      <c r="V327" s="48">
        <v>0.307</v>
      </c>
      <c r="W327">
        <f t="shared" si="67"/>
        <v>613648.49427901756</v>
      </c>
      <c r="Y327">
        <f t="shared" si="68"/>
        <v>5349.6843600456368</v>
      </c>
      <c r="Z327" s="28">
        <v>0.307</v>
      </c>
      <c r="AA327">
        <f t="shared" si="69"/>
        <v>1948.192632551255</v>
      </c>
    </row>
    <row r="328" spans="1:27" x14ac:dyDescent="0.2">
      <c r="A328">
        <f t="shared" si="56"/>
        <v>564889937.6186713</v>
      </c>
      <c r="B328" s="28">
        <v>0.308</v>
      </c>
      <c r="C328">
        <f t="shared" si="57"/>
        <v>564995911.55128455</v>
      </c>
      <c r="E328">
        <f t="shared" si="58"/>
        <v>8831.3461408493476</v>
      </c>
      <c r="F328" s="28">
        <v>0.308</v>
      </c>
      <c r="G328">
        <f t="shared" si="59"/>
        <v>1948.0452313780213</v>
      </c>
      <c r="I328">
        <f t="shared" si="60"/>
        <v>738903379.67983627</v>
      </c>
      <c r="J328" s="28">
        <v>0.308</v>
      </c>
      <c r="K328">
        <f t="shared" si="61"/>
        <v>739014652.30908024</v>
      </c>
      <c r="M328">
        <f t="shared" si="62"/>
        <v>8770.3177781962859</v>
      </c>
      <c r="N328" s="28">
        <v>0.308</v>
      </c>
      <c r="O328">
        <f t="shared" si="63"/>
        <v>2548.0431626424524</v>
      </c>
      <c r="Q328">
        <f t="shared" si="64"/>
        <v>174013442.06116498</v>
      </c>
      <c r="R328" s="28">
        <v>0.308</v>
      </c>
      <c r="S328">
        <f t="shared" si="65"/>
        <v>174019340.75779563</v>
      </c>
      <c r="U328">
        <f t="shared" si="66"/>
        <v>604637.68429260992</v>
      </c>
      <c r="V328" s="48">
        <v>0.308</v>
      </c>
      <c r="W328">
        <f t="shared" si="67"/>
        <v>623262.14898085478</v>
      </c>
      <c r="Y328">
        <f t="shared" si="68"/>
        <v>5355.8948533655139</v>
      </c>
      <c r="Z328" s="28">
        <v>0.308</v>
      </c>
      <c r="AA328">
        <f t="shared" si="69"/>
        <v>1941.9821392313777</v>
      </c>
    </row>
    <row r="329" spans="1:27" x14ac:dyDescent="0.2">
      <c r="A329">
        <f t="shared" si="56"/>
        <v>583588318.48331308</v>
      </c>
      <c r="B329" s="28">
        <v>0.309</v>
      </c>
      <c r="C329">
        <f t="shared" si="57"/>
        <v>583694292.41592634</v>
      </c>
      <c r="E329">
        <f t="shared" si="58"/>
        <v>8837.6502589080847</v>
      </c>
      <c r="F329" s="28">
        <v>0.309</v>
      </c>
      <c r="G329">
        <f t="shared" si="59"/>
        <v>1941.7411133192827</v>
      </c>
      <c r="I329">
        <f t="shared" si="60"/>
        <v>763944556.1432035</v>
      </c>
      <c r="J329" s="28">
        <v>0.309</v>
      </c>
      <c r="K329">
        <f t="shared" si="61"/>
        <v>764055828.77244747</v>
      </c>
      <c r="M329">
        <f t="shared" si="62"/>
        <v>8776.6218235037977</v>
      </c>
      <c r="N329" s="28">
        <v>0.309</v>
      </c>
      <c r="O329">
        <f t="shared" si="63"/>
        <v>2541.7391173349406</v>
      </c>
      <c r="Q329">
        <f t="shared" si="64"/>
        <v>180356237.65989056</v>
      </c>
      <c r="R329" s="28">
        <v>0.309</v>
      </c>
      <c r="S329">
        <f t="shared" si="65"/>
        <v>180362136.35652122</v>
      </c>
      <c r="U329">
        <f t="shared" si="66"/>
        <v>614407.92639802548</v>
      </c>
      <c r="V329" s="48">
        <v>0.309</v>
      </c>
      <c r="W329">
        <f t="shared" si="67"/>
        <v>633032.39108627033</v>
      </c>
      <c r="Y329">
        <f t="shared" si="68"/>
        <v>5362.0672736355273</v>
      </c>
      <c r="Z329" s="28">
        <v>0.309</v>
      </c>
      <c r="AA329">
        <f t="shared" si="69"/>
        <v>1935.8097189613643</v>
      </c>
    </row>
    <row r="330" spans="1:27" x14ac:dyDescent="0.2">
      <c r="A330">
        <f t="shared" si="56"/>
        <v>602895344.35891867</v>
      </c>
      <c r="B330" s="28">
        <v>0.31</v>
      </c>
      <c r="C330">
        <f t="shared" si="57"/>
        <v>603001318.29153192</v>
      </c>
      <c r="E330">
        <f t="shared" si="58"/>
        <v>8843.9137136602913</v>
      </c>
      <c r="F330" s="28">
        <v>0.31</v>
      </c>
      <c r="G330">
        <f t="shared" si="59"/>
        <v>1935.477658567077</v>
      </c>
      <c r="I330">
        <f t="shared" si="60"/>
        <v>789820454.33266294</v>
      </c>
      <c r="J330" s="28">
        <v>0.31</v>
      </c>
      <c r="K330">
        <f t="shared" si="61"/>
        <v>789931726.96190691</v>
      </c>
      <c r="M330">
        <f t="shared" si="62"/>
        <v>8782.8852081158675</v>
      </c>
      <c r="N330" s="28">
        <v>0.31</v>
      </c>
      <c r="O330">
        <f t="shared" si="63"/>
        <v>2535.4757327228708</v>
      </c>
      <c r="Q330">
        <f t="shared" si="64"/>
        <v>186925109.97374424</v>
      </c>
      <c r="R330" s="28">
        <v>0.31</v>
      </c>
      <c r="S330">
        <f t="shared" si="65"/>
        <v>186931008.6703749</v>
      </c>
      <c r="U330">
        <f t="shared" si="66"/>
        <v>624337.36590967083</v>
      </c>
      <c r="V330" s="48">
        <v>0.31</v>
      </c>
      <c r="W330">
        <f t="shared" si="67"/>
        <v>642961.83059791569</v>
      </c>
      <c r="Y330">
        <f t="shared" si="68"/>
        <v>5368.2019499972157</v>
      </c>
      <c r="Z330" s="28">
        <v>0.31</v>
      </c>
      <c r="AA330">
        <f t="shared" si="69"/>
        <v>1929.6750425996761</v>
      </c>
    </row>
    <row r="331" spans="1:27" x14ac:dyDescent="0.2">
      <c r="A331">
        <f t="shared" si="56"/>
        <v>622830469.45687687</v>
      </c>
      <c r="B331" s="28">
        <v>0.311</v>
      </c>
      <c r="C331">
        <f t="shared" si="57"/>
        <v>622936443.38949013</v>
      </c>
      <c r="E331">
        <f t="shared" si="58"/>
        <v>8850.1368970491112</v>
      </c>
      <c r="F331" s="28">
        <v>0.311</v>
      </c>
      <c r="G331">
        <f t="shared" si="59"/>
        <v>1929.2544751782568</v>
      </c>
      <c r="I331">
        <f t="shared" si="60"/>
        <v>816558404.65437746</v>
      </c>
      <c r="J331" s="28">
        <v>0.311</v>
      </c>
      <c r="K331">
        <f t="shared" si="61"/>
        <v>816669677.28362143</v>
      </c>
      <c r="M331">
        <f t="shared" si="62"/>
        <v>8789.1083238800438</v>
      </c>
      <c r="N331" s="28">
        <v>0.311</v>
      </c>
      <c r="O331">
        <f t="shared" si="63"/>
        <v>2529.2526169586945</v>
      </c>
      <c r="Q331">
        <f t="shared" si="64"/>
        <v>193727935.19750077</v>
      </c>
      <c r="R331" s="28">
        <v>0.311</v>
      </c>
      <c r="S331">
        <f t="shared" si="65"/>
        <v>193733833.89413142</v>
      </c>
      <c r="U331">
        <f t="shared" si="66"/>
        <v>634428.65703936759</v>
      </c>
      <c r="V331" s="48">
        <v>0.311</v>
      </c>
      <c r="W331">
        <f t="shared" si="67"/>
        <v>653053.12172761245</v>
      </c>
      <c r="Y331">
        <f t="shared" si="68"/>
        <v>5374.2992080861168</v>
      </c>
      <c r="Z331" s="28">
        <v>0.311</v>
      </c>
      <c r="AA331">
        <f t="shared" si="69"/>
        <v>1923.5777845107752</v>
      </c>
    </row>
    <row r="332" spans="1:27" x14ac:dyDescent="0.2">
      <c r="A332">
        <f t="shared" si="56"/>
        <v>643413757.77156413</v>
      </c>
      <c r="B332" s="28">
        <v>0.312</v>
      </c>
      <c r="C332">
        <f t="shared" si="57"/>
        <v>643519731.70417738</v>
      </c>
      <c r="E332">
        <f t="shared" si="58"/>
        <v>8856.3201960042225</v>
      </c>
      <c r="F332" s="28">
        <v>0.312</v>
      </c>
      <c r="G332">
        <f t="shared" si="59"/>
        <v>1923.0711762231465</v>
      </c>
      <c r="I332">
        <f t="shared" si="60"/>
        <v>844186615.36663675</v>
      </c>
      <c r="J332" s="28">
        <v>0.312</v>
      </c>
      <c r="K332">
        <f t="shared" si="61"/>
        <v>844297887.99588072</v>
      </c>
      <c r="M332">
        <f t="shared" si="62"/>
        <v>8795.2915576339692</v>
      </c>
      <c r="N332" s="28">
        <v>0.312</v>
      </c>
      <c r="O332">
        <f t="shared" si="63"/>
        <v>2523.0693832047682</v>
      </c>
      <c r="Q332">
        <f t="shared" si="64"/>
        <v>200772857.59507269</v>
      </c>
      <c r="R332" s="28">
        <v>0.312</v>
      </c>
      <c r="S332">
        <f t="shared" si="65"/>
        <v>200778756.29170334</v>
      </c>
      <c r="U332">
        <f t="shared" si="66"/>
        <v>644684.49896605033</v>
      </c>
      <c r="V332" s="48">
        <v>0.312</v>
      </c>
      <c r="W332">
        <f t="shared" si="67"/>
        <v>663308.96365429519</v>
      </c>
      <c r="Y332">
        <f t="shared" si="68"/>
        <v>5380.3593700744959</v>
      </c>
      <c r="Z332" s="28">
        <v>0.312</v>
      </c>
      <c r="AA332">
        <f t="shared" si="69"/>
        <v>1917.5176225223961</v>
      </c>
    </row>
    <row r="333" spans="1:27" x14ac:dyDescent="0.2">
      <c r="A333">
        <f t="shared" si="56"/>
        <v>664665901.80211246</v>
      </c>
      <c r="B333" s="28">
        <v>0.313</v>
      </c>
      <c r="C333">
        <f t="shared" si="57"/>
        <v>664771875.73472571</v>
      </c>
      <c r="E333">
        <f t="shared" si="58"/>
        <v>8862.4639925214778</v>
      </c>
      <c r="F333" s="28">
        <v>0.313</v>
      </c>
      <c r="G333">
        <f t="shared" si="59"/>
        <v>1916.9273797058902</v>
      </c>
      <c r="I333">
        <f t="shared" si="60"/>
        <v>872734200.21045089</v>
      </c>
      <c r="J333" s="28">
        <v>0.313</v>
      </c>
      <c r="K333">
        <f t="shared" si="61"/>
        <v>872845472.83969486</v>
      </c>
      <c r="M333">
        <f t="shared" si="62"/>
        <v>8801.4352912849045</v>
      </c>
      <c r="N333" s="28">
        <v>0.313</v>
      </c>
      <c r="O333">
        <f t="shared" si="63"/>
        <v>2516.9256495538339</v>
      </c>
      <c r="Q333">
        <f t="shared" si="64"/>
        <v>208068298.40833849</v>
      </c>
      <c r="R333" s="28">
        <v>0.313</v>
      </c>
      <c r="S333">
        <f t="shared" si="65"/>
        <v>208074197.10496914</v>
      </c>
      <c r="U333">
        <f t="shared" si="66"/>
        <v>655107.63660682936</v>
      </c>
      <c r="V333" s="48">
        <v>0.313</v>
      </c>
      <c r="W333">
        <f t="shared" si="67"/>
        <v>673732.10129507422</v>
      </c>
      <c r="Y333">
        <f t="shared" si="68"/>
        <v>5386.3827547135024</v>
      </c>
      <c r="Z333" s="28">
        <v>0.313</v>
      </c>
      <c r="AA333">
        <f t="shared" si="69"/>
        <v>1911.4942378833891</v>
      </c>
    </row>
    <row r="334" spans="1:27" x14ac:dyDescent="0.2">
      <c r="A334">
        <f t="shared" si="56"/>
        <v>686608241.83669746</v>
      </c>
      <c r="B334" s="28">
        <v>0.314</v>
      </c>
      <c r="C334">
        <f t="shared" si="57"/>
        <v>686714215.76931071</v>
      </c>
      <c r="E334">
        <f t="shared" si="58"/>
        <v>8868.5686637410672</v>
      </c>
      <c r="F334" s="28">
        <v>0.314</v>
      </c>
      <c r="G334">
        <f t="shared" si="59"/>
        <v>1910.8227084863015</v>
      </c>
      <c r="I334">
        <f t="shared" si="60"/>
        <v>902231206.89163029</v>
      </c>
      <c r="J334" s="28">
        <v>0.314</v>
      </c>
      <c r="K334">
        <f t="shared" si="61"/>
        <v>902342479.52087426</v>
      </c>
      <c r="M334">
        <f t="shared" si="62"/>
        <v>8807.5399018877379</v>
      </c>
      <c r="N334" s="28">
        <v>0.314</v>
      </c>
      <c r="O334">
        <f t="shared" si="63"/>
        <v>2510.8210389510009</v>
      </c>
      <c r="Q334">
        <f t="shared" si="64"/>
        <v>215622965.05493289</v>
      </c>
      <c r="R334" s="28">
        <v>0.314</v>
      </c>
      <c r="S334">
        <f t="shared" si="65"/>
        <v>215628863.75156355</v>
      </c>
      <c r="U334">
        <f t="shared" si="66"/>
        <v>665700.86140139995</v>
      </c>
      <c r="V334" s="48">
        <v>0.314</v>
      </c>
      <c r="W334">
        <f t="shared" si="67"/>
        <v>684325.3260896448</v>
      </c>
      <c r="Y334">
        <f t="shared" si="68"/>
        <v>5392.3696773747661</v>
      </c>
      <c r="Z334" s="28">
        <v>0.314</v>
      </c>
      <c r="AA334">
        <f t="shared" si="69"/>
        <v>1905.5073152221257</v>
      </c>
    </row>
    <row r="335" spans="1:27" x14ac:dyDescent="0.2">
      <c r="A335">
        <f t="shared" si="56"/>
        <v>709262785.81570601</v>
      </c>
      <c r="B335" s="28">
        <v>0.315</v>
      </c>
      <c r="C335">
        <f t="shared" si="57"/>
        <v>709368759.74831927</v>
      </c>
      <c r="E335">
        <f t="shared" si="58"/>
        <v>8874.6345820241768</v>
      </c>
      <c r="F335" s="28">
        <v>0.315</v>
      </c>
      <c r="G335">
        <f t="shared" si="59"/>
        <v>1904.7567902031906</v>
      </c>
      <c r="I335">
        <f t="shared" si="60"/>
        <v>932708646.43979585</v>
      </c>
      <c r="J335" s="28">
        <v>0.315</v>
      </c>
      <c r="K335">
        <f t="shared" si="61"/>
        <v>932819919.06903982</v>
      </c>
      <c r="M335">
        <f t="shared" si="62"/>
        <v>8813.6057617215429</v>
      </c>
      <c r="N335" s="28">
        <v>0.315</v>
      </c>
      <c r="O335">
        <f t="shared" si="63"/>
        <v>2504.7551791171954</v>
      </c>
      <c r="Q335">
        <f t="shared" si="64"/>
        <v>223445860.6240899</v>
      </c>
      <c r="R335" s="28">
        <v>0.315</v>
      </c>
      <c r="S335">
        <f t="shared" si="65"/>
        <v>223451759.32072055</v>
      </c>
      <c r="U335">
        <f t="shared" si="66"/>
        <v>676467.01211003272</v>
      </c>
      <c r="V335" s="48">
        <v>0.315</v>
      </c>
      <c r="W335">
        <f t="shared" si="67"/>
        <v>695091.47679827758</v>
      </c>
      <c r="Y335">
        <f t="shared" si="68"/>
        <v>5398.3204500914362</v>
      </c>
      <c r="Z335" s="28">
        <v>0.315</v>
      </c>
      <c r="AA335">
        <f t="shared" si="69"/>
        <v>1899.5565425054551</v>
      </c>
    </row>
    <row r="336" spans="1:27" x14ac:dyDescent="0.2">
      <c r="A336">
        <f t="shared" si="56"/>
        <v>732652229.79091978</v>
      </c>
      <c r="B336" s="28">
        <v>0.316</v>
      </c>
      <c r="C336">
        <f t="shared" si="57"/>
        <v>732758203.72353303</v>
      </c>
      <c r="E336">
        <f t="shared" si="58"/>
        <v>8880.6621150282426</v>
      </c>
      <c r="F336" s="28">
        <v>0.316</v>
      </c>
      <c r="G336">
        <f t="shared" si="59"/>
        <v>1898.7292571991252</v>
      </c>
      <c r="I336">
        <f t="shared" si="60"/>
        <v>964198523.47092569</v>
      </c>
      <c r="J336" s="28">
        <v>0.316</v>
      </c>
      <c r="K336">
        <f t="shared" si="61"/>
        <v>964309796.10016966</v>
      </c>
      <c r="M336">
        <f t="shared" si="62"/>
        <v>8819.6332383646895</v>
      </c>
      <c r="N336" s="28">
        <v>0.316</v>
      </c>
      <c r="O336">
        <f t="shared" si="63"/>
        <v>2498.7277024740488</v>
      </c>
      <c r="Q336">
        <f t="shared" si="64"/>
        <v>231546293.68000579</v>
      </c>
      <c r="R336" s="28">
        <v>0.316</v>
      </c>
      <c r="S336">
        <f t="shared" si="65"/>
        <v>231552192.37663645</v>
      </c>
      <c r="U336">
        <f t="shared" si="66"/>
        <v>687408.97562538111</v>
      </c>
      <c r="V336" s="48">
        <v>0.316</v>
      </c>
      <c r="W336">
        <f t="shared" si="67"/>
        <v>706033.44031362596</v>
      </c>
      <c r="Y336">
        <f t="shared" si="68"/>
        <v>5404.2353815986817</v>
      </c>
      <c r="Z336" s="28">
        <v>0.316</v>
      </c>
      <c r="AA336">
        <f t="shared" si="69"/>
        <v>1893.6416109982101</v>
      </c>
    </row>
    <row r="337" spans="1:27" x14ac:dyDescent="0.2">
      <c r="A337">
        <f t="shared" si="56"/>
        <v>756799978.9980756</v>
      </c>
      <c r="B337" s="28">
        <v>0.317</v>
      </c>
      <c r="C337">
        <f t="shared" si="57"/>
        <v>756905952.93068886</v>
      </c>
      <c r="E337">
        <f t="shared" si="58"/>
        <v>8886.6516257807598</v>
      </c>
      <c r="F337" s="28">
        <v>0.317</v>
      </c>
      <c r="G337">
        <f t="shared" si="59"/>
        <v>1892.7397464466083</v>
      </c>
      <c r="I337">
        <f t="shared" si="60"/>
        <v>996733867.38047302</v>
      </c>
      <c r="J337" s="28">
        <v>0.317</v>
      </c>
      <c r="K337">
        <f t="shared" si="61"/>
        <v>996845140.00971699</v>
      </c>
      <c r="M337">
        <f t="shared" si="62"/>
        <v>8825.6226947685554</v>
      </c>
      <c r="N337" s="28">
        <v>0.317</v>
      </c>
      <c r="O337">
        <f t="shared" si="63"/>
        <v>2492.7382460701829</v>
      </c>
      <c r="Q337">
        <f t="shared" si="64"/>
        <v>239933888.38239771</v>
      </c>
      <c r="R337" s="28">
        <v>0.317</v>
      </c>
      <c r="S337">
        <f t="shared" si="65"/>
        <v>239939787.07902837</v>
      </c>
      <c r="U337">
        <f t="shared" si="66"/>
        <v>698529.68779834814</v>
      </c>
      <c r="V337" s="48">
        <v>0.317</v>
      </c>
      <c r="W337">
        <f t="shared" si="67"/>
        <v>717154.152486593</v>
      </c>
      <c r="Y337">
        <f t="shared" si="68"/>
        <v>5410.114777373642</v>
      </c>
      <c r="Z337" s="28">
        <v>0.317</v>
      </c>
      <c r="AA337">
        <f t="shared" si="69"/>
        <v>1887.7622152232495</v>
      </c>
    </row>
    <row r="338" spans="1:27" x14ac:dyDescent="0.2">
      <c r="A338">
        <f t="shared" si="56"/>
        <v>781730169.56085956</v>
      </c>
      <c r="B338" s="28">
        <v>0.318</v>
      </c>
      <c r="C338">
        <f t="shared" si="57"/>
        <v>781836143.49347281</v>
      </c>
      <c r="E338">
        <f t="shared" si="58"/>
        <v>8892.6034727517399</v>
      </c>
      <c r="F338" s="28">
        <v>0.318</v>
      </c>
      <c r="G338">
        <f t="shared" si="59"/>
        <v>1886.787899475629</v>
      </c>
      <c r="I338">
        <f t="shared" si="60"/>
        <v>1030348764.4951533</v>
      </c>
      <c r="J338" s="28">
        <v>0.318</v>
      </c>
      <c r="K338">
        <f t="shared" si="61"/>
        <v>1030460037.1243973</v>
      </c>
      <c r="M338">
        <f t="shared" si="62"/>
        <v>8831.5744893298597</v>
      </c>
      <c r="N338" s="28">
        <v>0.318</v>
      </c>
      <c r="O338">
        <f t="shared" si="63"/>
        <v>2486.7864515088791</v>
      </c>
      <c r="Q338">
        <f t="shared" si="64"/>
        <v>248618594.93429369</v>
      </c>
      <c r="R338" s="28">
        <v>0.318</v>
      </c>
      <c r="S338">
        <f t="shared" si="65"/>
        <v>248624493.63092434</v>
      </c>
      <c r="U338">
        <f t="shared" si="66"/>
        <v>709832.1342782554</v>
      </c>
      <c r="V338" s="48">
        <v>0.318</v>
      </c>
      <c r="W338">
        <f t="shared" si="67"/>
        <v>728456.59896650026</v>
      </c>
      <c r="Y338">
        <f t="shared" si="68"/>
        <v>5415.9589396748597</v>
      </c>
      <c r="Z338" s="28">
        <v>0.318</v>
      </c>
      <c r="AA338">
        <f t="shared" si="69"/>
        <v>1881.9180529220323</v>
      </c>
    </row>
    <row r="339" spans="1:27" x14ac:dyDescent="0.2">
      <c r="A339">
        <f t="shared" si="56"/>
        <v>807467690.84477425</v>
      </c>
      <c r="B339" s="28">
        <v>0.31900000000000001</v>
      </c>
      <c r="C339">
        <f t="shared" si="57"/>
        <v>807573664.7773875</v>
      </c>
      <c r="E339">
        <f t="shared" si="58"/>
        <v>8898.5180099248028</v>
      </c>
      <c r="F339" s="28">
        <v>0.31900000000000001</v>
      </c>
      <c r="G339">
        <f t="shared" si="59"/>
        <v>1880.8733623025657</v>
      </c>
      <c r="I339">
        <f t="shared" si="60"/>
        <v>1065078391.2121301</v>
      </c>
      <c r="J339" s="28">
        <v>0.31900000000000001</v>
      </c>
      <c r="K339">
        <f t="shared" si="61"/>
        <v>1065189663.841374</v>
      </c>
      <c r="M339">
        <f t="shared" si="62"/>
        <v>8837.4889759616544</v>
      </c>
      <c r="N339" s="28">
        <v>0.31900000000000001</v>
      </c>
      <c r="O339">
        <f t="shared" si="63"/>
        <v>2480.8719648770843</v>
      </c>
      <c r="Q339">
        <f t="shared" si="64"/>
        <v>257610700.36735594</v>
      </c>
      <c r="R339" s="28">
        <v>0.31900000000000001</v>
      </c>
      <c r="S339">
        <f t="shared" si="65"/>
        <v>257616599.0639866</v>
      </c>
      <c r="U339">
        <f t="shared" si="66"/>
        <v>721319.35136756755</v>
      </c>
      <c r="V339" s="48">
        <v>0.31900000000000001</v>
      </c>
      <c r="W339">
        <f t="shared" si="67"/>
        <v>739943.81605581241</v>
      </c>
      <c r="Y339">
        <f t="shared" si="68"/>
        <v>5421.7681675811791</v>
      </c>
      <c r="Z339" s="28">
        <v>0.31900000000000001</v>
      </c>
      <c r="AA339">
        <f t="shared" si="69"/>
        <v>1876.1088250157127</v>
      </c>
    </row>
    <row r="340" spans="1:27" x14ac:dyDescent="0.2">
      <c r="A340">
        <f t="shared" si="56"/>
        <v>834038208.47996414</v>
      </c>
      <c r="B340" s="28">
        <v>0.32</v>
      </c>
      <c r="C340">
        <f t="shared" si="57"/>
        <v>834144182.41257739</v>
      </c>
      <c r="E340">
        <f t="shared" si="58"/>
        <v>8904.3955868669618</v>
      </c>
      <c r="F340" s="28">
        <v>0.32</v>
      </c>
      <c r="G340">
        <f t="shared" si="59"/>
        <v>1874.9957853604067</v>
      </c>
      <c r="I340">
        <f t="shared" si="60"/>
        <v>1100959048.1553583</v>
      </c>
      <c r="J340" s="28">
        <v>0.32</v>
      </c>
      <c r="K340">
        <f t="shared" si="61"/>
        <v>1101070320.7846022</v>
      </c>
      <c r="M340">
        <f t="shared" si="62"/>
        <v>8843.3665041630011</v>
      </c>
      <c r="N340" s="28">
        <v>0.32</v>
      </c>
      <c r="O340">
        <f t="shared" si="63"/>
        <v>2474.9944366757368</v>
      </c>
      <c r="Q340">
        <f t="shared" si="64"/>
        <v>266920839.67539412</v>
      </c>
      <c r="R340" s="28">
        <v>0.32</v>
      </c>
      <c r="S340">
        <f t="shared" si="65"/>
        <v>266926738.37202477</v>
      </c>
      <c r="U340">
        <f t="shared" si="66"/>
        <v>732994.4268914205</v>
      </c>
      <c r="V340" s="48">
        <v>0.32</v>
      </c>
      <c r="W340">
        <f t="shared" si="67"/>
        <v>751618.89157966536</v>
      </c>
      <c r="Y340">
        <f t="shared" si="68"/>
        <v>5427.5427570301372</v>
      </c>
      <c r="Z340" s="28">
        <v>0.32</v>
      </c>
      <c r="AA340">
        <f t="shared" si="69"/>
        <v>1870.3342355667548</v>
      </c>
    </row>
    <row r="341" spans="1:27" x14ac:dyDescent="0.2">
      <c r="A341">
        <f t="shared" si="56"/>
        <v>861468188.0724597</v>
      </c>
      <c r="B341" s="28">
        <v>0.32100000000000001</v>
      </c>
      <c r="C341">
        <f t="shared" si="57"/>
        <v>861574162.00507295</v>
      </c>
      <c r="E341">
        <f t="shared" si="58"/>
        <v>8910.2365487971019</v>
      </c>
      <c r="F341" s="28">
        <v>0.32100000000000001</v>
      </c>
      <c r="G341">
        <f t="shared" si="59"/>
        <v>1869.1548234302668</v>
      </c>
      <c r="I341">
        <f t="shared" si="60"/>
        <v>1138028195.3794577</v>
      </c>
      <c r="J341" s="28">
        <v>0.32100000000000001</v>
      </c>
      <c r="K341">
        <f t="shared" si="61"/>
        <v>1138139468.0087016</v>
      </c>
      <c r="M341">
        <f t="shared" si="62"/>
        <v>8849.2074190873573</v>
      </c>
      <c r="N341" s="28">
        <v>0.32100000000000001</v>
      </c>
      <c r="O341">
        <f t="shared" si="63"/>
        <v>2469.153521751382</v>
      </c>
      <c r="Q341">
        <f t="shared" si="64"/>
        <v>276560007.30699778</v>
      </c>
      <c r="R341" s="28">
        <v>0.32100000000000001</v>
      </c>
      <c r="S341">
        <f t="shared" si="65"/>
        <v>276565906.00362843</v>
      </c>
      <c r="U341">
        <f t="shared" si="66"/>
        <v>744860.50108222256</v>
      </c>
      <c r="V341" s="48">
        <v>0.32100000000000001</v>
      </c>
      <c r="W341">
        <f t="shared" si="67"/>
        <v>763484.96577046742</v>
      </c>
      <c r="Y341">
        <f t="shared" si="68"/>
        <v>5433.2830008558403</v>
      </c>
      <c r="Z341" s="28">
        <v>0.32100000000000001</v>
      </c>
      <c r="AA341">
        <f t="shared" si="69"/>
        <v>1864.5939917410517</v>
      </c>
    </row>
    <row r="342" spans="1:27" x14ac:dyDescent="0.2">
      <c r="A342">
        <f t="shared" ref="A342:A405" si="70">ABS($D$11-C342)</f>
        <v>889784919.62412405</v>
      </c>
      <c r="B342" s="28">
        <v>0.32200000000000001</v>
      </c>
      <c r="C342">
        <f t="shared" ref="C342:C405" si="71">($B$4)*(((1+B342)^($B$6*$B$5))-1)/B342</f>
        <v>889890893.5567373</v>
      </c>
      <c r="E342">
        <f t="shared" ref="E342:E405" si="72">ABS($E$12-G342)</f>
        <v>8916.0412366532073</v>
      </c>
      <c r="F342" s="28">
        <v>0.32200000000000001</v>
      </c>
      <c r="G342">
        <f t="shared" ref="G342:G405" si="73">$B$4*(((1-(1+F342)^(-$B$5*$B$6)))/F342)</f>
        <v>1863.3501355741619</v>
      </c>
      <c r="I342">
        <f t="shared" ref="I342:I405" si="74">ABS($F$11-K342)</f>
        <v>1176324488.6527631</v>
      </c>
      <c r="J342" s="28">
        <v>0.32200000000000001</v>
      </c>
      <c r="K342">
        <f t="shared" ref="K342:K405" si="75">($B$4*(1+J342)*(((1+J342)^($B$6*$B$5))-1))/J342</f>
        <v>1176435761.282007</v>
      </c>
      <c r="M342">
        <f t="shared" ref="M342:M405" si="76">ABS($G$12-O342)</f>
        <v>8855.0120616096956</v>
      </c>
      <c r="N342" s="28">
        <v>0.32200000000000001</v>
      </c>
      <c r="O342">
        <f t="shared" ref="O342:O405" si="77">($B$4*(1+N342)*(1-((1+N342)^(-$B$6*$B$5))))/N342</f>
        <v>2463.3488792290423</v>
      </c>
      <c r="Q342">
        <f t="shared" ref="Q342:Q405" si="78">ABS($H$11-S342)</f>
        <v>286539569.02863878</v>
      </c>
      <c r="R342" s="28">
        <v>0.32200000000000001</v>
      </c>
      <c r="S342">
        <f t="shared" ref="S342:S405" si="79">$B$3*((1+R342)^($B$6*$B$5))</f>
        <v>286545467.72526944</v>
      </c>
      <c r="U342">
        <f t="shared" ref="U342:U405" si="80">ABS($I$11-W342)</f>
        <v>756920.76747957605</v>
      </c>
      <c r="V342" s="48">
        <v>0.32200000000000001</v>
      </c>
      <c r="W342">
        <f t="shared" ref="W342:W405" si="81">($B$4*(EXP(V342*$B$6)-1))/V342</f>
        <v>775545.23216782091</v>
      </c>
      <c r="Y342">
        <f t="shared" ref="Y342:Y405" si="82">ABS($I$12-AA342)</f>
        <v>5438.989188826341</v>
      </c>
      <c r="Z342" s="28">
        <v>0.32200000000000001</v>
      </c>
      <c r="AA342">
        <f t="shared" ref="AA342:AA405" si="83">$B$4*(1-EXP(-Z342*$B$6))/Z342</f>
        <v>1858.8878037705504</v>
      </c>
    </row>
    <row r="343" spans="1:27" x14ac:dyDescent="0.2">
      <c r="A343">
        <f t="shared" si="70"/>
        <v>919016542.68179893</v>
      </c>
      <c r="B343" s="28">
        <v>0.32300000000000001</v>
      </c>
      <c r="C343">
        <f t="shared" si="71"/>
        <v>919122516.61441219</v>
      </c>
      <c r="E343">
        <f t="shared" si="72"/>
        <v>8921.8099871583399</v>
      </c>
      <c r="F343" s="28">
        <v>0.32300000000000001</v>
      </c>
      <c r="G343">
        <f t="shared" si="73"/>
        <v>1857.581385069029</v>
      </c>
      <c r="I343">
        <f t="shared" si="74"/>
        <v>1215887816.8516233</v>
      </c>
      <c r="J343" s="28">
        <v>0.32300000000000001</v>
      </c>
      <c r="K343">
        <f t="shared" si="75"/>
        <v>1215999089.4808671</v>
      </c>
      <c r="M343">
        <f t="shared" si="76"/>
        <v>8860.7807683924129</v>
      </c>
      <c r="N343" s="28">
        <v>0.32300000000000001</v>
      </c>
      <c r="O343">
        <f t="shared" si="77"/>
        <v>2457.5801724463254</v>
      </c>
      <c r="Q343">
        <f t="shared" si="78"/>
        <v>296871274.16982448</v>
      </c>
      <c r="R343" s="28">
        <v>0.32300000000000001</v>
      </c>
      <c r="S343">
        <f t="shared" si="79"/>
        <v>296877172.86645514</v>
      </c>
      <c r="U343">
        <f t="shared" si="80"/>
        <v>769178.47384580283</v>
      </c>
      <c r="V343" s="48">
        <v>0.32300000000000001</v>
      </c>
      <c r="W343">
        <f t="shared" si="81"/>
        <v>787802.93853404769</v>
      </c>
      <c r="Y343">
        <f t="shared" si="82"/>
        <v>5444.6616076805267</v>
      </c>
      <c r="Z343" s="28">
        <v>0.32300000000000001</v>
      </c>
      <c r="AA343">
        <f t="shared" si="83"/>
        <v>1853.2153849163649</v>
      </c>
    </row>
    <row r="344" spans="1:27" x14ac:dyDescent="0.2">
      <c r="A344">
        <f t="shared" si="70"/>
        <v>949192072.2371527</v>
      </c>
      <c r="B344" s="28">
        <v>0.32400000000000001</v>
      </c>
      <c r="C344">
        <f t="shared" si="71"/>
        <v>949298046.16976595</v>
      </c>
      <c r="E344">
        <f t="shared" si="72"/>
        <v>8927.5431328854174</v>
      </c>
      <c r="F344" s="28">
        <v>0.32400000000000001</v>
      </c>
      <c r="G344">
        <f t="shared" si="73"/>
        <v>1851.8482393419501</v>
      </c>
      <c r="I344">
        <f t="shared" si="74"/>
        <v>1256759340.4995265</v>
      </c>
      <c r="J344" s="28">
        <v>0.32400000000000001</v>
      </c>
      <c r="K344">
        <f t="shared" si="75"/>
        <v>1256870613.1287704</v>
      </c>
      <c r="M344">
        <f t="shared" si="76"/>
        <v>8866.5138719499955</v>
      </c>
      <c r="N344" s="28">
        <v>0.32400000000000001</v>
      </c>
      <c r="O344">
        <f t="shared" si="77"/>
        <v>2451.8470688887423</v>
      </c>
      <c r="Q344">
        <f t="shared" si="78"/>
        <v>307567268.26237351</v>
      </c>
      <c r="R344" s="28">
        <v>0.32400000000000001</v>
      </c>
      <c r="S344">
        <f t="shared" si="79"/>
        <v>307573166.95900416</v>
      </c>
      <c r="U344">
        <f t="shared" si="80"/>
        <v>781636.92309733294</v>
      </c>
      <c r="V344" s="48">
        <v>0.32400000000000001</v>
      </c>
      <c r="W344">
        <f t="shared" si="81"/>
        <v>800261.3877855778</v>
      </c>
      <c r="Y344">
        <f t="shared" si="82"/>
        <v>5450.3005411645081</v>
      </c>
      <c r="Z344" s="28">
        <v>0.32400000000000001</v>
      </c>
      <c r="AA344">
        <f t="shared" si="83"/>
        <v>1847.5764514323835</v>
      </c>
    </row>
    <row r="345" spans="1:27" x14ac:dyDescent="0.2">
      <c r="A345">
        <f t="shared" si="70"/>
        <v>980341425.39893222</v>
      </c>
      <c r="B345" s="28">
        <v>0.32500000000000001</v>
      </c>
      <c r="C345">
        <f t="shared" si="71"/>
        <v>980447399.33154547</v>
      </c>
      <c r="E345">
        <f t="shared" si="72"/>
        <v>8933.2410023208031</v>
      </c>
      <c r="F345" s="28">
        <v>0.32500000000000001</v>
      </c>
      <c r="G345">
        <f t="shared" si="73"/>
        <v>1846.1503699065654</v>
      </c>
      <c r="I345">
        <f t="shared" si="74"/>
        <v>1298981531.4850538</v>
      </c>
      <c r="J345" s="28">
        <v>0.32500000000000001</v>
      </c>
      <c r="K345">
        <f t="shared" si="75"/>
        <v>1299092804.1142976</v>
      </c>
      <c r="M345">
        <f t="shared" si="76"/>
        <v>8872.2117007125398</v>
      </c>
      <c r="N345" s="28">
        <v>0.32500000000000001</v>
      </c>
      <c r="O345">
        <f t="shared" si="77"/>
        <v>2446.1492401261989</v>
      </c>
      <c r="Q345">
        <f t="shared" si="78"/>
        <v>318640106.08612162</v>
      </c>
      <c r="R345" s="28">
        <v>0.32500000000000001</v>
      </c>
      <c r="S345">
        <f t="shared" si="79"/>
        <v>318646004.78275228</v>
      </c>
      <c r="U345">
        <f t="shared" si="80"/>
        <v>794299.47425224434</v>
      </c>
      <c r="V345" s="48">
        <v>0.32500000000000001</v>
      </c>
      <c r="W345">
        <f t="shared" si="81"/>
        <v>812923.9389404892</v>
      </c>
      <c r="Y345">
        <f t="shared" si="82"/>
        <v>5455.9062700675413</v>
      </c>
      <c r="Z345" s="28">
        <v>0.32500000000000001</v>
      </c>
      <c r="AA345">
        <f t="shared" si="83"/>
        <v>1841.9707225293503</v>
      </c>
    </row>
    <row r="346" spans="1:27" x14ac:dyDescent="0.2">
      <c r="A346">
        <f t="shared" si="70"/>
        <v>1012495448.860312</v>
      </c>
      <c r="B346" s="28">
        <v>0.32600000000000001</v>
      </c>
      <c r="C346">
        <f t="shared" si="71"/>
        <v>1012601422.7929252</v>
      </c>
      <c r="E346">
        <f t="shared" si="72"/>
        <v>8938.9039199267245</v>
      </c>
      <c r="F346" s="28">
        <v>0.32600000000000001</v>
      </c>
      <c r="G346">
        <f t="shared" si="73"/>
        <v>1840.4874523006445</v>
      </c>
      <c r="I346">
        <f t="shared" si="74"/>
        <v>1342598213.994175</v>
      </c>
      <c r="J346" s="28">
        <v>0.32600000000000001</v>
      </c>
      <c r="K346">
        <f t="shared" si="75"/>
        <v>1342709486.6234188</v>
      </c>
      <c r="M346">
        <f t="shared" si="76"/>
        <v>8877.8745790880839</v>
      </c>
      <c r="N346" s="28">
        <v>0.32600000000000001</v>
      </c>
      <c r="O346">
        <f t="shared" si="77"/>
        <v>2440.4863617506544</v>
      </c>
      <c r="Q346">
        <f t="shared" si="78"/>
        <v>330102765.13386297</v>
      </c>
      <c r="R346" s="28">
        <v>0.32600000000000001</v>
      </c>
      <c r="S346">
        <f t="shared" si="79"/>
        <v>330108663.83049363</v>
      </c>
      <c r="U346">
        <f t="shared" si="80"/>
        <v>807169.54339422646</v>
      </c>
      <c r="V346" s="48">
        <v>0.32600000000000001</v>
      </c>
      <c r="W346">
        <f t="shared" si="81"/>
        <v>825794.00808247132</v>
      </c>
      <c r="Y346">
        <f t="shared" si="82"/>
        <v>5461.4790722574671</v>
      </c>
      <c r="Z346" s="28">
        <v>0.32600000000000001</v>
      </c>
      <c r="AA346">
        <f t="shared" si="83"/>
        <v>1836.3979203394247</v>
      </c>
    </row>
    <row r="347" spans="1:27" x14ac:dyDescent="0.2">
      <c r="A347">
        <f t="shared" si="70"/>
        <v>1045685947.1843219</v>
      </c>
      <c r="B347" s="28">
        <v>0.32700000000000001</v>
      </c>
      <c r="C347">
        <f t="shared" si="71"/>
        <v>1045791921.1169351</v>
      </c>
      <c r="E347">
        <f t="shared" si="72"/>
        <v>8944.5322062025716</v>
      </c>
      <c r="F347" s="28">
        <v>0.32700000000000001</v>
      </c>
      <c r="G347">
        <f t="shared" si="73"/>
        <v>1834.8591660247971</v>
      </c>
      <c r="I347">
        <f t="shared" si="74"/>
        <v>1387654606.692929</v>
      </c>
      <c r="J347" s="28">
        <v>0.32700000000000001</v>
      </c>
      <c r="K347">
        <f t="shared" si="75"/>
        <v>1387765879.3221729</v>
      </c>
      <c r="M347">
        <f t="shared" si="76"/>
        <v>8883.5028275238328</v>
      </c>
      <c r="N347" s="28">
        <v>0.32700000000000001</v>
      </c>
      <c r="O347">
        <f t="shared" si="77"/>
        <v>2434.8581133149055</v>
      </c>
      <c r="Q347">
        <f t="shared" si="78"/>
        <v>341968659.50860715</v>
      </c>
      <c r="R347" s="28">
        <v>0.32700000000000001</v>
      </c>
      <c r="S347">
        <f t="shared" si="79"/>
        <v>341974558.20523781</v>
      </c>
      <c r="U347">
        <f t="shared" si="80"/>
        <v>820250.60465326207</v>
      </c>
      <c r="V347" s="48">
        <v>0.32700000000000001</v>
      </c>
      <c r="W347">
        <f t="shared" si="81"/>
        <v>838875.06934150693</v>
      </c>
      <c r="Y347">
        <f t="shared" si="82"/>
        <v>5467.0192227156858</v>
      </c>
      <c r="Z347" s="28">
        <v>0.32700000000000001</v>
      </c>
      <c r="AA347">
        <f t="shared" si="83"/>
        <v>1830.857769881206</v>
      </c>
    </row>
    <row r="348" spans="1:27" x14ac:dyDescent="0.2">
      <c r="A348">
        <f t="shared" si="70"/>
        <v>1079945711.9313874</v>
      </c>
      <c r="B348" s="28">
        <v>0.32800000000000001</v>
      </c>
      <c r="C348">
        <f t="shared" si="71"/>
        <v>1080051685.8640006</v>
      </c>
      <c r="E348">
        <f t="shared" si="72"/>
        <v>8950.1261777450763</v>
      </c>
      <c r="F348" s="28">
        <v>0.32800000000000001</v>
      </c>
      <c r="G348">
        <f t="shared" si="73"/>
        <v>1829.2651944822917</v>
      </c>
      <c r="I348">
        <f t="shared" si="74"/>
        <v>1434197366.198149</v>
      </c>
      <c r="J348" s="28">
        <v>0.32800000000000001</v>
      </c>
      <c r="K348">
        <f t="shared" si="75"/>
        <v>1434308638.8273928</v>
      </c>
      <c r="M348">
        <f t="shared" si="76"/>
        <v>8889.0967625662561</v>
      </c>
      <c r="N348" s="28">
        <v>0.32800000000000001</v>
      </c>
      <c r="O348">
        <f t="shared" si="77"/>
        <v>2429.2641782724832</v>
      </c>
      <c r="Q348">
        <f t="shared" si="78"/>
        <v>354251654.26676154</v>
      </c>
      <c r="R348" s="28">
        <v>0.32800000000000001</v>
      </c>
      <c r="S348">
        <f t="shared" si="79"/>
        <v>354257552.9633922</v>
      </c>
      <c r="U348">
        <f t="shared" si="80"/>
        <v>833546.19120331411</v>
      </c>
      <c r="V348" s="48">
        <v>0.32800000000000001</v>
      </c>
      <c r="W348">
        <f t="shared" si="81"/>
        <v>852170.65589155897</v>
      </c>
      <c r="Y348">
        <f t="shared" si="82"/>
        <v>5472.5269935716742</v>
      </c>
      <c r="Z348" s="28">
        <v>0.32800000000000001</v>
      </c>
      <c r="AA348">
        <f t="shared" si="83"/>
        <v>1825.3499990252176</v>
      </c>
    </row>
    <row r="349" spans="1:27" x14ac:dyDescent="0.2">
      <c r="A349">
        <f t="shared" si="70"/>
        <v>1115308551.653234</v>
      </c>
      <c r="B349" s="28">
        <v>0.32900000000000001</v>
      </c>
      <c r="C349">
        <f t="shared" si="71"/>
        <v>1115414525.5858471</v>
      </c>
      <c r="E349">
        <f t="shared" si="72"/>
        <v>8955.6861473074041</v>
      </c>
      <c r="F349" s="28">
        <v>0.32900000000000001</v>
      </c>
      <c r="G349">
        <f t="shared" si="73"/>
        <v>1823.7052249199646</v>
      </c>
      <c r="I349">
        <f t="shared" si="74"/>
        <v>1482274631.874347</v>
      </c>
      <c r="J349" s="28">
        <v>0.32900000000000001</v>
      </c>
      <c r="K349">
        <f t="shared" si="75"/>
        <v>1482385904.5035908</v>
      </c>
      <c r="M349">
        <f t="shared" si="76"/>
        <v>8894.6566969201049</v>
      </c>
      <c r="N349" s="28">
        <v>0.32900000000000001</v>
      </c>
      <c r="O349">
        <f t="shared" si="77"/>
        <v>2423.704243918633</v>
      </c>
      <c r="Q349">
        <f t="shared" si="78"/>
        <v>366966080.22111309</v>
      </c>
      <c r="R349" s="28">
        <v>0.32900000000000001</v>
      </c>
      <c r="S349">
        <f t="shared" si="79"/>
        <v>366971978.91774374</v>
      </c>
      <c r="U349">
        <f t="shared" si="80"/>
        <v>847059.89627731836</v>
      </c>
      <c r="V349" s="48">
        <v>0.32900000000000001</v>
      </c>
      <c r="W349">
        <f t="shared" si="81"/>
        <v>865684.36096556322</v>
      </c>
      <c r="Y349">
        <f t="shared" si="82"/>
        <v>5478.0026541370444</v>
      </c>
      <c r="Z349" s="28">
        <v>0.32900000000000001</v>
      </c>
      <c r="AA349">
        <f t="shared" si="83"/>
        <v>1819.8743384598474</v>
      </c>
    </row>
    <row r="350" spans="1:27" x14ac:dyDescent="0.2">
      <c r="A350">
        <f t="shared" si="70"/>
        <v>1151809322.7785988</v>
      </c>
      <c r="B350" s="28">
        <v>0.33</v>
      </c>
      <c r="C350">
        <f t="shared" si="71"/>
        <v>1151915296.7112119</v>
      </c>
      <c r="E350">
        <f t="shared" si="72"/>
        <v>8961.2124238571723</v>
      </c>
      <c r="F350" s="28">
        <v>0.33</v>
      </c>
      <c r="G350">
        <f t="shared" si="73"/>
        <v>1818.1789483701959</v>
      </c>
      <c r="I350">
        <f t="shared" si="74"/>
        <v>1531936071.9966681</v>
      </c>
      <c r="J350" s="28">
        <v>0.33</v>
      </c>
      <c r="K350">
        <f t="shared" si="75"/>
        <v>1532047344.625912</v>
      </c>
      <c r="M350">
        <f t="shared" si="76"/>
        <v>8900.1829395063778</v>
      </c>
      <c r="N350" s="28">
        <v>0.33</v>
      </c>
      <c r="O350">
        <f t="shared" si="77"/>
        <v>2418.1780013323605</v>
      </c>
      <c r="Q350">
        <f t="shared" si="78"/>
        <v>380126749.21806931</v>
      </c>
      <c r="R350" s="28">
        <v>0.33</v>
      </c>
      <c r="S350">
        <f t="shared" si="79"/>
        <v>380132647.91469997</v>
      </c>
      <c r="U350">
        <f t="shared" si="80"/>
        <v>860795.37419978005</v>
      </c>
      <c r="V350" s="48">
        <v>0.33</v>
      </c>
      <c r="W350">
        <f t="shared" si="81"/>
        <v>879419.83888802491</v>
      </c>
      <c r="Y350">
        <f t="shared" si="82"/>
        <v>5483.4464709391586</v>
      </c>
      <c r="Z350" s="28">
        <v>0.33</v>
      </c>
      <c r="AA350">
        <f t="shared" si="83"/>
        <v>1814.4305216577329</v>
      </c>
    </row>
    <row r="351" spans="1:27" x14ac:dyDescent="0.2">
      <c r="A351">
        <f t="shared" si="70"/>
        <v>1189483961.4164076</v>
      </c>
      <c r="B351" s="28">
        <v>0.33100000000000002</v>
      </c>
      <c r="C351">
        <f t="shared" si="71"/>
        <v>1189589935.3490207</v>
      </c>
      <c r="E351">
        <f t="shared" si="72"/>
        <v>8966.7053126334395</v>
      </c>
      <c r="F351" s="28">
        <v>0.33100000000000002</v>
      </c>
      <c r="G351">
        <f t="shared" si="73"/>
        <v>1812.6860595939288</v>
      </c>
      <c r="I351">
        <f t="shared" si="74"/>
        <v>1583232931.3203027</v>
      </c>
      <c r="J351" s="28">
        <v>0.33100000000000002</v>
      </c>
      <c r="K351">
        <f t="shared" si="75"/>
        <v>1583344203.9495466</v>
      </c>
      <c r="M351">
        <f t="shared" si="76"/>
        <v>8905.6757955192188</v>
      </c>
      <c r="N351" s="28">
        <v>0.33100000000000002</v>
      </c>
      <c r="O351">
        <f t="shared" si="77"/>
        <v>2412.6851453195191</v>
      </c>
      <c r="Q351">
        <f t="shared" si="78"/>
        <v>393748969.90389526</v>
      </c>
      <c r="R351" s="28">
        <v>0.33100000000000002</v>
      </c>
      <c r="S351">
        <f t="shared" si="79"/>
        <v>393754868.60052592</v>
      </c>
      <c r="U351">
        <f t="shared" si="80"/>
        <v>874756.34143728786</v>
      </c>
      <c r="V351" s="48">
        <v>0.33100000000000002</v>
      </c>
      <c r="W351">
        <f t="shared" si="81"/>
        <v>893380.80612553272</v>
      </c>
      <c r="Y351">
        <f t="shared" si="82"/>
        <v>5488.8587077543016</v>
      </c>
      <c r="Z351" s="28">
        <v>0.33100000000000002</v>
      </c>
      <c r="AA351">
        <f t="shared" si="83"/>
        <v>1809.0182848425902</v>
      </c>
    </row>
    <row r="352" spans="1:27" x14ac:dyDescent="0.2">
      <c r="A352">
        <f t="shared" si="70"/>
        <v>1228369516.1033485</v>
      </c>
      <c r="B352" s="28">
        <v>0.33200000000000002</v>
      </c>
      <c r="C352">
        <f t="shared" si="71"/>
        <v>1228475490.0359616</v>
      </c>
      <c r="E352">
        <f t="shared" si="72"/>
        <v>8972.1651152026607</v>
      </c>
      <c r="F352" s="28">
        <v>0.33200000000000002</v>
      </c>
      <c r="G352">
        <f t="shared" si="73"/>
        <v>1807.2262570247083</v>
      </c>
      <c r="I352">
        <f t="shared" si="74"/>
        <v>1636218080.0986571</v>
      </c>
      <c r="J352" s="28">
        <v>0.33200000000000002</v>
      </c>
      <c r="K352">
        <f t="shared" si="75"/>
        <v>1636329352.727901</v>
      </c>
      <c r="M352">
        <f t="shared" si="76"/>
        <v>8911.1355664818257</v>
      </c>
      <c r="N352" s="28">
        <v>0.33200000000000002</v>
      </c>
      <c r="O352">
        <f t="shared" si="77"/>
        <v>2407.2253743569117</v>
      </c>
      <c r="Q352">
        <f t="shared" si="78"/>
        <v>407848563.99530864</v>
      </c>
      <c r="R352" s="28">
        <v>0.33200000000000002</v>
      </c>
      <c r="S352">
        <f t="shared" si="79"/>
        <v>407854462.69193929</v>
      </c>
      <c r="U352">
        <f t="shared" si="80"/>
        <v>888946.57766725274</v>
      </c>
      <c r="V352" s="48">
        <v>0.33200000000000002</v>
      </c>
      <c r="W352">
        <f t="shared" si="81"/>
        <v>907571.0423554976</v>
      </c>
      <c r="Y352">
        <f t="shared" si="82"/>
        <v>5494.2396256404154</v>
      </c>
      <c r="Z352" s="28">
        <v>0.33200000000000002</v>
      </c>
      <c r="AA352">
        <f t="shared" si="83"/>
        <v>1803.6373669564762</v>
      </c>
    </row>
    <row r="353" spans="1:27" x14ac:dyDescent="0.2">
      <c r="A353">
        <f t="shared" si="70"/>
        <v>1268504181.5228827</v>
      </c>
      <c r="B353" s="28">
        <v>0.33300000000000002</v>
      </c>
      <c r="C353">
        <f t="shared" si="71"/>
        <v>1268610155.4554958</v>
      </c>
      <c r="E353">
        <f t="shared" si="72"/>
        <v>8977.5921295136432</v>
      </c>
      <c r="F353" s="28">
        <v>0.33300000000000002</v>
      </c>
      <c r="G353">
        <f t="shared" si="73"/>
        <v>1801.7992427137258</v>
      </c>
      <c r="I353">
        <f t="shared" si="74"/>
        <v>1690946064.592932</v>
      </c>
      <c r="J353" s="28">
        <v>0.33300000000000002</v>
      </c>
      <c r="K353">
        <f t="shared" si="75"/>
        <v>1691057337.2221758</v>
      </c>
      <c r="M353">
        <f t="shared" si="76"/>
        <v>8916.5625503013416</v>
      </c>
      <c r="N353" s="28">
        <v>0.33300000000000002</v>
      </c>
      <c r="O353">
        <f t="shared" si="77"/>
        <v>2401.7983905373962</v>
      </c>
      <c r="Q353">
        <f t="shared" si="78"/>
        <v>422441883.07004946</v>
      </c>
      <c r="R353" s="28">
        <v>0.33300000000000002</v>
      </c>
      <c r="S353">
        <f t="shared" si="79"/>
        <v>422447781.76668012</v>
      </c>
      <c r="U353">
        <f t="shared" si="80"/>
        <v>903369.92686519423</v>
      </c>
      <c r="V353" s="48">
        <v>0.33300000000000002</v>
      </c>
      <c r="W353">
        <f t="shared" si="81"/>
        <v>921994.39155343908</v>
      </c>
      <c r="Y353">
        <f t="shared" si="82"/>
        <v>5499.5894829694116</v>
      </c>
      <c r="Z353" s="28">
        <v>0.33300000000000002</v>
      </c>
      <c r="AA353">
        <f t="shared" si="83"/>
        <v>1798.2875096274802</v>
      </c>
    </row>
    <row r="354" spans="1:27" x14ac:dyDescent="0.2">
      <c r="A354">
        <f t="shared" si="70"/>
        <v>1309927333.2242801</v>
      </c>
      <c r="B354" s="28">
        <v>0.33400000000000002</v>
      </c>
      <c r="C354">
        <f t="shared" si="71"/>
        <v>1310033307.1568933</v>
      </c>
      <c r="E354">
        <f t="shared" si="72"/>
        <v>8982.9866499515301</v>
      </c>
      <c r="F354" s="28">
        <v>0.33400000000000002</v>
      </c>
      <c r="G354">
        <f t="shared" si="73"/>
        <v>1796.4047222758386</v>
      </c>
      <c r="I354">
        <f t="shared" si="74"/>
        <v>1747473159.118052</v>
      </c>
      <c r="J354" s="28">
        <v>0.33400000000000002</v>
      </c>
      <c r="K354">
        <f t="shared" si="75"/>
        <v>1747584431.7472959</v>
      </c>
      <c r="M354">
        <f t="shared" si="76"/>
        <v>8921.9570413227702</v>
      </c>
      <c r="N354" s="28">
        <v>0.33400000000000002</v>
      </c>
      <c r="O354">
        <f t="shared" si="77"/>
        <v>2396.4038995159685</v>
      </c>
      <c r="Q354">
        <f t="shared" si="78"/>
        <v>437545825.89377171</v>
      </c>
      <c r="R354" s="28">
        <v>0.33400000000000002</v>
      </c>
      <c r="S354">
        <f t="shared" si="79"/>
        <v>437551724.59040236</v>
      </c>
      <c r="U354">
        <f t="shared" si="80"/>
        <v>918030.29841089528</v>
      </c>
      <c r="V354" s="48">
        <v>0.33400000000000002</v>
      </c>
      <c r="W354">
        <f t="shared" si="81"/>
        <v>936654.76309914014</v>
      </c>
      <c r="Y354">
        <f t="shared" si="82"/>
        <v>5504.9085354590516</v>
      </c>
      <c r="Z354" s="28">
        <v>0.33400000000000002</v>
      </c>
      <c r="AA354">
        <f t="shared" si="83"/>
        <v>1792.9684571378402</v>
      </c>
    </row>
    <row r="355" spans="1:27" x14ac:dyDescent="0.2">
      <c r="A355">
        <f t="shared" si="70"/>
        <v>1352679563.3702345</v>
      </c>
      <c r="B355" s="28">
        <v>0.33500000000000002</v>
      </c>
      <c r="C355">
        <f t="shared" si="71"/>
        <v>1352785537.3028476</v>
      </c>
      <c r="E355">
        <f t="shared" si="72"/>
        <v>8988.3489673908152</v>
      </c>
      <c r="F355" s="28">
        <v>0.33500000000000002</v>
      </c>
      <c r="G355">
        <f t="shared" si="73"/>
        <v>1791.0424048365537</v>
      </c>
      <c r="I355">
        <f t="shared" si="74"/>
        <v>1805857419.670058</v>
      </c>
      <c r="J355" s="28">
        <v>0.33500000000000002</v>
      </c>
      <c r="K355">
        <f t="shared" si="75"/>
        <v>1805968692.2993019</v>
      </c>
      <c r="M355">
        <f t="shared" si="76"/>
        <v>8927.3193303819389</v>
      </c>
      <c r="N355" s="28">
        <v>0.33500000000000002</v>
      </c>
      <c r="O355">
        <f t="shared" si="77"/>
        <v>2391.0416104567994</v>
      </c>
      <c r="Q355">
        <f t="shared" si="78"/>
        <v>453177856.29982334</v>
      </c>
      <c r="R355" s="28">
        <v>0.33500000000000002</v>
      </c>
      <c r="S355">
        <f t="shared" si="79"/>
        <v>453183754.996454</v>
      </c>
      <c r="U355">
        <f t="shared" si="80"/>
        <v>932931.66821375838</v>
      </c>
      <c r="V355" s="48">
        <v>0.33500000000000002</v>
      </c>
      <c r="W355">
        <f t="shared" si="81"/>
        <v>951556.13290200324</v>
      </c>
      <c r="Y355">
        <f t="shared" si="82"/>
        <v>5510.1970362044194</v>
      </c>
      <c r="Z355" s="28">
        <v>0.33500000000000002</v>
      </c>
      <c r="AA355">
        <f t="shared" si="83"/>
        <v>1787.6799563924726</v>
      </c>
    </row>
    <row r="356" spans="1:27" x14ac:dyDescent="0.2">
      <c r="A356">
        <f t="shared" si="70"/>
        <v>1396802717.5432281</v>
      </c>
      <c r="B356" s="28">
        <v>0.33600000000000002</v>
      </c>
      <c r="C356">
        <f t="shared" si="71"/>
        <v>1396908691.4758413</v>
      </c>
      <c r="E356">
        <f t="shared" si="72"/>
        <v>8993.6793692474184</v>
      </c>
      <c r="F356" s="28">
        <v>0.33600000000000002</v>
      </c>
      <c r="G356">
        <f t="shared" si="73"/>
        <v>1785.7120029799498</v>
      </c>
      <c r="I356">
        <f t="shared" si="74"/>
        <v>1866158739.1824801</v>
      </c>
      <c r="J356" s="28">
        <v>0.33600000000000002</v>
      </c>
      <c r="K356">
        <f t="shared" si="75"/>
        <v>1866270011.8117239</v>
      </c>
      <c r="M356">
        <f t="shared" si="76"/>
        <v>8932.6497048575256</v>
      </c>
      <c r="N356" s="28">
        <v>0.33600000000000002</v>
      </c>
      <c r="O356">
        <f t="shared" si="77"/>
        <v>2385.7112359812131</v>
      </c>
      <c r="Q356">
        <f t="shared" si="78"/>
        <v>469356021.63925207</v>
      </c>
      <c r="R356" s="28">
        <v>0.33600000000000002</v>
      </c>
      <c r="S356">
        <f t="shared" si="79"/>
        <v>469361920.33588272</v>
      </c>
      <c r="U356">
        <f t="shared" si="80"/>
        <v>948078.07985769631</v>
      </c>
      <c r="V356" s="48">
        <v>0.33600000000000002</v>
      </c>
      <c r="W356">
        <f t="shared" si="81"/>
        <v>966702.54454594117</v>
      </c>
      <c r="Y356">
        <f t="shared" si="82"/>
        <v>5515.455235708976</v>
      </c>
      <c r="Z356" s="28">
        <v>0.33600000000000002</v>
      </c>
      <c r="AA356">
        <f t="shared" si="83"/>
        <v>1782.4217568879158</v>
      </c>
    </row>
    <row r="357" spans="1:27" x14ac:dyDescent="0.2">
      <c r="A357">
        <f t="shared" si="70"/>
        <v>1442339932.6409636</v>
      </c>
      <c r="B357" s="28">
        <v>0.33700000000000002</v>
      </c>
      <c r="C357">
        <f t="shared" si="71"/>
        <v>1442445906.5735767</v>
      </c>
      <c r="E357">
        <f t="shared" si="72"/>
        <v>8998.9781395298487</v>
      </c>
      <c r="F357" s="28">
        <v>0.33700000000000002</v>
      </c>
      <c r="G357">
        <f t="shared" si="73"/>
        <v>1780.4132326975193</v>
      </c>
      <c r="I357">
        <f t="shared" si="74"/>
        <v>1928438904.4596279</v>
      </c>
      <c r="J357" s="28">
        <v>0.33700000000000002</v>
      </c>
      <c r="K357">
        <f t="shared" si="75"/>
        <v>1928550177.0888717</v>
      </c>
      <c r="M357">
        <f t="shared" si="76"/>
        <v>8937.9484487221562</v>
      </c>
      <c r="N357" s="28">
        <v>0.33700000000000002</v>
      </c>
      <c r="O357">
        <f t="shared" si="77"/>
        <v>2380.4124921165831</v>
      </c>
      <c r="Q357">
        <f t="shared" si="78"/>
        <v>486098971.81866473</v>
      </c>
      <c r="R357" s="28">
        <v>0.33700000000000002</v>
      </c>
      <c r="S357">
        <f t="shared" si="79"/>
        <v>486104870.51529539</v>
      </c>
      <c r="U357">
        <f t="shared" si="80"/>
        <v>963473.64576590084</v>
      </c>
      <c r="V357" s="48">
        <v>0.33700000000000002</v>
      </c>
      <c r="W357">
        <f t="shared" si="81"/>
        <v>982098.1104541457</v>
      </c>
      <c r="Y357">
        <f t="shared" si="82"/>
        <v>5520.6833819152134</v>
      </c>
      <c r="Z357" s="28">
        <v>0.33700000000000002</v>
      </c>
      <c r="AA357">
        <f t="shared" si="83"/>
        <v>1777.1936106816781</v>
      </c>
    </row>
    <row r="358" spans="1:27" x14ac:dyDescent="0.2">
      <c r="A358">
        <f t="shared" si="70"/>
        <v>1489335675.8926568</v>
      </c>
      <c r="B358" s="28">
        <v>0.33800000000000002</v>
      </c>
      <c r="C358">
        <f t="shared" si="71"/>
        <v>1489441649.8252699</v>
      </c>
      <c r="E358">
        <f t="shared" si="72"/>
        <v>9004.2455588894536</v>
      </c>
      <c r="F358" s="28">
        <v>0.33800000000000002</v>
      </c>
      <c r="G358">
        <f t="shared" si="73"/>
        <v>1775.1458133379142</v>
      </c>
      <c r="I358">
        <f t="shared" si="74"/>
        <v>1992761654.8369677</v>
      </c>
      <c r="J358" s="28">
        <v>0.33800000000000002</v>
      </c>
      <c r="K358">
        <f t="shared" si="75"/>
        <v>1992872927.4662116</v>
      </c>
      <c r="M358">
        <f t="shared" si="76"/>
        <v>8943.21584259261</v>
      </c>
      <c r="N358" s="28">
        <v>0.33800000000000002</v>
      </c>
      <c r="O358">
        <f t="shared" si="77"/>
        <v>2375.1450982461292</v>
      </c>
      <c r="Q358">
        <f t="shared" si="78"/>
        <v>503425978.94431061</v>
      </c>
      <c r="R358" s="28">
        <v>0.33800000000000002</v>
      </c>
      <c r="S358">
        <f t="shared" si="79"/>
        <v>503431877.64094126</v>
      </c>
      <c r="U358">
        <f t="shared" si="80"/>
        <v>979122.5483858363</v>
      </c>
      <c r="V358" s="48">
        <v>0.33800000000000002</v>
      </c>
      <c r="W358">
        <f t="shared" si="81"/>
        <v>997747.01307408116</v>
      </c>
      <c r="Y358">
        <f t="shared" si="82"/>
        <v>5525.8817202349037</v>
      </c>
      <c r="Z358" s="28">
        <v>0.33800000000000002</v>
      </c>
      <c r="AA358">
        <f t="shared" si="83"/>
        <v>1771.9952723619879</v>
      </c>
    </row>
    <row r="359" spans="1:27" x14ac:dyDescent="0.2">
      <c r="A359">
        <f t="shared" si="70"/>
        <v>1537835785.0282381</v>
      </c>
      <c r="B359" s="28">
        <v>0.33900000000000002</v>
      </c>
      <c r="C359">
        <f t="shared" si="71"/>
        <v>1537941758.9608512</v>
      </c>
      <c r="E359">
        <f t="shared" si="72"/>
        <v>9009.4819046697921</v>
      </c>
      <c r="F359" s="28">
        <v>0.33900000000000002</v>
      </c>
      <c r="G359">
        <f t="shared" si="73"/>
        <v>1769.9094675575761</v>
      </c>
      <c r="I359">
        <f t="shared" si="74"/>
        <v>2059192742.6193359</v>
      </c>
      <c r="J359" s="28">
        <v>0.33900000000000002</v>
      </c>
      <c r="K359">
        <f t="shared" si="75"/>
        <v>2059304015.2485797</v>
      </c>
      <c r="M359">
        <f t="shared" si="76"/>
        <v>8948.452163779144</v>
      </c>
      <c r="N359" s="28">
        <v>0.33900000000000002</v>
      </c>
      <c r="O359">
        <f t="shared" si="77"/>
        <v>2369.9087770595943</v>
      </c>
      <c r="Q359">
        <f t="shared" si="78"/>
        <v>521356957.59109795</v>
      </c>
      <c r="R359" s="28">
        <v>0.33900000000000002</v>
      </c>
      <c r="S359">
        <f t="shared" si="79"/>
        <v>521362856.28772861</v>
      </c>
      <c r="U359">
        <f t="shared" si="80"/>
        <v>995029.04139481031</v>
      </c>
      <c r="V359" s="48">
        <v>0.33900000000000002</v>
      </c>
      <c r="W359">
        <f t="shared" si="81"/>
        <v>1013653.5060830552</v>
      </c>
      <c r="Y359">
        <f t="shared" si="82"/>
        <v>5531.0504935789586</v>
      </c>
      <c r="Z359" s="28">
        <v>0.33900000000000002</v>
      </c>
      <c r="AA359">
        <f t="shared" si="83"/>
        <v>1766.826499017933</v>
      </c>
    </row>
    <row r="360" spans="1:27" x14ac:dyDescent="0.2">
      <c r="A360">
        <f t="shared" si="70"/>
        <v>1587887509.6341825</v>
      </c>
      <c r="B360" s="28">
        <v>0.34</v>
      </c>
      <c r="C360">
        <f t="shared" si="71"/>
        <v>1587993483.5667956</v>
      </c>
      <c r="E360">
        <f t="shared" si="72"/>
        <v>9014.687450955138</v>
      </c>
      <c r="F360" s="28">
        <v>0.34</v>
      </c>
      <c r="G360">
        <f t="shared" si="73"/>
        <v>1764.7039212722295</v>
      </c>
      <c r="I360">
        <f t="shared" si="74"/>
        <v>2127799995.3502622</v>
      </c>
      <c r="J360" s="28">
        <v>0.34</v>
      </c>
      <c r="K360">
        <f t="shared" si="75"/>
        <v>2127911267.979506</v>
      </c>
      <c r="M360">
        <f t="shared" si="76"/>
        <v>8953.6576863339506</v>
      </c>
      <c r="N360" s="28">
        <v>0.34</v>
      </c>
      <c r="O360">
        <f t="shared" si="77"/>
        <v>2364.7032545047878</v>
      </c>
      <c r="Q360">
        <f t="shared" si="78"/>
        <v>539912485.71607983</v>
      </c>
      <c r="R360" s="28">
        <v>0.34</v>
      </c>
      <c r="S360">
        <f t="shared" si="79"/>
        <v>539918384.41271055</v>
      </c>
      <c r="U360">
        <f t="shared" si="80"/>
        <v>1011197.4509264851</v>
      </c>
      <c r="V360" s="48">
        <v>0.34</v>
      </c>
      <c r="W360">
        <f t="shared" si="81"/>
        <v>1029821.91561473</v>
      </c>
      <c r="Y360">
        <f t="shared" si="82"/>
        <v>5536.189942386899</v>
      </c>
      <c r="Z360" s="28">
        <v>0.34</v>
      </c>
      <c r="AA360">
        <f t="shared" si="83"/>
        <v>1761.6870502099925</v>
      </c>
    </row>
    <row r="361" spans="1:27" x14ac:dyDescent="0.2">
      <c r="A361">
        <f t="shared" si="70"/>
        <v>1639539553.7297933</v>
      </c>
      <c r="B361" s="28">
        <v>0.34100000000000003</v>
      </c>
      <c r="C361">
        <f t="shared" si="71"/>
        <v>1639645527.6624064</v>
      </c>
      <c r="E361">
        <f t="shared" si="72"/>
        <v>9019.8624686181411</v>
      </c>
      <c r="F361" s="28">
        <v>0.34100000000000003</v>
      </c>
      <c r="G361">
        <f t="shared" si="73"/>
        <v>1759.5289036092265</v>
      </c>
      <c r="I361">
        <f t="shared" si="74"/>
        <v>2198653379.966043</v>
      </c>
      <c r="J361" s="28">
        <v>0.34100000000000003</v>
      </c>
      <c r="K361">
        <f t="shared" si="75"/>
        <v>2198764652.5952868</v>
      </c>
      <c r="M361">
        <f t="shared" si="76"/>
        <v>8958.8326810987655</v>
      </c>
      <c r="N361" s="28">
        <v>0.34100000000000003</v>
      </c>
      <c r="O361">
        <f t="shared" si="77"/>
        <v>2359.5282597399732</v>
      </c>
      <c r="Q361">
        <f t="shared" si="78"/>
        <v>559113826.23624992</v>
      </c>
      <c r="R361" s="28">
        <v>0.34100000000000003</v>
      </c>
      <c r="S361">
        <f t="shared" si="79"/>
        <v>559119724.93288064</v>
      </c>
      <c r="U361">
        <f t="shared" si="80"/>
        <v>1027632.1768186924</v>
      </c>
      <c r="V361" s="48">
        <v>0.34100000000000003</v>
      </c>
      <c r="W361">
        <f t="shared" si="81"/>
        <v>1046256.6415069372</v>
      </c>
      <c r="Y361">
        <f t="shared" si="82"/>
        <v>5541.3003046559397</v>
      </c>
      <c r="Z361" s="28">
        <v>0.34100000000000003</v>
      </c>
      <c r="AA361">
        <f t="shared" si="83"/>
        <v>1756.5766879409523</v>
      </c>
    </row>
    <row r="362" spans="1:27" x14ac:dyDescent="0.2">
      <c r="A362">
        <f t="shared" si="70"/>
        <v>1692842119.5994935</v>
      </c>
      <c r="B362" s="28">
        <v>0.34200000000000003</v>
      </c>
      <c r="C362">
        <f t="shared" si="71"/>
        <v>1692948093.5321066</v>
      </c>
      <c r="E362">
        <f t="shared" si="72"/>
        <v>9025.0072253666494</v>
      </c>
      <c r="F362" s="28">
        <v>0.34200000000000003</v>
      </c>
      <c r="G362">
        <f t="shared" si="73"/>
        <v>1754.3841468607195</v>
      </c>
      <c r="I362">
        <f t="shared" si="74"/>
        <v>2271825068.8908434</v>
      </c>
      <c r="J362" s="28">
        <v>0.34200000000000003</v>
      </c>
      <c r="K362">
        <f t="shared" si="75"/>
        <v>2271936341.5200872</v>
      </c>
      <c r="M362">
        <f t="shared" si="76"/>
        <v>8963.9774157516531</v>
      </c>
      <c r="N362" s="28">
        <v>0.34200000000000003</v>
      </c>
      <c r="O362">
        <f t="shared" si="77"/>
        <v>2354.3835250870857</v>
      </c>
      <c r="Q362">
        <f t="shared" si="78"/>
        <v>578982949.29134977</v>
      </c>
      <c r="R362" s="28">
        <v>0.34200000000000003</v>
      </c>
      <c r="S362">
        <f t="shared" si="79"/>
        <v>578988847.98798048</v>
      </c>
      <c r="U362">
        <f t="shared" si="80"/>
        <v>1044337.6938829253</v>
      </c>
      <c r="V362" s="48">
        <v>0.34200000000000003</v>
      </c>
      <c r="W362">
        <f t="shared" si="81"/>
        <v>1062962.1585711702</v>
      </c>
      <c r="Y362">
        <f t="shared" si="82"/>
        <v>5546.3818159696966</v>
      </c>
      <c r="Z362" s="28">
        <v>0.34200000000000003</v>
      </c>
      <c r="AA362">
        <f t="shared" si="83"/>
        <v>1751.4951766271952</v>
      </c>
    </row>
    <row r="363" spans="1:27" x14ac:dyDescent="0.2">
      <c r="A363">
        <f t="shared" si="70"/>
        <v>1747846952.9170327</v>
      </c>
      <c r="B363" s="28">
        <v>0.34300000000000003</v>
      </c>
      <c r="C363">
        <f t="shared" si="71"/>
        <v>1747952926.8496459</v>
      </c>
      <c r="E363">
        <f t="shared" si="72"/>
        <v>9030.1219857897195</v>
      </c>
      <c r="F363" s="28">
        <v>0.34300000000000003</v>
      </c>
      <c r="G363">
        <f t="shared" si="73"/>
        <v>1749.2693864376497</v>
      </c>
      <c r="I363">
        <f t="shared" si="74"/>
        <v>2347389508.1298304</v>
      </c>
      <c r="J363" s="28">
        <v>0.34300000000000003</v>
      </c>
      <c r="K363">
        <f t="shared" si="75"/>
        <v>2347500780.7590742</v>
      </c>
      <c r="M363">
        <f t="shared" si="76"/>
        <v>8969.092154852975</v>
      </c>
      <c r="N363" s="28">
        <v>0.34300000000000003</v>
      </c>
      <c r="O363">
        <f t="shared" si="77"/>
        <v>2349.2687859857633</v>
      </c>
      <c r="Q363">
        <f t="shared" si="78"/>
        <v>599542555.21279788</v>
      </c>
      <c r="R363" s="28">
        <v>0.34300000000000003</v>
      </c>
      <c r="S363">
        <f t="shared" si="79"/>
        <v>599548453.9094286</v>
      </c>
      <c r="U363">
        <f t="shared" si="80"/>
        <v>1061318.5531958884</v>
      </c>
      <c r="V363" s="48">
        <v>0.34300000000000003</v>
      </c>
      <c r="W363">
        <f t="shared" si="81"/>
        <v>1079943.0178841332</v>
      </c>
      <c r="Y363">
        <f t="shared" si="82"/>
        <v>5551.4347095265239</v>
      </c>
      <c r="Z363" s="28">
        <v>0.34300000000000003</v>
      </c>
      <c r="AA363">
        <f t="shared" si="83"/>
        <v>1746.4422830703677</v>
      </c>
    </row>
    <row r="364" spans="1:27" x14ac:dyDescent="0.2">
      <c r="A364">
        <f t="shared" si="70"/>
        <v>1804607389.199126</v>
      </c>
      <c r="B364" s="28">
        <v>0.34399999999999997</v>
      </c>
      <c r="C364">
        <f t="shared" si="71"/>
        <v>1804713363.1317391</v>
      </c>
      <c r="E364">
        <f t="shared" si="72"/>
        <v>9035.2070114028338</v>
      </c>
      <c r="F364" s="28">
        <v>0.34399999999999997</v>
      </c>
      <c r="G364">
        <f t="shared" si="73"/>
        <v>1744.1843608245342</v>
      </c>
      <c r="I364">
        <f t="shared" si="74"/>
        <v>2425423487.4198132</v>
      </c>
      <c r="J364" s="28">
        <v>0.34399999999999997</v>
      </c>
      <c r="K364">
        <f t="shared" si="75"/>
        <v>2425534760.049057</v>
      </c>
      <c r="M364">
        <f t="shared" si="76"/>
        <v>8974.1771598905652</v>
      </c>
      <c r="N364" s="28">
        <v>0.34399999999999997</v>
      </c>
      <c r="O364">
        <f t="shared" si="77"/>
        <v>2344.1837809481735</v>
      </c>
      <c r="Q364">
        <f t="shared" si="78"/>
        <v>620816098.22068751</v>
      </c>
      <c r="R364" s="28">
        <v>0.34399999999999997</v>
      </c>
      <c r="S364">
        <f t="shared" si="79"/>
        <v>620821996.91731822</v>
      </c>
      <c r="U364">
        <f t="shared" si="80"/>
        <v>1078579.383413489</v>
      </c>
      <c r="V364" s="48">
        <v>0.34399999999999997</v>
      </c>
      <c r="W364">
        <f t="shared" si="81"/>
        <v>1097203.8481017337</v>
      </c>
      <c r="Y364">
        <f t="shared" si="82"/>
        <v>5556.4592161674827</v>
      </c>
      <c r="Z364" s="28">
        <v>0.34399999999999997</v>
      </c>
      <c r="AA364">
        <f t="shared" si="83"/>
        <v>1741.4177764294093</v>
      </c>
    </row>
    <row r="365" spans="1:27" x14ac:dyDescent="0.2">
      <c r="A365">
        <f t="shared" si="70"/>
        <v>1863178401.6265306</v>
      </c>
      <c r="B365" s="28">
        <v>0.34499999999999997</v>
      </c>
      <c r="C365">
        <f t="shared" si="71"/>
        <v>1863284375.5591438</v>
      </c>
      <c r="E365">
        <f t="shared" si="72"/>
        <v>9040.2625606923357</v>
      </c>
      <c r="F365" s="28">
        <v>0.34499999999999997</v>
      </c>
      <c r="G365">
        <f t="shared" si="73"/>
        <v>1739.1288115350326</v>
      </c>
      <c r="I365">
        <f t="shared" si="74"/>
        <v>2506006212.4978051</v>
      </c>
      <c r="J365" s="28">
        <v>0.34499999999999997</v>
      </c>
      <c r="K365">
        <f t="shared" si="75"/>
        <v>2506117485.127049</v>
      </c>
      <c r="M365">
        <f t="shared" si="76"/>
        <v>8979.2326893241188</v>
      </c>
      <c r="N365" s="28">
        <v>0.34499999999999997</v>
      </c>
      <c r="O365">
        <f t="shared" si="77"/>
        <v>2339.1282515146186</v>
      </c>
      <c r="Q365">
        <f t="shared" si="78"/>
        <v>642827810.87127388</v>
      </c>
      <c r="R365" s="28">
        <v>0.34499999999999997</v>
      </c>
      <c r="S365">
        <f t="shared" si="79"/>
        <v>642833709.56790459</v>
      </c>
      <c r="U365">
        <f t="shared" si="80"/>
        <v>1096124.8921076674</v>
      </c>
      <c r="V365" s="48">
        <v>0.34499999999999997</v>
      </c>
      <c r="W365">
        <f t="shared" si="81"/>
        <v>1114749.3567959121</v>
      </c>
      <c r="Y365">
        <f t="shared" si="82"/>
        <v>5561.4555644039428</v>
      </c>
      <c r="Z365" s="28">
        <v>0.34499999999999997</v>
      </c>
      <c r="AA365">
        <f t="shared" si="83"/>
        <v>1736.4214281929492</v>
      </c>
    </row>
    <row r="366" spans="1:27" x14ac:dyDescent="0.2">
      <c r="A366">
        <f t="shared" si="70"/>
        <v>1923616650.2719958</v>
      </c>
      <c r="B366" s="28">
        <v>0.34599999999999997</v>
      </c>
      <c r="C366">
        <f t="shared" si="71"/>
        <v>1923722624.2046089</v>
      </c>
      <c r="E366">
        <f t="shared" si="72"/>
        <v>9045.2888891590846</v>
      </c>
      <c r="F366" s="28">
        <v>0.34599999999999997</v>
      </c>
      <c r="G366">
        <f t="shared" si="73"/>
        <v>1734.1024830682845</v>
      </c>
      <c r="I366">
        <f t="shared" si="74"/>
        <v>2589219379.5501599</v>
      </c>
      <c r="J366" s="28">
        <v>0.34599999999999997</v>
      </c>
      <c r="K366">
        <f t="shared" si="75"/>
        <v>2589330652.1794038</v>
      </c>
      <c r="M366">
        <f t="shared" si="76"/>
        <v>8984.2589986288276</v>
      </c>
      <c r="N366" s="28">
        <v>0.34599999999999997</v>
      </c>
      <c r="O366">
        <f t="shared" si="77"/>
        <v>2334.1019422099112</v>
      </c>
      <c r="Q366">
        <f t="shared" si="78"/>
        <v>665602729.27816391</v>
      </c>
      <c r="R366" s="28">
        <v>0.34599999999999997</v>
      </c>
      <c r="S366">
        <f t="shared" si="79"/>
        <v>665608627.97479463</v>
      </c>
      <c r="U366">
        <f t="shared" si="80"/>
        <v>1113959.8671264555</v>
      </c>
      <c r="V366" s="48">
        <v>0.34599999999999997</v>
      </c>
      <c r="W366">
        <f t="shared" si="81"/>
        <v>1132584.3318147003</v>
      </c>
      <c r="Y366">
        <f t="shared" si="82"/>
        <v>5566.4239804448334</v>
      </c>
      <c r="Z366" s="28">
        <v>0.34599999999999997</v>
      </c>
      <c r="AA366">
        <f t="shared" si="83"/>
        <v>1731.4530121520581</v>
      </c>
    </row>
    <row r="367" spans="1:27" x14ac:dyDescent="0.2">
      <c r="A367">
        <f t="shared" si="70"/>
        <v>1985980532.7756095</v>
      </c>
      <c r="B367" s="28">
        <v>0.34699999999999998</v>
      </c>
      <c r="C367">
        <f t="shared" si="71"/>
        <v>1986086506.7082226</v>
      </c>
      <c r="E367">
        <f t="shared" si="72"/>
        <v>9050.2862493613775</v>
      </c>
      <c r="F367" s="28">
        <v>0.34699999999999998</v>
      </c>
      <c r="G367">
        <f t="shared" si="73"/>
        <v>1729.1051228659906</v>
      </c>
      <c r="I367">
        <f t="shared" si="74"/>
        <v>2675147251.9067316</v>
      </c>
      <c r="J367" s="28">
        <v>0.34699999999999998</v>
      </c>
      <c r="K367">
        <f t="shared" si="75"/>
        <v>2675258524.5359755</v>
      </c>
      <c r="M367">
        <f t="shared" si="76"/>
        <v>8989.2563403382483</v>
      </c>
      <c r="N367" s="28">
        <v>0.34699999999999998</v>
      </c>
      <c r="O367">
        <f t="shared" si="77"/>
        <v>2329.1046005004891</v>
      </c>
      <c r="Q367">
        <f t="shared" si="78"/>
        <v>689166719.13112247</v>
      </c>
      <c r="R367" s="28">
        <v>0.34699999999999998</v>
      </c>
      <c r="S367">
        <f t="shared" si="79"/>
        <v>689172617.82775319</v>
      </c>
      <c r="U367">
        <f t="shared" si="80"/>
        <v>1132089.1779776844</v>
      </c>
      <c r="V367" s="48">
        <v>0.34699999999999998</v>
      </c>
      <c r="W367">
        <f t="shared" si="81"/>
        <v>1150713.6426659292</v>
      </c>
      <c r="Y367">
        <f t="shared" si="82"/>
        <v>5571.3646882235398</v>
      </c>
      <c r="Z367" s="28">
        <v>0.34699999999999998</v>
      </c>
      <c r="AA367">
        <f t="shared" si="83"/>
        <v>1726.512304373352</v>
      </c>
    </row>
    <row r="368" spans="1:27" x14ac:dyDescent="0.2">
      <c r="A368">
        <f t="shared" si="70"/>
        <v>2050330236.5090511</v>
      </c>
      <c r="B368" s="28">
        <v>0.34799999999999998</v>
      </c>
      <c r="C368">
        <f t="shared" si="71"/>
        <v>2050436210.4416642</v>
      </c>
      <c r="E368">
        <f t="shared" si="72"/>
        <v>9055.2548909571306</v>
      </c>
      <c r="F368" s="28">
        <v>0.34799999999999998</v>
      </c>
      <c r="G368">
        <f t="shared" si="73"/>
        <v>1724.1364812702375</v>
      </c>
      <c r="I368">
        <f t="shared" si="74"/>
        <v>2763876739.0461192</v>
      </c>
      <c r="J368" s="28">
        <v>0.34799999999999998</v>
      </c>
      <c r="K368">
        <f t="shared" si="75"/>
        <v>2763988011.6753631</v>
      </c>
      <c r="M368">
        <f t="shared" si="76"/>
        <v>8994.2249640864575</v>
      </c>
      <c r="N368" s="28">
        <v>0.34799999999999998</v>
      </c>
      <c r="O368">
        <f t="shared" si="77"/>
        <v>2324.1359767522799</v>
      </c>
      <c r="Q368">
        <f t="shared" si="78"/>
        <v>713546502.53706837</v>
      </c>
      <c r="R368" s="28">
        <v>0.34799999999999998</v>
      </c>
      <c r="S368">
        <f t="shared" si="79"/>
        <v>713552401.23369908</v>
      </c>
      <c r="U368">
        <f t="shared" si="80"/>
        <v>1150517.7772367438</v>
      </c>
      <c r="V368" s="48">
        <v>0.34799999999999998</v>
      </c>
      <c r="W368">
        <f t="shared" si="81"/>
        <v>1169142.2419249886</v>
      </c>
      <c r="Y368">
        <f t="shared" si="82"/>
        <v>5576.2779094244488</v>
      </c>
      <c r="Z368" s="28">
        <v>0.34799999999999998</v>
      </c>
      <c r="AA368">
        <f t="shared" si="83"/>
        <v>1721.5990831724428</v>
      </c>
    </row>
    <row r="369" spans="1:27" x14ac:dyDescent="0.2">
      <c r="A369">
        <f t="shared" si="70"/>
        <v>2116727792.2714412</v>
      </c>
      <c r="B369" s="28">
        <v>0.34899999999999998</v>
      </c>
      <c r="C369">
        <f t="shared" si="71"/>
        <v>2116833766.2040544</v>
      </c>
      <c r="E369">
        <f t="shared" si="72"/>
        <v>9060.1950607453309</v>
      </c>
      <c r="F369" s="28">
        <v>0.34899999999999998</v>
      </c>
      <c r="G369">
        <f t="shared" si="73"/>
        <v>1719.196311482038</v>
      </c>
      <c r="I369">
        <f t="shared" si="74"/>
        <v>2855497477.9800253</v>
      </c>
      <c r="J369" s="28">
        <v>0.34899999999999998</v>
      </c>
      <c r="K369">
        <f t="shared" si="75"/>
        <v>2855608750.6092691</v>
      </c>
      <c r="M369">
        <f t="shared" si="76"/>
        <v>8999.1651166494685</v>
      </c>
      <c r="N369" s="28">
        <v>0.34899999999999998</v>
      </c>
      <c r="O369">
        <f t="shared" si="77"/>
        <v>2319.1958241892694</v>
      </c>
      <c r="Q369">
        <f t="shared" si="78"/>
        <v>738769685.70858419</v>
      </c>
      <c r="R369" s="28">
        <v>0.34899999999999998</v>
      </c>
      <c r="S369">
        <f t="shared" si="79"/>
        <v>738775584.40521491</v>
      </c>
      <c r="U369">
        <f t="shared" si="80"/>
        <v>1169250.7019788197</v>
      </c>
      <c r="V369" s="48">
        <v>0.34899999999999998</v>
      </c>
      <c r="W369">
        <f t="shared" si="81"/>
        <v>1187875.1666670644</v>
      </c>
      <c r="Y369">
        <f t="shared" si="82"/>
        <v>5581.1638635091567</v>
      </c>
      <c r="Z369" s="28">
        <v>0.34899999999999998</v>
      </c>
      <c r="AA369">
        <f t="shared" si="83"/>
        <v>1716.7131290877348</v>
      </c>
    </row>
    <row r="370" spans="1:27" x14ac:dyDescent="0.2">
      <c r="A370">
        <f t="shared" si="70"/>
        <v>2185237129.5608325</v>
      </c>
      <c r="B370" s="28">
        <v>0.35</v>
      </c>
      <c r="C370">
        <f t="shared" si="71"/>
        <v>2185343103.4934459</v>
      </c>
      <c r="E370">
        <f t="shared" si="72"/>
        <v>9065.1070027067854</v>
      </c>
      <c r="F370" s="28">
        <v>0.35</v>
      </c>
      <c r="G370">
        <f t="shared" si="73"/>
        <v>1714.2843695205834</v>
      </c>
      <c r="I370">
        <f t="shared" si="74"/>
        <v>2950101917.0869083</v>
      </c>
      <c r="J370" s="28">
        <v>0.35</v>
      </c>
      <c r="K370">
        <f t="shared" si="75"/>
        <v>2950213189.7161522</v>
      </c>
      <c r="M370">
        <f t="shared" si="76"/>
        <v>9004.0770419859509</v>
      </c>
      <c r="N370" s="28">
        <v>0.35</v>
      </c>
      <c r="O370">
        <f t="shared" si="77"/>
        <v>2314.2838988527874</v>
      </c>
      <c r="Q370">
        <f t="shared" si="78"/>
        <v>764864787.52607536</v>
      </c>
      <c r="R370" s="28">
        <v>0.35</v>
      </c>
      <c r="S370">
        <f t="shared" si="79"/>
        <v>764870686.22270608</v>
      </c>
      <c r="U370">
        <f t="shared" si="80"/>
        <v>1188293.0752360381</v>
      </c>
      <c r="V370" s="48">
        <v>0.35</v>
      </c>
      <c r="W370">
        <f t="shared" si="81"/>
        <v>1206917.5399242828</v>
      </c>
      <c r="Y370">
        <f t="shared" si="82"/>
        <v>5586.0227677423372</v>
      </c>
      <c r="Z370" s="28">
        <v>0.35</v>
      </c>
      <c r="AA370">
        <f t="shared" si="83"/>
        <v>1711.8542248545543</v>
      </c>
    </row>
    <row r="371" spans="1:27" x14ac:dyDescent="0.2">
      <c r="A371">
        <f t="shared" si="70"/>
        <v>2255924133.4664664</v>
      </c>
      <c r="B371" s="28">
        <v>0.35099999999999998</v>
      </c>
      <c r="C371">
        <f t="shared" si="71"/>
        <v>2256030107.3990798</v>
      </c>
      <c r="E371">
        <f t="shared" si="72"/>
        <v>9069.9909580441854</v>
      </c>
      <c r="F371" s="28">
        <v>0.35099999999999998</v>
      </c>
      <c r="G371">
        <f t="shared" si="73"/>
        <v>1709.4004141831836</v>
      </c>
      <c r="I371">
        <f t="shared" si="74"/>
        <v>3047785402.4669127</v>
      </c>
      <c r="J371" s="28">
        <v>0.35099999999999998</v>
      </c>
      <c r="K371">
        <f t="shared" si="75"/>
        <v>3047896675.0961566</v>
      </c>
      <c r="M371">
        <f t="shared" si="76"/>
        <v>9008.9609812772578</v>
      </c>
      <c r="N371" s="28">
        <v>0.35099999999999998</v>
      </c>
      <c r="O371">
        <f t="shared" si="77"/>
        <v>2309.399959561481</v>
      </c>
      <c r="Q371">
        <f t="shared" si="78"/>
        <v>791861269.0004462</v>
      </c>
      <c r="R371" s="28">
        <v>0.35099999999999998</v>
      </c>
      <c r="S371">
        <f t="shared" si="79"/>
        <v>791867167.69707692</v>
      </c>
      <c r="U371">
        <f t="shared" si="80"/>
        <v>1207650.1074799451</v>
      </c>
      <c r="V371" s="48">
        <v>0.35099999999999998</v>
      </c>
      <c r="W371">
        <f t="shared" si="81"/>
        <v>1226274.5721681898</v>
      </c>
      <c r="Y371">
        <f t="shared" si="82"/>
        <v>5590.8548372172745</v>
      </c>
      <c r="Z371" s="28">
        <v>0.35099999999999998</v>
      </c>
      <c r="AA371">
        <f t="shared" si="83"/>
        <v>1707.0221553796171</v>
      </c>
    </row>
    <row r="372" spans="1:27" x14ac:dyDescent="0.2">
      <c r="A372">
        <f t="shared" si="70"/>
        <v>2328856703.2283287</v>
      </c>
      <c r="B372" s="28">
        <v>0.35199999999999998</v>
      </c>
      <c r="C372">
        <f t="shared" si="71"/>
        <v>2328962677.1609421</v>
      </c>
      <c r="E372">
        <f t="shared" si="72"/>
        <v>9074.8471652214757</v>
      </c>
      <c r="F372" s="28">
        <v>0.35199999999999998</v>
      </c>
      <c r="G372">
        <f t="shared" si="73"/>
        <v>1704.5442070058918</v>
      </c>
      <c r="I372">
        <f t="shared" si="74"/>
        <v>3148646266.8923497</v>
      </c>
      <c r="J372" s="28">
        <v>0.35199999999999998</v>
      </c>
      <c r="K372">
        <f t="shared" si="75"/>
        <v>3148757539.5215936</v>
      </c>
      <c r="M372">
        <f t="shared" si="76"/>
        <v>9013.8171729667738</v>
      </c>
      <c r="N372" s="28">
        <v>0.35199999999999998</v>
      </c>
      <c r="O372">
        <f t="shared" si="77"/>
        <v>2304.5437678719654</v>
      </c>
      <c r="Q372">
        <f t="shared" si="78"/>
        <v>819789563.6640209</v>
      </c>
      <c r="R372" s="28">
        <v>0.35199999999999998</v>
      </c>
      <c r="S372">
        <f t="shared" si="79"/>
        <v>819795462.36065161</v>
      </c>
      <c r="U372">
        <f t="shared" si="80"/>
        <v>1227327.0981297831</v>
      </c>
      <c r="V372" s="48">
        <v>0.35199999999999998</v>
      </c>
      <c r="W372">
        <f t="shared" si="81"/>
        <v>1245951.5628180278</v>
      </c>
      <c r="Y372">
        <f t="shared" si="82"/>
        <v>5595.6602848810699</v>
      </c>
      <c r="Z372" s="28">
        <v>0.35199999999999998</v>
      </c>
      <c r="AA372">
        <f t="shared" si="83"/>
        <v>1702.2167077158222</v>
      </c>
    </row>
    <row r="373" spans="1:27" x14ac:dyDescent="0.2">
      <c r="A373">
        <f t="shared" si="70"/>
        <v>2404104812.5115738</v>
      </c>
      <c r="B373" s="28">
        <v>0.35299999999999998</v>
      </c>
      <c r="C373">
        <f t="shared" si="71"/>
        <v>2404210786.4441872</v>
      </c>
      <c r="E373">
        <f t="shared" si="72"/>
        <v>9079.6758600025769</v>
      </c>
      <c r="F373" s="28">
        <v>0.35299999999999998</v>
      </c>
      <c r="G373">
        <f t="shared" si="73"/>
        <v>1699.7155122247918</v>
      </c>
      <c r="I373">
        <f t="shared" si="74"/>
        <v>3252785921.4297414</v>
      </c>
      <c r="J373" s="28">
        <v>0.35299999999999998</v>
      </c>
      <c r="K373">
        <f t="shared" si="75"/>
        <v>3252897194.0589852</v>
      </c>
      <c r="M373">
        <f t="shared" si="76"/>
        <v>9018.645852798596</v>
      </c>
      <c r="N373" s="28">
        <v>0.35299999999999998</v>
      </c>
      <c r="O373">
        <f t="shared" si="77"/>
        <v>2299.7150880401432</v>
      </c>
      <c r="Q373">
        <f t="shared" si="78"/>
        <v>848681108.91816735</v>
      </c>
      <c r="R373" s="28">
        <v>0.35299999999999998</v>
      </c>
      <c r="S373">
        <f t="shared" si="79"/>
        <v>848687007.61479807</v>
      </c>
      <c r="U373">
        <f t="shared" si="80"/>
        <v>1247329.4370869936</v>
      </c>
      <c r="V373" s="48">
        <v>0.35299999999999998</v>
      </c>
      <c r="W373">
        <f t="shared" si="81"/>
        <v>1265953.9017752383</v>
      </c>
      <c r="Y373">
        <f t="shared" si="82"/>
        <v>5600.4393215595228</v>
      </c>
      <c r="Z373" s="28">
        <v>0.35299999999999998</v>
      </c>
      <c r="AA373">
        <f t="shared" si="83"/>
        <v>1697.4376710373685</v>
      </c>
    </row>
    <row r="374" spans="1:27" x14ac:dyDescent="0.2">
      <c r="A374">
        <f t="shared" si="70"/>
        <v>2481740571.4449563</v>
      </c>
      <c r="B374" s="28">
        <v>0.35399999999999998</v>
      </c>
      <c r="C374">
        <f t="shared" si="71"/>
        <v>2481846545.3775697</v>
      </c>
      <c r="E374">
        <f t="shared" si="72"/>
        <v>9084.4772754894275</v>
      </c>
      <c r="F374" s="28">
        <v>0.35399999999999998</v>
      </c>
      <c r="G374">
        <f t="shared" si="73"/>
        <v>1694.9140967379408</v>
      </c>
      <c r="I374">
        <f t="shared" si="74"/>
        <v>3360308949.8119864</v>
      </c>
      <c r="J374" s="28">
        <v>0.35399999999999998</v>
      </c>
      <c r="K374">
        <f t="shared" si="75"/>
        <v>3360420222.4412303</v>
      </c>
      <c r="M374">
        <f t="shared" si="76"/>
        <v>9023.4472538555674</v>
      </c>
      <c r="N374" s="28">
        <v>0.35399999999999998</v>
      </c>
      <c r="O374">
        <f t="shared" si="77"/>
        <v>2294.9136869831718</v>
      </c>
      <c r="Q374">
        <f t="shared" si="78"/>
        <v>878568378.36702895</v>
      </c>
      <c r="R374" s="28">
        <v>0.35399999999999998</v>
      </c>
      <c r="S374">
        <f t="shared" si="79"/>
        <v>878574277.06365967</v>
      </c>
      <c r="U374">
        <f t="shared" si="80"/>
        <v>1267662.606296421</v>
      </c>
      <c r="V374" s="48">
        <v>0.35399999999999998</v>
      </c>
      <c r="W374">
        <f t="shared" si="81"/>
        <v>1286287.0709846658</v>
      </c>
      <c r="Y374">
        <f t="shared" si="82"/>
        <v>5605.1921559816965</v>
      </c>
      <c r="Z374" s="28">
        <v>0.35399999999999998</v>
      </c>
      <c r="AA374">
        <f t="shared" si="83"/>
        <v>1692.6848366151949</v>
      </c>
    </row>
    <row r="375" spans="1:27" x14ac:dyDescent="0.2">
      <c r="A375">
        <f t="shared" si="70"/>
        <v>2561838290.473887</v>
      </c>
      <c r="B375" s="28">
        <v>0.35499999999999998</v>
      </c>
      <c r="C375">
        <f t="shared" si="71"/>
        <v>2561944264.4065003</v>
      </c>
      <c r="E375">
        <f t="shared" si="72"/>
        <v>9089.2516421594191</v>
      </c>
      <c r="F375" s="28">
        <v>0.35499999999999998</v>
      </c>
      <c r="G375">
        <f t="shared" si="73"/>
        <v>1690.1397300679491</v>
      </c>
      <c r="I375">
        <f t="shared" si="74"/>
        <v>3471323205.6415644</v>
      </c>
      <c r="J375" s="28">
        <v>0.35499999999999998</v>
      </c>
      <c r="K375">
        <f t="shared" si="75"/>
        <v>3471434478.2708082</v>
      </c>
      <c r="M375">
        <f t="shared" si="76"/>
        <v>9028.2216065966677</v>
      </c>
      <c r="N375" s="28">
        <v>0.35499999999999998</v>
      </c>
      <c r="O375">
        <f t="shared" si="77"/>
        <v>2290.1393342420711</v>
      </c>
      <c r="Q375">
        <f t="shared" si="78"/>
        <v>909484915.16767693</v>
      </c>
      <c r="R375" s="28">
        <v>0.35499999999999998</v>
      </c>
      <c r="S375">
        <f t="shared" si="79"/>
        <v>909490813.86430764</v>
      </c>
      <c r="U375">
        <f t="shared" si="80"/>
        <v>1288332.1813346811</v>
      </c>
      <c r="V375" s="48">
        <v>0.35499999999999998</v>
      </c>
      <c r="W375">
        <f t="shared" si="81"/>
        <v>1306956.6460229259</v>
      </c>
      <c r="Y375">
        <f t="shared" si="82"/>
        <v>5609.9189948041612</v>
      </c>
      <c r="Z375" s="28">
        <v>0.35499999999999998</v>
      </c>
      <c r="AA375">
        <f t="shared" si="83"/>
        <v>1687.9579977927306</v>
      </c>
    </row>
    <row r="376" spans="1:27" x14ac:dyDescent="0.2">
      <c r="A376">
        <f t="shared" si="70"/>
        <v>2644474546.0797501</v>
      </c>
      <c r="B376" s="28">
        <v>0.35599999999999998</v>
      </c>
      <c r="C376">
        <f t="shared" si="71"/>
        <v>2644580520.0123634</v>
      </c>
      <c r="E376">
        <f t="shared" si="72"/>
        <v>9093.9991879021745</v>
      </c>
      <c r="F376" s="28">
        <v>0.35599999999999998</v>
      </c>
      <c r="G376">
        <f t="shared" si="73"/>
        <v>1685.3921843251935</v>
      </c>
      <c r="I376">
        <f t="shared" si="74"/>
        <v>3585939912.5075207</v>
      </c>
      <c r="J376" s="28">
        <v>0.35599999999999998</v>
      </c>
      <c r="K376">
        <f t="shared" si="75"/>
        <v>3586051185.1367645</v>
      </c>
      <c r="M376">
        <f t="shared" si="76"/>
        <v>9032.9691388937754</v>
      </c>
      <c r="N376" s="28">
        <v>0.35599999999999998</v>
      </c>
      <c r="O376">
        <f t="shared" si="77"/>
        <v>2285.391801944962</v>
      </c>
      <c r="Q376">
        <f t="shared" si="78"/>
        <v>941465366.42777061</v>
      </c>
      <c r="R376" s="28">
        <v>0.35599999999999998</v>
      </c>
      <c r="S376">
        <f t="shared" si="79"/>
        <v>941471265.12440133</v>
      </c>
      <c r="U376">
        <f t="shared" si="80"/>
        <v>1309343.8330261682</v>
      </c>
      <c r="V376" s="48">
        <v>0.35599999999999998</v>
      </c>
      <c r="W376">
        <f t="shared" si="81"/>
        <v>1327968.2977144129</v>
      </c>
      <c r="Y376">
        <f t="shared" si="82"/>
        <v>5614.6200426349305</v>
      </c>
      <c r="Z376" s="28">
        <v>0.35599999999999998</v>
      </c>
      <c r="AA376">
        <f t="shared" si="83"/>
        <v>1683.256949961961</v>
      </c>
    </row>
    <row r="377" spans="1:27" x14ac:dyDescent="0.2">
      <c r="A377">
        <f t="shared" si="70"/>
        <v>2729728248.4188409</v>
      </c>
      <c r="B377" s="28">
        <v>0.35699999999999998</v>
      </c>
      <c r="C377">
        <f t="shared" si="71"/>
        <v>2729834222.3514543</v>
      </c>
      <c r="E377">
        <f t="shared" si="72"/>
        <v>9098.720138055729</v>
      </c>
      <c r="F377" s="28">
        <v>0.35699999999999998</v>
      </c>
      <c r="G377">
        <f t="shared" si="73"/>
        <v>1680.6712341716391</v>
      </c>
      <c r="I377">
        <f t="shared" si="74"/>
        <v>3704273767.1016798</v>
      </c>
      <c r="J377" s="28">
        <v>0.35699999999999998</v>
      </c>
      <c r="K377">
        <f t="shared" si="75"/>
        <v>3704385039.7309237</v>
      </c>
      <c r="M377">
        <f t="shared" si="76"/>
        <v>9037.6900760678236</v>
      </c>
      <c r="N377" s="28">
        <v>0.35699999999999998</v>
      </c>
      <c r="O377">
        <f t="shared" si="77"/>
        <v>2280.6708647709142</v>
      </c>
      <c r="Q377">
        <f t="shared" si="78"/>
        <v>974545518.68283844</v>
      </c>
      <c r="R377" s="28">
        <v>0.35699999999999998</v>
      </c>
      <c r="S377">
        <f t="shared" si="79"/>
        <v>974551417.37946916</v>
      </c>
      <c r="U377">
        <f t="shared" si="80"/>
        <v>1330703.3290871882</v>
      </c>
      <c r="V377" s="48">
        <v>0.35699999999999998</v>
      </c>
      <c r="W377">
        <f t="shared" si="81"/>
        <v>1349327.793775433</v>
      </c>
      <c r="Y377">
        <f t="shared" si="82"/>
        <v>5619.2955020570953</v>
      </c>
      <c r="Z377" s="28">
        <v>0.35699999999999998</v>
      </c>
      <c r="AA377">
        <f t="shared" si="83"/>
        <v>1678.5814905397965</v>
      </c>
    </row>
    <row r="378" spans="1:27" x14ac:dyDescent="0.2">
      <c r="A378">
        <f t="shared" si="70"/>
        <v>2817680710.93573</v>
      </c>
      <c r="B378" s="28">
        <v>0.35799999999999998</v>
      </c>
      <c r="C378">
        <f t="shared" si="71"/>
        <v>2817786684.8683434</v>
      </c>
      <c r="E378">
        <f t="shared" si="72"/>
        <v>9103.4147154420971</v>
      </c>
      <c r="F378" s="28">
        <v>0.35799999999999998</v>
      </c>
      <c r="G378">
        <f t="shared" si="73"/>
        <v>1675.9766567852712</v>
      </c>
      <c r="I378">
        <f t="shared" si="74"/>
        <v>3826443045.4219666</v>
      </c>
      <c r="J378" s="28">
        <v>0.35799999999999998</v>
      </c>
      <c r="K378">
        <f t="shared" si="75"/>
        <v>3826554318.0512104</v>
      </c>
      <c r="M378">
        <f t="shared" si="76"/>
        <v>9042.3846409243397</v>
      </c>
      <c r="N378" s="28">
        <v>0.35799999999999998</v>
      </c>
      <c r="O378">
        <f t="shared" si="77"/>
        <v>2275.9762999143986</v>
      </c>
      <c r="Q378">
        <f t="shared" si="78"/>
        <v>1008762334.4862361</v>
      </c>
      <c r="R378" s="28">
        <v>0.35799999999999998</v>
      </c>
      <c r="S378">
        <f t="shared" si="79"/>
        <v>1008768233.1828668</v>
      </c>
      <c r="U378">
        <f t="shared" si="80"/>
        <v>1352416.535798707</v>
      </c>
      <c r="V378" s="48">
        <v>0.35799999999999998</v>
      </c>
      <c r="W378">
        <f t="shared" si="81"/>
        <v>1371041.0004869518</v>
      </c>
      <c r="Y378">
        <f t="shared" si="82"/>
        <v>5623.945573652145</v>
      </c>
      <c r="Z378" s="28">
        <v>0.35799999999999998</v>
      </c>
      <c r="AA378">
        <f t="shared" si="83"/>
        <v>1673.9314189447464</v>
      </c>
    </row>
    <row r="379" spans="1:27" x14ac:dyDescent="0.2">
      <c r="A379">
        <f t="shared" si="70"/>
        <v>2908415722.0073953</v>
      </c>
      <c r="B379" s="28">
        <v>0.35899999999999999</v>
      </c>
      <c r="C379">
        <f t="shared" si="71"/>
        <v>2908521695.9400086</v>
      </c>
      <c r="E379">
        <f t="shared" si="72"/>
        <v>9108.0831404022538</v>
      </c>
      <c r="F379" s="28">
        <v>0.35899999999999999</v>
      </c>
      <c r="G379">
        <f t="shared" si="73"/>
        <v>1671.3082318251145</v>
      </c>
      <c r="I379">
        <f t="shared" si="74"/>
        <v>3952569712.1532278</v>
      </c>
      <c r="J379" s="28">
        <v>0.35899999999999999</v>
      </c>
      <c r="K379">
        <f t="shared" si="75"/>
        <v>3952680984.7824717</v>
      </c>
      <c r="M379">
        <f t="shared" si="76"/>
        <v>9047.0530537884079</v>
      </c>
      <c r="N379" s="28">
        <v>0.35899999999999999</v>
      </c>
      <c r="O379">
        <f t="shared" si="77"/>
        <v>2271.3078870503309</v>
      </c>
      <c r="Q379">
        <f t="shared" si="78"/>
        <v>1044153990.1458323</v>
      </c>
      <c r="R379" s="28">
        <v>0.35899999999999999</v>
      </c>
      <c r="S379">
        <f t="shared" si="79"/>
        <v>1044159888.842463</v>
      </c>
      <c r="U379">
        <f t="shared" si="80"/>
        <v>1374489.4197082212</v>
      </c>
      <c r="V379" s="48">
        <v>0.35899999999999999</v>
      </c>
      <c r="W379">
        <f t="shared" si="81"/>
        <v>1393113.884396466</v>
      </c>
      <c r="Y379">
        <f t="shared" si="82"/>
        <v>5628.5704560230033</v>
      </c>
      <c r="Z379" s="28">
        <v>0.35899999999999999</v>
      </c>
      <c r="AA379">
        <f t="shared" si="83"/>
        <v>1669.3065365738887</v>
      </c>
    </row>
    <row r="380" spans="1:27" x14ac:dyDescent="0.2">
      <c r="A380">
        <f t="shared" si="70"/>
        <v>3002019618.6760368</v>
      </c>
      <c r="B380" s="28">
        <v>0.36</v>
      </c>
      <c r="C380">
        <f t="shared" si="71"/>
        <v>3002125592.6086502</v>
      </c>
      <c r="E380">
        <f t="shared" si="72"/>
        <v>9112.7256308305314</v>
      </c>
      <c r="F380" s="28">
        <v>0.36</v>
      </c>
      <c r="G380">
        <f t="shared" si="73"/>
        <v>1666.6657413968371</v>
      </c>
      <c r="I380">
        <f t="shared" si="74"/>
        <v>4082779533.3185196</v>
      </c>
      <c r="J380" s="28">
        <v>0.36</v>
      </c>
      <c r="K380">
        <f t="shared" si="75"/>
        <v>4082890805.9477634</v>
      </c>
      <c r="M380">
        <f t="shared" si="76"/>
        <v>9051.6955325390409</v>
      </c>
      <c r="N380" s="28">
        <v>0.36</v>
      </c>
      <c r="O380">
        <f t="shared" si="77"/>
        <v>2266.6654082996984</v>
      </c>
      <c r="Q380">
        <f t="shared" si="78"/>
        <v>1080759914.6424832</v>
      </c>
      <c r="R380" s="28">
        <v>0.36</v>
      </c>
      <c r="S380">
        <f t="shared" si="79"/>
        <v>1080765813.339114</v>
      </c>
      <c r="U380">
        <f t="shared" si="80"/>
        <v>1396928.0493612534</v>
      </c>
      <c r="V380" s="48">
        <v>0.36</v>
      </c>
      <c r="W380">
        <f t="shared" si="81"/>
        <v>1415552.5140494981</v>
      </c>
      <c r="Y380">
        <f t="shared" si="82"/>
        <v>5633.1703458167567</v>
      </c>
      <c r="Z380" s="28">
        <v>0.36</v>
      </c>
      <c r="AA380">
        <f t="shared" si="83"/>
        <v>1664.7066467801353</v>
      </c>
    </row>
    <row r="381" spans="1:27" x14ac:dyDescent="0.2">
      <c r="A381">
        <f t="shared" si="70"/>
        <v>3098581362.5299201</v>
      </c>
      <c r="B381" s="28">
        <v>0.36099999999999999</v>
      </c>
      <c r="C381">
        <f t="shared" si="71"/>
        <v>3098687336.4625335</v>
      </c>
      <c r="E381">
        <f t="shared" si="72"/>
        <v>9117.3424022084491</v>
      </c>
      <c r="F381" s="28">
        <v>0.36099999999999999</v>
      </c>
      <c r="G381">
        <f t="shared" si="73"/>
        <v>1662.0489700189191</v>
      </c>
      <c r="I381">
        <f t="shared" si="74"/>
        <v>4217202192.2962642</v>
      </c>
      <c r="J381" s="28">
        <v>0.36099999999999999</v>
      </c>
      <c r="K381">
        <f t="shared" si="75"/>
        <v>4217313464.925508</v>
      </c>
      <c r="M381">
        <f t="shared" si="76"/>
        <v>9056.3122926429896</v>
      </c>
      <c r="N381" s="28">
        <v>0.36099999999999999</v>
      </c>
      <c r="O381">
        <f t="shared" si="77"/>
        <v>2262.0486481957491</v>
      </c>
      <c r="Q381">
        <f t="shared" si="78"/>
        <v>1118620829.7663438</v>
      </c>
      <c r="R381" s="28">
        <v>0.36099999999999999</v>
      </c>
      <c r="S381">
        <f t="shared" si="79"/>
        <v>1118626728.4629745</v>
      </c>
      <c r="U381">
        <f t="shared" si="80"/>
        <v>1419738.5970629989</v>
      </c>
      <c r="V381" s="48">
        <v>0.36099999999999999</v>
      </c>
      <c r="W381">
        <f t="shared" si="81"/>
        <v>1438363.0617512437</v>
      </c>
      <c r="Y381">
        <f t="shared" si="82"/>
        <v>5637.7454377471058</v>
      </c>
      <c r="Z381" s="28">
        <v>0.36099999999999999</v>
      </c>
      <c r="AA381">
        <f t="shared" si="83"/>
        <v>1660.1315548497862</v>
      </c>
    </row>
    <row r="382" spans="1:27" x14ac:dyDescent="0.2">
      <c r="A382">
        <f t="shared" si="70"/>
        <v>3198192617.7934222</v>
      </c>
      <c r="B382" s="28">
        <v>0.36199999999999999</v>
      </c>
      <c r="C382">
        <f t="shared" si="71"/>
        <v>3198298591.7260356</v>
      </c>
      <c r="E382">
        <f t="shared" si="72"/>
        <v>9121.9336676379826</v>
      </c>
      <c r="F382" s="28">
        <v>0.36199999999999999</v>
      </c>
      <c r="G382">
        <f t="shared" si="73"/>
        <v>1657.457704589385</v>
      </c>
      <c r="I382">
        <f t="shared" si="74"/>
        <v>4355971409.3016176</v>
      </c>
      <c r="J382" s="28">
        <v>0.36199999999999999</v>
      </c>
      <c r="K382">
        <f t="shared" si="75"/>
        <v>4356082681.9308615</v>
      </c>
      <c r="M382">
        <f t="shared" si="76"/>
        <v>9060.9035471879961</v>
      </c>
      <c r="N382" s="28">
        <v>0.36199999999999999</v>
      </c>
      <c r="O382">
        <f t="shared" si="77"/>
        <v>2257.4573936507427</v>
      </c>
      <c r="Q382">
        <f t="shared" si="78"/>
        <v>1157778791.5081942</v>
      </c>
      <c r="R382" s="28">
        <v>0.36199999999999999</v>
      </c>
      <c r="S382">
        <f t="shared" si="79"/>
        <v>1157784690.2048249</v>
      </c>
      <c r="U382">
        <f t="shared" si="80"/>
        <v>1442927.3406706506</v>
      </c>
      <c r="V382" s="48">
        <v>0.36199999999999999</v>
      </c>
      <c r="W382">
        <f t="shared" si="81"/>
        <v>1461551.8053588953</v>
      </c>
      <c r="Y382">
        <f t="shared" si="82"/>
        <v>5642.2959246165192</v>
      </c>
      <c r="Z382" s="28">
        <v>0.36199999999999999</v>
      </c>
      <c r="AA382">
        <f t="shared" si="83"/>
        <v>1655.5810679803722</v>
      </c>
    </row>
    <row r="383" spans="1:27" x14ac:dyDescent="0.2">
      <c r="A383">
        <f t="shared" si="70"/>
        <v>3300947831.6893597</v>
      </c>
      <c r="B383" s="28">
        <v>0.36299999999999999</v>
      </c>
      <c r="C383">
        <f t="shared" si="71"/>
        <v>3301053805.621973</v>
      </c>
      <c r="E383">
        <f t="shared" si="72"/>
        <v>9126.499637874289</v>
      </c>
      <c r="F383" s="28">
        <v>0.36299999999999999</v>
      </c>
      <c r="G383">
        <f t="shared" si="73"/>
        <v>1652.8917343530798</v>
      </c>
      <c r="I383">
        <f t="shared" si="74"/>
        <v>4499225064.4335051</v>
      </c>
      <c r="J383" s="28">
        <v>0.36299999999999999</v>
      </c>
      <c r="K383">
        <f t="shared" si="75"/>
        <v>4499336337.0627489</v>
      </c>
      <c r="M383">
        <f t="shared" si="76"/>
        <v>9065.4695069154914</v>
      </c>
      <c r="N383" s="28">
        <v>0.36299999999999999</v>
      </c>
      <c r="O383">
        <f t="shared" si="77"/>
        <v>2252.8914339232474</v>
      </c>
      <c r="Q383">
        <f t="shared" si="78"/>
        <v>1198277232.7441454</v>
      </c>
      <c r="R383" s="28">
        <v>0.36299999999999999</v>
      </c>
      <c r="S383">
        <f t="shared" si="79"/>
        <v>1198283131.4407761</v>
      </c>
      <c r="U383">
        <f t="shared" si="80"/>
        <v>1466500.6654169352</v>
      </c>
      <c r="V383" s="48">
        <v>0.36299999999999999</v>
      </c>
      <c r="W383">
        <f t="shared" si="81"/>
        <v>1485125.13010518</v>
      </c>
      <c r="Y383">
        <f t="shared" si="82"/>
        <v>5646.8219973381147</v>
      </c>
      <c r="Z383" s="28">
        <v>0.36299999999999999</v>
      </c>
      <c r="AA383">
        <f t="shared" si="83"/>
        <v>1651.0549952587767</v>
      </c>
    </row>
    <row r="384" spans="1:27" x14ac:dyDescent="0.2">
      <c r="A384">
        <f t="shared" si="70"/>
        <v>3406944317.1379499</v>
      </c>
      <c r="B384" s="28">
        <v>0.36399999999999999</v>
      </c>
      <c r="C384">
        <f t="shared" si="71"/>
        <v>3407050291.0705633</v>
      </c>
      <c r="E384">
        <f t="shared" si="72"/>
        <v>9131.0405213578852</v>
      </c>
      <c r="F384" s="28">
        <v>0.36399999999999999</v>
      </c>
      <c r="G384">
        <f t="shared" si="73"/>
        <v>1648.3508508694836</v>
      </c>
      <c r="I384">
        <f t="shared" si="74"/>
        <v>4647105324.3910046</v>
      </c>
      <c r="J384" s="28">
        <v>0.36399999999999999</v>
      </c>
      <c r="K384">
        <f t="shared" si="75"/>
        <v>4647216597.0202484</v>
      </c>
      <c r="M384">
        <f t="shared" si="76"/>
        <v>9070.0103802527628</v>
      </c>
      <c r="N384" s="28">
        <v>0.36399999999999999</v>
      </c>
      <c r="O384">
        <f t="shared" si="77"/>
        <v>2248.3505605859755</v>
      </c>
      <c r="Q384">
        <f t="shared" si="78"/>
        <v>1240161007.2530544</v>
      </c>
      <c r="R384" s="28">
        <v>0.36399999999999999</v>
      </c>
      <c r="S384">
        <f t="shared" si="79"/>
        <v>1240166905.9496851</v>
      </c>
      <c r="U384">
        <f t="shared" si="80"/>
        <v>1490465.0657654146</v>
      </c>
      <c r="V384" s="48">
        <v>0.36399999999999999</v>
      </c>
      <c r="W384">
        <f t="shared" si="81"/>
        <v>1509089.5304536594</v>
      </c>
      <c r="Y384">
        <f t="shared" si="82"/>
        <v>5651.3238449572555</v>
      </c>
      <c r="Z384" s="28">
        <v>0.36399999999999999</v>
      </c>
      <c r="AA384">
        <f t="shared" si="83"/>
        <v>1646.5531476396366</v>
      </c>
    </row>
    <row r="385" spans="1:27" x14ac:dyDescent="0.2">
      <c r="A385">
        <f t="shared" si="70"/>
        <v>3516282337.8587875</v>
      </c>
      <c r="B385" s="28">
        <v>0.36499999999999999</v>
      </c>
      <c r="C385">
        <f t="shared" si="71"/>
        <v>3516388311.7914009</v>
      </c>
      <c r="E385">
        <f t="shared" si="72"/>
        <v>9135.5565242463126</v>
      </c>
      <c r="F385" s="28">
        <v>0.36499999999999999</v>
      </c>
      <c r="G385">
        <f t="shared" si="73"/>
        <v>1643.8348479810556</v>
      </c>
      <c r="I385">
        <f t="shared" si="74"/>
        <v>4799758772.9660187</v>
      </c>
      <c r="J385" s="28">
        <v>0.36499999999999999</v>
      </c>
      <c r="K385">
        <f t="shared" si="75"/>
        <v>4799870045.5952625</v>
      </c>
      <c r="M385">
        <f t="shared" si="76"/>
        <v>9074.5263733445972</v>
      </c>
      <c r="N385" s="28">
        <v>0.36499999999999999</v>
      </c>
      <c r="O385">
        <f t="shared" si="77"/>
        <v>2243.8345674941411</v>
      </c>
      <c r="Q385">
        <f t="shared" si="78"/>
        <v>1283476435.1072307</v>
      </c>
      <c r="R385" s="28">
        <v>0.36499999999999999</v>
      </c>
      <c r="S385">
        <f t="shared" si="79"/>
        <v>1283482333.8038614</v>
      </c>
      <c r="U385">
        <f t="shared" si="80"/>
        <v>1514827.147298106</v>
      </c>
      <c r="V385" s="48">
        <v>0.36499999999999999</v>
      </c>
      <c r="W385">
        <f t="shared" si="81"/>
        <v>1533451.6119863507</v>
      </c>
      <c r="Y385">
        <f t="shared" si="82"/>
        <v>5655.8016546728722</v>
      </c>
      <c r="Z385" s="28">
        <v>0.36499999999999999</v>
      </c>
      <c r="AA385">
        <f t="shared" si="83"/>
        <v>1642.0753379240195</v>
      </c>
    </row>
    <row r="386" spans="1:27" x14ac:dyDescent="0.2">
      <c r="A386">
        <f t="shared" si="70"/>
        <v>3629065195.9441509</v>
      </c>
      <c r="B386" s="28">
        <v>0.36599999999999999</v>
      </c>
      <c r="C386">
        <f t="shared" si="71"/>
        <v>3629171169.8767643</v>
      </c>
      <c r="E386">
        <f t="shared" si="72"/>
        <v>9140.0478504452767</v>
      </c>
      <c r="F386" s="28">
        <v>0.36599999999999999</v>
      </c>
      <c r="G386">
        <f t="shared" si="73"/>
        <v>1639.3435217820913</v>
      </c>
      <c r="I386">
        <f t="shared" si="74"/>
        <v>4957336545.4224167</v>
      </c>
      <c r="J386" s="28">
        <v>0.36599999999999999</v>
      </c>
      <c r="K386">
        <f t="shared" si="75"/>
        <v>4957447818.0516605</v>
      </c>
      <c r="M386">
        <f t="shared" si="76"/>
        <v>9079.0176900844017</v>
      </c>
      <c r="N386" s="28">
        <v>0.36599999999999999</v>
      </c>
      <c r="O386">
        <f t="shared" si="77"/>
        <v>2239.3432507543366</v>
      </c>
      <c r="Q386">
        <f t="shared" si="78"/>
        <v>1328271349.478265</v>
      </c>
      <c r="R386" s="28">
        <v>0.36599999999999999</v>
      </c>
      <c r="S386">
        <f t="shared" si="79"/>
        <v>1328277248.1748958</v>
      </c>
      <c r="U386">
        <f t="shared" si="80"/>
        <v>1539593.6286359844</v>
      </c>
      <c r="V386" s="48">
        <v>0.36599999999999999</v>
      </c>
      <c r="W386">
        <f t="shared" si="81"/>
        <v>1558218.0933242291</v>
      </c>
      <c r="Y386">
        <f t="shared" si="82"/>
        <v>5660.2556118585235</v>
      </c>
      <c r="Z386" s="28">
        <v>0.36599999999999999</v>
      </c>
      <c r="AA386">
        <f t="shared" si="83"/>
        <v>1637.6213807383688</v>
      </c>
    </row>
    <row r="387" spans="1:27" x14ac:dyDescent="0.2">
      <c r="A387">
        <f t="shared" si="70"/>
        <v>3745399321.9737811</v>
      </c>
      <c r="B387" s="28">
        <v>0.36699999999999999</v>
      </c>
      <c r="C387">
        <f t="shared" si="71"/>
        <v>3745505295.9063945</v>
      </c>
      <c r="E387">
        <f t="shared" si="72"/>
        <v>9144.5147016392766</v>
      </c>
      <c r="F387" s="28">
        <v>0.36699999999999999</v>
      </c>
      <c r="G387">
        <f t="shared" si="73"/>
        <v>1634.8766705880914</v>
      </c>
      <c r="I387">
        <f t="shared" si="74"/>
        <v>5119994466.8747969</v>
      </c>
      <c r="J387" s="28">
        <v>0.36699999999999999</v>
      </c>
      <c r="K387">
        <f t="shared" si="75"/>
        <v>5120105739.5040407</v>
      </c>
      <c r="M387">
        <f t="shared" si="76"/>
        <v>9083.4845321448174</v>
      </c>
      <c r="N387" s="28">
        <v>0.36699999999999999</v>
      </c>
      <c r="O387">
        <f t="shared" si="77"/>
        <v>2234.8764086939213</v>
      </c>
      <c r="Q387">
        <f t="shared" si="78"/>
        <v>1374595144.901016</v>
      </c>
      <c r="R387" s="28">
        <v>0.36699999999999999</v>
      </c>
      <c r="S387">
        <f t="shared" si="79"/>
        <v>1374601043.5976467</v>
      </c>
      <c r="U387">
        <f t="shared" si="80"/>
        <v>1564771.3433929549</v>
      </c>
      <c r="V387" s="48">
        <v>0.36699999999999999</v>
      </c>
      <c r="W387">
        <f t="shared" si="81"/>
        <v>1583395.8080811996</v>
      </c>
      <c r="Y387">
        <f t="shared" si="82"/>
        <v>5664.6859000831737</v>
      </c>
      <c r="Z387" s="28">
        <v>0.36699999999999999</v>
      </c>
      <c r="AA387">
        <f t="shared" si="83"/>
        <v>1633.1910925137179</v>
      </c>
    </row>
    <row r="388" spans="1:27" x14ac:dyDescent="0.2">
      <c r="A388">
        <f t="shared" si="70"/>
        <v>3865394367.7431831</v>
      </c>
      <c r="B388" s="28">
        <v>0.36799999999999999</v>
      </c>
      <c r="C388">
        <f t="shared" si="71"/>
        <v>3865500341.6757965</v>
      </c>
      <c r="E388">
        <f t="shared" si="72"/>
        <v>9148.9572773217442</v>
      </c>
      <c r="F388" s="28">
        <v>0.36799999999999999</v>
      </c>
      <c r="G388">
        <f t="shared" si="73"/>
        <v>1630.4340949056239</v>
      </c>
      <c r="I388">
        <f t="shared" si="74"/>
        <v>5287893194.7832451</v>
      </c>
      <c r="J388" s="28">
        <v>0.36799999999999999</v>
      </c>
      <c r="K388">
        <f t="shared" si="75"/>
        <v>5288004467.4124889</v>
      </c>
      <c r="M388">
        <f t="shared" si="76"/>
        <v>9087.9270990078458</v>
      </c>
      <c r="N388" s="28">
        <v>0.36799999999999999</v>
      </c>
      <c r="O388">
        <f t="shared" si="77"/>
        <v>2230.433841830893</v>
      </c>
      <c r="Q388">
        <f t="shared" si="78"/>
        <v>1422498827.0400624</v>
      </c>
      <c r="R388" s="28">
        <v>0.36799999999999999</v>
      </c>
      <c r="S388">
        <f t="shared" si="79"/>
        <v>1422504725.7366931</v>
      </c>
      <c r="U388">
        <f t="shared" si="80"/>
        <v>1590367.2421638682</v>
      </c>
      <c r="V388" s="48">
        <v>0.36799999999999999</v>
      </c>
      <c r="W388">
        <f t="shared" si="81"/>
        <v>1608991.7068521129</v>
      </c>
      <c r="Y388">
        <f t="shared" si="82"/>
        <v>5669.0927011317253</v>
      </c>
      <c r="Z388" s="28">
        <v>0.36799999999999999</v>
      </c>
      <c r="AA388">
        <f t="shared" si="83"/>
        <v>1628.7842914651662</v>
      </c>
    </row>
    <row r="389" spans="1:27" x14ac:dyDescent="0.2">
      <c r="A389">
        <f t="shared" si="70"/>
        <v>3989163301.6793637</v>
      </c>
      <c r="B389" s="28">
        <v>0.36899999999999999</v>
      </c>
      <c r="C389">
        <f t="shared" si="71"/>
        <v>3989269275.6119771</v>
      </c>
      <c r="E389">
        <f t="shared" si="72"/>
        <v>9153.3757748246899</v>
      </c>
      <c r="F389" s="28">
        <v>0.36899999999999999</v>
      </c>
      <c r="G389">
        <f t="shared" si="73"/>
        <v>1626.0155974026779</v>
      </c>
      <c r="I389">
        <f t="shared" si="74"/>
        <v>5461198365.6835518</v>
      </c>
      <c r="J389" s="28">
        <v>0.36899999999999999</v>
      </c>
      <c r="K389">
        <f t="shared" si="75"/>
        <v>5461309638.3127956</v>
      </c>
      <c r="M389">
        <f t="shared" si="76"/>
        <v>9092.3455879944722</v>
      </c>
      <c r="N389" s="28">
        <v>0.36899999999999999</v>
      </c>
      <c r="O389">
        <f t="shared" si="77"/>
        <v>2226.0153528442661</v>
      </c>
      <c r="Q389">
        <f t="shared" si="78"/>
        <v>1472035064.0041888</v>
      </c>
      <c r="R389" s="28">
        <v>0.36899999999999999</v>
      </c>
      <c r="S389">
        <f t="shared" si="79"/>
        <v>1472040962.7008195</v>
      </c>
      <c r="U389">
        <f t="shared" si="80"/>
        <v>1616388.3945471852</v>
      </c>
      <c r="V389" s="48">
        <v>0.36899999999999999</v>
      </c>
      <c r="W389">
        <f t="shared" si="81"/>
        <v>1635012.8592354299</v>
      </c>
      <c r="Y389">
        <f t="shared" si="82"/>
        <v>5673.4761950252741</v>
      </c>
      <c r="Z389" s="28">
        <v>0.36899999999999999</v>
      </c>
      <c r="AA389">
        <f t="shared" si="83"/>
        <v>1624.4007975716177</v>
      </c>
    </row>
    <row r="390" spans="1:27" x14ac:dyDescent="0.2">
      <c r="A390">
        <f t="shared" si="70"/>
        <v>4116822507.0201516</v>
      </c>
      <c r="B390" s="28">
        <v>0.37</v>
      </c>
      <c r="C390">
        <f t="shared" si="71"/>
        <v>4116928480.952765</v>
      </c>
      <c r="E390">
        <f t="shared" si="72"/>
        <v>9157.770389347872</v>
      </c>
      <c r="F390" s="28">
        <v>0.37</v>
      </c>
      <c r="G390">
        <f t="shared" si="73"/>
        <v>1621.6209828794963</v>
      </c>
      <c r="I390">
        <f t="shared" si="74"/>
        <v>5640080746.2760448</v>
      </c>
      <c r="J390" s="28">
        <v>0.37</v>
      </c>
      <c r="K390">
        <f t="shared" si="75"/>
        <v>5640192018.9052887</v>
      </c>
      <c r="M390">
        <f t="shared" si="76"/>
        <v>9096.7401942938286</v>
      </c>
      <c r="N390" s="28">
        <v>0.37</v>
      </c>
      <c r="O390">
        <f t="shared" si="77"/>
        <v>2221.6207465449102</v>
      </c>
      <c r="Q390">
        <f t="shared" si="78"/>
        <v>1523258239.2558923</v>
      </c>
      <c r="R390" s="28">
        <v>0.37</v>
      </c>
      <c r="S390">
        <f t="shared" si="79"/>
        <v>1523264137.952523</v>
      </c>
      <c r="U390">
        <f t="shared" si="80"/>
        <v>1642841.9912028986</v>
      </c>
      <c r="V390" s="48">
        <v>0.37</v>
      </c>
      <c r="W390">
        <f t="shared" si="81"/>
        <v>1661466.4558911433</v>
      </c>
      <c r="Y390">
        <f t="shared" si="82"/>
        <v>5677.8365600411216</v>
      </c>
      <c r="Z390" s="28">
        <v>0.37</v>
      </c>
      <c r="AA390">
        <f t="shared" si="83"/>
        <v>1620.0404325557702</v>
      </c>
    </row>
    <row r="391" spans="1:27" x14ac:dyDescent="0.2">
      <c r="A391">
        <f t="shared" si="70"/>
        <v>4248491882.8355031</v>
      </c>
      <c r="B391" s="28">
        <v>0.371</v>
      </c>
      <c r="C391">
        <f t="shared" si="71"/>
        <v>4248597856.7681165</v>
      </c>
      <c r="E391">
        <f t="shared" si="72"/>
        <v>9162.1413139874912</v>
      </c>
      <c r="F391" s="28">
        <v>0.371</v>
      </c>
      <c r="G391">
        <f t="shared" si="73"/>
        <v>1617.2500582398766</v>
      </c>
      <c r="I391">
        <f t="shared" si="74"/>
        <v>5824716388.9998446</v>
      </c>
      <c r="J391" s="28">
        <v>0.371</v>
      </c>
      <c r="K391">
        <f t="shared" si="75"/>
        <v>5824827661.6290884</v>
      </c>
      <c r="M391">
        <f t="shared" si="76"/>
        <v>9101.1111109918675</v>
      </c>
      <c r="N391" s="28">
        <v>0.371</v>
      </c>
      <c r="O391">
        <f t="shared" si="77"/>
        <v>2217.2498298468709</v>
      </c>
      <c r="Q391">
        <f t="shared" si="78"/>
        <v>1576224506.1643405</v>
      </c>
      <c r="R391" s="28">
        <v>0.371</v>
      </c>
      <c r="S391">
        <f t="shared" si="79"/>
        <v>1576230404.8609712</v>
      </c>
      <c r="U391">
        <f t="shared" si="80"/>
        <v>1669735.3459463229</v>
      </c>
      <c r="V391" s="48">
        <v>0.371</v>
      </c>
      <c r="W391">
        <f t="shared" si="81"/>
        <v>1688359.8106345676</v>
      </c>
      <c r="Y391">
        <f t="shared" si="82"/>
        <v>5682.1739727325275</v>
      </c>
      <c r="Z391" s="28">
        <v>0.371</v>
      </c>
      <c r="AA391">
        <f t="shared" si="83"/>
        <v>1615.7030198643643</v>
      </c>
    </row>
    <row r="392" spans="1:27" x14ac:dyDescent="0.2">
      <c r="A392">
        <f t="shared" si="70"/>
        <v>4384294947.9709883</v>
      </c>
      <c r="B392" s="28">
        <v>0.372</v>
      </c>
      <c r="C392">
        <f t="shared" si="71"/>
        <v>4384400921.9036016</v>
      </c>
      <c r="E392">
        <f t="shared" si="72"/>
        <v>9166.4887397644325</v>
      </c>
      <c r="F392" s="28">
        <v>0.372</v>
      </c>
      <c r="G392">
        <f t="shared" si="73"/>
        <v>1612.9026324629356</v>
      </c>
      <c r="I392">
        <f t="shared" si="74"/>
        <v>6015286792.2224979</v>
      </c>
      <c r="J392" s="28">
        <v>0.372</v>
      </c>
      <c r="K392">
        <f t="shared" si="75"/>
        <v>6015398064.8517418</v>
      </c>
      <c r="M392">
        <f t="shared" si="76"/>
        <v>9105.458529099591</v>
      </c>
      <c r="N392" s="28">
        <v>0.372</v>
      </c>
      <c r="O392">
        <f t="shared" si="77"/>
        <v>2212.9024117391473</v>
      </c>
      <c r="Q392">
        <f t="shared" si="78"/>
        <v>1630991844.2515092</v>
      </c>
      <c r="R392" s="28">
        <v>0.372</v>
      </c>
      <c r="S392">
        <f t="shared" si="79"/>
        <v>1630997742.9481399</v>
      </c>
      <c r="U392">
        <f t="shared" si="80"/>
        <v>1697075.8978783952</v>
      </c>
      <c r="V392" s="48">
        <v>0.372</v>
      </c>
      <c r="W392">
        <f t="shared" si="81"/>
        <v>1715700.3625666399</v>
      </c>
      <c r="Y392">
        <f t="shared" si="82"/>
        <v>5686.4886079482167</v>
      </c>
      <c r="Z392" s="28">
        <v>0.372</v>
      </c>
      <c r="AA392">
        <f t="shared" si="83"/>
        <v>1611.3883846486756</v>
      </c>
    </row>
    <row r="393" spans="1:27" x14ac:dyDescent="0.2">
      <c r="A393">
        <f t="shared" si="70"/>
        <v>4524358947.9959736</v>
      </c>
      <c r="B393" s="28">
        <v>0.373</v>
      </c>
      <c r="C393">
        <f t="shared" si="71"/>
        <v>4524464921.928587</v>
      </c>
      <c r="E393">
        <f t="shared" si="72"/>
        <v>9170.8128556520423</v>
      </c>
      <c r="F393" s="28">
        <v>0.373</v>
      </c>
      <c r="G393">
        <f t="shared" si="73"/>
        <v>1608.5785165753252</v>
      </c>
      <c r="I393">
        <f t="shared" si="74"/>
        <v>6211979065.1787052</v>
      </c>
      <c r="J393" s="28">
        <v>0.373</v>
      </c>
      <c r="K393">
        <f t="shared" si="75"/>
        <v>6212090337.8079491</v>
      </c>
      <c r="M393">
        <f t="shared" si="76"/>
        <v>9109.7826375808163</v>
      </c>
      <c r="N393" s="28">
        <v>0.373</v>
      </c>
      <c r="O393">
        <f t="shared" si="77"/>
        <v>2208.5783032579216</v>
      </c>
      <c r="Q393">
        <f t="shared" si="78"/>
        <v>1687620117.1827323</v>
      </c>
      <c r="R393" s="28">
        <v>0.373</v>
      </c>
      <c r="S393">
        <f t="shared" si="79"/>
        <v>1687626015.8793631</v>
      </c>
      <c r="U393">
        <f t="shared" si="80"/>
        <v>1724871.2135531083</v>
      </c>
      <c r="V393" s="48">
        <v>0.373</v>
      </c>
      <c r="W393">
        <f t="shared" si="81"/>
        <v>1743495.678241353</v>
      </c>
      <c r="Y393">
        <f t="shared" si="82"/>
        <v>5690.7806388516346</v>
      </c>
      <c r="Z393" s="28">
        <v>0.373</v>
      </c>
      <c r="AA393">
        <f t="shared" si="83"/>
        <v>1607.0963537452567</v>
      </c>
    </row>
    <row r="394" spans="1:27" x14ac:dyDescent="0.2">
      <c r="A394">
        <f t="shared" si="70"/>
        <v>4668814965.2414045</v>
      </c>
      <c r="B394" s="28">
        <v>0.374</v>
      </c>
      <c r="C394">
        <f t="shared" si="71"/>
        <v>4668920939.1740179</v>
      </c>
      <c r="E394">
        <f t="shared" si="72"/>
        <v>9175.1138486034743</v>
      </c>
      <c r="F394" s="28">
        <v>0.374</v>
      </c>
      <c r="G394">
        <f t="shared" si="73"/>
        <v>1604.2775236238945</v>
      </c>
      <c r="I394">
        <f t="shared" si="74"/>
        <v>6414986097.7958584</v>
      </c>
      <c r="J394" s="28">
        <v>0.374</v>
      </c>
      <c r="K394">
        <f t="shared" si="75"/>
        <v>6415097370.4251022</v>
      </c>
      <c r="M394">
        <f t="shared" si="76"/>
        <v>9114.0836233795071</v>
      </c>
      <c r="N394" s="28">
        <v>0.374</v>
      </c>
      <c r="O394">
        <f t="shared" si="77"/>
        <v>2204.2773174592312</v>
      </c>
      <c r="Q394">
        <f t="shared" si="78"/>
        <v>1746171132.5544519</v>
      </c>
      <c r="R394" s="28">
        <v>0.374</v>
      </c>
      <c r="S394">
        <f t="shared" si="79"/>
        <v>1746177031.2510827</v>
      </c>
      <c r="U394">
        <f t="shared" si="80"/>
        <v>1753128.9891827512</v>
      </c>
      <c r="V394" s="48">
        <v>0.374</v>
      </c>
      <c r="W394">
        <f t="shared" si="81"/>
        <v>1771753.4538709959</v>
      </c>
      <c r="Y394">
        <f t="shared" si="82"/>
        <v>5695.0502369399737</v>
      </c>
      <c r="Z394" s="28">
        <v>0.374</v>
      </c>
      <c r="AA394">
        <f t="shared" si="83"/>
        <v>1602.8267556569181</v>
      </c>
    </row>
    <row r="395" spans="1:27" x14ac:dyDescent="0.2">
      <c r="A395">
        <f t="shared" si="70"/>
        <v>4817798032.0145864</v>
      </c>
      <c r="B395" s="28">
        <v>0.375</v>
      </c>
      <c r="C395">
        <f t="shared" si="71"/>
        <v>4817904005.9471998</v>
      </c>
      <c r="E395">
        <f t="shared" si="72"/>
        <v>9179.3919035785839</v>
      </c>
      <c r="F395" s="28">
        <v>0.375</v>
      </c>
      <c r="G395">
        <f t="shared" si="73"/>
        <v>1599.9994686487846</v>
      </c>
      <c r="I395">
        <f t="shared" si="74"/>
        <v>6624506735.5481558</v>
      </c>
      <c r="J395" s="28">
        <v>0.375</v>
      </c>
      <c r="K395">
        <f t="shared" si="75"/>
        <v>6624618008.1773996</v>
      </c>
      <c r="M395">
        <f t="shared" si="76"/>
        <v>9118.3616714466589</v>
      </c>
      <c r="N395" s="28">
        <v>0.375</v>
      </c>
      <c r="O395">
        <f t="shared" si="77"/>
        <v>2199.999269392079</v>
      </c>
      <c r="Q395">
        <f t="shared" si="78"/>
        <v>1806708703.5335693</v>
      </c>
      <c r="R395" s="28">
        <v>0.375</v>
      </c>
      <c r="S395">
        <f t="shared" si="79"/>
        <v>1806714602.2302001</v>
      </c>
      <c r="U395">
        <f t="shared" si="80"/>
        <v>1781857.0528816008</v>
      </c>
      <c r="V395" s="48">
        <v>0.375</v>
      </c>
      <c r="W395">
        <f t="shared" si="81"/>
        <v>1800481.5175698455</v>
      </c>
      <c r="Y395">
        <f t="shared" si="82"/>
        <v>5699.2975720629374</v>
      </c>
      <c r="Z395" s="28">
        <v>0.375</v>
      </c>
      <c r="AA395">
        <f t="shared" si="83"/>
        <v>1598.5794205339544</v>
      </c>
    </row>
    <row r="396" spans="1:27" x14ac:dyDescent="0.2">
      <c r="A396">
        <f t="shared" si="70"/>
        <v>4971447247.0803833</v>
      </c>
      <c r="B396" s="28">
        <v>0.376</v>
      </c>
      <c r="C396">
        <f t="shared" si="71"/>
        <v>4971553221.0129967</v>
      </c>
      <c r="E396">
        <f t="shared" si="72"/>
        <v>9183.6472035704137</v>
      </c>
      <c r="F396" s="28">
        <v>0.376</v>
      </c>
      <c r="G396">
        <f t="shared" si="73"/>
        <v>1595.7441686569553</v>
      </c>
      <c r="I396">
        <f t="shared" si="74"/>
        <v>6840745959.4846392</v>
      </c>
      <c r="J396" s="28">
        <v>0.376</v>
      </c>
      <c r="K396">
        <f t="shared" si="75"/>
        <v>6840857232.113883</v>
      </c>
      <c r="M396">
        <f t="shared" si="76"/>
        <v>9122.6169647667684</v>
      </c>
      <c r="N396" s="28">
        <v>0.376</v>
      </c>
      <c r="O396">
        <f t="shared" si="77"/>
        <v>2195.7439760719703</v>
      </c>
      <c r="Q396">
        <f t="shared" si="78"/>
        <v>1869298712.4042561</v>
      </c>
      <c r="R396" s="28">
        <v>0.376</v>
      </c>
      <c r="S396">
        <f t="shared" si="79"/>
        <v>1869304611.1008868</v>
      </c>
      <c r="U396">
        <f t="shared" si="80"/>
        <v>1811063.3669487487</v>
      </c>
      <c r="V396" s="48">
        <v>0.376</v>
      </c>
      <c r="W396">
        <f t="shared" si="81"/>
        <v>1829687.8316369934</v>
      </c>
      <c r="Y396">
        <f t="shared" si="82"/>
        <v>5703.5228124412934</v>
      </c>
      <c r="Z396" s="28">
        <v>0.376</v>
      </c>
      <c r="AA396">
        <f t="shared" si="83"/>
        <v>1594.3541801555984</v>
      </c>
    </row>
    <row r="397" spans="1:27" x14ac:dyDescent="0.2">
      <c r="A397">
        <f t="shared" si="70"/>
        <v>5129905895.5007849</v>
      </c>
      <c r="B397" s="28">
        <v>0.377</v>
      </c>
      <c r="C397">
        <f t="shared" si="71"/>
        <v>5130011869.4333982</v>
      </c>
      <c r="E397">
        <f t="shared" si="72"/>
        <v>9187.8799296312372</v>
      </c>
      <c r="F397" s="28">
        <v>0.377</v>
      </c>
      <c r="G397">
        <f t="shared" si="73"/>
        <v>1591.511442596131</v>
      </c>
      <c r="I397">
        <f t="shared" si="74"/>
        <v>7063915071.5805464</v>
      </c>
      <c r="J397" s="28">
        <v>0.377</v>
      </c>
      <c r="K397">
        <f t="shared" si="75"/>
        <v>7064026344.2097902</v>
      </c>
      <c r="M397">
        <f t="shared" si="76"/>
        <v>9126.8496843838657</v>
      </c>
      <c r="N397" s="28">
        <v>0.377</v>
      </c>
      <c r="O397">
        <f t="shared" si="77"/>
        <v>2191.5112564548726</v>
      </c>
      <c r="Q397">
        <f t="shared" si="78"/>
        <v>1934009176.0797603</v>
      </c>
      <c r="R397" s="28">
        <v>0.377</v>
      </c>
      <c r="S397">
        <f t="shared" si="79"/>
        <v>1934015074.776391</v>
      </c>
      <c r="U397">
        <f t="shared" si="80"/>
        <v>1840756.030190747</v>
      </c>
      <c r="V397" s="48">
        <v>0.377</v>
      </c>
      <c r="W397">
        <f t="shared" si="81"/>
        <v>1859380.4948789917</v>
      </c>
      <c r="Y397">
        <f t="shared" si="82"/>
        <v>5707.7261246851776</v>
      </c>
      <c r="Z397" s="28">
        <v>0.377</v>
      </c>
      <c r="AA397">
        <f t="shared" si="83"/>
        <v>1590.1508679117144</v>
      </c>
    </row>
    <row r="398" spans="1:27" x14ac:dyDescent="0.2">
      <c r="A398">
        <f t="shared" si="70"/>
        <v>5293321571.9276333</v>
      </c>
      <c r="B398" s="28">
        <v>0.378</v>
      </c>
      <c r="C398">
        <f t="shared" si="71"/>
        <v>5293427545.8602467</v>
      </c>
      <c r="E398">
        <f t="shared" si="72"/>
        <v>9192.0902608982105</v>
      </c>
      <c r="F398" s="28">
        <v>0.378</v>
      </c>
      <c r="G398">
        <f t="shared" si="73"/>
        <v>1587.301111329157</v>
      </c>
      <c r="I398">
        <f t="shared" si="74"/>
        <v>7294231885.5661774</v>
      </c>
      <c r="J398" s="28">
        <v>0.378</v>
      </c>
      <c r="K398">
        <f t="shared" si="75"/>
        <v>7294343158.1954212</v>
      </c>
      <c r="M398">
        <f t="shared" si="76"/>
        <v>9131.0600094271595</v>
      </c>
      <c r="N398" s="28">
        <v>0.378</v>
      </c>
      <c r="O398">
        <f t="shared" si="77"/>
        <v>2187.3009314115784</v>
      </c>
      <c r="Q398">
        <f t="shared" si="78"/>
        <v>2000910313.6385427</v>
      </c>
      <c r="R398" s="28">
        <v>0.378</v>
      </c>
      <c r="S398">
        <f t="shared" si="79"/>
        <v>2000916212.3351734</v>
      </c>
      <c r="U398">
        <f t="shared" si="80"/>
        <v>1870943.2802847831</v>
      </c>
      <c r="V398" s="48">
        <v>0.378</v>
      </c>
      <c r="W398">
        <f t="shared" si="81"/>
        <v>1889567.7449730278</v>
      </c>
      <c r="Y398">
        <f t="shared" si="82"/>
        <v>5711.907673812173</v>
      </c>
      <c r="Z398" s="28">
        <v>0.378</v>
      </c>
      <c r="AA398">
        <f t="shared" si="83"/>
        <v>1585.9693187847183</v>
      </c>
    </row>
    <row r="399" spans="1:27" x14ac:dyDescent="0.2">
      <c r="A399">
        <f t="shared" si="70"/>
        <v>5461846307.445775</v>
      </c>
      <c r="B399" s="28">
        <v>0.379</v>
      </c>
      <c r="C399">
        <f t="shared" si="71"/>
        <v>5461952281.3783884</v>
      </c>
      <c r="E399">
        <f t="shared" si="72"/>
        <v>9196.2783746186069</v>
      </c>
      <c r="F399" s="28">
        <v>0.379</v>
      </c>
      <c r="G399">
        <f t="shared" si="73"/>
        <v>1583.1129976087618</v>
      </c>
      <c r="I399">
        <f t="shared" si="74"/>
        <v>7531920923.3915539</v>
      </c>
      <c r="J399" s="28">
        <v>0.379</v>
      </c>
      <c r="K399">
        <f t="shared" si="75"/>
        <v>7532032196.0207977</v>
      </c>
      <c r="M399">
        <f t="shared" si="76"/>
        <v>9135.248117136256</v>
      </c>
      <c r="N399" s="28">
        <v>0.379</v>
      </c>
      <c r="O399">
        <f t="shared" si="77"/>
        <v>2183.1128237024827</v>
      </c>
      <c r="Q399">
        <f t="shared" si="78"/>
        <v>2070074615.9457786</v>
      </c>
      <c r="R399" s="28">
        <v>0.379</v>
      </c>
      <c r="S399">
        <f t="shared" si="79"/>
        <v>2070080514.6424093</v>
      </c>
      <c r="U399">
        <f t="shared" si="80"/>
        <v>1901633.496183075</v>
      </c>
      <c r="V399" s="48">
        <v>0.379</v>
      </c>
      <c r="W399">
        <f t="shared" si="81"/>
        <v>1920257.9608713198</v>
      </c>
      <c r="Y399">
        <f t="shared" si="82"/>
        <v>5716.0676232651667</v>
      </c>
      <c r="Z399" s="28">
        <v>0.379</v>
      </c>
      <c r="AA399">
        <f t="shared" si="83"/>
        <v>1581.8093693317251</v>
      </c>
    </row>
    <row r="400" spans="1:27" x14ac:dyDescent="0.2">
      <c r="A400">
        <f t="shared" si="70"/>
        <v>5635636700.06637</v>
      </c>
      <c r="B400" s="28">
        <v>0.38</v>
      </c>
      <c r="C400">
        <f t="shared" si="71"/>
        <v>5635742673.9989834</v>
      </c>
      <c r="E400">
        <f t="shared" si="72"/>
        <v>9200.4444461746498</v>
      </c>
      <c r="F400" s="28">
        <v>0.38</v>
      </c>
      <c r="G400">
        <f t="shared" si="73"/>
        <v>1578.9469260527194</v>
      </c>
      <c r="I400">
        <f t="shared" si="74"/>
        <v>7777213617.4893522</v>
      </c>
      <c r="J400" s="28">
        <v>0.38</v>
      </c>
      <c r="K400">
        <f t="shared" si="75"/>
        <v>7777324890.1185961</v>
      </c>
      <c r="M400">
        <f t="shared" si="76"/>
        <v>9139.4141828859865</v>
      </c>
      <c r="N400" s="28">
        <v>0.38</v>
      </c>
      <c r="O400">
        <f t="shared" si="77"/>
        <v>2178.9467579527523</v>
      </c>
      <c r="Q400">
        <f t="shared" si="78"/>
        <v>2141576917.4229832</v>
      </c>
      <c r="R400" s="28">
        <v>0.38</v>
      </c>
      <c r="S400">
        <f t="shared" si="79"/>
        <v>2141582816.1196139</v>
      </c>
      <c r="U400">
        <f t="shared" si="80"/>
        <v>1932835.2005592273</v>
      </c>
      <c r="V400" s="48">
        <v>0.38</v>
      </c>
      <c r="W400">
        <f t="shared" si="81"/>
        <v>1951459.665247472</v>
      </c>
      <c r="Y400">
        <f t="shared" si="82"/>
        <v>5720.2061349299738</v>
      </c>
      <c r="Z400" s="28">
        <v>0.38</v>
      </c>
      <c r="AA400">
        <f t="shared" si="83"/>
        <v>1577.6708576669182</v>
      </c>
    </row>
    <row r="401" spans="1:27" x14ac:dyDescent="0.2">
      <c r="A401">
        <f t="shared" si="70"/>
        <v>5814854048.9729595</v>
      </c>
      <c r="B401" s="28">
        <v>0.38100000000000001</v>
      </c>
      <c r="C401">
        <f t="shared" si="71"/>
        <v>5814960022.9055729</v>
      </c>
      <c r="E401">
        <f t="shared" si="72"/>
        <v>9204.5886491079709</v>
      </c>
      <c r="F401" s="28">
        <v>0.38100000000000001</v>
      </c>
      <c r="G401">
        <f t="shared" si="73"/>
        <v>1574.8027231193967</v>
      </c>
      <c r="I401">
        <f t="shared" si="74"/>
        <v>8030348519.0033522</v>
      </c>
      <c r="J401" s="28">
        <v>0.38100000000000001</v>
      </c>
      <c r="K401">
        <f t="shared" si="75"/>
        <v>8030459791.632596</v>
      </c>
      <c r="M401">
        <f t="shared" si="76"/>
        <v>9143.5583802108522</v>
      </c>
      <c r="N401" s="28">
        <v>0.38100000000000001</v>
      </c>
      <c r="O401">
        <f t="shared" si="77"/>
        <v>2174.802560627887</v>
      </c>
      <c r="Q401">
        <f t="shared" si="78"/>
        <v>2215494470.0303926</v>
      </c>
      <c r="R401" s="28">
        <v>0.38100000000000001</v>
      </c>
      <c r="S401">
        <f t="shared" si="79"/>
        <v>2215500368.7270231</v>
      </c>
      <c r="U401">
        <f t="shared" si="80"/>
        <v>1964557.0622972806</v>
      </c>
      <c r="V401" s="48">
        <v>0.38100000000000001</v>
      </c>
      <c r="W401">
        <f t="shared" si="81"/>
        <v>1983181.5269855254</v>
      </c>
      <c r="Y401">
        <f t="shared" si="82"/>
        <v>5724.3233691527494</v>
      </c>
      <c r="Z401" s="28">
        <v>0.38100000000000001</v>
      </c>
      <c r="AA401">
        <f t="shared" si="83"/>
        <v>1573.5536234441424</v>
      </c>
    </row>
    <row r="402" spans="1:27" x14ac:dyDescent="0.2">
      <c r="A402">
        <f t="shared" si="70"/>
        <v>5999664492.6255455</v>
      </c>
      <c r="B402" s="28">
        <v>0.38200000000000001</v>
      </c>
      <c r="C402">
        <f t="shared" si="71"/>
        <v>5999770466.5581589</v>
      </c>
      <c r="E402">
        <f t="shared" si="72"/>
        <v>9208.7111551436792</v>
      </c>
      <c r="F402" s="28">
        <v>0.38200000000000001</v>
      </c>
      <c r="G402">
        <f t="shared" si="73"/>
        <v>1570.6802170836893</v>
      </c>
      <c r="I402">
        <f t="shared" si="74"/>
        <v>8291571512.1541328</v>
      </c>
      <c r="J402" s="28">
        <v>0.38200000000000001</v>
      </c>
      <c r="K402">
        <f t="shared" si="75"/>
        <v>8291682784.7833767</v>
      </c>
      <c r="M402">
        <f t="shared" si="76"/>
        <v>9147.6808808290789</v>
      </c>
      <c r="N402" s="28">
        <v>0.38200000000000001</v>
      </c>
      <c r="O402">
        <f t="shared" si="77"/>
        <v>2170.680060009659</v>
      </c>
      <c r="Q402">
        <f t="shared" si="78"/>
        <v>2291907019.5285864</v>
      </c>
      <c r="R402" s="28">
        <v>0.38200000000000001</v>
      </c>
      <c r="S402">
        <f t="shared" si="79"/>
        <v>2291912918.2252169</v>
      </c>
      <c r="U402">
        <f t="shared" si="80"/>
        <v>1996807.8990242011</v>
      </c>
      <c r="V402" s="48">
        <v>0.38200000000000001</v>
      </c>
      <c r="W402">
        <f t="shared" si="81"/>
        <v>2015432.3637124458</v>
      </c>
      <c r="Y402">
        <f t="shared" si="82"/>
        <v>5728.4194847571807</v>
      </c>
      <c r="Z402" s="28">
        <v>0.38200000000000001</v>
      </c>
      <c r="AA402">
        <f t="shared" si="83"/>
        <v>1569.4575078397108</v>
      </c>
    </row>
    <row r="403" spans="1:27" x14ac:dyDescent="0.2">
      <c r="A403">
        <f t="shared" si="70"/>
        <v>6190239150.8317127</v>
      </c>
      <c r="B403" s="28">
        <v>0.38300000000000001</v>
      </c>
      <c r="C403">
        <f t="shared" si="71"/>
        <v>6190345124.7643261</v>
      </c>
      <c r="E403">
        <f t="shared" si="72"/>
        <v>9212.8121342140385</v>
      </c>
      <c r="F403" s="28">
        <v>0.38300000000000001</v>
      </c>
      <c r="G403">
        <f t="shared" si="73"/>
        <v>1566.5792380133294</v>
      </c>
      <c r="I403">
        <f t="shared" si="74"/>
        <v>8561136034.9198189</v>
      </c>
      <c r="J403" s="28">
        <v>0.38300000000000001</v>
      </c>
      <c r="K403">
        <f t="shared" si="75"/>
        <v>8561247307.5490627</v>
      </c>
      <c r="M403">
        <f t="shared" si="76"/>
        <v>9151.7818546663038</v>
      </c>
      <c r="N403" s="28">
        <v>0.38300000000000001</v>
      </c>
      <c r="O403">
        <f t="shared" si="77"/>
        <v>2166.5790861724349</v>
      </c>
      <c r="Q403">
        <f t="shared" si="78"/>
        <v>2370896884.0881066</v>
      </c>
      <c r="R403" s="28">
        <v>0.38300000000000001</v>
      </c>
      <c r="S403">
        <f t="shared" si="79"/>
        <v>2370902782.7847371</v>
      </c>
      <c r="U403">
        <f t="shared" si="80"/>
        <v>2029596.6796865747</v>
      </c>
      <c r="V403" s="48">
        <v>0.38300000000000001</v>
      </c>
      <c r="W403">
        <f t="shared" si="81"/>
        <v>2048221.1443748195</v>
      </c>
      <c r="Y403">
        <f t="shared" si="82"/>
        <v>5732.4946390614641</v>
      </c>
      <c r="Z403" s="28">
        <v>0.38300000000000001</v>
      </c>
      <c r="AA403">
        <f t="shared" si="83"/>
        <v>1565.3823535354277</v>
      </c>
    </row>
    <row r="404" spans="1:27" x14ac:dyDescent="0.2">
      <c r="A404">
        <f t="shared" si="70"/>
        <v>6386754270.8952665</v>
      </c>
      <c r="B404" s="28">
        <v>0.38400000000000001</v>
      </c>
      <c r="C404">
        <f t="shared" si="71"/>
        <v>6386860244.8278799</v>
      </c>
      <c r="E404">
        <f t="shared" si="72"/>
        <v>9216.8917544818032</v>
      </c>
      <c r="F404" s="28">
        <v>0.38400000000000001</v>
      </c>
      <c r="G404">
        <f t="shared" si="73"/>
        <v>1562.499617745565</v>
      </c>
      <c r="I404">
        <f t="shared" si="74"/>
        <v>8839303306.2125416</v>
      </c>
      <c r="J404" s="28">
        <v>0.38400000000000001</v>
      </c>
      <c r="K404">
        <f t="shared" si="75"/>
        <v>8839414578.8417854</v>
      </c>
      <c r="M404">
        <f t="shared" si="76"/>
        <v>9155.861469878877</v>
      </c>
      <c r="N404" s="28">
        <v>0.38400000000000001</v>
      </c>
      <c r="O404">
        <f t="shared" si="77"/>
        <v>2162.4994709598623</v>
      </c>
      <c r="Q404">
        <f t="shared" si="78"/>
        <v>2452549035.3172755</v>
      </c>
      <c r="R404" s="28">
        <v>0.38400000000000001</v>
      </c>
      <c r="S404">
        <f t="shared" si="79"/>
        <v>2452554934.013906</v>
      </c>
      <c r="U404">
        <f t="shared" si="80"/>
        <v>2062932.5271722865</v>
      </c>
      <c r="V404" s="48">
        <v>0.38400000000000001</v>
      </c>
      <c r="W404">
        <f t="shared" si="81"/>
        <v>2081556.9918605313</v>
      </c>
      <c r="Y404">
        <f t="shared" si="82"/>
        <v>5736.5489878950684</v>
      </c>
      <c r="Z404" s="28">
        <v>0.38400000000000001</v>
      </c>
      <c r="AA404">
        <f t="shared" si="83"/>
        <v>1561.3280047018236</v>
      </c>
    </row>
    <row r="405" spans="1:27" x14ac:dyDescent="0.2">
      <c r="A405">
        <f t="shared" si="70"/>
        <v>6589391377.9571991</v>
      </c>
      <c r="B405" s="28">
        <v>0.38500000000000001</v>
      </c>
      <c r="C405">
        <f t="shared" si="71"/>
        <v>6589497351.8898125</v>
      </c>
      <c r="E405">
        <f t="shared" si="72"/>
        <v>9220.9501823631672</v>
      </c>
      <c r="F405" s="28">
        <v>0.38500000000000001</v>
      </c>
      <c r="G405">
        <f t="shared" si="73"/>
        <v>1558.4411898642015</v>
      </c>
      <c r="I405">
        <f t="shared" si="74"/>
        <v>9126342559.7381458</v>
      </c>
      <c r="J405" s="28">
        <v>0.38500000000000001</v>
      </c>
      <c r="K405">
        <f t="shared" si="75"/>
        <v>9126453832.3673897</v>
      </c>
      <c r="M405">
        <f t="shared" si="76"/>
        <v>9159.9198928768201</v>
      </c>
      <c r="N405" s="28">
        <v>0.38500000000000001</v>
      </c>
      <c r="O405">
        <f t="shared" si="77"/>
        <v>2158.4410479619191</v>
      </c>
      <c r="Q405">
        <f t="shared" si="78"/>
        <v>2536951181.7809472</v>
      </c>
      <c r="R405" s="28">
        <v>0.38500000000000001</v>
      </c>
      <c r="S405">
        <f t="shared" si="79"/>
        <v>2536957080.4775777</v>
      </c>
      <c r="U405">
        <f t="shared" si="80"/>
        <v>2096824.7209779695</v>
      </c>
      <c r="V405" s="48">
        <v>0.38500000000000001</v>
      </c>
      <c r="W405">
        <f t="shared" si="81"/>
        <v>2115449.1856662142</v>
      </c>
      <c r="Y405">
        <f t="shared" si="82"/>
        <v>5740.5826856152926</v>
      </c>
      <c r="Z405" s="28">
        <v>0.38500000000000001</v>
      </c>
      <c r="AA405">
        <f t="shared" si="83"/>
        <v>1557.2943069815994</v>
      </c>
    </row>
    <row r="406" spans="1:27" x14ac:dyDescent="0.2">
      <c r="A406">
        <f t="shared" ref="A406:A469" si="84">ABS($D$11-C406)</f>
        <v>6798337429.6459522</v>
      </c>
      <c r="B406" s="28">
        <v>0.38600000000000001</v>
      </c>
      <c r="C406">
        <f t="shared" ref="C406:C469" si="85">($B$4)*(((1+B406)^($B$6*$B$5))-1)/B406</f>
        <v>6798443403.5785656</v>
      </c>
      <c r="E406">
        <f t="shared" ref="E406:E469" si="86">ABS($E$12-G406)</f>
        <v>9224.9875825503696</v>
      </c>
      <c r="F406" s="28">
        <v>0.38600000000000001</v>
      </c>
      <c r="G406">
        <f t="shared" ref="G406:G469" si="87">$B$4*(((1-(1+F406)^(-$B$5*$B$6)))/F406)</f>
        <v>1554.4037896769983</v>
      </c>
      <c r="I406">
        <f t="shared" ref="I406:I469" si="88">ABS($F$11-K406)</f>
        <v>9422531284.730648</v>
      </c>
      <c r="J406" s="28">
        <v>0.38600000000000001</v>
      </c>
      <c r="K406">
        <f t="shared" ref="K406:K469" si="89">($B$4*(1+J406)*(((1+J406)^($B$6*$B$5))-1))/J406</f>
        <v>9422642557.3598919</v>
      </c>
      <c r="M406">
        <f t="shared" ref="M406:M469" si="90">ABS($G$12-O406)</f>
        <v>9163.9572883464189</v>
      </c>
      <c r="N406" s="28">
        <v>0.38600000000000001</v>
      </c>
      <c r="O406">
        <f t="shared" ref="O406:O469" si="91">($B$4*(1+N406)*(1-((1+N406)^(-$B$6*$B$5))))/N406</f>
        <v>2154.4036524923195</v>
      </c>
      <c r="Q406">
        <f t="shared" ref="Q406:Q469" si="92">ABS($H$11-S406)</f>
        <v>2624193855.0846958</v>
      </c>
      <c r="R406" s="28">
        <v>0.38600000000000001</v>
      </c>
      <c r="S406">
        <f t="shared" ref="S406:S469" si="93">$B$3*((1+R406)^($B$6*$B$5))</f>
        <v>2624199753.7813263</v>
      </c>
      <c r="U406">
        <f t="shared" ref="U406:U469" si="94">ABS($I$11-W406)</f>
        <v>2131282.6999230315</v>
      </c>
      <c r="V406" s="48">
        <v>0.38600000000000001</v>
      </c>
      <c r="W406">
        <f t="shared" ref="W406:W469" si="95">($B$4*(EXP(V406*$B$6)-1))/V406</f>
        <v>2149907.1646112762</v>
      </c>
      <c r="Y406">
        <f t="shared" ref="Y406:Y469" si="96">ABS($I$12-AA406)</f>
        <v>5744.5958851236182</v>
      </c>
      <c r="Z406" s="28">
        <v>0.38600000000000001</v>
      </c>
      <c r="AA406">
        <f t="shared" ref="AA406:AA469" si="97">$B$4*(1-EXP(-Z406*$B$6))/Z406</f>
        <v>1553.2811074732736</v>
      </c>
    </row>
    <row r="407" spans="1:27" x14ac:dyDescent="0.2">
      <c r="A407">
        <f t="shared" si="84"/>
        <v>7013784975.1585169</v>
      </c>
      <c r="B407" s="28">
        <v>0.38700000000000001</v>
      </c>
      <c r="C407">
        <f t="shared" si="85"/>
        <v>7013890949.0911303</v>
      </c>
      <c r="E407">
        <f t="shared" si="86"/>
        <v>9229.0041180339522</v>
      </c>
      <c r="F407" s="28">
        <v>0.38700000000000001</v>
      </c>
      <c r="G407">
        <f t="shared" si="87"/>
        <v>1550.3872541934163</v>
      </c>
      <c r="I407">
        <f t="shared" si="88"/>
        <v>9728155473.7601547</v>
      </c>
      <c r="J407" s="28">
        <v>0.38700000000000001</v>
      </c>
      <c r="K407">
        <f t="shared" si="89"/>
        <v>9728266746.3893986</v>
      </c>
      <c r="M407">
        <f t="shared" si="90"/>
        <v>9167.973819272469</v>
      </c>
      <c r="N407" s="28">
        <v>0.38700000000000001</v>
      </c>
      <c r="O407">
        <f t="shared" si="91"/>
        <v>2150.3871215662684</v>
      </c>
      <c r="Q407">
        <f t="shared" si="92"/>
        <v>2714370498.6016369</v>
      </c>
      <c r="R407" s="28">
        <v>0.38700000000000001</v>
      </c>
      <c r="S407">
        <f t="shared" si="93"/>
        <v>2714376397.2982674</v>
      </c>
      <c r="U407">
        <f t="shared" si="94"/>
        <v>2166316.0649110759</v>
      </c>
      <c r="V407" s="48">
        <v>0.38700000000000001</v>
      </c>
      <c r="W407">
        <f t="shared" si="95"/>
        <v>2184940.5295993206</v>
      </c>
      <c r="Y407">
        <f t="shared" si="96"/>
        <v>5748.5887378818552</v>
      </c>
      <c r="Z407" s="28">
        <v>0.38700000000000001</v>
      </c>
      <c r="AA407">
        <f t="shared" si="97"/>
        <v>1549.2882547150364</v>
      </c>
    </row>
    <row r="408" spans="1:27" x14ac:dyDescent="0.2">
      <c r="A408">
        <f t="shared" si="84"/>
        <v>7235932318.8957443</v>
      </c>
      <c r="B408" s="28">
        <v>0.38800000000000001</v>
      </c>
      <c r="C408">
        <f t="shared" si="85"/>
        <v>7236038292.8283577</v>
      </c>
      <c r="E408">
        <f t="shared" si="86"/>
        <v>9232.9999501246602</v>
      </c>
      <c r="F408" s="28">
        <v>0.38800000000000001</v>
      </c>
      <c r="G408">
        <f t="shared" si="87"/>
        <v>1546.3914221027082</v>
      </c>
      <c r="I408">
        <f t="shared" si="88"/>
        <v>10043509877.816517</v>
      </c>
      <c r="J408" s="28">
        <v>0.38800000000000001</v>
      </c>
      <c r="K408">
        <f t="shared" si="89"/>
        <v>10043621150.445761</v>
      </c>
      <c r="M408">
        <f t="shared" si="90"/>
        <v>9171.9696469601804</v>
      </c>
      <c r="N408" s="28">
        <v>0.38800000000000001</v>
      </c>
      <c r="O408">
        <f t="shared" si="91"/>
        <v>2146.3912938785588</v>
      </c>
      <c r="Q408">
        <f t="shared" si="92"/>
        <v>2807577558.9207726</v>
      </c>
      <c r="R408" s="28">
        <v>0.38800000000000001</v>
      </c>
      <c r="S408">
        <f t="shared" si="93"/>
        <v>2807583457.617403</v>
      </c>
      <c r="U408">
        <f t="shared" si="94"/>
        <v>2201934.5817395491</v>
      </c>
      <c r="V408" s="48">
        <v>0.38800000000000001</v>
      </c>
      <c r="W408">
        <f t="shared" si="95"/>
        <v>2220559.0464277938</v>
      </c>
      <c r="Y408">
        <f t="shared" si="96"/>
        <v>5752.5613939280911</v>
      </c>
      <c r="Z408" s="28">
        <v>0.38800000000000001</v>
      </c>
      <c r="AA408">
        <f t="shared" si="97"/>
        <v>1545.3155986688005</v>
      </c>
    </row>
    <row r="409" spans="1:27" x14ac:dyDescent="0.2">
      <c r="A409">
        <f t="shared" si="84"/>
        <v>7464983688.7790251</v>
      </c>
      <c r="B409" s="28">
        <v>0.38900000000000001</v>
      </c>
      <c r="C409">
        <f t="shared" si="85"/>
        <v>7465089662.7116385</v>
      </c>
      <c r="E409">
        <f t="shared" si="86"/>
        <v>9236.9752384750209</v>
      </c>
      <c r="F409" s="28">
        <v>0.38900000000000001</v>
      </c>
      <c r="G409">
        <f t="shared" si="87"/>
        <v>1542.4161337523474</v>
      </c>
      <c r="I409">
        <f t="shared" si="88"/>
        <v>10368898268.877222</v>
      </c>
      <c r="J409" s="28">
        <v>0.38900000000000001</v>
      </c>
      <c r="K409">
        <f t="shared" si="89"/>
        <v>10369009541.506466</v>
      </c>
      <c r="M409">
        <f t="shared" si="90"/>
        <v>9175.9449310567288</v>
      </c>
      <c r="N409" s="28">
        <v>0.38900000000000001</v>
      </c>
      <c r="O409">
        <f t="shared" si="91"/>
        <v>2142.4160097820104</v>
      </c>
      <c r="Q409">
        <f t="shared" si="92"/>
        <v>2903914580.098197</v>
      </c>
      <c r="R409" s="28">
        <v>0.38900000000000001</v>
      </c>
      <c r="S409">
        <f t="shared" si="93"/>
        <v>2903920478.7948275</v>
      </c>
      <c r="U409">
        <f t="shared" si="94"/>
        <v>2238148.183958468</v>
      </c>
      <c r="V409" s="48">
        <v>0.38900000000000001</v>
      </c>
      <c r="W409">
        <f t="shared" si="95"/>
        <v>2256772.6486467128</v>
      </c>
      <c r="Y409">
        <f t="shared" si="96"/>
        <v>5756.5140018924376</v>
      </c>
      <c r="Z409" s="28">
        <v>0.38900000000000001</v>
      </c>
      <c r="AA409">
        <f t="shared" si="97"/>
        <v>1541.3629907044547</v>
      </c>
    </row>
    <row r="410" spans="1:27" x14ac:dyDescent="0.2">
      <c r="A410">
        <f t="shared" si="84"/>
        <v>7701149409.3796577</v>
      </c>
      <c r="B410" s="28">
        <v>0.39</v>
      </c>
      <c r="C410">
        <f t="shared" si="85"/>
        <v>7701255383.3122711</v>
      </c>
      <c r="E410">
        <f t="shared" si="86"/>
        <v>9240.9301411005836</v>
      </c>
      <c r="F410" s="28">
        <v>0.39</v>
      </c>
      <c r="G410">
        <f t="shared" si="87"/>
        <v>1538.4612311267838</v>
      </c>
      <c r="I410">
        <f t="shared" si="88"/>
        <v>10704633710.174816</v>
      </c>
      <c r="J410" s="28">
        <v>0.39</v>
      </c>
      <c r="K410">
        <f t="shared" si="89"/>
        <v>10704744982.80406</v>
      </c>
      <c r="M410">
        <f t="shared" si="90"/>
        <v>9179.8998295725087</v>
      </c>
      <c r="N410" s="28">
        <v>0.39</v>
      </c>
      <c r="O410">
        <f t="shared" si="91"/>
        <v>2138.4611112662301</v>
      </c>
      <c r="Q410">
        <f t="shared" si="92"/>
        <v>3003484300.7951555</v>
      </c>
      <c r="R410" s="28">
        <v>0.39</v>
      </c>
      <c r="S410">
        <f t="shared" si="93"/>
        <v>3003490199.491786</v>
      </c>
      <c r="U410">
        <f t="shared" si="94"/>
        <v>2274966.9757790808</v>
      </c>
      <c r="V410" s="48">
        <v>0.39</v>
      </c>
      <c r="W410">
        <f t="shared" si="95"/>
        <v>2293591.4404673255</v>
      </c>
      <c r="Y410">
        <f t="shared" si="96"/>
        <v>5760.4467090125854</v>
      </c>
      <c r="Z410" s="28">
        <v>0.39</v>
      </c>
      <c r="AA410">
        <f t="shared" si="97"/>
        <v>1537.4302835843062</v>
      </c>
    </row>
    <row r="411" spans="1:27" x14ac:dyDescent="0.2">
      <c r="A411">
        <f t="shared" si="84"/>
        <v>7944646079.9951973</v>
      </c>
      <c r="B411" s="28">
        <v>0.39100000000000001</v>
      </c>
      <c r="C411">
        <f t="shared" si="85"/>
        <v>7944752053.9278107</v>
      </c>
      <c r="E411">
        <f t="shared" si="86"/>
        <v>9244.8648144008366</v>
      </c>
      <c r="F411" s="28">
        <v>0.39100000000000001</v>
      </c>
      <c r="G411">
        <f t="shared" si="87"/>
        <v>1534.5265578265314</v>
      </c>
      <c r="I411">
        <f t="shared" si="88"/>
        <v>11051038834.38434</v>
      </c>
      <c r="J411" s="28">
        <v>0.39100000000000001</v>
      </c>
      <c r="K411">
        <f t="shared" si="89"/>
        <v>11051150107.013584</v>
      </c>
      <c r="M411">
        <f t="shared" si="90"/>
        <v>9183.8344989020334</v>
      </c>
      <c r="N411" s="28">
        <v>0.39100000000000001</v>
      </c>
      <c r="O411">
        <f t="shared" si="91"/>
        <v>2134.5264419367054</v>
      </c>
      <c r="Q411">
        <f t="shared" si="92"/>
        <v>3106392754.3891435</v>
      </c>
      <c r="R411" s="28">
        <v>0.39100000000000001</v>
      </c>
      <c r="S411">
        <f t="shared" si="93"/>
        <v>3106398653.0857739</v>
      </c>
      <c r="U411">
        <f t="shared" si="94"/>
        <v>2312401.2350333435</v>
      </c>
      <c r="V411" s="48">
        <v>0.39100000000000001</v>
      </c>
      <c r="W411">
        <f t="shared" si="95"/>
        <v>2331025.6997215883</v>
      </c>
      <c r="Y411">
        <f t="shared" si="96"/>
        <v>5764.3596611491712</v>
      </c>
      <c r="Z411" s="28">
        <v>0.39100000000000001</v>
      </c>
      <c r="AA411">
        <f t="shared" si="97"/>
        <v>1533.5173314477204</v>
      </c>
    </row>
    <row r="412" spans="1:27" x14ac:dyDescent="0.2">
      <c r="A412">
        <f t="shared" si="84"/>
        <v>8195696757.8109484</v>
      </c>
      <c r="B412" s="28">
        <v>0.39200000000000002</v>
      </c>
      <c r="C412">
        <f t="shared" si="85"/>
        <v>8195802731.7435617</v>
      </c>
      <c r="E412">
        <f t="shared" si="86"/>
        <v>9248.7794131798</v>
      </c>
      <c r="F412" s="28">
        <v>0.39200000000000002</v>
      </c>
      <c r="G412">
        <f t="shared" si="87"/>
        <v>1530.6119590475691</v>
      </c>
      <c r="I412">
        <f t="shared" si="88"/>
        <v>11408446129.957792</v>
      </c>
      <c r="J412" s="28">
        <v>0.39200000000000002</v>
      </c>
      <c r="K412">
        <f t="shared" si="89"/>
        <v>11408557402.587036</v>
      </c>
      <c r="M412">
        <f t="shared" si="90"/>
        <v>9187.7490938445226</v>
      </c>
      <c r="N412" s="28">
        <v>0.39200000000000002</v>
      </c>
      <c r="O412">
        <f t="shared" si="91"/>
        <v>2130.6118469942162</v>
      </c>
      <c r="Q412">
        <f t="shared" si="92"/>
        <v>3212749372.1468458</v>
      </c>
      <c r="R412" s="28">
        <v>0.39200000000000002</v>
      </c>
      <c r="S412">
        <f t="shared" si="93"/>
        <v>3212755270.8434763</v>
      </c>
      <c r="U412">
        <f t="shared" si="94"/>
        <v>2350461.4161851117</v>
      </c>
      <c r="V412" s="48">
        <v>0.39200000000000002</v>
      </c>
      <c r="W412">
        <f t="shared" si="95"/>
        <v>2369085.8808733565</v>
      </c>
      <c r="Y412">
        <f t="shared" si="96"/>
        <v>5768.2530028009423</v>
      </c>
      <c r="Z412" s="28">
        <v>0.39200000000000002</v>
      </c>
      <c r="AA412">
        <f t="shared" si="97"/>
        <v>1529.6239897959497</v>
      </c>
    </row>
    <row r="413" spans="1:27" x14ac:dyDescent="0.2">
      <c r="A413">
        <f t="shared" si="84"/>
        <v>8454531146.2880297</v>
      </c>
      <c r="B413" s="28">
        <v>0.39300000000000002</v>
      </c>
      <c r="C413">
        <f t="shared" si="85"/>
        <v>8454637120.220643</v>
      </c>
      <c r="E413">
        <f t="shared" si="86"/>
        <v>9252.6740906663072</v>
      </c>
      <c r="F413" s="28">
        <v>0.39300000000000002</v>
      </c>
      <c r="G413">
        <f t="shared" si="87"/>
        <v>1526.7172815610602</v>
      </c>
      <c r="I413">
        <f t="shared" si="88"/>
        <v>11777198235.83811</v>
      </c>
      <c r="J413" s="28">
        <v>0.39300000000000002</v>
      </c>
      <c r="K413">
        <f t="shared" si="89"/>
        <v>11777309508.467354</v>
      </c>
      <c r="M413">
        <f t="shared" si="90"/>
        <v>9191.6437676241821</v>
      </c>
      <c r="N413" s="28">
        <v>0.39300000000000002</v>
      </c>
      <c r="O413">
        <f t="shared" si="91"/>
        <v>2126.7171732145566</v>
      </c>
      <c r="Q413">
        <f t="shared" si="92"/>
        <v>3322667089.5500822</v>
      </c>
      <c r="R413" s="28">
        <v>0.39300000000000002</v>
      </c>
      <c r="S413">
        <f t="shared" si="93"/>
        <v>3322672988.2467127</v>
      </c>
      <c r="U413">
        <f t="shared" si="94"/>
        <v>2389158.1533939419</v>
      </c>
      <c r="V413" s="48">
        <v>0.39300000000000002</v>
      </c>
      <c r="W413">
        <f t="shared" si="95"/>
        <v>2407782.6180821867</v>
      </c>
      <c r="Y413">
        <f t="shared" si="96"/>
        <v>5772.1268771197447</v>
      </c>
      <c r="Z413" s="28">
        <v>0.39300000000000002</v>
      </c>
      <c r="AA413">
        <f t="shared" si="97"/>
        <v>1525.7501154771467</v>
      </c>
    </row>
    <row r="414" spans="1:27" x14ac:dyDescent="0.2">
      <c r="A414">
        <f t="shared" si="84"/>
        <v>8721385788.9238491</v>
      </c>
      <c r="B414" s="28">
        <v>0.39400000000000002</v>
      </c>
      <c r="C414">
        <f t="shared" si="85"/>
        <v>8721491762.8564625</v>
      </c>
      <c r="E414">
        <f t="shared" si="86"/>
        <v>9256.5489985339918</v>
      </c>
      <c r="F414" s="28">
        <v>0.39400000000000002</v>
      </c>
      <c r="G414">
        <f t="shared" si="87"/>
        <v>1522.8423736933764</v>
      </c>
      <c r="I414">
        <f t="shared" si="88"/>
        <v>12157648244.792667</v>
      </c>
      <c r="J414" s="28">
        <v>0.39400000000000002</v>
      </c>
      <c r="K414">
        <f t="shared" si="89"/>
        <v>12157759517.421911</v>
      </c>
      <c r="M414">
        <f t="shared" si="90"/>
        <v>9195.5186719101712</v>
      </c>
      <c r="N414" s="28">
        <v>0.39400000000000002</v>
      </c>
      <c r="O414">
        <f t="shared" si="91"/>
        <v>2122.8422689285671</v>
      </c>
      <c r="Q414">
        <f t="shared" si="92"/>
        <v>3436262455.8688159</v>
      </c>
      <c r="R414" s="28">
        <v>0.39400000000000002</v>
      </c>
      <c r="S414">
        <f t="shared" si="93"/>
        <v>3436268354.5654464</v>
      </c>
      <c r="U414">
        <f t="shared" si="94"/>
        <v>2428502.2636324451</v>
      </c>
      <c r="V414" s="48">
        <v>0.39400000000000002</v>
      </c>
      <c r="W414">
        <f t="shared" si="95"/>
        <v>2447126.7283206899</v>
      </c>
      <c r="Y414">
        <f t="shared" si="96"/>
        <v>5775.9814259253271</v>
      </c>
      <c r="Z414" s="28">
        <v>0.39400000000000002</v>
      </c>
      <c r="AA414">
        <f t="shared" si="97"/>
        <v>1521.8955666715647</v>
      </c>
    </row>
    <row r="415" spans="1:27" x14ac:dyDescent="0.2">
      <c r="A415">
        <f t="shared" si="84"/>
        <v>8996504268.5352516</v>
      </c>
      <c r="B415" s="28">
        <v>0.39500000000000002</v>
      </c>
      <c r="C415">
        <f t="shared" si="85"/>
        <v>8996610242.467865</v>
      </c>
      <c r="E415">
        <f t="shared" si="86"/>
        <v>9260.4042869209406</v>
      </c>
      <c r="F415" s="28">
        <v>0.39500000000000002</v>
      </c>
      <c r="G415">
        <f t="shared" si="87"/>
        <v>1518.9870853064283</v>
      </c>
      <c r="I415">
        <f t="shared" si="88"/>
        <v>12550160015.613428</v>
      </c>
      <c r="J415" s="28">
        <v>0.39500000000000002</v>
      </c>
      <c r="K415">
        <f t="shared" si="89"/>
        <v>12550271288.242672</v>
      </c>
      <c r="M415">
        <f t="shared" si="90"/>
        <v>9199.3739568362707</v>
      </c>
      <c r="N415" s="28">
        <v>0.39500000000000002</v>
      </c>
      <c r="O415">
        <f t="shared" si="91"/>
        <v>2118.9869840024676</v>
      </c>
      <c r="Q415">
        <f t="shared" si="92"/>
        <v>3553655747.0781765</v>
      </c>
      <c r="R415" s="28">
        <v>0.39500000000000002</v>
      </c>
      <c r="S415">
        <f t="shared" si="93"/>
        <v>3553661645.774807</v>
      </c>
      <c r="U415">
        <f t="shared" si="94"/>
        <v>2468504.7498581191</v>
      </c>
      <c r="V415" s="48">
        <v>0.39500000000000002</v>
      </c>
      <c r="W415">
        <f t="shared" si="95"/>
        <v>2487129.2145463638</v>
      </c>
      <c r="Y415">
        <f t="shared" si="96"/>
        <v>5779.8167897199492</v>
      </c>
      <c r="Z415" s="28">
        <v>0.39500000000000002</v>
      </c>
      <c r="AA415">
        <f t="shared" si="97"/>
        <v>1518.0602028769424</v>
      </c>
    </row>
    <row r="416" spans="1:27" x14ac:dyDescent="0.2">
      <c r="A416">
        <f t="shared" si="84"/>
        <v>9280137412.2174244</v>
      </c>
      <c r="B416" s="28">
        <v>0.39600000000000002</v>
      </c>
      <c r="C416">
        <f t="shared" si="85"/>
        <v>9280243386.1500378</v>
      </c>
      <c r="E416">
        <f t="shared" si="86"/>
        <v>9264.240104449078</v>
      </c>
      <c r="F416" s="28">
        <v>0.39600000000000002</v>
      </c>
      <c r="G416">
        <f t="shared" si="87"/>
        <v>1515.1512677782896</v>
      </c>
      <c r="I416">
        <f t="shared" si="88"/>
        <v>12955108494.436209</v>
      </c>
      <c r="J416" s="28">
        <v>0.39600000000000002</v>
      </c>
      <c r="K416">
        <f t="shared" si="89"/>
        <v>12955219767.065453</v>
      </c>
      <c r="M416">
        <f t="shared" si="90"/>
        <v>9203.209771020247</v>
      </c>
      <c r="N416" s="28">
        <v>0.39600000000000002</v>
      </c>
      <c r="O416">
        <f t="shared" si="91"/>
        <v>2115.1511698184922</v>
      </c>
      <c r="Q416">
        <f t="shared" si="92"/>
        <v>3674971082.2187848</v>
      </c>
      <c r="R416" s="28">
        <v>0.39600000000000002</v>
      </c>
      <c r="S416">
        <f t="shared" si="93"/>
        <v>3674976980.9154153</v>
      </c>
      <c r="U416">
        <f t="shared" si="94"/>
        <v>2509176.8042406281</v>
      </c>
      <c r="V416" s="48">
        <v>0.39600000000000002</v>
      </c>
      <c r="W416">
        <f t="shared" si="95"/>
        <v>2527801.2689288729</v>
      </c>
      <c r="Y416">
        <f t="shared" si="96"/>
        <v>5783.633107702829</v>
      </c>
      <c r="Z416" s="28">
        <v>0.39600000000000002</v>
      </c>
      <c r="AA416">
        <f t="shared" si="97"/>
        <v>1514.2438848940628</v>
      </c>
    </row>
    <row r="417" spans="1:27" x14ac:dyDescent="0.2">
      <c r="A417">
        <f t="shared" si="84"/>
        <v>9572543502.1364155</v>
      </c>
      <c r="B417" s="28">
        <v>0.39700000000000002</v>
      </c>
      <c r="C417">
        <f t="shared" si="85"/>
        <v>9572649476.0690289</v>
      </c>
      <c r="E417">
        <f t="shared" si="86"/>
        <v>9268.0565982432508</v>
      </c>
      <c r="F417" s="28">
        <v>0.39700000000000002</v>
      </c>
      <c r="G417">
        <f t="shared" si="87"/>
        <v>1511.334773984117</v>
      </c>
      <c r="I417">
        <f t="shared" si="88"/>
        <v>13372880045.43919</v>
      </c>
      <c r="J417" s="28">
        <v>0.39700000000000002</v>
      </c>
      <c r="K417">
        <f t="shared" si="89"/>
        <v>13372991318.068434</v>
      </c>
      <c r="M417">
        <f t="shared" si="90"/>
        <v>9207.026261582927</v>
      </c>
      <c r="N417" s="28">
        <v>0.39700000000000002</v>
      </c>
      <c r="O417">
        <f t="shared" si="91"/>
        <v>2111.3346792558118</v>
      </c>
      <c r="Q417">
        <f t="shared" si="92"/>
        <v>3800336543.302774</v>
      </c>
      <c r="R417" s="28">
        <v>0.39700000000000002</v>
      </c>
      <c r="S417">
        <f t="shared" si="93"/>
        <v>3800342441.9994044</v>
      </c>
      <c r="U417">
        <f t="shared" si="94"/>
        <v>2550529.8114454979</v>
      </c>
      <c r="V417" s="48">
        <v>0.39700000000000002</v>
      </c>
      <c r="W417">
        <f t="shared" si="95"/>
        <v>2569154.2761337426</v>
      </c>
      <c r="Y417">
        <f t="shared" si="96"/>
        <v>5787.4305177843953</v>
      </c>
      <c r="Z417" s="28">
        <v>0.39700000000000002</v>
      </c>
      <c r="AA417">
        <f t="shared" si="97"/>
        <v>1510.4464748124963</v>
      </c>
    </row>
    <row r="418" spans="1:27" x14ac:dyDescent="0.2">
      <c r="A418">
        <f t="shared" si="84"/>
        <v>9873988492.3176994</v>
      </c>
      <c r="B418" s="28">
        <v>0.39800000000000002</v>
      </c>
      <c r="C418">
        <f t="shared" si="85"/>
        <v>9874094466.2503128</v>
      </c>
      <c r="E418">
        <f t="shared" si="86"/>
        <v>9271.8539139500135</v>
      </c>
      <c r="F418" s="28">
        <v>0.39800000000000002</v>
      </c>
      <c r="G418">
        <f t="shared" si="87"/>
        <v>1507.5374582773547</v>
      </c>
      <c r="I418">
        <f t="shared" si="88"/>
        <v>13803872791.188696</v>
      </c>
      <c r="J418" s="28">
        <v>0.39800000000000002</v>
      </c>
      <c r="K418">
        <f t="shared" si="89"/>
        <v>13803984063.81794</v>
      </c>
      <c r="M418">
        <f t="shared" si="90"/>
        <v>9210.823574166996</v>
      </c>
      <c r="N418" s="28">
        <v>0.39800000000000002</v>
      </c>
      <c r="O418">
        <f t="shared" si="91"/>
        <v>2107.5373666717419</v>
      </c>
      <c r="Q418">
        <f t="shared" si="92"/>
        <v>3929884298.8709941</v>
      </c>
      <c r="R418" s="28">
        <v>0.39800000000000002</v>
      </c>
      <c r="S418">
        <f t="shared" si="93"/>
        <v>3929890197.5676246</v>
      </c>
      <c r="U418">
        <f t="shared" si="94"/>
        <v>2592575.3519752263</v>
      </c>
      <c r="V418" s="48">
        <v>0.39800000000000002</v>
      </c>
      <c r="W418">
        <f t="shared" si="95"/>
        <v>2611199.8166634711</v>
      </c>
      <c r="Y418">
        <f t="shared" si="96"/>
        <v>5791.2091566003783</v>
      </c>
      <c r="Z418" s="28">
        <v>0.39800000000000002</v>
      </c>
      <c r="AA418">
        <f t="shared" si="97"/>
        <v>1506.6678359965138</v>
      </c>
    </row>
    <row r="419" spans="1:27" x14ac:dyDescent="0.2">
      <c r="A419">
        <f t="shared" si="84"/>
        <v>10184746231.597589</v>
      </c>
      <c r="B419" s="28">
        <v>0.39900000000000002</v>
      </c>
      <c r="C419">
        <f t="shared" si="85"/>
        <v>10184852205.530203</v>
      </c>
      <c r="E419">
        <f t="shared" si="86"/>
        <v>9275.6321957561449</v>
      </c>
      <c r="F419" s="28">
        <v>0.39900000000000002</v>
      </c>
      <c r="G419">
        <f t="shared" si="87"/>
        <v>1503.7591764712224</v>
      </c>
      <c r="I419">
        <f t="shared" si="88"/>
        <v>14248496962.907507</v>
      </c>
      <c r="J419" s="28">
        <v>0.39900000000000002</v>
      </c>
      <c r="K419">
        <f t="shared" si="89"/>
        <v>14248608235.536751</v>
      </c>
      <c r="M419">
        <f t="shared" si="90"/>
        <v>9214.6018529554985</v>
      </c>
      <c r="N419" s="28">
        <v>0.39900000000000002</v>
      </c>
      <c r="O419">
        <f t="shared" si="91"/>
        <v>2103.7590878832402</v>
      </c>
      <c r="Q419">
        <f t="shared" si="92"/>
        <v>4063750731.3099203</v>
      </c>
      <c r="R419" s="28">
        <v>0.39900000000000002</v>
      </c>
      <c r="S419">
        <f t="shared" si="93"/>
        <v>4063756630.0065508</v>
      </c>
      <c r="U419">
        <f t="shared" si="94"/>
        <v>2635325.2055688081</v>
      </c>
      <c r="V419" s="48">
        <v>0.39900000000000002</v>
      </c>
      <c r="W419">
        <f t="shared" si="95"/>
        <v>2653949.6702570529</v>
      </c>
      <c r="Y419">
        <f t="shared" si="96"/>
        <v>5794.9691595257163</v>
      </c>
      <c r="Z419" s="28">
        <v>0.39900000000000002</v>
      </c>
      <c r="AA419">
        <f t="shared" si="97"/>
        <v>1502.9078330711752</v>
      </c>
    </row>
    <row r="420" spans="1:27" x14ac:dyDescent="0.2">
      <c r="A420">
        <f t="shared" si="84"/>
        <v>10505098692.908588</v>
      </c>
      <c r="B420" s="28">
        <v>0.4</v>
      </c>
      <c r="C420">
        <f t="shared" si="85"/>
        <v>10505204666.841202</v>
      </c>
      <c r="E420">
        <f t="shared" si="86"/>
        <v>9279.3915864068877</v>
      </c>
      <c r="F420" s="28">
        <v>0.4</v>
      </c>
      <c r="G420">
        <f t="shared" si="87"/>
        <v>1499.9997858204813</v>
      </c>
      <c r="I420">
        <f t="shared" si="88"/>
        <v>14707175260.948439</v>
      </c>
      <c r="J420" s="28">
        <v>0.4</v>
      </c>
      <c r="K420">
        <f t="shared" si="89"/>
        <v>14707286533.577682</v>
      </c>
      <c r="M420">
        <f t="shared" si="90"/>
        <v>9218.3612406900647</v>
      </c>
      <c r="N420" s="28">
        <v>0.4</v>
      </c>
      <c r="O420">
        <f t="shared" si="91"/>
        <v>2099.9997001486736</v>
      </c>
      <c r="Q420">
        <f t="shared" si="92"/>
        <v>4202076568.0398502</v>
      </c>
      <c r="R420" s="28">
        <v>0.4</v>
      </c>
      <c r="S420">
        <f t="shared" si="93"/>
        <v>4202082466.7364807</v>
      </c>
      <c r="U420">
        <f t="shared" si="94"/>
        <v>2678791.3546607173</v>
      </c>
      <c r="V420" s="48">
        <v>0.4</v>
      </c>
      <c r="W420">
        <f t="shared" si="95"/>
        <v>2697415.819348962</v>
      </c>
      <c r="Y420">
        <f t="shared" si="96"/>
        <v>5798.7106606883044</v>
      </c>
      <c r="Z420" s="28">
        <v>0.4</v>
      </c>
      <c r="AA420">
        <f t="shared" si="97"/>
        <v>1499.1663319085872</v>
      </c>
    </row>
    <row r="421" spans="1:27" x14ac:dyDescent="0.2">
      <c r="A421">
        <f t="shared" si="84"/>
        <v>10835336209.073502</v>
      </c>
      <c r="B421" s="28">
        <v>0.40100000000000002</v>
      </c>
      <c r="C421">
        <f t="shared" si="85"/>
        <v>10835442183.006115</v>
      </c>
      <c r="E421">
        <f t="shared" si="86"/>
        <v>9283.1322272238995</v>
      </c>
      <c r="F421" s="28">
        <v>0.40100000000000002</v>
      </c>
      <c r="G421">
        <f t="shared" si="87"/>
        <v>1496.2591450034693</v>
      </c>
      <c r="I421">
        <f t="shared" si="88"/>
        <v>15180343225.762323</v>
      </c>
      <c r="J421" s="28">
        <v>0.40100000000000002</v>
      </c>
      <c r="K421">
        <f t="shared" si="89"/>
        <v>15180454498.391567</v>
      </c>
      <c r="M421">
        <f t="shared" si="90"/>
        <v>9222.1018786888781</v>
      </c>
      <c r="N421" s="28">
        <v>0.40100000000000002</v>
      </c>
      <c r="O421">
        <f t="shared" si="91"/>
        <v>2096.2590621498607</v>
      </c>
      <c r="Q421">
        <f t="shared" si="92"/>
        <v>4345007016.6888218</v>
      </c>
      <c r="R421" s="28">
        <v>0.40100000000000002</v>
      </c>
      <c r="S421">
        <f t="shared" si="93"/>
        <v>4345012915.3854523</v>
      </c>
      <c r="U421">
        <f t="shared" si="94"/>
        <v>2722985.9879003773</v>
      </c>
      <c r="V421" s="48">
        <v>0.40100000000000002</v>
      </c>
      <c r="W421">
        <f t="shared" si="95"/>
        <v>2741610.452588622</v>
      </c>
      <c r="Y421">
        <f t="shared" si="96"/>
        <v>5802.4337929825606</v>
      </c>
      <c r="Z421" s="28">
        <v>0.40100000000000002</v>
      </c>
      <c r="AA421">
        <f t="shared" si="97"/>
        <v>1495.443199614331</v>
      </c>
    </row>
    <row r="422" spans="1:27" x14ac:dyDescent="0.2">
      <c r="A422">
        <f t="shared" si="84"/>
        <v>11175757715.290173</v>
      </c>
      <c r="B422" s="28">
        <v>0.40200000000000002</v>
      </c>
      <c r="C422">
        <f t="shared" si="85"/>
        <v>11175863689.222786</v>
      </c>
      <c r="E422">
        <f t="shared" si="86"/>
        <v>9286.8542581229594</v>
      </c>
      <c r="F422" s="28">
        <v>0.40200000000000002</v>
      </c>
      <c r="G422">
        <f t="shared" si="87"/>
        <v>1492.5371141044084</v>
      </c>
      <c r="I422">
        <f t="shared" si="88"/>
        <v>15668449619.661102</v>
      </c>
      <c r="J422" s="28">
        <v>0.40200000000000002</v>
      </c>
      <c r="K422">
        <f t="shared" si="89"/>
        <v>15668560892.290346</v>
      </c>
      <c r="M422">
        <f t="shared" si="90"/>
        <v>9225.8239068643579</v>
      </c>
      <c r="N422" s="28">
        <v>0.40200000000000002</v>
      </c>
      <c r="O422">
        <f t="shared" si="91"/>
        <v>2092.5370339743808</v>
      </c>
      <c r="Q422">
        <f t="shared" si="92"/>
        <v>4492691904.3709297</v>
      </c>
      <c r="R422" s="28">
        <v>0.40200000000000002</v>
      </c>
      <c r="S422">
        <f t="shared" si="93"/>
        <v>4492697803.0675602</v>
      </c>
      <c r="U422">
        <f t="shared" si="94"/>
        <v>2767921.5037331842</v>
      </c>
      <c r="V422" s="48">
        <v>0.40200000000000002</v>
      </c>
      <c r="W422">
        <f t="shared" si="95"/>
        <v>2786545.9684214289</v>
      </c>
      <c r="Y422">
        <f t="shared" si="96"/>
        <v>5806.1386880828377</v>
      </c>
      <c r="Z422" s="28">
        <v>0.40200000000000002</v>
      </c>
      <c r="AA422">
        <f t="shared" si="97"/>
        <v>1491.7383045140539</v>
      </c>
    </row>
    <row r="423" spans="1:27" x14ac:dyDescent="0.2">
      <c r="A423">
        <f t="shared" si="84"/>
        <v>11526670998.491228</v>
      </c>
      <c r="B423" s="28">
        <v>0.40300000000000002</v>
      </c>
      <c r="C423">
        <f t="shared" si="85"/>
        <v>11526776972.423841</v>
      </c>
      <c r="E423">
        <f t="shared" si="86"/>
        <v>9290.5578176313975</v>
      </c>
      <c r="F423" s="28">
        <v>0.40300000000000002</v>
      </c>
      <c r="G423">
        <f t="shared" si="87"/>
        <v>1488.8335545959701</v>
      </c>
      <c r="I423">
        <f t="shared" si="88"/>
        <v>16171956819.681408</v>
      </c>
      <c r="J423" s="28">
        <v>0.40300000000000002</v>
      </c>
      <c r="K423">
        <f t="shared" si="89"/>
        <v>16172068092.310652</v>
      </c>
      <c r="M423">
        <f t="shared" si="90"/>
        <v>9229.5274637405928</v>
      </c>
      <c r="N423" s="28">
        <v>0.40300000000000002</v>
      </c>
      <c r="O423">
        <f t="shared" si="91"/>
        <v>2088.8334770981464</v>
      </c>
      <c r="Q423">
        <f t="shared" si="92"/>
        <v>4645285821.1901779</v>
      </c>
      <c r="R423" s="28">
        <v>0.40300000000000002</v>
      </c>
      <c r="S423">
        <f t="shared" si="93"/>
        <v>4645291719.8868084</v>
      </c>
      <c r="U423">
        <f t="shared" si="94"/>
        <v>2813610.5140441949</v>
      </c>
      <c r="V423" s="48">
        <v>0.40300000000000002</v>
      </c>
      <c r="W423">
        <f t="shared" si="95"/>
        <v>2832234.9787324397</v>
      </c>
      <c r="Y423">
        <f t="shared" si="96"/>
        <v>5809.8254764566664</v>
      </c>
      <c r="Z423" s="28">
        <v>0.40300000000000002</v>
      </c>
      <c r="AA423">
        <f t="shared" si="97"/>
        <v>1488.0515161402259</v>
      </c>
    </row>
    <row r="424" spans="1:27" x14ac:dyDescent="0.2">
      <c r="A424">
        <f t="shared" si="84"/>
        <v>11888392953.770235</v>
      </c>
      <c r="B424" s="28">
        <v>0.40400000000000003</v>
      </c>
      <c r="C424">
        <f t="shared" si="85"/>
        <v>11888498927.702848</v>
      </c>
      <c r="E424">
        <f t="shared" si="86"/>
        <v>9294.2430429052638</v>
      </c>
      <c r="F424" s="28">
        <v>0.40400000000000003</v>
      </c>
      <c r="G424">
        <f t="shared" si="87"/>
        <v>1485.1483293221049</v>
      </c>
      <c r="I424">
        <f t="shared" si="88"/>
        <v>16691341221.865557</v>
      </c>
      <c r="J424" s="28">
        <v>0.40400000000000003</v>
      </c>
      <c r="K424">
        <f t="shared" si="89"/>
        <v>16691452494.494801</v>
      </c>
      <c r="M424">
        <f t="shared" si="90"/>
        <v>9233.2126864705024</v>
      </c>
      <c r="N424" s="28">
        <v>0.40400000000000003</v>
      </c>
      <c r="O424">
        <f t="shared" si="91"/>
        <v>2085.1482543682355</v>
      </c>
      <c r="Q424">
        <f t="shared" si="92"/>
        <v>4802948268.0953207</v>
      </c>
      <c r="R424" s="28">
        <v>0.40400000000000003</v>
      </c>
      <c r="S424">
        <f t="shared" si="93"/>
        <v>4802954166.7919512</v>
      </c>
      <c r="U424">
        <f t="shared" si="94"/>
        <v>2860065.8478655368</v>
      </c>
      <c r="V424" s="48">
        <v>0.40400000000000003</v>
      </c>
      <c r="W424">
        <f t="shared" si="95"/>
        <v>2878690.3125537816</v>
      </c>
      <c r="Y424">
        <f t="shared" si="96"/>
        <v>5813.4942873778336</v>
      </c>
      <c r="Z424" s="28">
        <v>0.40400000000000003</v>
      </c>
      <c r="AA424">
        <f t="shared" si="97"/>
        <v>1484.3827052190584</v>
      </c>
    </row>
    <row r="425" spans="1:27" x14ac:dyDescent="0.2">
      <c r="A425">
        <f t="shared" si="84"/>
        <v>12261249848.068367</v>
      </c>
      <c r="B425" s="28">
        <v>0.40500000000000003</v>
      </c>
      <c r="C425">
        <f t="shared" si="85"/>
        <v>12261355822.00098</v>
      </c>
      <c r="E425">
        <f t="shared" si="86"/>
        <v>9297.9100697462472</v>
      </c>
      <c r="F425" s="28">
        <v>0.40500000000000003</v>
      </c>
      <c r="G425">
        <f t="shared" si="87"/>
        <v>1481.4813024811208</v>
      </c>
      <c r="I425">
        <f t="shared" si="88"/>
        <v>17227093657.282135</v>
      </c>
      <c r="J425" s="28">
        <v>0.40500000000000003</v>
      </c>
      <c r="K425">
        <f t="shared" si="89"/>
        <v>17227204929.911381</v>
      </c>
      <c r="M425">
        <f t="shared" si="90"/>
        <v>9236.8797108527633</v>
      </c>
      <c r="N425" s="28">
        <v>0.40500000000000003</v>
      </c>
      <c r="O425">
        <f t="shared" si="91"/>
        <v>2081.4812299859746</v>
      </c>
      <c r="Q425">
        <f t="shared" si="92"/>
        <v>4965843809.2137671</v>
      </c>
      <c r="R425" s="28">
        <v>0.40500000000000003</v>
      </c>
      <c r="S425">
        <f t="shared" si="93"/>
        <v>4965849707.9103975</v>
      </c>
      <c r="U425">
        <f t="shared" si="94"/>
        <v>2907300.5551486947</v>
      </c>
      <c r="V425" s="48">
        <v>0.40500000000000003</v>
      </c>
      <c r="W425">
        <f t="shared" si="95"/>
        <v>2925925.0198369394</v>
      </c>
      <c r="Y425">
        <f t="shared" si="96"/>
        <v>5817.1452489393114</v>
      </c>
      <c r="Z425" s="28">
        <v>0.40500000000000003</v>
      </c>
      <c r="AA425">
        <f t="shared" si="97"/>
        <v>1480.7317436575804</v>
      </c>
    </row>
    <row r="426" spans="1:27" x14ac:dyDescent="0.2">
      <c r="A426">
        <f t="shared" si="84"/>
        <v>12645577591.323793</v>
      </c>
      <c r="B426" s="28">
        <v>0.40600000000000003</v>
      </c>
      <c r="C426">
        <f t="shared" si="85"/>
        <v>12645683565.256407</v>
      </c>
      <c r="E426">
        <f t="shared" si="86"/>
        <v>9301.5590326183556</v>
      </c>
      <c r="F426" s="28">
        <v>0.40600000000000003</v>
      </c>
      <c r="G426">
        <f t="shared" si="87"/>
        <v>1477.8323396090134</v>
      </c>
      <c r="I426">
        <f t="shared" si="88"/>
        <v>17779719820.121265</v>
      </c>
      <c r="J426" s="28">
        <v>0.40600000000000003</v>
      </c>
      <c r="K426">
        <f t="shared" si="89"/>
        <v>17779831092.750511</v>
      </c>
      <c r="M426">
        <f t="shared" si="90"/>
        <v>9240.5286713484638</v>
      </c>
      <c r="N426" s="28">
        <v>0.40600000000000003</v>
      </c>
      <c r="O426">
        <f t="shared" si="91"/>
        <v>2077.8322694902736</v>
      </c>
      <c r="Q426">
        <f t="shared" si="92"/>
        <v>5134142228.797471</v>
      </c>
      <c r="R426" s="28">
        <v>0.40600000000000003</v>
      </c>
      <c r="S426">
        <f t="shared" si="93"/>
        <v>5134148127.4941015</v>
      </c>
      <c r="U426">
        <f t="shared" si="94"/>
        <v>2955327.9106028071</v>
      </c>
      <c r="V426" s="48">
        <v>0.40600000000000003</v>
      </c>
      <c r="W426">
        <f t="shared" si="95"/>
        <v>2973952.3752910518</v>
      </c>
      <c r="Y426">
        <f t="shared" si="96"/>
        <v>5820.7784880660174</v>
      </c>
      <c r="Z426" s="28">
        <v>0.40600000000000003</v>
      </c>
      <c r="AA426">
        <f t="shared" si="97"/>
        <v>1477.0985045308744</v>
      </c>
    </row>
    <row r="427" spans="1:27" x14ac:dyDescent="0.2">
      <c r="A427">
        <f t="shared" si="84"/>
        <v>13041722015.289316</v>
      </c>
      <c r="B427" s="28">
        <v>0.40699999999999997</v>
      </c>
      <c r="C427">
        <f t="shared" si="85"/>
        <v>13041827989.22193</v>
      </c>
      <c r="E427">
        <f t="shared" si="86"/>
        <v>9305.1900646643244</v>
      </c>
      <c r="F427" s="28">
        <v>0.40699999999999997</v>
      </c>
      <c r="G427">
        <f t="shared" si="87"/>
        <v>1474.2013075630443</v>
      </c>
      <c r="I427">
        <f t="shared" si="88"/>
        <v>18349740708.206013</v>
      </c>
      <c r="J427" s="28">
        <v>0.40699999999999997</v>
      </c>
      <c r="K427">
        <f t="shared" si="89"/>
        <v>18349851980.835258</v>
      </c>
      <c r="M427">
        <f t="shared" si="90"/>
        <v>9244.1597010975347</v>
      </c>
      <c r="N427" s="28">
        <v>0.40699999999999997</v>
      </c>
      <c r="O427">
        <f t="shared" si="91"/>
        <v>2074.2012397412036</v>
      </c>
      <c r="Q427">
        <f t="shared" si="92"/>
        <v>5308018692.9166946</v>
      </c>
      <c r="R427" s="28">
        <v>0.40699999999999997</v>
      </c>
      <c r="S427">
        <f t="shared" si="93"/>
        <v>5308024591.6133251</v>
      </c>
      <c r="U427">
        <f t="shared" si="94"/>
        <v>3004161.4176001265</v>
      </c>
      <c r="V427" s="48">
        <v>0.40699999999999997</v>
      </c>
      <c r="W427">
        <f t="shared" si="95"/>
        <v>3022785.8822883712</v>
      </c>
      <c r="Y427">
        <f t="shared" si="96"/>
        <v>5824.3941305274247</v>
      </c>
      <c r="Z427" s="28">
        <v>0.40699999999999997</v>
      </c>
      <c r="AA427">
        <f t="shared" si="97"/>
        <v>1473.4828620694668</v>
      </c>
    </row>
    <row r="428" spans="1:27" x14ac:dyDescent="0.2">
      <c r="A428">
        <f t="shared" si="84"/>
        <v>13450039160.230589</v>
      </c>
      <c r="B428" s="28">
        <v>0.40799999999999997</v>
      </c>
      <c r="C428">
        <f t="shared" si="85"/>
        <v>13450145134.163202</v>
      </c>
      <c r="E428">
        <f t="shared" si="86"/>
        <v>9308.8032977218136</v>
      </c>
      <c r="F428" s="28">
        <v>0.40799999999999997</v>
      </c>
      <c r="G428">
        <f t="shared" si="87"/>
        <v>1470.5880745055538</v>
      </c>
      <c r="I428">
        <f t="shared" si="88"/>
        <v>18937693076.272541</v>
      </c>
      <c r="J428" s="28">
        <v>0.40799999999999997</v>
      </c>
      <c r="K428">
        <f t="shared" si="89"/>
        <v>18937804348.901787</v>
      </c>
      <c r="M428">
        <f t="shared" si="90"/>
        <v>9247.7729319349182</v>
      </c>
      <c r="N428" s="28">
        <v>0.40799999999999997</v>
      </c>
      <c r="O428">
        <f t="shared" si="91"/>
        <v>2070.5880089038196</v>
      </c>
      <c r="Q428">
        <f t="shared" si="92"/>
        <v>5487653916.0419559</v>
      </c>
      <c r="R428" s="28">
        <v>0.40799999999999997</v>
      </c>
      <c r="S428">
        <f t="shared" si="93"/>
        <v>5487659814.7385864</v>
      </c>
      <c r="U428">
        <f t="shared" si="94"/>
        <v>3053814.8121498497</v>
      </c>
      <c r="V428" s="48">
        <v>0.40799999999999997</v>
      </c>
      <c r="W428">
        <f t="shared" si="95"/>
        <v>3072439.2768380945</v>
      </c>
      <c r="Y428">
        <f t="shared" si="96"/>
        <v>5827.9923009500217</v>
      </c>
      <c r="Z428" s="28">
        <v>0.40799999999999997</v>
      </c>
      <c r="AA428">
        <f t="shared" si="97"/>
        <v>1469.8846916468697</v>
      </c>
    </row>
    <row r="429" spans="1:27" x14ac:dyDescent="0.2">
      <c r="A429">
        <f t="shared" si="84"/>
        <v>13870895569.72196</v>
      </c>
      <c r="B429" s="28">
        <v>0.40899999999999997</v>
      </c>
      <c r="C429">
        <f t="shared" si="85"/>
        <v>13871001543.654573</v>
      </c>
      <c r="E429">
        <f t="shared" si="86"/>
        <v>9312.3988623393489</v>
      </c>
      <c r="F429" s="28">
        <v>0.40899999999999997</v>
      </c>
      <c r="G429">
        <f t="shared" si="87"/>
        <v>1466.9925098880185</v>
      </c>
      <c r="I429">
        <f t="shared" si="88"/>
        <v>19544129902.380047</v>
      </c>
      <c r="J429" s="28">
        <v>0.40899999999999997</v>
      </c>
      <c r="K429">
        <f t="shared" si="89"/>
        <v>19544241175.009293</v>
      </c>
      <c r="M429">
        <f t="shared" si="90"/>
        <v>9251.3684944065208</v>
      </c>
      <c r="N429" s="28">
        <v>0.40899999999999997</v>
      </c>
      <c r="O429">
        <f t="shared" si="91"/>
        <v>2066.992446432218</v>
      </c>
      <c r="Q429">
        <f t="shared" si="92"/>
        <v>5673234332.6580896</v>
      </c>
      <c r="R429" s="28">
        <v>0.40899999999999997</v>
      </c>
      <c r="S429">
        <f t="shared" si="93"/>
        <v>5673240231.3547201</v>
      </c>
      <c r="U429">
        <f t="shared" si="94"/>
        <v>3104302.0669414774</v>
      </c>
      <c r="V429" s="48">
        <v>0.40899999999999997</v>
      </c>
      <c r="W429">
        <f t="shared" si="95"/>
        <v>3122926.5316297221</v>
      </c>
      <c r="Y429">
        <f t="shared" si="96"/>
        <v>5831.5731228296145</v>
      </c>
      <c r="Z429" s="28">
        <v>0.40899999999999997</v>
      </c>
      <c r="AA429">
        <f t="shared" si="97"/>
        <v>1466.3038697672771</v>
      </c>
    </row>
    <row r="430" spans="1:27" x14ac:dyDescent="0.2">
      <c r="A430">
        <f t="shared" si="84"/>
        <v>14304668593.762819</v>
      </c>
      <c r="B430" s="28">
        <v>0.41</v>
      </c>
      <c r="C430">
        <f t="shared" si="85"/>
        <v>14304774567.695433</v>
      </c>
      <c r="E430">
        <f t="shared" si="86"/>
        <v>9315.9768877920324</v>
      </c>
      <c r="F430" s="28">
        <v>0.41</v>
      </c>
      <c r="G430">
        <f t="shared" si="87"/>
        <v>1463.4144844353368</v>
      </c>
      <c r="I430">
        <f t="shared" si="88"/>
        <v>20169620867.821316</v>
      </c>
      <c r="J430" s="28">
        <v>0.41</v>
      </c>
      <c r="K430">
        <f t="shared" si="89"/>
        <v>20169732140.450562</v>
      </c>
      <c r="M430">
        <f t="shared" si="90"/>
        <v>9254.9465177849124</v>
      </c>
      <c r="N430" s="28">
        <v>0.41</v>
      </c>
      <c r="O430">
        <f t="shared" si="91"/>
        <v>2063.414423053825</v>
      </c>
      <c r="Q430">
        <f t="shared" si="92"/>
        <v>5864952274.0584965</v>
      </c>
      <c r="R430" s="28">
        <v>0.41</v>
      </c>
      <c r="S430">
        <f t="shared" si="93"/>
        <v>5864958172.755127</v>
      </c>
      <c r="U430">
        <f t="shared" si="94"/>
        <v>3155637.3954589819</v>
      </c>
      <c r="V430" s="48">
        <v>0.41</v>
      </c>
      <c r="W430">
        <f t="shared" si="95"/>
        <v>3174261.8601472266</v>
      </c>
      <c r="Y430">
        <f t="shared" si="96"/>
        <v>5835.1367185434838</v>
      </c>
      <c r="Z430" s="28">
        <v>0.41</v>
      </c>
      <c r="AA430">
        <f t="shared" si="97"/>
        <v>1462.7402740534078</v>
      </c>
    </row>
    <row r="431" spans="1:27" x14ac:dyDescent="0.2">
      <c r="A431">
        <f t="shared" si="84"/>
        <v>14751746700.446085</v>
      </c>
      <c r="B431" s="28">
        <v>0.41099999999999998</v>
      </c>
      <c r="C431">
        <f t="shared" si="85"/>
        <v>14751852674.378698</v>
      </c>
      <c r="E431">
        <f t="shared" si="86"/>
        <v>9319.5375020970241</v>
      </c>
      <c r="F431" s="28">
        <v>0.41099999999999998</v>
      </c>
      <c r="G431">
        <f t="shared" si="87"/>
        <v>1459.8538701303451</v>
      </c>
      <c r="I431">
        <f t="shared" si="88"/>
        <v>20814752850.919098</v>
      </c>
      <c r="J431" s="28">
        <v>0.41099999999999998</v>
      </c>
      <c r="K431">
        <f t="shared" si="89"/>
        <v>20814864123.548344</v>
      </c>
      <c r="M431">
        <f t="shared" si="90"/>
        <v>9258.5071300848213</v>
      </c>
      <c r="N431" s="28">
        <v>0.41099999999999998</v>
      </c>
      <c r="O431">
        <f t="shared" si="91"/>
        <v>2059.8538107539171</v>
      </c>
      <c r="Q431">
        <f t="shared" si="92"/>
        <v>6063006150.4730139</v>
      </c>
      <c r="R431" s="28">
        <v>0.41099999999999998</v>
      </c>
      <c r="S431">
        <f t="shared" si="93"/>
        <v>6063012049.1696444</v>
      </c>
      <c r="U431">
        <f t="shared" si="94"/>
        <v>3207835.2561669904</v>
      </c>
      <c r="V431" s="48">
        <v>0.41099999999999998</v>
      </c>
      <c r="W431">
        <f t="shared" si="95"/>
        <v>3226459.7208552351</v>
      </c>
      <c r="Y431">
        <f t="shared" si="96"/>
        <v>5838.6832093623952</v>
      </c>
      <c r="Z431" s="28">
        <v>0.41099999999999998</v>
      </c>
      <c r="AA431">
        <f t="shared" si="97"/>
        <v>1459.1937832344965</v>
      </c>
    </row>
    <row r="432" spans="1:27" x14ac:dyDescent="0.2">
      <c r="A432">
        <f t="shared" si="84"/>
        <v>15212529796.411119</v>
      </c>
      <c r="B432" s="28">
        <v>0.41199999999999998</v>
      </c>
      <c r="C432">
        <f t="shared" si="85"/>
        <v>15212635770.343733</v>
      </c>
      <c r="E432">
        <f t="shared" si="86"/>
        <v>9323.0808320288106</v>
      </c>
      <c r="F432" s="28">
        <v>0.41199999999999998</v>
      </c>
      <c r="G432">
        <f t="shared" si="87"/>
        <v>1456.3105401985583</v>
      </c>
      <c r="I432">
        <f t="shared" si="88"/>
        <v>21480130435.096104</v>
      </c>
      <c r="J432" s="28">
        <v>0.41199999999999998</v>
      </c>
      <c r="K432">
        <f t="shared" si="89"/>
        <v>21480241707.725349</v>
      </c>
      <c r="M432">
        <f t="shared" si="90"/>
        <v>9262.0504580783745</v>
      </c>
      <c r="N432" s="28">
        <v>0.41199999999999998</v>
      </c>
      <c r="O432">
        <f t="shared" si="91"/>
        <v>2056.3104827603643</v>
      </c>
      <c r="Q432">
        <f t="shared" si="92"/>
        <v>6267600638.6849871</v>
      </c>
      <c r="R432" s="28">
        <v>0.41199999999999998</v>
      </c>
      <c r="S432">
        <f t="shared" si="93"/>
        <v>6267606537.3816175</v>
      </c>
      <c r="U432">
        <f t="shared" si="94"/>
        <v>3260910.3567702654</v>
      </c>
      <c r="V432" s="48">
        <v>0.41199999999999998</v>
      </c>
      <c r="W432">
        <f t="shared" si="95"/>
        <v>3279534.8214585101</v>
      </c>
      <c r="Y432">
        <f t="shared" si="96"/>
        <v>5842.2127154624613</v>
      </c>
      <c r="Z432" s="28">
        <v>0.41199999999999998</v>
      </c>
      <c r="AA432">
        <f t="shared" si="97"/>
        <v>1455.6642771344307</v>
      </c>
    </row>
    <row r="433" spans="1:27" x14ac:dyDescent="0.2">
      <c r="A433">
        <f t="shared" si="84"/>
        <v>15687429556.326412</v>
      </c>
      <c r="B433" s="28">
        <v>0.41299999999999998</v>
      </c>
      <c r="C433">
        <f t="shared" si="85"/>
        <v>15687535530.259026</v>
      </c>
      <c r="E433">
        <f t="shared" si="86"/>
        <v>9326.6070031342333</v>
      </c>
      <c r="F433" s="28">
        <v>0.41299999999999998</v>
      </c>
      <c r="G433">
        <f t="shared" si="87"/>
        <v>1452.784369093135</v>
      </c>
      <c r="I433">
        <f t="shared" si="88"/>
        <v>22166376431.626759</v>
      </c>
      <c r="J433" s="28">
        <v>0.41299999999999998</v>
      </c>
      <c r="K433">
        <f t="shared" si="89"/>
        <v>22166487704.256004</v>
      </c>
      <c r="M433">
        <f t="shared" si="90"/>
        <v>9265.5766273101381</v>
      </c>
      <c r="N433" s="28">
        <v>0.41299999999999998</v>
      </c>
      <c r="O433">
        <f t="shared" si="91"/>
        <v>2052.7843135285998</v>
      </c>
      <c r="Q433">
        <f t="shared" si="92"/>
        <v>6478946875.3003464</v>
      </c>
      <c r="R433" s="28">
        <v>0.41299999999999998</v>
      </c>
      <c r="S433">
        <f t="shared" si="93"/>
        <v>6478952773.9969769</v>
      </c>
      <c r="U433">
        <f t="shared" si="94"/>
        <v>3314877.6585477772</v>
      </c>
      <c r="V433" s="48">
        <v>0.41299999999999998</v>
      </c>
      <c r="W433">
        <f t="shared" si="95"/>
        <v>3333502.123236022</v>
      </c>
      <c r="Y433">
        <f t="shared" si="96"/>
        <v>5845.7253559368628</v>
      </c>
      <c r="Z433" s="28">
        <v>0.41299999999999998</v>
      </c>
      <c r="AA433">
        <f t="shared" si="97"/>
        <v>1452.1516366600288</v>
      </c>
    </row>
    <row r="434" spans="1:27" x14ac:dyDescent="0.2">
      <c r="A434">
        <f t="shared" si="84"/>
        <v>16176869761.647064</v>
      </c>
      <c r="B434" s="28">
        <v>0.41399999999999998</v>
      </c>
      <c r="C434">
        <f t="shared" si="85"/>
        <v>16176975735.579678</v>
      </c>
      <c r="E434">
        <f t="shared" si="86"/>
        <v>9330.1161397473134</v>
      </c>
      <c r="F434" s="28">
        <v>0.41399999999999998</v>
      </c>
      <c r="G434">
        <f t="shared" si="87"/>
        <v>1449.2752324800547</v>
      </c>
      <c r="I434">
        <f t="shared" si="88"/>
        <v>22874132417.480419</v>
      </c>
      <c r="J434" s="28">
        <v>0.41399999999999998</v>
      </c>
      <c r="K434">
        <f t="shared" si="89"/>
        <v>22874243690.109665</v>
      </c>
      <c r="M434">
        <f t="shared" si="90"/>
        <v>9269.0857621119412</v>
      </c>
      <c r="N434" s="28">
        <v>0.41399999999999998</v>
      </c>
      <c r="O434">
        <f t="shared" si="91"/>
        <v>2049.2751787267975</v>
      </c>
      <c r="Q434">
        <f t="shared" si="92"/>
        <v>6697262655.8333559</v>
      </c>
      <c r="R434" s="28">
        <v>0.41399999999999998</v>
      </c>
      <c r="S434">
        <f t="shared" si="93"/>
        <v>6697268554.5299864</v>
      </c>
      <c r="U434">
        <f t="shared" si="94"/>
        <v>3369752.3807626725</v>
      </c>
      <c r="V434" s="48">
        <v>0.41399999999999998</v>
      </c>
      <c r="W434">
        <f t="shared" si="95"/>
        <v>3388376.8454509173</v>
      </c>
      <c r="Y434">
        <f t="shared" si="96"/>
        <v>5849.2212488074292</v>
      </c>
      <c r="Z434" s="28">
        <v>0.41399999999999998</v>
      </c>
      <c r="AA434">
        <f t="shared" si="97"/>
        <v>1448.6557437894628</v>
      </c>
    </row>
    <row r="435" spans="1:27" x14ac:dyDescent="0.2">
      <c r="A435">
        <f t="shared" si="84"/>
        <v>16681286648.905602</v>
      </c>
      <c r="B435" s="28">
        <v>0.41499999999999998</v>
      </c>
      <c r="C435">
        <f t="shared" si="85"/>
        <v>16681392622.838215</v>
      </c>
      <c r="E435">
        <f t="shared" si="86"/>
        <v>9333.6083650038527</v>
      </c>
      <c r="F435" s="28">
        <v>0.41499999999999998</v>
      </c>
      <c r="G435">
        <f t="shared" si="87"/>
        <v>1445.7830072235149</v>
      </c>
      <c r="I435">
        <f t="shared" si="88"/>
        <v>23604059288.686825</v>
      </c>
      <c r="J435" s="28">
        <v>0.41499999999999998</v>
      </c>
      <c r="K435">
        <f t="shared" si="89"/>
        <v>23604170561.316071</v>
      </c>
      <c r="M435">
        <f t="shared" si="90"/>
        <v>9272.5779856174649</v>
      </c>
      <c r="N435" s="28">
        <v>0.41499999999999998</v>
      </c>
      <c r="O435">
        <f t="shared" si="91"/>
        <v>2045.7829552212736</v>
      </c>
      <c r="Q435">
        <f t="shared" si="92"/>
        <v>6922772639.7812281</v>
      </c>
      <c r="R435" s="28">
        <v>0.41499999999999998</v>
      </c>
      <c r="S435">
        <f t="shared" si="93"/>
        <v>6922778538.4778585</v>
      </c>
      <c r="U435">
        <f t="shared" si="94"/>
        <v>3425550.0051494851</v>
      </c>
      <c r="V435" s="48">
        <v>0.41499999999999998</v>
      </c>
      <c r="W435">
        <f t="shared" si="95"/>
        <v>3444174.4698377298</v>
      </c>
      <c r="Y435">
        <f t="shared" si="96"/>
        <v>5852.7005110360724</v>
      </c>
      <c r="Z435" s="28">
        <v>0.41499999999999998</v>
      </c>
      <c r="AA435">
        <f t="shared" si="97"/>
        <v>1445.1764815608192</v>
      </c>
    </row>
    <row r="436" spans="1:27" x14ac:dyDescent="0.2">
      <c r="A436">
        <f t="shared" si="84"/>
        <v>17201129267.794739</v>
      </c>
      <c r="B436" s="28">
        <v>0.41599999999999998</v>
      </c>
      <c r="C436">
        <f t="shared" si="85"/>
        <v>17201235241.727352</v>
      </c>
      <c r="E436">
        <f t="shared" si="86"/>
        <v>9337.0838008558349</v>
      </c>
      <c r="F436" s="28">
        <v>0.41599999999999998</v>
      </c>
      <c r="G436">
        <f t="shared" si="87"/>
        <v>1442.3075713715343</v>
      </c>
      <c r="I436">
        <f t="shared" si="88"/>
        <v>24356837829.656681</v>
      </c>
      <c r="J436" s="28">
        <v>0.41599999999999998</v>
      </c>
      <c r="K436">
        <f t="shared" si="89"/>
        <v>24356949102.285927</v>
      </c>
      <c r="M436">
        <f t="shared" si="90"/>
        <v>9276.0534197766465</v>
      </c>
      <c r="N436" s="28">
        <v>0.41599999999999998</v>
      </c>
      <c r="O436">
        <f t="shared" si="91"/>
        <v>2042.3075210620923</v>
      </c>
      <c r="Q436">
        <f t="shared" si="92"/>
        <v>7155708561.861948</v>
      </c>
      <c r="R436" s="28">
        <v>0.41599999999999998</v>
      </c>
      <c r="S436">
        <f t="shared" si="93"/>
        <v>7155714460.5585785</v>
      </c>
      <c r="U436">
        <f t="shared" si="94"/>
        <v>3482286.280479949</v>
      </c>
      <c r="V436" s="48">
        <v>0.41599999999999998</v>
      </c>
      <c r="W436">
        <f t="shared" si="95"/>
        <v>3500910.7451681937</v>
      </c>
      <c r="Y436">
        <f t="shared" si="96"/>
        <v>5856.1632585360958</v>
      </c>
      <c r="Z436" s="28">
        <v>0.41599999999999998</v>
      </c>
      <c r="AA436">
        <f t="shared" si="97"/>
        <v>1441.7137340607958</v>
      </c>
    </row>
    <row r="437" spans="1:27" x14ac:dyDescent="0.2">
      <c r="A437">
        <f t="shared" si="84"/>
        <v>17736859849.313732</v>
      </c>
      <c r="B437" s="28">
        <v>0.41699999999999998</v>
      </c>
      <c r="C437">
        <f t="shared" si="85"/>
        <v>17736965823.246346</v>
      </c>
      <c r="E437">
        <f t="shared" si="86"/>
        <v>9340.5425680856042</v>
      </c>
      <c r="F437" s="28">
        <v>0.41699999999999998</v>
      </c>
      <c r="G437">
        <f t="shared" si="87"/>
        <v>1438.8488041417647</v>
      </c>
      <c r="I437">
        <f t="shared" si="88"/>
        <v>25133169298.910828</v>
      </c>
      <c r="J437" s="28">
        <v>0.41699999999999998</v>
      </c>
      <c r="K437">
        <f t="shared" si="89"/>
        <v>25133280571.540073</v>
      </c>
      <c r="M437">
        <f t="shared" si="90"/>
        <v>9279.5121853698583</v>
      </c>
      <c r="N437" s="28">
        <v>0.41699999999999998</v>
      </c>
      <c r="O437">
        <f t="shared" si="91"/>
        <v>2038.8487554688807</v>
      </c>
      <c r="Q437">
        <f t="shared" si="92"/>
        <v>7396309449.5970955</v>
      </c>
      <c r="R437" s="28">
        <v>0.41699999999999998</v>
      </c>
      <c r="S437">
        <f t="shared" si="93"/>
        <v>7396315348.293726</v>
      </c>
      <c r="U437">
        <f t="shared" si="94"/>
        <v>3539977.2272087876</v>
      </c>
      <c r="V437" s="48">
        <v>0.41699999999999998</v>
      </c>
      <c r="W437">
        <f t="shared" si="95"/>
        <v>3558601.6918970323</v>
      </c>
      <c r="Y437">
        <f t="shared" si="96"/>
        <v>5859.6096061833541</v>
      </c>
      <c r="Z437" s="28">
        <v>0.41699999999999998</v>
      </c>
      <c r="AA437">
        <f t="shared" si="97"/>
        <v>1438.2673864135377</v>
      </c>
    </row>
    <row r="438" spans="1:27" x14ac:dyDescent="0.2">
      <c r="A438">
        <f t="shared" si="84"/>
        <v>18288954184.25243</v>
      </c>
      <c r="B438" s="28">
        <v>0.41799999999999998</v>
      </c>
      <c r="C438">
        <f t="shared" si="85"/>
        <v>18289060158.185043</v>
      </c>
      <c r="E438">
        <f t="shared" si="86"/>
        <v>9343.9847863198611</v>
      </c>
      <c r="F438" s="28">
        <v>0.41799999999999998</v>
      </c>
      <c r="G438">
        <f t="shared" si="87"/>
        <v>1435.406585907507</v>
      </c>
      <c r="I438">
        <f t="shared" si="88"/>
        <v>25933776031.677147</v>
      </c>
      <c r="J438" s="28">
        <v>0.41799999999999998</v>
      </c>
      <c r="K438">
        <f t="shared" si="89"/>
        <v>25933887304.306393</v>
      </c>
      <c r="M438">
        <f t="shared" si="90"/>
        <v>9282.9544020218927</v>
      </c>
      <c r="N438" s="28">
        <v>0.41799999999999998</v>
      </c>
      <c r="O438">
        <f t="shared" si="91"/>
        <v>2035.4065388168449</v>
      </c>
      <c r="Q438">
        <f t="shared" si="92"/>
        <v>7644821847.4247179</v>
      </c>
      <c r="R438" s="28">
        <v>0.41799999999999998</v>
      </c>
      <c r="S438">
        <f t="shared" si="93"/>
        <v>7644827746.1213484</v>
      </c>
      <c r="U438">
        <f t="shared" si="94"/>
        <v>3598639.1422009058</v>
      </c>
      <c r="V438" s="48">
        <v>0.41799999999999998</v>
      </c>
      <c r="W438">
        <f t="shared" si="95"/>
        <v>3617263.6068891506</v>
      </c>
      <c r="Y438">
        <f t="shared" si="96"/>
        <v>5863.0396678272864</v>
      </c>
      <c r="Z438" s="28">
        <v>0.41799999999999998</v>
      </c>
      <c r="AA438">
        <f t="shared" si="97"/>
        <v>1434.8373247696059</v>
      </c>
    </row>
    <row r="439" spans="1:27" x14ac:dyDescent="0.2">
      <c r="A439">
        <f t="shared" si="84"/>
        <v>18857902012.298985</v>
      </c>
      <c r="B439" s="28">
        <v>0.41899999999999998</v>
      </c>
      <c r="C439">
        <f t="shared" si="85"/>
        <v>18858007986.231598</v>
      </c>
      <c r="E439">
        <f t="shared" si="86"/>
        <v>9347.4105740434425</v>
      </c>
      <c r="F439" s="28">
        <v>0.41899999999999998</v>
      </c>
      <c r="G439">
        <f t="shared" si="87"/>
        <v>1431.9807981839258</v>
      </c>
      <c r="I439">
        <f t="shared" si="88"/>
        <v>26759402059.833393</v>
      </c>
      <c r="J439" s="28">
        <v>0.41899999999999998</v>
      </c>
      <c r="K439">
        <f t="shared" si="89"/>
        <v>26759513332.462639</v>
      </c>
      <c r="M439">
        <f t="shared" si="90"/>
        <v>9286.3801882157477</v>
      </c>
      <c r="N439" s="28">
        <v>0.41899999999999998</v>
      </c>
      <c r="O439">
        <f t="shared" si="91"/>
        <v>2031.9807526229904</v>
      </c>
      <c r="Q439">
        <f t="shared" si="92"/>
        <v>7901500047.5344095</v>
      </c>
      <c r="R439" s="28">
        <v>0.41899999999999998</v>
      </c>
      <c r="S439">
        <f t="shared" si="93"/>
        <v>7901505946.23104</v>
      </c>
      <c r="U439">
        <f t="shared" si="94"/>
        <v>3658288.6035414012</v>
      </c>
      <c r="V439" s="48">
        <v>0.41899999999999998</v>
      </c>
      <c r="W439">
        <f t="shared" si="95"/>
        <v>3676913.068229646</v>
      </c>
      <c r="Y439">
        <f t="shared" si="96"/>
        <v>5866.4535563018144</v>
      </c>
      <c r="Z439" s="28">
        <v>0.41899999999999998</v>
      </c>
      <c r="AA439">
        <f t="shared" si="97"/>
        <v>1431.4234362950779</v>
      </c>
    </row>
    <row r="440" spans="1:27" x14ac:dyDescent="0.2">
      <c r="A440">
        <f t="shared" si="84"/>
        <v>19444207422.058479</v>
      </c>
      <c r="B440" s="28">
        <v>0.42</v>
      </c>
      <c r="C440">
        <f t="shared" si="85"/>
        <v>19444313395.991093</v>
      </c>
      <c r="E440">
        <f t="shared" si="86"/>
        <v>9350.8200486129081</v>
      </c>
      <c r="F440" s="28">
        <v>0.42</v>
      </c>
      <c r="G440">
        <f t="shared" si="87"/>
        <v>1428.5713236144607</v>
      </c>
      <c r="I440">
        <f t="shared" si="88"/>
        <v>27610813749.678104</v>
      </c>
      <c r="J440" s="28">
        <v>0.42</v>
      </c>
      <c r="K440">
        <f t="shared" si="89"/>
        <v>27610925022.30735</v>
      </c>
      <c r="M440">
        <f t="shared" si="90"/>
        <v>9289.7896613062039</v>
      </c>
      <c r="N440" s="28">
        <v>0.42</v>
      </c>
      <c r="O440">
        <f t="shared" si="91"/>
        <v>2028.5712795325344</v>
      </c>
      <c r="Q440">
        <f t="shared" si="92"/>
        <v>8166606327.619628</v>
      </c>
      <c r="R440" s="28">
        <v>0.42</v>
      </c>
      <c r="S440">
        <f t="shared" si="93"/>
        <v>8166612226.3162584</v>
      </c>
      <c r="U440">
        <f t="shared" si="94"/>
        <v>3718942.4754298758</v>
      </c>
      <c r="V440" s="48">
        <v>0.42</v>
      </c>
      <c r="W440">
        <f t="shared" si="95"/>
        <v>3737566.9401181205</v>
      </c>
      <c r="Y440">
        <f t="shared" si="96"/>
        <v>5869.851383436112</v>
      </c>
      <c r="Z440" s="28">
        <v>0.42</v>
      </c>
      <c r="AA440">
        <f t="shared" si="97"/>
        <v>1428.0256091607798</v>
      </c>
    </row>
    <row r="441" spans="1:27" x14ac:dyDescent="0.2">
      <c r="A441">
        <f t="shared" si="84"/>
        <v>20048389262.286648</v>
      </c>
      <c r="B441" s="28">
        <v>0.42099999999999999</v>
      </c>
      <c r="C441">
        <f t="shared" si="85"/>
        <v>20048495236.219261</v>
      </c>
      <c r="E441">
        <f t="shared" si="86"/>
        <v>9354.2133262699354</v>
      </c>
      <c r="F441" s="28">
        <v>0.42099999999999999</v>
      </c>
      <c r="G441">
        <f t="shared" si="87"/>
        <v>1425.1780459574331</v>
      </c>
      <c r="I441">
        <f t="shared" si="88"/>
        <v>28488800458.038322</v>
      </c>
      <c r="J441" s="28">
        <v>0.42099999999999999</v>
      </c>
      <c r="K441">
        <f t="shared" si="89"/>
        <v>28488911730.667568</v>
      </c>
      <c r="M441">
        <f t="shared" si="90"/>
        <v>9293.1829375332254</v>
      </c>
      <c r="N441" s="28">
        <v>0.42099999999999999</v>
      </c>
      <c r="O441">
        <f t="shared" si="91"/>
        <v>2025.1780033055124</v>
      </c>
      <c r="Q441">
        <f t="shared" si="92"/>
        <v>8440411195.7516775</v>
      </c>
      <c r="R441" s="28">
        <v>0.42099999999999999</v>
      </c>
      <c r="S441">
        <f t="shared" si="93"/>
        <v>8440417094.448308</v>
      </c>
      <c r="U441">
        <f t="shared" si="94"/>
        <v>3780617.9131605052</v>
      </c>
      <c r="V441" s="48">
        <v>0.42099999999999999</v>
      </c>
      <c r="W441">
        <f t="shared" si="95"/>
        <v>3799242.37784875</v>
      </c>
      <c r="Y441">
        <f t="shared" si="96"/>
        <v>5873.2332600652435</v>
      </c>
      <c r="Z441" s="28">
        <v>0.42099999999999999</v>
      </c>
      <c r="AA441">
        <f t="shared" si="97"/>
        <v>1424.6437325316481</v>
      </c>
    </row>
    <row r="442" spans="1:27" x14ac:dyDescent="0.2">
      <c r="A442">
        <f t="shared" si="84"/>
        <v>20670981564.640251</v>
      </c>
      <c r="B442" s="28">
        <v>0.42199999999999999</v>
      </c>
      <c r="C442">
        <f t="shared" si="85"/>
        <v>20671087538.572865</v>
      </c>
      <c r="E442">
        <f t="shared" si="86"/>
        <v>9357.5905221545272</v>
      </c>
      <c r="F442" s="28">
        <v>0.42199999999999999</v>
      </c>
      <c r="G442">
        <f t="shared" si="87"/>
        <v>1421.8008500728411</v>
      </c>
      <c r="I442">
        <f t="shared" si="88"/>
        <v>29394175207.221363</v>
      </c>
      <c r="J442" s="28">
        <v>0.42199999999999999</v>
      </c>
      <c r="K442">
        <f t="shared" si="89"/>
        <v>29394286479.850609</v>
      </c>
      <c r="M442">
        <f t="shared" si="90"/>
        <v>9296.5601320351598</v>
      </c>
      <c r="N442" s="28">
        <v>0.42199999999999999</v>
      </c>
      <c r="O442">
        <f t="shared" si="91"/>
        <v>2021.8008088035795</v>
      </c>
      <c r="Q442">
        <f t="shared" si="92"/>
        <v>8723193642.5811176</v>
      </c>
      <c r="R442" s="28">
        <v>0.42199999999999999</v>
      </c>
      <c r="S442">
        <f t="shared" si="93"/>
        <v>8723199541.2777481</v>
      </c>
      <c r="U442">
        <f t="shared" si="94"/>
        <v>3843332.3681894075</v>
      </c>
      <c r="V442" s="48">
        <v>0.42199999999999999</v>
      </c>
      <c r="W442">
        <f t="shared" si="95"/>
        <v>3861956.8328776523</v>
      </c>
      <c r="Y442">
        <f t="shared" si="96"/>
        <v>5876.5992960406757</v>
      </c>
      <c r="Z442" s="28">
        <v>0.42199999999999999</v>
      </c>
      <c r="AA442">
        <f t="shared" si="97"/>
        <v>1421.2776965562164</v>
      </c>
    </row>
    <row r="443" spans="1:27" x14ac:dyDescent="0.2">
      <c r="A443">
        <f t="shared" si="84"/>
        <v>21312533978.263607</v>
      </c>
      <c r="B443" s="28">
        <v>0.42299999999999999</v>
      </c>
      <c r="C443">
        <f t="shared" si="85"/>
        <v>21312639952.19622</v>
      </c>
      <c r="E443">
        <f t="shared" si="86"/>
        <v>9360.9517503180268</v>
      </c>
      <c r="F443" s="28">
        <v>0.42299999999999999</v>
      </c>
      <c r="G443">
        <f t="shared" si="87"/>
        <v>1418.439621909341</v>
      </c>
      <c r="I443">
        <f t="shared" si="88"/>
        <v>30327775379.345982</v>
      </c>
      <c r="J443" s="28">
        <v>0.42299999999999999</v>
      </c>
      <c r="K443">
        <f t="shared" si="89"/>
        <v>30327886651.975227</v>
      </c>
      <c r="M443">
        <f t="shared" si="90"/>
        <v>9299.9213588617458</v>
      </c>
      <c r="N443" s="28">
        <v>0.42299999999999999</v>
      </c>
      <c r="O443">
        <f t="shared" si="91"/>
        <v>2018.4395819769923</v>
      </c>
      <c r="Q443">
        <f t="shared" si="92"/>
        <v>9015241401.0823708</v>
      </c>
      <c r="R443" s="28">
        <v>0.42299999999999999</v>
      </c>
      <c r="S443">
        <f t="shared" si="93"/>
        <v>9015247299.7790012</v>
      </c>
      <c r="U443">
        <f t="shared" si="94"/>
        <v>3907103.5932908305</v>
      </c>
      <c r="V443" s="48">
        <v>0.42299999999999999</v>
      </c>
      <c r="W443">
        <f t="shared" si="95"/>
        <v>3925728.0579790752</v>
      </c>
      <c r="Y443">
        <f t="shared" si="96"/>
        <v>5879.9496002406622</v>
      </c>
      <c r="Z443" s="28">
        <v>0.42299999999999999</v>
      </c>
      <c r="AA443">
        <f t="shared" si="97"/>
        <v>1417.9273923562298</v>
      </c>
    </row>
    <row r="444" spans="1:27" x14ac:dyDescent="0.2">
      <c r="A444">
        <f t="shared" si="84"/>
        <v>21973612216.5317</v>
      </c>
      <c r="B444" s="28">
        <v>0.42399999999999999</v>
      </c>
      <c r="C444">
        <f t="shared" si="85"/>
        <v>21973718190.464314</v>
      </c>
      <c r="E444">
        <f t="shared" si="86"/>
        <v>9364.2971237359525</v>
      </c>
      <c r="F444" s="28">
        <v>0.42399999999999999</v>
      </c>
      <c r="G444">
        <f t="shared" si="87"/>
        <v>1415.0942484914165</v>
      </c>
      <c r="I444">
        <f t="shared" si="88"/>
        <v>31290463430.591938</v>
      </c>
      <c r="J444" s="28">
        <v>0.42399999999999999</v>
      </c>
      <c r="K444">
        <f t="shared" si="89"/>
        <v>31290574703.221184</v>
      </c>
      <c r="M444">
        <f t="shared" si="90"/>
        <v>9303.2667309869612</v>
      </c>
      <c r="N444" s="28">
        <v>0.42399999999999999</v>
      </c>
      <c r="O444">
        <f t="shared" si="91"/>
        <v>2015.0942098517769</v>
      </c>
      <c r="Q444">
        <f t="shared" si="92"/>
        <v>9316851214.0602379</v>
      </c>
      <c r="R444" s="28">
        <v>0.42399999999999999</v>
      </c>
      <c r="S444">
        <f t="shared" si="93"/>
        <v>9316857112.7568684</v>
      </c>
      <c r="U444">
        <f t="shared" si="94"/>
        <v>3971949.6478037243</v>
      </c>
      <c r="V444" s="48">
        <v>0.42399999999999999</v>
      </c>
      <c r="W444">
        <f t="shared" si="95"/>
        <v>3990574.112491969</v>
      </c>
      <c r="Y444">
        <f t="shared" si="96"/>
        <v>5883.2842805805085</v>
      </c>
      <c r="Z444" s="28">
        <v>0.42399999999999999</v>
      </c>
      <c r="AA444">
        <f t="shared" si="97"/>
        <v>1414.5927120163833</v>
      </c>
    </row>
    <row r="445" spans="1:27" x14ac:dyDescent="0.2">
      <c r="A445">
        <f t="shared" si="84"/>
        <v>22654798516.284512</v>
      </c>
      <c r="B445" s="28">
        <v>0.42499999999999999</v>
      </c>
      <c r="C445">
        <f t="shared" si="85"/>
        <v>22654904490.217125</v>
      </c>
      <c r="E445">
        <f t="shared" si="86"/>
        <v>9367.6267543206432</v>
      </c>
      <c r="F445" s="28">
        <v>0.42499999999999999</v>
      </c>
      <c r="G445">
        <f t="shared" si="87"/>
        <v>1411.7646179067244</v>
      </c>
      <c r="I445">
        <f t="shared" si="88"/>
        <v>32283127625.930157</v>
      </c>
      <c r="J445" s="28">
        <v>0.42499999999999999</v>
      </c>
      <c r="K445">
        <f t="shared" si="89"/>
        <v>32283238898.559402</v>
      </c>
      <c r="M445">
        <f t="shared" si="90"/>
        <v>9306.5963603216551</v>
      </c>
      <c r="N445" s="28">
        <v>0.42499999999999999</v>
      </c>
      <c r="O445">
        <f t="shared" si="91"/>
        <v>2011.7645805170825</v>
      </c>
      <c r="Q445">
        <f t="shared" si="92"/>
        <v>9628329109.645647</v>
      </c>
      <c r="R445" s="28">
        <v>0.42499999999999999</v>
      </c>
      <c r="S445">
        <f t="shared" si="93"/>
        <v>9628335008.3422775</v>
      </c>
      <c r="U445">
        <f t="shared" si="94"/>
        <v>4037888.9029703108</v>
      </c>
      <c r="V445" s="48">
        <v>0.42499999999999999</v>
      </c>
      <c r="W445">
        <f t="shared" si="95"/>
        <v>4056513.3676585555</v>
      </c>
      <c r="Y445">
        <f t="shared" si="96"/>
        <v>5886.6034440227104</v>
      </c>
      <c r="Z445" s="28">
        <v>0.42499999999999999</v>
      </c>
      <c r="AA445">
        <f t="shared" si="97"/>
        <v>1411.2735485741812</v>
      </c>
    </row>
    <row r="446" spans="1:27" x14ac:dyDescent="0.2">
      <c r="A446">
        <f t="shared" si="84"/>
        <v>23356692109.890236</v>
      </c>
      <c r="B446" s="28">
        <v>0.42599999999999999</v>
      </c>
      <c r="C446">
        <f t="shared" si="85"/>
        <v>23356798083.822849</v>
      </c>
      <c r="E446">
        <f t="shared" si="86"/>
        <v>9370.9407529337459</v>
      </c>
      <c r="F446" s="28">
        <v>0.42599999999999999</v>
      </c>
      <c r="G446">
        <f t="shared" si="87"/>
        <v>1408.4506192936224</v>
      </c>
      <c r="I446">
        <f t="shared" si="88"/>
        <v>33306682794.902134</v>
      </c>
      <c r="J446" s="28">
        <v>0.42599999999999999</v>
      </c>
      <c r="K446">
        <f t="shared" si="89"/>
        <v>33306794067.53138</v>
      </c>
      <c r="M446">
        <f t="shared" si="90"/>
        <v>9309.9103577260339</v>
      </c>
      <c r="N446" s="28">
        <v>0.42599999999999999</v>
      </c>
      <c r="O446">
        <f t="shared" si="91"/>
        <v>2008.4505831127051</v>
      </c>
      <c r="Q446">
        <f t="shared" si="92"/>
        <v>9949990685.0119038</v>
      </c>
      <c r="R446" s="28">
        <v>0.42599999999999999</v>
      </c>
      <c r="S446">
        <f t="shared" si="93"/>
        <v>9949996583.7085342</v>
      </c>
      <c r="U446">
        <f t="shared" si="94"/>
        <v>4104940.0473682461</v>
      </c>
      <c r="V446" s="48">
        <v>0.42599999999999999</v>
      </c>
      <c r="W446">
        <f t="shared" si="95"/>
        <v>4123564.5120564909</v>
      </c>
      <c r="Y446">
        <f t="shared" si="96"/>
        <v>5889.9071965869734</v>
      </c>
      <c r="Z446" s="28">
        <v>0.42599999999999999</v>
      </c>
      <c r="AA446">
        <f t="shared" si="97"/>
        <v>1407.9697960099186</v>
      </c>
    </row>
    <row r="447" spans="1:27" x14ac:dyDescent="0.2">
      <c r="A447">
        <f t="shared" si="84"/>
        <v>24079909710.492962</v>
      </c>
      <c r="B447" s="28">
        <v>0.42699999999999999</v>
      </c>
      <c r="C447">
        <f t="shared" si="85"/>
        <v>24080015684.425575</v>
      </c>
      <c r="E447">
        <f t="shared" si="86"/>
        <v>9374.2392293985013</v>
      </c>
      <c r="F447" s="28">
        <v>0.42699999999999999</v>
      </c>
      <c r="G447">
        <f t="shared" si="87"/>
        <v>1405.1521428288672</v>
      </c>
      <c r="I447">
        <f t="shared" si="88"/>
        <v>34362071109.046051</v>
      </c>
      <c r="J447" s="28">
        <v>0.42699999999999999</v>
      </c>
      <c r="K447">
        <f t="shared" si="89"/>
        <v>34362182381.675293</v>
      </c>
      <c r="M447">
        <f t="shared" si="90"/>
        <v>9313.2088330219449</v>
      </c>
      <c r="N447" s="28">
        <v>0.42699999999999999</v>
      </c>
      <c r="O447">
        <f t="shared" si="91"/>
        <v>2005.1521078167934</v>
      </c>
      <c r="Q447">
        <f t="shared" si="92"/>
        <v>10282161398.553089</v>
      </c>
      <c r="R447" s="28">
        <v>0.42699999999999999</v>
      </c>
      <c r="S447">
        <f t="shared" si="93"/>
        <v>10282167297.24972</v>
      </c>
      <c r="U447">
        <f t="shared" si="94"/>
        <v>4173122.0924380496</v>
      </c>
      <c r="V447" s="48">
        <v>0.42699999999999999</v>
      </c>
      <c r="W447">
        <f t="shared" si="95"/>
        <v>4191746.5571262944</v>
      </c>
      <c r="Y447">
        <f t="shared" si="96"/>
        <v>5893.1956433601099</v>
      </c>
      <c r="Z447" s="28">
        <v>0.42699999999999999</v>
      </c>
      <c r="AA447">
        <f t="shared" si="97"/>
        <v>1404.6813492367817</v>
      </c>
    </row>
    <row r="448" spans="1:27" x14ac:dyDescent="0.2">
      <c r="A448">
        <f t="shared" si="84"/>
        <v>24825086010.797363</v>
      </c>
      <c r="B448" s="28">
        <v>0.42799999999999999</v>
      </c>
      <c r="C448">
        <f t="shared" si="85"/>
        <v>24825191984.729977</v>
      </c>
      <c r="E448">
        <f t="shared" si="86"/>
        <v>9377.5222925118778</v>
      </c>
      <c r="F448" s="28">
        <v>0.42799999999999999</v>
      </c>
      <c r="G448">
        <f t="shared" si="87"/>
        <v>1401.8690797154904</v>
      </c>
      <c r="I448">
        <f t="shared" si="88"/>
        <v>35450262881.565163</v>
      </c>
      <c r="J448" s="28">
        <v>0.42799999999999999</v>
      </c>
      <c r="K448">
        <f t="shared" si="89"/>
        <v>35450374154.194405</v>
      </c>
      <c r="M448">
        <f t="shared" si="90"/>
        <v>9316.4918950050178</v>
      </c>
      <c r="N448" s="28">
        <v>0.42799999999999999</v>
      </c>
      <c r="O448">
        <f t="shared" si="91"/>
        <v>2001.8690458337203</v>
      </c>
      <c r="Q448">
        <f t="shared" si="92"/>
        <v>10625176870.767799</v>
      </c>
      <c r="R448" s="28">
        <v>0.42799999999999999</v>
      </c>
      <c r="S448">
        <f t="shared" si="93"/>
        <v>10625182769.46443</v>
      </c>
      <c r="U448">
        <f t="shared" si="94"/>
        <v>4242454.3781074462</v>
      </c>
      <c r="V448" s="48">
        <v>0.42799999999999999</v>
      </c>
      <c r="W448">
        <f t="shared" si="95"/>
        <v>4261078.8427956915</v>
      </c>
      <c r="Y448">
        <f t="shared" si="96"/>
        <v>5896.4688885058267</v>
      </c>
      <c r="Z448" s="28">
        <v>0.42799999999999999</v>
      </c>
      <c r="AA448">
        <f t="shared" si="97"/>
        <v>1401.4081040910653</v>
      </c>
    </row>
    <row r="449" spans="1:27" x14ac:dyDescent="0.2">
      <c r="A449">
        <f t="shared" si="84"/>
        <v>25592874195.765545</v>
      </c>
      <c r="B449" s="28">
        <v>0.42899999999999999</v>
      </c>
      <c r="C449">
        <f t="shared" si="85"/>
        <v>25592980169.698158</v>
      </c>
      <c r="E449">
        <f t="shared" si="86"/>
        <v>9380.7900500565283</v>
      </c>
      <c r="F449" s="28">
        <v>0.42899999999999999</v>
      </c>
      <c r="G449">
        <f t="shared" si="87"/>
        <v>1398.6013221708401</v>
      </c>
      <c r="I449">
        <f t="shared" si="88"/>
        <v>36572257389.869423</v>
      </c>
      <c r="J449" s="28">
        <v>0.42899999999999999</v>
      </c>
      <c r="K449">
        <f t="shared" si="89"/>
        <v>36572368662.498665</v>
      </c>
      <c r="M449">
        <f t="shared" si="90"/>
        <v>9319.7596514566085</v>
      </c>
      <c r="N449" s="28">
        <v>0.42899999999999999</v>
      </c>
      <c r="O449">
        <f t="shared" si="91"/>
        <v>1998.6012893821305</v>
      </c>
      <c r="Q449">
        <f t="shared" si="92"/>
        <v>10979383194.10388</v>
      </c>
      <c r="R449" s="28">
        <v>0.42899999999999999</v>
      </c>
      <c r="S449">
        <f t="shared" si="93"/>
        <v>10979389092.80051</v>
      </c>
      <c r="U449">
        <f t="shared" si="94"/>
        <v>4312956.5785144186</v>
      </c>
      <c r="V449" s="48">
        <v>0.42899999999999999</v>
      </c>
      <c r="W449">
        <f t="shared" si="95"/>
        <v>4331581.0432026638</v>
      </c>
      <c r="Y449">
        <f t="shared" si="96"/>
        <v>5899.7270352743853</v>
      </c>
      <c r="Z449" s="28">
        <v>0.42899999999999999</v>
      </c>
      <c r="AA449">
        <f t="shared" si="97"/>
        <v>1398.1499573225069</v>
      </c>
    </row>
    <row r="450" spans="1:27" x14ac:dyDescent="0.2">
      <c r="A450">
        <f t="shared" si="84"/>
        <v>26383946469.600471</v>
      </c>
      <c r="B450" s="28">
        <v>0.43</v>
      </c>
      <c r="C450">
        <f t="shared" si="85"/>
        <v>26384052443.533085</v>
      </c>
      <c r="E450">
        <f t="shared" si="86"/>
        <v>9384.0426088125787</v>
      </c>
      <c r="F450" s="28">
        <v>0.43</v>
      </c>
      <c r="G450">
        <f t="shared" si="87"/>
        <v>1395.3487634147903</v>
      </c>
      <c r="I450">
        <f t="shared" si="88"/>
        <v>37729083721.62307</v>
      </c>
      <c r="J450" s="28">
        <v>0.43</v>
      </c>
      <c r="K450">
        <f t="shared" si="89"/>
        <v>37729194994.252312</v>
      </c>
      <c r="M450">
        <f t="shared" si="90"/>
        <v>9323.0122091555877</v>
      </c>
      <c r="N450" s="28">
        <v>0.43</v>
      </c>
      <c r="O450">
        <f t="shared" si="91"/>
        <v>1995.3487316831502</v>
      </c>
      <c r="Q450">
        <f t="shared" si="92"/>
        <v>11345137252.022596</v>
      </c>
      <c r="R450" s="28">
        <v>0.43</v>
      </c>
      <c r="S450">
        <f t="shared" si="93"/>
        <v>11345143150.719227</v>
      </c>
      <c r="U450">
        <f t="shared" si="94"/>
        <v>4384648.707830538</v>
      </c>
      <c r="V450" s="48">
        <v>0.43</v>
      </c>
      <c r="W450">
        <f t="shared" si="95"/>
        <v>4403273.1725187832</v>
      </c>
      <c r="Y450">
        <f t="shared" si="96"/>
        <v>5902.970186012155</v>
      </c>
      <c r="Z450" s="28">
        <v>0.43</v>
      </c>
      <c r="AA450">
        <f t="shared" si="97"/>
        <v>1394.9068065847364</v>
      </c>
    </row>
    <row r="451" spans="1:27" x14ac:dyDescent="0.2">
      <c r="A451">
        <f t="shared" si="84"/>
        <v>27198994597.408195</v>
      </c>
      <c r="B451" s="28">
        <v>0.43099999999999999</v>
      </c>
      <c r="C451">
        <f t="shared" si="85"/>
        <v>27199100571.340809</v>
      </c>
      <c r="E451">
        <f t="shared" si="86"/>
        <v>9387.2800745692548</v>
      </c>
      <c r="F451" s="28">
        <v>0.43099999999999999</v>
      </c>
      <c r="G451">
        <f t="shared" si="87"/>
        <v>1392.1112976581139</v>
      </c>
      <c r="I451">
        <f t="shared" si="88"/>
        <v>38921801644.959457</v>
      </c>
      <c r="J451" s="28">
        <v>0.43099999999999999</v>
      </c>
      <c r="K451">
        <f t="shared" si="89"/>
        <v>38921912917.588699</v>
      </c>
      <c r="M451">
        <f t="shared" si="90"/>
        <v>9326.2496738899772</v>
      </c>
      <c r="N451" s="28">
        <v>0.43099999999999999</v>
      </c>
      <c r="O451">
        <f t="shared" si="91"/>
        <v>1992.1112669487611</v>
      </c>
      <c r="Q451">
        <f t="shared" si="92"/>
        <v>11722807047.551258</v>
      </c>
      <c r="R451" s="28">
        <v>0.43099999999999999</v>
      </c>
      <c r="S451">
        <f t="shared" si="93"/>
        <v>11722812946.247889</v>
      </c>
      <c r="U451">
        <f t="shared" si="94"/>
        <v>4457551.1261865813</v>
      </c>
      <c r="V451" s="48">
        <v>0.43099999999999999</v>
      </c>
      <c r="W451">
        <f t="shared" si="95"/>
        <v>4476175.5908748265</v>
      </c>
      <c r="Y451">
        <f t="shared" si="96"/>
        <v>5906.1984421710567</v>
      </c>
      <c r="Z451" s="28">
        <v>0.43099999999999999</v>
      </c>
      <c r="AA451">
        <f t="shared" si="97"/>
        <v>1391.6785504258355</v>
      </c>
    </row>
    <row r="452" spans="1:27" x14ac:dyDescent="0.2">
      <c r="A452">
        <f t="shared" si="84"/>
        <v>28038730461.934956</v>
      </c>
      <c r="B452" s="28">
        <v>0.432</v>
      </c>
      <c r="C452">
        <f t="shared" si="85"/>
        <v>28038836435.867569</v>
      </c>
      <c r="E452">
        <f t="shared" si="86"/>
        <v>9390.5025521363495</v>
      </c>
      <c r="F452" s="28">
        <v>0.432</v>
      </c>
      <c r="G452">
        <f t="shared" si="87"/>
        <v>1388.888820091018</v>
      </c>
      <c r="I452">
        <f t="shared" si="88"/>
        <v>40151502503.533119</v>
      </c>
      <c r="J452" s="28">
        <v>0.432</v>
      </c>
      <c r="K452">
        <f t="shared" si="89"/>
        <v>40151613776.162361</v>
      </c>
      <c r="M452">
        <f t="shared" si="90"/>
        <v>9329.4721504684003</v>
      </c>
      <c r="N452" s="28">
        <v>0.432</v>
      </c>
      <c r="O452">
        <f t="shared" si="91"/>
        <v>1988.8887903703376</v>
      </c>
      <c r="Q452">
        <f t="shared" si="92"/>
        <v>12112772041.59816</v>
      </c>
      <c r="R452" s="28">
        <v>0.432</v>
      </c>
      <c r="S452">
        <f t="shared" si="93"/>
        <v>12112777940.29479</v>
      </c>
      <c r="U452">
        <f t="shared" si="94"/>
        <v>4531684.5457019787</v>
      </c>
      <c r="V452" s="48">
        <v>0.432</v>
      </c>
      <c r="W452">
        <f t="shared" si="95"/>
        <v>4550309.0103902239</v>
      </c>
      <c r="Y452">
        <f t="shared" si="96"/>
        <v>5909.4119043178771</v>
      </c>
      <c r="Z452" s="28">
        <v>0.432</v>
      </c>
      <c r="AA452">
        <f t="shared" si="97"/>
        <v>1388.4650882790145</v>
      </c>
    </row>
    <row r="453" spans="1:27" x14ac:dyDescent="0.2">
      <c r="A453">
        <f t="shared" si="84"/>
        <v>28903886635.792019</v>
      </c>
      <c r="B453" s="28">
        <v>0.433</v>
      </c>
      <c r="C453">
        <f t="shared" si="85"/>
        <v>28903992609.724632</v>
      </c>
      <c r="E453">
        <f t="shared" si="86"/>
        <v>9393.7101453555315</v>
      </c>
      <c r="F453" s="28">
        <v>0.433</v>
      </c>
      <c r="G453">
        <f t="shared" si="87"/>
        <v>1385.6812268718372</v>
      </c>
      <c r="I453">
        <f t="shared" si="88"/>
        <v>41419310137.106155</v>
      </c>
      <c r="J453" s="28">
        <v>0.433</v>
      </c>
      <c r="K453">
        <f t="shared" si="89"/>
        <v>41419421409.735397</v>
      </c>
      <c r="M453">
        <f t="shared" si="90"/>
        <v>9332.6797427313959</v>
      </c>
      <c r="N453" s="28">
        <v>0.433</v>
      </c>
      <c r="O453">
        <f t="shared" si="91"/>
        <v>1985.6811981073429</v>
      </c>
      <c r="Q453">
        <f t="shared" si="92"/>
        <v>12515423501.314135</v>
      </c>
      <c r="R453" s="28">
        <v>0.433</v>
      </c>
      <c r="S453">
        <f t="shared" si="93"/>
        <v>12515429400.010765</v>
      </c>
      <c r="U453">
        <f t="shared" si="94"/>
        <v>4607070.0366201783</v>
      </c>
      <c r="V453" s="48">
        <v>0.433</v>
      </c>
      <c r="W453">
        <f t="shared" si="95"/>
        <v>4625694.5013084235</v>
      </c>
      <c r="Y453">
        <f t="shared" si="96"/>
        <v>5912.610672143499</v>
      </c>
      <c r="Z453" s="28">
        <v>0.433</v>
      </c>
      <c r="AA453">
        <f t="shared" si="97"/>
        <v>1385.2663204533926</v>
      </c>
    </row>
    <row r="454" spans="1:27" x14ac:dyDescent="0.2">
      <c r="A454">
        <f t="shared" si="84"/>
        <v>29795216969.585419</v>
      </c>
      <c r="B454" s="28">
        <v>0.434</v>
      </c>
      <c r="C454">
        <f t="shared" si="85"/>
        <v>29795322943.518032</v>
      </c>
      <c r="E454">
        <f t="shared" si="86"/>
        <v>9396.9029571114843</v>
      </c>
      <c r="F454" s="28">
        <v>0.434</v>
      </c>
      <c r="G454">
        <f t="shared" si="87"/>
        <v>1382.4884151158835</v>
      </c>
      <c r="I454">
        <f t="shared" si="88"/>
        <v>42726381828.37561</v>
      </c>
      <c r="J454" s="28">
        <v>0.434</v>
      </c>
      <c r="K454">
        <f t="shared" si="89"/>
        <v>42726493101.004852</v>
      </c>
      <c r="M454">
        <f t="shared" si="90"/>
        <v>9335.8725535625617</v>
      </c>
      <c r="N454" s="28">
        <v>0.434</v>
      </c>
      <c r="O454">
        <f t="shared" si="91"/>
        <v>1982.4883872761766</v>
      </c>
      <c r="Q454">
        <f t="shared" si="92"/>
        <v>12931164858.790195</v>
      </c>
      <c r="R454" s="28">
        <v>0.434</v>
      </c>
      <c r="S454">
        <f t="shared" si="93"/>
        <v>12931170757.486826</v>
      </c>
      <c r="U454">
        <f t="shared" si="94"/>
        <v>4683729.0335515523</v>
      </c>
      <c r="V454" s="48">
        <v>0.434</v>
      </c>
      <c r="W454">
        <f t="shared" si="95"/>
        <v>4702353.4982397975</v>
      </c>
      <c r="Y454">
        <f t="shared" si="96"/>
        <v>5915.7948444719977</v>
      </c>
      <c r="Z454" s="28">
        <v>0.434</v>
      </c>
      <c r="AA454">
        <f t="shared" si="97"/>
        <v>1382.082148124894</v>
      </c>
    </row>
    <row r="455" spans="1:27" x14ac:dyDescent="0.2">
      <c r="A455">
        <f t="shared" si="84"/>
        <v>30713497196.387257</v>
      </c>
      <c r="B455" s="28">
        <v>0.435</v>
      </c>
      <c r="C455">
        <f t="shared" si="85"/>
        <v>30713603170.31987</v>
      </c>
      <c r="E455">
        <f t="shared" si="86"/>
        <v>9400.0810893429189</v>
      </c>
      <c r="F455" s="28">
        <v>0.435</v>
      </c>
      <c r="G455">
        <f t="shared" si="87"/>
        <v>1379.3102828844487</v>
      </c>
      <c r="I455">
        <f t="shared" si="88"/>
        <v>44073909276.779778</v>
      </c>
      <c r="J455" s="28">
        <v>0.435</v>
      </c>
      <c r="K455">
        <f t="shared" si="89"/>
        <v>44074020549.409019</v>
      </c>
      <c r="M455">
        <f t="shared" si="90"/>
        <v>9339.0506848995537</v>
      </c>
      <c r="N455" s="28">
        <v>0.435</v>
      </c>
      <c r="O455">
        <f t="shared" si="91"/>
        <v>1979.3102559391841</v>
      </c>
      <c r="Q455">
        <f t="shared" si="92"/>
        <v>13360412080.392513</v>
      </c>
      <c r="R455" s="28">
        <v>0.435</v>
      </c>
      <c r="S455">
        <f t="shared" si="93"/>
        <v>13360417979.089144</v>
      </c>
      <c r="U455">
        <f t="shared" si="94"/>
        <v>4761683.3418259826</v>
      </c>
      <c r="V455" s="48">
        <v>0.435</v>
      </c>
      <c r="W455">
        <f t="shared" si="95"/>
        <v>4780307.8065142278</v>
      </c>
      <c r="Y455">
        <f t="shared" si="96"/>
        <v>5918.9645192696471</v>
      </c>
      <c r="Z455" s="28">
        <v>0.435</v>
      </c>
      <c r="AA455">
        <f t="shared" si="97"/>
        <v>1378.9124733272447</v>
      </c>
    </row>
    <row r="456" spans="1:27" x14ac:dyDescent="0.2">
      <c r="A456">
        <f t="shared" si="84"/>
        <v>31659525552.98502</v>
      </c>
      <c r="B456" s="28">
        <v>0.436</v>
      </c>
      <c r="C456">
        <f t="shared" si="85"/>
        <v>31659631526.917633</v>
      </c>
      <c r="E456">
        <f t="shared" si="86"/>
        <v>9403.2446430534073</v>
      </c>
      <c r="F456" s="28">
        <v>0.436</v>
      </c>
      <c r="G456">
        <f t="shared" si="87"/>
        <v>1376.1467291739609</v>
      </c>
      <c r="I456">
        <f t="shared" si="88"/>
        <v>45463119600.024475</v>
      </c>
      <c r="J456" s="28">
        <v>0.436</v>
      </c>
      <c r="K456">
        <f t="shared" si="89"/>
        <v>45463230872.653717</v>
      </c>
      <c r="M456">
        <f t="shared" si="90"/>
        <v>9342.2142377449309</v>
      </c>
      <c r="N456" s="28">
        <v>0.436</v>
      </c>
      <c r="O456">
        <f t="shared" si="91"/>
        <v>1976.1467030938074</v>
      </c>
      <c r="Q456">
        <f t="shared" si="92"/>
        <v>13803594047.039457</v>
      </c>
      <c r="R456" s="28">
        <v>0.436</v>
      </c>
      <c r="S456">
        <f t="shared" si="93"/>
        <v>13803599945.736088</v>
      </c>
      <c r="U456">
        <f t="shared" si="94"/>
        <v>4840955.143956814</v>
      </c>
      <c r="V456" s="48">
        <v>0.436</v>
      </c>
      <c r="W456">
        <f t="shared" si="95"/>
        <v>4859579.6086450592</v>
      </c>
      <c r="Y456">
        <f t="shared" si="96"/>
        <v>5922.1197936538119</v>
      </c>
      <c r="Z456" s="28">
        <v>0.436</v>
      </c>
      <c r="AA456">
        <f t="shared" si="97"/>
        <v>1375.7571989430801</v>
      </c>
    </row>
    <row r="457" spans="1:27" x14ac:dyDescent="0.2">
      <c r="A457">
        <f t="shared" si="84"/>
        <v>32634123418.372646</v>
      </c>
      <c r="B457" s="28">
        <v>0.437</v>
      </c>
      <c r="C457">
        <f t="shared" si="85"/>
        <v>32634229392.30526</v>
      </c>
      <c r="E457">
        <f t="shared" si="86"/>
        <v>9406.3937183220842</v>
      </c>
      <c r="F457" s="28">
        <v>0.437</v>
      </c>
      <c r="G457">
        <f t="shared" si="87"/>
        <v>1372.997653905285</v>
      </c>
      <c r="I457">
        <f t="shared" si="88"/>
        <v>46895276364.113426</v>
      </c>
      <c r="J457" s="28">
        <v>0.437</v>
      </c>
      <c r="K457">
        <f t="shared" si="89"/>
        <v>46895387636.742668</v>
      </c>
      <c r="M457">
        <f t="shared" si="90"/>
        <v>9345.3633121768435</v>
      </c>
      <c r="N457" s="28">
        <v>0.437</v>
      </c>
      <c r="O457">
        <f t="shared" si="91"/>
        <v>1972.9976286618949</v>
      </c>
      <c r="Q457">
        <f t="shared" si="92"/>
        <v>14261152945.740768</v>
      </c>
      <c r="R457" s="28">
        <v>0.437</v>
      </c>
      <c r="S457">
        <f t="shared" si="93"/>
        <v>14261158844.437399</v>
      </c>
      <c r="U457">
        <f t="shared" si="94"/>
        <v>4921567.0062184082</v>
      </c>
      <c r="V457" s="48">
        <v>0.437</v>
      </c>
      <c r="W457">
        <f t="shared" si="95"/>
        <v>4940191.4709066534</v>
      </c>
      <c r="Y457">
        <f t="shared" si="96"/>
        <v>5925.2607639017369</v>
      </c>
      <c r="Z457" s="28">
        <v>0.437</v>
      </c>
      <c r="AA457">
        <f t="shared" si="97"/>
        <v>1372.6162286951546</v>
      </c>
    </row>
    <row r="458" spans="1:27" x14ac:dyDescent="0.2">
      <c r="A458">
        <f t="shared" si="84"/>
        <v>33638135969.940235</v>
      </c>
      <c r="B458" s="28">
        <v>0.438</v>
      </c>
      <c r="C458">
        <f t="shared" si="85"/>
        <v>33638241943.872849</v>
      </c>
      <c r="E458">
        <f t="shared" si="86"/>
        <v>9409.5284143141926</v>
      </c>
      <c r="F458" s="28">
        <v>0.438</v>
      </c>
      <c r="G458">
        <f t="shared" si="87"/>
        <v>1369.8629579131762</v>
      </c>
      <c r="I458">
        <f t="shared" si="88"/>
        <v>48371680642.659912</v>
      </c>
      <c r="J458" s="28">
        <v>0.438</v>
      </c>
      <c r="K458">
        <f t="shared" si="89"/>
        <v>48371791915.289154</v>
      </c>
      <c r="M458">
        <f t="shared" si="90"/>
        <v>9348.4980073595907</v>
      </c>
      <c r="N458" s="28">
        <v>0.438</v>
      </c>
      <c r="O458">
        <f t="shared" si="91"/>
        <v>1969.8629334791472</v>
      </c>
      <c r="Q458">
        <f t="shared" si="92"/>
        <v>14733544672.719677</v>
      </c>
      <c r="R458" s="28">
        <v>0.438</v>
      </c>
      <c r="S458">
        <f t="shared" si="93"/>
        <v>14733550571.416307</v>
      </c>
      <c r="U458">
        <f t="shared" si="94"/>
        <v>5003541.8853390096</v>
      </c>
      <c r="V458" s="48">
        <v>0.438</v>
      </c>
      <c r="W458">
        <f t="shared" si="95"/>
        <v>5022166.3500272548</v>
      </c>
      <c r="Y458">
        <f t="shared" si="96"/>
        <v>5928.3875254592331</v>
      </c>
      <c r="Z458" s="28">
        <v>0.438</v>
      </c>
      <c r="AA458">
        <f t="shared" si="97"/>
        <v>1369.4894671376583</v>
      </c>
    </row>
    <row r="459" spans="1:27" x14ac:dyDescent="0.2">
      <c r="A459">
        <f t="shared" si="84"/>
        <v>34672432857.85218</v>
      </c>
      <c r="B459" s="28">
        <v>0.439</v>
      </c>
      <c r="C459">
        <f t="shared" si="85"/>
        <v>34672538831.78479</v>
      </c>
      <c r="E459">
        <f t="shared" si="86"/>
        <v>9412.6488292914983</v>
      </c>
      <c r="F459" s="28">
        <v>0.439</v>
      </c>
      <c r="G459">
        <f t="shared" si="87"/>
        <v>1366.7425429358698</v>
      </c>
      <c r="I459">
        <f t="shared" si="88"/>
        <v>49893672106.309074</v>
      </c>
      <c r="J459" s="28">
        <v>0.439</v>
      </c>
      <c r="K459">
        <f t="shared" si="89"/>
        <v>49893783378.938316</v>
      </c>
      <c r="M459">
        <f t="shared" si="90"/>
        <v>9351.6184215540216</v>
      </c>
      <c r="N459" s="28">
        <v>0.439</v>
      </c>
      <c r="O459">
        <f t="shared" si="91"/>
        <v>1966.7425192847168</v>
      </c>
      <c r="Q459">
        <f t="shared" si="92"/>
        <v>15221239248.456892</v>
      </c>
      <c r="R459" s="28">
        <v>0.439</v>
      </c>
      <c r="S459">
        <f t="shared" si="93"/>
        <v>15221245147.153522</v>
      </c>
      <c r="U459">
        <f t="shared" si="94"/>
        <v>5086903.1353112767</v>
      </c>
      <c r="V459" s="48">
        <v>0.439</v>
      </c>
      <c r="W459">
        <f t="shared" si="95"/>
        <v>5105527.5999995219</v>
      </c>
      <c r="Y459">
        <f t="shared" si="96"/>
        <v>5931.5001729492633</v>
      </c>
      <c r="Z459" s="28">
        <v>0.439</v>
      </c>
      <c r="AA459">
        <f t="shared" si="97"/>
        <v>1366.3768196476281</v>
      </c>
    </row>
    <row r="460" spans="1:27" x14ac:dyDescent="0.2">
      <c r="A460">
        <f t="shared" si="84"/>
        <v>35737908898.095802</v>
      </c>
      <c r="B460" s="28">
        <v>0.44</v>
      </c>
      <c r="C460">
        <f t="shared" si="85"/>
        <v>35738014872.028412</v>
      </c>
      <c r="E460">
        <f t="shared" si="86"/>
        <v>9415.7550606225486</v>
      </c>
      <c r="F460" s="28">
        <v>0.44</v>
      </c>
      <c r="G460">
        <f t="shared" si="87"/>
        <v>1363.6363116048203</v>
      </c>
      <c r="I460">
        <f t="shared" si="88"/>
        <v>51462630143.091675</v>
      </c>
      <c r="J460" s="28">
        <v>0.44</v>
      </c>
      <c r="K460">
        <f t="shared" si="89"/>
        <v>51462741415.720917</v>
      </c>
      <c r="M460">
        <f t="shared" si="90"/>
        <v>9354.7246521277975</v>
      </c>
      <c r="N460" s="28">
        <v>0.44</v>
      </c>
      <c r="O460">
        <f t="shared" si="91"/>
        <v>1963.6362887109412</v>
      </c>
      <c r="Q460">
        <f t="shared" si="92"/>
        <v>15724721244.995871</v>
      </c>
      <c r="R460" s="28">
        <v>0.44</v>
      </c>
      <c r="S460">
        <f t="shared" si="93"/>
        <v>15724727143.692501</v>
      </c>
      <c r="U460">
        <f t="shared" si="94"/>
        <v>5171674.5143222213</v>
      </c>
      <c r="V460" s="48">
        <v>0.44</v>
      </c>
      <c r="W460">
        <f t="shared" si="95"/>
        <v>5190298.9790104665</v>
      </c>
      <c r="Y460">
        <f t="shared" si="96"/>
        <v>5934.5988001804235</v>
      </c>
      <c r="Z460" s="28">
        <v>0.44</v>
      </c>
      <c r="AA460">
        <f t="shared" si="97"/>
        <v>1363.2781924164685</v>
      </c>
    </row>
    <row r="461" spans="1:27" x14ac:dyDescent="0.2">
      <c r="A461">
        <f t="shared" si="84"/>
        <v>36835484784.71508</v>
      </c>
      <c r="B461" s="28">
        <v>0.441</v>
      </c>
      <c r="C461">
        <f t="shared" si="85"/>
        <v>36835590758.64769</v>
      </c>
      <c r="E461">
        <f t="shared" si="86"/>
        <v>9418.8472047927935</v>
      </c>
      <c r="F461" s="28">
        <v>0.441</v>
      </c>
      <c r="G461">
        <f t="shared" si="87"/>
        <v>1360.5441674345752</v>
      </c>
      <c r="I461">
        <f t="shared" si="88"/>
        <v>53079975010.582085</v>
      </c>
      <c r="J461" s="28">
        <v>0.441</v>
      </c>
      <c r="K461">
        <f t="shared" si="89"/>
        <v>53080086283.211327</v>
      </c>
      <c r="M461">
        <f t="shared" si="90"/>
        <v>9357.8167955655153</v>
      </c>
      <c r="N461" s="28">
        <v>0.441</v>
      </c>
      <c r="O461">
        <f t="shared" si="91"/>
        <v>1960.5441452732232</v>
      </c>
      <c r="Q461">
        <f t="shared" si="92"/>
        <v>16244490225.867002</v>
      </c>
      <c r="R461" s="28">
        <v>0.441</v>
      </c>
      <c r="S461">
        <f t="shared" si="93"/>
        <v>16244496124.563633</v>
      </c>
      <c r="U461">
        <f t="shared" si="94"/>
        <v>5257880.1918050069</v>
      </c>
      <c r="V461" s="48">
        <v>0.441</v>
      </c>
      <c r="W461">
        <f t="shared" si="95"/>
        <v>5276504.6564932521</v>
      </c>
      <c r="Y461">
        <f t="shared" si="96"/>
        <v>5937.6835001553263</v>
      </c>
      <c r="Z461" s="28">
        <v>0.441</v>
      </c>
      <c r="AA461">
        <f t="shared" si="97"/>
        <v>1360.1934924415659</v>
      </c>
    </row>
    <row r="462" spans="1:27" x14ac:dyDescent="0.2">
      <c r="A462">
        <f t="shared" si="84"/>
        <v>37966107821.738159</v>
      </c>
      <c r="B462" s="28">
        <v>0.442</v>
      </c>
      <c r="C462">
        <f t="shared" si="85"/>
        <v>37966213795.670769</v>
      </c>
      <c r="E462">
        <f t="shared" si="86"/>
        <v>9421.9253574145805</v>
      </c>
      <c r="F462" s="28">
        <v>0.442</v>
      </c>
      <c r="G462">
        <f t="shared" si="87"/>
        <v>1357.466014812788</v>
      </c>
      <c r="I462">
        <f t="shared" si="88"/>
        <v>54747169020.728004</v>
      </c>
      <c r="J462" s="28">
        <v>0.442</v>
      </c>
      <c r="K462">
        <f t="shared" si="89"/>
        <v>54747280293.357246</v>
      </c>
      <c r="M462">
        <f t="shared" si="90"/>
        <v>9360.8949474786987</v>
      </c>
      <c r="N462" s="28">
        <v>0.442</v>
      </c>
      <c r="O462">
        <f t="shared" si="91"/>
        <v>1957.4659933600399</v>
      </c>
      <c r="Q462">
        <f t="shared" si="92"/>
        <v>16781061198.989849</v>
      </c>
      <c r="R462" s="28">
        <v>0.442</v>
      </c>
      <c r="S462">
        <f t="shared" si="93"/>
        <v>16781067097.68648</v>
      </c>
      <c r="U462">
        <f t="shared" si="94"/>
        <v>5345544.7556144129</v>
      </c>
      <c r="V462" s="48">
        <v>0.442</v>
      </c>
      <c r="W462">
        <f t="shared" si="95"/>
        <v>5364169.2203026582</v>
      </c>
      <c r="Y462">
        <f t="shared" si="96"/>
        <v>5940.7543650788903</v>
      </c>
      <c r="Z462" s="28">
        <v>0.442</v>
      </c>
      <c r="AA462">
        <f t="shared" si="97"/>
        <v>1357.122627518002</v>
      </c>
    </row>
    <row r="463" spans="1:27" x14ac:dyDescent="0.2">
      <c r="A463">
        <f t="shared" si="84"/>
        <v>39130752675.34137</v>
      </c>
      <c r="B463" s="28">
        <v>0.443</v>
      </c>
      <c r="C463">
        <f t="shared" si="85"/>
        <v>39130858649.273979</v>
      </c>
      <c r="E463">
        <f t="shared" si="86"/>
        <v>9424.989613237005</v>
      </c>
      <c r="F463" s="28">
        <v>0.443</v>
      </c>
      <c r="G463">
        <f t="shared" si="87"/>
        <v>1354.401758990364</v>
      </c>
      <c r="I463">
        <f t="shared" si="88"/>
        <v>56465717758.273117</v>
      </c>
      <c r="J463" s="28">
        <v>0.443</v>
      </c>
      <c r="K463">
        <f t="shared" si="89"/>
        <v>56465829030.902359</v>
      </c>
      <c r="M463">
        <f t="shared" si="90"/>
        <v>9363.9592026156424</v>
      </c>
      <c r="N463" s="28">
        <v>0.443</v>
      </c>
      <c r="O463">
        <f t="shared" si="91"/>
        <v>1954.4017382230954</v>
      </c>
      <c r="Q463">
        <f t="shared" si="92"/>
        <v>17334965082.93174</v>
      </c>
      <c r="R463" s="28">
        <v>0.443</v>
      </c>
      <c r="S463">
        <f t="shared" si="93"/>
        <v>17334970981.628372</v>
      </c>
      <c r="U463">
        <f t="shared" si="94"/>
        <v>5434693.2193284938</v>
      </c>
      <c r="V463" s="48">
        <v>0.443</v>
      </c>
      <c r="W463">
        <f t="shared" si="95"/>
        <v>5453317.684016739</v>
      </c>
      <c r="Y463">
        <f t="shared" si="96"/>
        <v>5943.8114863665269</v>
      </c>
      <c r="Z463" s="28">
        <v>0.443</v>
      </c>
      <c r="AA463">
        <f t="shared" si="97"/>
        <v>1354.0655062303649</v>
      </c>
    </row>
    <row r="464" spans="1:27" x14ac:dyDescent="0.2">
      <c r="A464">
        <f t="shared" si="84"/>
        <v>40330422146.782669</v>
      </c>
      <c r="B464" s="28">
        <v>0.44400000000000001</v>
      </c>
      <c r="C464">
        <f t="shared" si="85"/>
        <v>40330528120.715279</v>
      </c>
      <c r="E464">
        <f t="shared" si="86"/>
        <v>9428.0400661556232</v>
      </c>
      <c r="F464" s="28">
        <v>0.44400000000000001</v>
      </c>
      <c r="G464">
        <f t="shared" si="87"/>
        <v>1351.3513060717455</v>
      </c>
      <c r="I464">
        <f t="shared" si="88"/>
        <v>58237171333.683624</v>
      </c>
      <c r="J464" s="28">
        <v>0.44400000000000001</v>
      </c>
      <c r="K464">
        <f t="shared" si="89"/>
        <v>58237282606.312866</v>
      </c>
      <c r="M464">
        <f t="shared" si="90"/>
        <v>9367.0096548711372</v>
      </c>
      <c r="N464" s="28">
        <v>0.44400000000000001</v>
      </c>
      <c r="O464">
        <f t="shared" si="91"/>
        <v>1951.3512859676005</v>
      </c>
      <c r="Q464">
        <f t="shared" si="92"/>
        <v>17906749186.900951</v>
      </c>
      <c r="R464" s="28">
        <v>0.44400000000000001</v>
      </c>
      <c r="S464">
        <f t="shared" si="93"/>
        <v>17906755085.597584</v>
      </c>
      <c r="U464">
        <f t="shared" si="94"/>
        <v>5525351.0296783252</v>
      </c>
      <c r="V464" s="48">
        <v>0.44400000000000001</v>
      </c>
      <c r="W464">
        <f t="shared" si="95"/>
        <v>5543975.4943665704</v>
      </c>
      <c r="Y464">
        <f t="shared" si="96"/>
        <v>5946.8549546522354</v>
      </c>
      <c r="Z464" s="28">
        <v>0.44400000000000001</v>
      </c>
      <c r="AA464">
        <f t="shared" si="97"/>
        <v>1351.0220379446566</v>
      </c>
    </row>
    <row r="465" spans="1:27" x14ac:dyDescent="0.2">
      <c r="A465">
        <f t="shared" si="84"/>
        <v>41566147966.680595</v>
      </c>
      <c r="B465" s="28">
        <v>0.44500000000000001</v>
      </c>
      <c r="C465">
        <f t="shared" si="85"/>
        <v>41566253940.613205</v>
      </c>
      <c r="E465">
        <f t="shared" si="86"/>
        <v>9431.0768092220496</v>
      </c>
      <c r="F465" s="28">
        <v>0.44500000000000001</v>
      </c>
      <c r="G465">
        <f t="shared" si="87"/>
        <v>1348.3145630053193</v>
      </c>
      <c r="I465">
        <f t="shared" si="88"/>
        <v>60063125671.556831</v>
      </c>
      <c r="J465" s="28">
        <v>0.44500000000000001</v>
      </c>
      <c r="K465">
        <f t="shared" si="89"/>
        <v>60063236944.186073</v>
      </c>
      <c r="M465">
        <f t="shared" si="90"/>
        <v>9370.0463972960515</v>
      </c>
      <c r="N465" s="28">
        <v>0.44500000000000001</v>
      </c>
      <c r="O465">
        <f t="shared" si="91"/>
        <v>1948.3145435426866</v>
      </c>
      <c r="Q465">
        <f t="shared" si="92"/>
        <v>18496977704.876244</v>
      </c>
      <c r="R465" s="28">
        <v>0.44500000000000001</v>
      </c>
      <c r="S465">
        <f t="shared" si="93"/>
        <v>18496983603.572876</v>
      </c>
      <c r="U465">
        <f t="shared" si="94"/>
        <v>5617544.0741083715</v>
      </c>
      <c r="V465" s="48">
        <v>0.44500000000000001</v>
      </c>
      <c r="W465">
        <f t="shared" si="95"/>
        <v>5636168.5387966167</v>
      </c>
      <c r="Y465">
        <f t="shared" si="96"/>
        <v>5949.8848597965989</v>
      </c>
      <c r="Z465" s="28">
        <v>0.44500000000000001</v>
      </c>
      <c r="AA465">
        <f t="shared" si="97"/>
        <v>1347.9921328002924</v>
      </c>
    </row>
    <row r="466" spans="1:27" x14ac:dyDescent="0.2">
      <c r="A466">
        <f t="shared" si="84"/>
        <v>42838991611.197845</v>
      </c>
      <c r="B466" s="28">
        <v>0.44600000000000001</v>
      </c>
      <c r="C466">
        <f t="shared" si="85"/>
        <v>42839097585.130455</v>
      </c>
      <c r="E466">
        <f t="shared" si="86"/>
        <v>9434.0999346534081</v>
      </c>
      <c r="F466" s="28">
        <v>0.44600000000000001</v>
      </c>
      <c r="G466">
        <f t="shared" si="87"/>
        <v>1345.2914375739604</v>
      </c>
      <c r="I466">
        <f t="shared" si="88"/>
        <v>61945223835.469398</v>
      </c>
      <c r="J466" s="28">
        <v>0.44600000000000001</v>
      </c>
      <c r="K466">
        <f t="shared" si="89"/>
        <v>61945335108.09864</v>
      </c>
      <c r="M466">
        <f t="shared" si="90"/>
        <v>9373.0695221067908</v>
      </c>
      <c r="N466" s="28">
        <v>0.44600000000000001</v>
      </c>
      <c r="O466">
        <f t="shared" si="91"/>
        <v>1945.2914187319466</v>
      </c>
      <c r="Q466">
        <f t="shared" si="92"/>
        <v>19106232224.271549</v>
      </c>
      <c r="R466" s="28">
        <v>0.44600000000000001</v>
      </c>
      <c r="S466">
        <f t="shared" si="93"/>
        <v>19106238122.968182</v>
      </c>
      <c r="U466">
        <f t="shared" si="94"/>
        <v>5711298.6884696782</v>
      </c>
      <c r="V466" s="48">
        <v>0.44600000000000001</v>
      </c>
      <c r="W466">
        <f t="shared" si="95"/>
        <v>5729923.1531579234</v>
      </c>
      <c r="Y466">
        <f t="shared" si="96"/>
        <v>5952.9012908946961</v>
      </c>
      <c r="Z466" s="28">
        <v>0.44600000000000001</v>
      </c>
      <c r="AA466">
        <f t="shared" si="97"/>
        <v>1344.9757017021955</v>
      </c>
    </row>
    <row r="467" spans="1:27" x14ac:dyDescent="0.2">
      <c r="A467">
        <f t="shared" si="84"/>
        <v>44150045140.733109</v>
      </c>
      <c r="B467" s="28">
        <v>0.44700000000000001</v>
      </c>
      <c r="C467">
        <f t="shared" si="85"/>
        <v>44150151114.665718</v>
      </c>
      <c r="E467">
        <f t="shared" si="86"/>
        <v>9437.1095338416708</v>
      </c>
      <c r="F467" s="28">
        <v>0.44700000000000001</v>
      </c>
      <c r="G467">
        <f t="shared" si="87"/>
        <v>1342.281838385697</v>
      </c>
      <c r="I467">
        <f t="shared" si="88"/>
        <v>63885157390.292053</v>
      </c>
      <c r="J467" s="28">
        <v>0.44700000000000001</v>
      </c>
      <c r="K467">
        <f t="shared" si="89"/>
        <v>63885268662.921295</v>
      </c>
      <c r="M467">
        <f t="shared" si="90"/>
        <v>9376.0791206946342</v>
      </c>
      <c r="N467" s="28">
        <v>0.44700000000000001</v>
      </c>
      <c r="O467">
        <f t="shared" si="91"/>
        <v>1942.2818201441039</v>
      </c>
      <c r="Q467">
        <f t="shared" si="92"/>
        <v>19735112249.558945</v>
      </c>
      <c r="R467" s="28">
        <v>0.44700000000000001</v>
      </c>
      <c r="S467">
        <f t="shared" si="93"/>
        <v>19735118148.255577</v>
      </c>
      <c r="U467">
        <f t="shared" si="94"/>
        <v>5806641.6648481078</v>
      </c>
      <c r="V467" s="48">
        <v>0.44700000000000001</v>
      </c>
      <c r="W467">
        <f t="shared" si="95"/>
        <v>5825266.1295363531</v>
      </c>
      <c r="Y467">
        <f t="shared" si="96"/>
        <v>5955.9043362839093</v>
      </c>
      <c r="Z467" s="28">
        <v>0.44700000000000001</v>
      </c>
      <c r="AA467">
        <f t="shared" si="97"/>
        <v>1341.9726563129827</v>
      </c>
    </row>
    <row r="468" spans="1:27" x14ac:dyDescent="0.2">
      <c r="A468">
        <f t="shared" si="84"/>
        <v>45500432061.717903</v>
      </c>
      <c r="B468" s="28">
        <v>0.44800000000000001</v>
      </c>
      <c r="C468">
        <f t="shared" si="85"/>
        <v>45500538035.650513</v>
      </c>
      <c r="E468">
        <f t="shared" si="86"/>
        <v>9440.105697362862</v>
      </c>
      <c r="F468" s="28">
        <v>0.44800000000000001</v>
      </c>
      <c r="G468">
        <f t="shared" si="87"/>
        <v>1339.2856748645065</v>
      </c>
      <c r="I468">
        <f t="shared" si="88"/>
        <v>65884667802.992699</v>
      </c>
      <c r="J468" s="28">
        <v>0.44800000000000001</v>
      </c>
      <c r="K468">
        <f t="shared" si="89"/>
        <v>65884779075.621941</v>
      </c>
      <c r="M468">
        <f t="shared" si="90"/>
        <v>9379.0752836349329</v>
      </c>
      <c r="N468" s="28">
        <v>0.44800000000000001</v>
      </c>
      <c r="O468">
        <f t="shared" si="91"/>
        <v>1939.2856572038049</v>
      </c>
      <c r="Q468">
        <f t="shared" si="92"/>
        <v>20384235741.274799</v>
      </c>
      <c r="R468" s="28">
        <v>0.44800000000000001</v>
      </c>
      <c r="S468">
        <f t="shared" si="93"/>
        <v>20384241639.971432</v>
      </c>
      <c r="U468">
        <f t="shared" si="94"/>
        <v>5903600.2595303124</v>
      </c>
      <c r="V468" s="48">
        <v>0.44800000000000001</v>
      </c>
      <c r="W468">
        <f t="shared" si="95"/>
        <v>5922224.7242185576</v>
      </c>
      <c r="Y468">
        <f t="shared" si="96"/>
        <v>5958.8940835516514</v>
      </c>
      <c r="Z468" s="28">
        <v>0.44800000000000001</v>
      </c>
      <c r="AA468">
        <f t="shared" si="97"/>
        <v>1338.9829090452406</v>
      </c>
    </row>
    <row r="469" spans="1:27" x14ac:dyDescent="0.2">
      <c r="A469">
        <f t="shared" si="84"/>
        <v>46891308212.145935</v>
      </c>
      <c r="B469" s="28">
        <v>0.44900000000000001</v>
      </c>
      <c r="C469">
        <f t="shared" si="85"/>
        <v>46891414186.078545</v>
      </c>
      <c r="E469">
        <f t="shared" si="86"/>
        <v>9443.0885149861424</v>
      </c>
      <c r="F469" s="28">
        <v>0.44900000000000001</v>
      </c>
      <c r="G469">
        <f t="shared" si="87"/>
        <v>1336.3028572412268</v>
      </c>
      <c r="I469">
        <f t="shared" si="88"/>
        <v>67945547882.998581</v>
      </c>
      <c r="J469" s="28">
        <v>0.44900000000000001</v>
      </c>
      <c r="K469">
        <f t="shared" si="89"/>
        <v>67945659155.627823</v>
      </c>
      <c r="M469">
        <f t="shared" si="90"/>
        <v>9382.0581006962002</v>
      </c>
      <c r="N469" s="28">
        <v>0.44900000000000001</v>
      </c>
      <c r="O469">
        <f t="shared" si="91"/>
        <v>1936.3028401425379</v>
      </c>
      <c r="Q469">
        <f t="shared" si="92"/>
        <v>21054239670.852634</v>
      </c>
      <c r="R469" s="28">
        <v>0.44900000000000001</v>
      </c>
      <c r="S469">
        <f t="shared" si="93"/>
        <v>21054245569.549267</v>
      </c>
      <c r="U469">
        <f t="shared" si="94"/>
        <v>6002202.2011094941</v>
      </c>
      <c r="V469" s="48">
        <v>0.44900000000000001</v>
      </c>
      <c r="W469">
        <f t="shared" si="95"/>
        <v>6020826.6657977393</v>
      </c>
      <c r="Y469">
        <f t="shared" si="96"/>
        <v>5961.8706195429986</v>
      </c>
      <c r="Z469" s="28">
        <v>0.44900000000000001</v>
      </c>
      <c r="AA469">
        <f t="shared" si="97"/>
        <v>1336.0063730538927</v>
      </c>
    </row>
    <row r="470" spans="1:27" x14ac:dyDescent="0.2">
      <c r="A470">
        <f t="shared" ref="A470:A533" si="98">ABS($D$11-C470)</f>
        <v>48323862671.468155</v>
      </c>
      <c r="B470" s="28">
        <v>0.45</v>
      </c>
      <c r="C470">
        <f t="shared" ref="C470:C533" si="99">($B$4)*(((1+B470)^($B$6*$B$5))-1)/B470</f>
        <v>48323968645.400764</v>
      </c>
      <c r="E470">
        <f t="shared" ref="E470:E533" si="100">ABS($E$12-G470)</f>
        <v>9446.0580756827712</v>
      </c>
      <c r="F470" s="28">
        <v>0.45</v>
      </c>
      <c r="G470">
        <f t="shared" ref="G470:G533" si="101">$B$4*(((1-(1+F470)^(-$B$5*$B$6)))/F470)</f>
        <v>1333.3332965445973</v>
      </c>
      <c r="I470">
        <f t="shared" ref="I470:I533" si="102">ABS($F$11-K470)</f>
        <v>70069643263.201859</v>
      </c>
      <c r="J470" s="28">
        <v>0.45</v>
      </c>
      <c r="K470">
        <f t="shared" ref="K470:K533" si="103">($B$4*(1+J470)*(((1+J470)^($B$6*$B$5))-1))/J470</f>
        <v>70069754535.8311</v>
      </c>
      <c r="M470">
        <f t="shared" ref="M470:M533" si="104">ABS($G$12-O470)</f>
        <v>9385.0276608490731</v>
      </c>
      <c r="N470" s="28">
        <v>0.45</v>
      </c>
      <c r="O470">
        <f t="shared" ref="O470:O533" si="105">($B$4*(1+N470)*(1-((1+N470)^(-$B$6*$B$5))))/N470</f>
        <v>1933.3332799896659</v>
      </c>
      <c r="Q470">
        <f t="shared" ref="Q470:Q533" si="106">ABS($H$11-S470)</f>
        <v>21745780591.733711</v>
      </c>
      <c r="R470" s="28">
        <v>0.45</v>
      </c>
      <c r="S470">
        <f t="shared" ref="S470:S533" si="107">$B$3*((1+R470)^($B$6*$B$5))</f>
        <v>21745786490.430344</v>
      </c>
      <c r="U470">
        <f t="shared" ref="U470:U533" si="108">ABS($I$11-W470)</f>
        <v>6102475.6987338057</v>
      </c>
      <c r="V470" s="48">
        <v>0.45</v>
      </c>
      <c r="W470">
        <f t="shared" ref="W470:W533" si="109">($B$4*(EXP(V470*$B$6)-1))/V470</f>
        <v>6121100.1634220509</v>
      </c>
      <c r="Y470">
        <f t="shared" ref="Y470:Y533" si="110">ABS($I$12-AA470)</f>
        <v>5964.834030368238</v>
      </c>
      <c r="Z470" s="28">
        <v>0.45</v>
      </c>
      <c r="AA470">
        <f t="shared" ref="AA470:AA533" si="111">$B$4*(1-EXP(-Z470*$B$6))/Z470</f>
        <v>1333.042962228654</v>
      </c>
    </row>
    <row r="471" spans="1:27" x14ac:dyDescent="0.2">
      <c r="A471">
        <f t="shared" si="98"/>
        <v>49799318695.513733</v>
      </c>
      <c r="B471" s="28">
        <v>0.45100000000000001</v>
      </c>
      <c r="C471">
        <f t="shared" si="99"/>
        <v>49799424669.446342</v>
      </c>
      <c r="E471">
        <f t="shared" si="100"/>
        <v>9449.0144676349573</v>
      </c>
      <c r="F471" s="28">
        <v>0.45100000000000001</v>
      </c>
      <c r="G471">
        <f t="shared" si="101"/>
        <v>1330.3769045924109</v>
      </c>
      <c r="I471">
        <f t="shared" si="102"/>
        <v>72258853922.737396</v>
      </c>
      <c r="J471" s="28">
        <v>0.45100000000000001</v>
      </c>
      <c r="K471">
        <f t="shared" si="103"/>
        <v>72258965195.366638</v>
      </c>
      <c r="M471">
        <f t="shared" si="104"/>
        <v>9387.9840522751492</v>
      </c>
      <c r="N471" s="28">
        <v>0.45100000000000001</v>
      </c>
      <c r="O471">
        <f t="shared" si="105"/>
        <v>1930.3768885635886</v>
      </c>
      <c r="Q471">
        <f t="shared" si="106"/>
        <v>22459535227.223667</v>
      </c>
      <c r="R471" s="28">
        <v>0.45100000000000001</v>
      </c>
      <c r="S471">
        <f t="shared" si="107"/>
        <v>22459541125.9203</v>
      </c>
      <c r="U471">
        <f t="shared" si="108"/>
        <v>6204449.4504995588</v>
      </c>
      <c r="V471" s="48">
        <v>0.45100000000000001</v>
      </c>
      <c r="W471">
        <f t="shared" si="109"/>
        <v>6223073.915187804</v>
      </c>
      <c r="Y471">
        <f t="shared" si="110"/>
        <v>5967.7844014103193</v>
      </c>
      <c r="Z471" s="28">
        <v>0.45100000000000001</v>
      </c>
      <c r="AA471">
        <f t="shared" si="111"/>
        <v>1330.0925911865729</v>
      </c>
    </row>
    <row r="472" spans="1:27" x14ac:dyDescent="0.2">
      <c r="A472">
        <f t="shared" si="98"/>
        <v>51318934677.103195</v>
      </c>
      <c r="B472" s="28">
        <v>0.45200000000000001</v>
      </c>
      <c r="C472">
        <f t="shared" si="99"/>
        <v>51319040651.035805</v>
      </c>
      <c r="E472">
        <f t="shared" si="100"/>
        <v>9451.9577782445776</v>
      </c>
      <c r="F472" s="28">
        <v>0.45200000000000001</v>
      </c>
      <c r="G472">
        <f t="shared" si="101"/>
        <v>1327.4335939827904</v>
      </c>
      <c r="I472">
        <f t="shared" si="102"/>
        <v>74515135752.674744</v>
      </c>
      <c r="J472" s="28">
        <v>0.45200000000000001</v>
      </c>
      <c r="K472">
        <f t="shared" si="103"/>
        <v>74515247025.303986</v>
      </c>
      <c r="M472">
        <f t="shared" si="104"/>
        <v>9390.9273623757272</v>
      </c>
      <c r="N472" s="28">
        <v>0.45200000000000001</v>
      </c>
      <c r="O472">
        <f t="shared" si="105"/>
        <v>1927.4335784630116</v>
      </c>
      <c r="Q472">
        <f t="shared" si="106"/>
        <v>23196201075.571552</v>
      </c>
      <c r="R472" s="28">
        <v>0.45200000000000001</v>
      </c>
      <c r="S472">
        <f t="shared" si="107"/>
        <v>23196206974.268185</v>
      </c>
      <c r="U472">
        <f t="shared" si="108"/>
        <v>6308152.6519921264</v>
      </c>
      <c r="V472" s="48">
        <v>0.45200000000000001</v>
      </c>
      <c r="W472">
        <f t="shared" si="109"/>
        <v>6326777.1166803716</v>
      </c>
      <c r="Y472">
        <f t="shared" si="110"/>
        <v>5970.7218173322326</v>
      </c>
      <c r="Z472" s="28">
        <v>0.45200000000000001</v>
      </c>
      <c r="AA472">
        <f t="shared" si="111"/>
        <v>1327.1551752646587</v>
      </c>
    </row>
    <row r="473" spans="1:27" x14ac:dyDescent="0.2">
      <c r="A473">
        <f t="shared" si="98"/>
        <v>52884005133.048286</v>
      </c>
      <c r="B473" s="28">
        <v>0.45300000000000001</v>
      </c>
      <c r="C473">
        <f t="shared" si="99"/>
        <v>52884111106.980896</v>
      </c>
      <c r="E473">
        <f t="shared" si="100"/>
        <v>9454.8880941417956</v>
      </c>
      <c r="F473" s="28">
        <v>0.45300000000000001</v>
      </c>
      <c r="G473">
        <f t="shared" si="101"/>
        <v>1324.5032780855736</v>
      </c>
      <c r="I473">
        <f t="shared" si="102"/>
        <v>76840502165.814011</v>
      </c>
      <c r="J473" s="28">
        <v>0.45300000000000001</v>
      </c>
      <c r="K473">
        <f t="shared" si="103"/>
        <v>76840613438.443253</v>
      </c>
      <c r="M473">
        <f t="shared" si="104"/>
        <v>9393.8576777803992</v>
      </c>
      <c r="N473" s="28">
        <v>0.45300000000000001</v>
      </c>
      <c r="O473">
        <f t="shared" si="105"/>
        <v>1924.5032630583389</v>
      </c>
      <c r="Q473">
        <f t="shared" si="106"/>
        <v>23956497032.765713</v>
      </c>
      <c r="R473" s="28">
        <v>0.45300000000000001</v>
      </c>
      <c r="S473">
        <f t="shared" si="107"/>
        <v>23956502931.462345</v>
      </c>
      <c r="U473">
        <f t="shared" si="108"/>
        <v>6413615.0049768183</v>
      </c>
      <c r="V473" s="48">
        <v>0.45300000000000001</v>
      </c>
      <c r="W473">
        <f t="shared" si="109"/>
        <v>6432239.4696650635</v>
      </c>
      <c r="Y473">
        <f t="shared" si="110"/>
        <v>5973.6463620842942</v>
      </c>
      <c r="Z473" s="28">
        <v>0.45300000000000001</v>
      </c>
      <c r="AA473">
        <f t="shared" si="111"/>
        <v>1324.2306305125976</v>
      </c>
    </row>
    <row r="474" spans="1:27" x14ac:dyDescent="0.2">
      <c r="A474">
        <f t="shared" si="98"/>
        <v>54495861718.241837</v>
      </c>
      <c r="B474" s="28">
        <v>0.45400000000000001</v>
      </c>
      <c r="C474">
        <f t="shared" si="99"/>
        <v>54495967692.174446</v>
      </c>
      <c r="E474">
        <f t="shared" si="100"/>
        <v>9457.8055011935485</v>
      </c>
      <c r="F474" s="28">
        <v>0.45400000000000001</v>
      </c>
      <c r="G474">
        <f t="shared" si="101"/>
        <v>1321.58587103382</v>
      </c>
      <c r="I474">
        <f t="shared" si="102"/>
        <v>79237025751.792404</v>
      </c>
      <c r="J474" s="28">
        <v>0.45400000000000001</v>
      </c>
      <c r="K474">
        <f t="shared" si="103"/>
        <v>79237137024.421646</v>
      </c>
      <c r="M474">
        <f t="shared" si="104"/>
        <v>9396.7750843555641</v>
      </c>
      <c r="N474" s="28">
        <v>0.45400000000000001</v>
      </c>
      <c r="O474">
        <f t="shared" si="105"/>
        <v>1921.585856483174</v>
      </c>
      <c r="Q474">
        <f t="shared" si="106"/>
        <v>24741164033.550568</v>
      </c>
      <c r="R474" s="28">
        <v>0.45400000000000001</v>
      </c>
      <c r="S474">
        <f t="shared" si="107"/>
        <v>24741169932.2472</v>
      </c>
      <c r="U474">
        <f t="shared" si="108"/>
        <v>6520866.7262427406</v>
      </c>
      <c r="V474" s="48">
        <v>0.45400000000000001</v>
      </c>
      <c r="W474">
        <f t="shared" si="109"/>
        <v>6539491.1909309858</v>
      </c>
      <c r="Y474">
        <f t="shared" si="110"/>
        <v>5976.5581189113445</v>
      </c>
      <c r="Z474" s="28">
        <v>0.45400000000000001</v>
      </c>
      <c r="AA474">
        <f t="shared" si="111"/>
        <v>1321.3188736855475</v>
      </c>
    </row>
    <row r="475" spans="1:27" x14ac:dyDescent="0.2">
      <c r="A475">
        <f t="shared" si="98"/>
        <v>56155874267.568672</v>
      </c>
      <c r="B475" s="28">
        <v>0.45500000000000002</v>
      </c>
      <c r="C475">
        <f t="shared" si="99"/>
        <v>56155980241.501282</v>
      </c>
      <c r="E475">
        <f t="shared" si="100"/>
        <v>9460.7100845119476</v>
      </c>
      <c r="F475" s="28">
        <v>0.45500000000000002</v>
      </c>
      <c r="G475">
        <f t="shared" si="101"/>
        <v>1318.6812877154202</v>
      </c>
      <c r="I475">
        <f t="shared" si="102"/>
        <v>81706839978.755127</v>
      </c>
      <c r="J475" s="28">
        <v>0.45500000000000002</v>
      </c>
      <c r="K475">
        <f t="shared" si="103"/>
        <v>81706951251.384369</v>
      </c>
      <c r="M475">
        <f t="shared" si="104"/>
        <v>9399.6796672128021</v>
      </c>
      <c r="N475" s="28">
        <v>0.45500000000000002</v>
      </c>
      <c r="O475">
        <f t="shared" si="105"/>
        <v>1918.6812736259365</v>
      </c>
      <c r="Q475">
        <f t="shared" si="106"/>
        <v>25550965711.186451</v>
      </c>
      <c r="R475" s="28">
        <v>0.45500000000000002</v>
      </c>
      <c r="S475">
        <f t="shared" si="107"/>
        <v>25550971609.883083</v>
      </c>
      <c r="U475">
        <f t="shared" si="108"/>
        <v>6629938.5566019556</v>
      </c>
      <c r="V475" s="48">
        <v>0.45500000000000002</v>
      </c>
      <c r="W475">
        <f t="shared" si="109"/>
        <v>6648563.0212902008</v>
      </c>
      <c r="Y475">
        <f t="shared" si="110"/>
        <v>5979.4571703598722</v>
      </c>
      <c r="Z475" s="28">
        <v>0.45500000000000002</v>
      </c>
      <c r="AA475">
        <f t="shared" si="111"/>
        <v>1318.4198222370201</v>
      </c>
    </row>
    <row r="476" spans="1:27" x14ac:dyDescent="0.2">
      <c r="A476">
        <f t="shared" si="98"/>
        <v>57865451866.375259</v>
      </c>
      <c r="B476" s="28">
        <v>0.45600000000000002</v>
      </c>
      <c r="C476">
        <f t="shared" si="99"/>
        <v>57865557840.307869</v>
      </c>
      <c r="E476">
        <f t="shared" si="100"/>
        <v>9463.6019284625436</v>
      </c>
      <c r="F476" s="28">
        <v>0.45600000000000002</v>
      </c>
      <c r="G476">
        <f t="shared" si="101"/>
        <v>1315.7894437648256</v>
      </c>
      <c r="I476">
        <f t="shared" si="102"/>
        <v>84252140942.859024</v>
      </c>
      <c r="J476" s="28">
        <v>0.45600000000000002</v>
      </c>
      <c r="K476">
        <f t="shared" si="103"/>
        <v>84252252215.488266</v>
      </c>
      <c r="M476">
        <f t="shared" si="104"/>
        <v>9402.5715107171527</v>
      </c>
      <c r="N476" s="28">
        <v>0.45600000000000002</v>
      </c>
      <c r="O476">
        <f t="shared" si="105"/>
        <v>1915.7894301215861</v>
      </c>
      <c r="Q476">
        <f t="shared" si="106"/>
        <v>26386689076.483757</v>
      </c>
      <c r="R476" s="28">
        <v>0.45600000000000002</v>
      </c>
      <c r="S476">
        <f t="shared" si="107"/>
        <v>26386694975.180389</v>
      </c>
      <c r="U476">
        <f t="shared" si="108"/>
        <v>6740861.7700470844</v>
      </c>
      <c r="V476" s="48">
        <v>0.45600000000000002</v>
      </c>
      <c r="W476">
        <f t="shared" si="109"/>
        <v>6759486.2347353296</v>
      </c>
      <c r="Y476">
        <f t="shared" si="110"/>
        <v>5982.3435982850488</v>
      </c>
      <c r="Z476" s="28">
        <v>0.45600000000000002</v>
      </c>
      <c r="AA476">
        <f t="shared" si="111"/>
        <v>1315.5333943118433</v>
      </c>
    </row>
    <row r="477" spans="1:27" x14ac:dyDescent="0.2">
      <c r="A477">
        <f t="shared" si="98"/>
        <v>59626043950.274185</v>
      </c>
      <c r="B477" s="28">
        <v>0.45700000000000002</v>
      </c>
      <c r="C477">
        <f t="shared" si="99"/>
        <v>59626149924.206795</v>
      </c>
      <c r="E477">
        <f t="shared" si="100"/>
        <v>9466.4811166724903</v>
      </c>
      <c r="F477" s="28">
        <v>0.45700000000000002</v>
      </c>
      <c r="G477">
        <f t="shared" si="101"/>
        <v>1312.9102555548777</v>
      </c>
      <c r="I477">
        <f t="shared" si="102"/>
        <v>86875189166.940063</v>
      </c>
      <c r="J477" s="28">
        <v>0.45700000000000002</v>
      </c>
      <c r="K477">
        <f t="shared" si="103"/>
        <v>86875300439.569305</v>
      </c>
      <c r="M477">
        <f t="shared" si="104"/>
        <v>9405.4506984952804</v>
      </c>
      <c r="N477" s="28">
        <v>0.45700000000000002</v>
      </c>
      <c r="O477">
        <f t="shared" si="105"/>
        <v>1912.9102423434572</v>
      </c>
      <c r="Q477">
        <f t="shared" si="106"/>
        <v>27249145216.665874</v>
      </c>
      <c r="R477" s="28">
        <v>0.45700000000000002</v>
      </c>
      <c r="S477">
        <f t="shared" si="107"/>
        <v>27249151115.362507</v>
      </c>
      <c r="U477">
        <f t="shared" si="108"/>
        <v>6853668.1830697544</v>
      </c>
      <c r="V477" s="48">
        <v>0.45700000000000002</v>
      </c>
      <c r="W477">
        <f t="shared" si="109"/>
        <v>6872292.6477579996</v>
      </c>
      <c r="Y477">
        <f t="shared" si="110"/>
        <v>5985.2174838576866</v>
      </c>
      <c r="Z477" s="28">
        <v>0.45700000000000002</v>
      </c>
      <c r="AA477">
        <f t="shared" si="111"/>
        <v>1312.659508739205</v>
      </c>
    </row>
    <row r="478" spans="1:27" x14ac:dyDescent="0.2">
      <c r="A478">
        <f t="shared" si="98"/>
        <v>61439141435.052811</v>
      </c>
      <c r="B478" s="28">
        <v>0.45800000000000002</v>
      </c>
      <c r="C478">
        <f t="shared" si="99"/>
        <v>61439247408.98542</v>
      </c>
      <c r="E478">
        <f t="shared" si="100"/>
        <v>9469.3477320386155</v>
      </c>
      <c r="F478" s="28">
        <v>0.45800000000000002</v>
      </c>
      <c r="G478">
        <f t="shared" si="101"/>
        <v>1310.0436401887519</v>
      </c>
      <c r="I478">
        <f t="shared" si="102"/>
        <v>89578311449.671494</v>
      </c>
      <c r="J478" s="28">
        <v>0.45800000000000002</v>
      </c>
      <c r="K478">
        <f t="shared" si="103"/>
        <v>89578422722.300735</v>
      </c>
      <c r="M478">
        <f t="shared" si="104"/>
        <v>9408.3173134435383</v>
      </c>
      <c r="N478" s="28">
        <v>0.45800000000000002</v>
      </c>
      <c r="O478">
        <f t="shared" si="105"/>
        <v>1910.0436273952</v>
      </c>
      <c r="Q478">
        <f t="shared" si="106"/>
        <v>28139170014.61869</v>
      </c>
      <c r="R478" s="28">
        <v>0.45800000000000002</v>
      </c>
      <c r="S478">
        <f t="shared" si="107"/>
        <v>28139175913.315323</v>
      </c>
      <c r="U478">
        <f t="shared" si="108"/>
        <v>6968390.1641431358</v>
      </c>
      <c r="V478" s="48">
        <v>0.45800000000000002</v>
      </c>
      <c r="W478">
        <f t="shared" si="109"/>
        <v>6987014.628831381</v>
      </c>
      <c r="Y478">
        <f t="shared" si="110"/>
        <v>5988.0789075711164</v>
      </c>
      <c r="Z478" s="28">
        <v>0.45800000000000002</v>
      </c>
      <c r="AA478">
        <f t="shared" si="111"/>
        <v>1309.7980850257754</v>
      </c>
    </row>
    <row r="479" spans="1:27" x14ac:dyDescent="0.2">
      <c r="A479">
        <f t="shared" si="98"/>
        <v>63306277877.507553</v>
      </c>
      <c r="B479" s="28">
        <v>0.45900000000000002</v>
      </c>
      <c r="C479">
        <f t="shared" si="99"/>
        <v>63306383851.440163</v>
      </c>
      <c r="E479">
        <f t="shared" si="100"/>
        <v>9472.2018567353698</v>
      </c>
      <c r="F479" s="28">
        <v>0.45900000000000002</v>
      </c>
      <c r="G479">
        <f t="shared" si="101"/>
        <v>1307.1895154919989</v>
      </c>
      <c r="I479">
        <f t="shared" si="102"/>
        <v>92363902766.621964</v>
      </c>
      <c r="J479" s="28">
        <v>0.45900000000000002</v>
      </c>
      <c r="K479">
        <f t="shared" si="103"/>
        <v>92364014039.251205</v>
      </c>
      <c r="M479">
        <f t="shared" si="104"/>
        <v>9411.1714377359112</v>
      </c>
      <c r="N479" s="28">
        <v>0.45900000000000002</v>
      </c>
      <c r="O479">
        <f t="shared" si="105"/>
        <v>1907.1895031028264</v>
      </c>
      <c r="Q479">
        <f t="shared" si="106"/>
        <v>29057624889.114403</v>
      </c>
      <c r="R479" s="28">
        <v>0.45900000000000002</v>
      </c>
      <c r="S479">
        <f t="shared" si="107"/>
        <v>29057630787.811035</v>
      </c>
      <c r="U479">
        <f t="shared" si="108"/>
        <v>7085060.6433710754</v>
      </c>
      <c r="V479" s="48">
        <v>0.45900000000000002</v>
      </c>
      <c r="W479">
        <f t="shared" si="109"/>
        <v>7103685.1080593206</v>
      </c>
      <c r="Y479">
        <f t="shared" si="110"/>
        <v>5990.9279492479818</v>
      </c>
      <c r="Z479" s="28">
        <v>0.45900000000000002</v>
      </c>
      <c r="AA479">
        <f t="shared" si="111"/>
        <v>1306.94904334891</v>
      </c>
    </row>
    <row r="480" spans="1:27" x14ac:dyDescent="0.2">
      <c r="A480">
        <f t="shared" si="98"/>
        <v>65229030668.014473</v>
      </c>
      <c r="B480" s="28">
        <v>0.46</v>
      </c>
      <c r="C480">
        <f t="shared" si="99"/>
        <v>65229136641.947083</v>
      </c>
      <c r="E480">
        <f t="shared" si="100"/>
        <v>9475.0435722226703</v>
      </c>
      <c r="F480" s="28">
        <v>0.46</v>
      </c>
      <c r="G480">
        <f t="shared" si="101"/>
        <v>1304.3478000046978</v>
      </c>
      <c r="I480">
        <f t="shared" si="102"/>
        <v>95234428224.61351</v>
      </c>
      <c r="J480" s="28">
        <v>0.46</v>
      </c>
      <c r="K480">
        <f t="shared" si="103"/>
        <v>95234539497.242752</v>
      </c>
      <c r="M480">
        <f t="shared" si="104"/>
        <v>9414.0131528318798</v>
      </c>
      <c r="N480" s="28">
        <v>0.46</v>
      </c>
      <c r="O480">
        <f t="shared" si="105"/>
        <v>1904.347788006859</v>
      </c>
      <c r="Q480">
        <f t="shared" si="106"/>
        <v>30005397556.599026</v>
      </c>
      <c r="R480" s="28">
        <v>0.46</v>
      </c>
      <c r="S480">
        <f t="shared" si="107"/>
        <v>30005403455.295658</v>
      </c>
      <c r="U480">
        <f t="shared" si="108"/>
        <v>7203713.1223071525</v>
      </c>
      <c r="V480" s="48">
        <v>0.46</v>
      </c>
      <c r="W480">
        <f t="shared" si="109"/>
        <v>7222337.5869953977</v>
      </c>
      <c r="Y480">
        <f t="shared" si="110"/>
        <v>5993.764688046962</v>
      </c>
      <c r="Z480" s="28">
        <v>0.46</v>
      </c>
      <c r="AA480">
        <f t="shared" si="111"/>
        <v>1304.1123045499301</v>
      </c>
    </row>
    <row r="481" spans="1:27" x14ac:dyDescent="0.2">
      <c r="A481">
        <f t="shared" si="98"/>
        <v>67209022255.697456</v>
      </c>
      <c r="B481" s="28">
        <v>0.46100000000000002</v>
      </c>
      <c r="C481">
        <f t="shared" si="99"/>
        <v>67209128229.630066</v>
      </c>
      <c r="E481">
        <f t="shared" si="100"/>
        <v>9477.872959253662</v>
      </c>
      <c r="F481" s="28">
        <v>0.46100000000000002</v>
      </c>
      <c r="G481">
        <f t="shared" si="101"/>
        <v>1301.5184129737054</v>
      </c>
      <c r="I481">
        <f t="shared" si="102"/>
        <v>98192425070.860275</v>
      </c>
      <c r="J481" s="28">
        <v>0.46100000000000002</v>
      </c>
      <c r="K481">
        <f t="shared" si="103"/>
        <v>98192536343.489517</v>
      </c>
      <c r="M481">
        <f t="shared" si="104"/>
        <v>9416.8425394841543</v>
      </c>
      <c r="N481" s="28">
        <v>0.46100000000000002</v>
      </c>
      <c r="O481">
        <f t="shared" si="105"/>
        <v>1901.5184013545836</v>
      </c>
      <c r="Q481">
        <f t="shared" si="106"/>
        <v>30983402815.16283</v>
      </c>
      <c r="R481" s="28">
        <v>0.46100000000000002</v>
      </c>
      <c r="S481">
        <f t="shared" si="107"/>
        <v>30983408713.859463</v>
      </c>
      <c r="U481">
        <f t="shared" si="108"/>
        <v>7324381.6839462835</v>
      </c>
      <c r="V481" s="48">
        <v>0.46100000000000002</v>
      </c>
      <c r="W481">
        <f t="shared" si="109"/>
        <v>7343006.1486345287</v>
      </c>
      <c r="Y481">
        <f t="shared" si="110"/>
        <v>5996.5892024694131</v>
      </c>
      <c r="Z481" s="28">
        <v>0.46100000000000002</v>
      </c>
      <c r="AA481">
        <f t="shared" si="111"/>
        <v>1301.2877901274783</v>
      </c>
    </row>
    <row r="482" spans="1:27" x14ac:dyDescent="0.2">
      <c r="A482">
        <f t="shared" si="98"/>
        <v>69247921407.051331</v>
      </c>
      <c r="B482" s="28">
        <v>0.46200000000000002</v>
      </c>
      <c r="C482">
        <f t="shared" si="99"/>
        <v>69248027380.983948</v>
      </c>
      <c r="E482">
        <f t="shared" si="100"/>
        <v>9480.6900978823596</v>
      </c>
      <c r="F482" s="28">
        <v>0.46200000000000002</v>
      </c>
      <c r="G482">
        <f t="shared" si="101"/>
        <v>1298.7012743450089</v>
      </c>
      <c r="I482">
        <f t="shared" si="102"/>
        <v>101240504758.36928</v>
      </c>
      <c r="J482" s="28">
        <v>0.46200000000000002</v>
      </c>
      <c r="K482">
        <f t="shared" si="103"/>
        <v>101240616030.99852</v>
      </c>
      <c r="M482">
        <f t="shared" si="104"/>
        <v>9419.6596777463365</v>
      </c>
      <c r="N482" s="28">
        <v>0.46200000000000002</v>
      </c>
      <c r="O482">
        <f t="shared" si="105"/>
        <v>1898.7012630924025</v>
      </c>
      <c r="Q482">
        <f t="shared" si="106"/>
        <v>31992583351.317951</v>
      </c>
      <c r="R482" s="28">
        <v>0.46200000000000002</v>
      </c>
      <c r="S482">
        <f t="shared" si="107"/>
        <v>31992589250.014584</v>
      </c>
      <c r="U482">
        <f t="shared" si="108"/>
        <v>7447101.0028923191</v>
      </c>
      <c r="V482" s="48">
        <v>0.46200000000000002</v>
      </c>
      <c r="W482">
        <f t="shared" si="109"/>
        <v>7465725.4675805643</v>
      </c>
      <c r="Y482">
        <f t="shared" si="110"/>
        <v>5999.4015703659388</v>
      </c>
      <c r="Z482" s="28">
        <v>0.46200000000000002</v>
      </c>
      <c r="AA482">
        <f t="shared" si="111"/>
        <v>1298.4754222309534</v>
      </c>
    </row>
    <row r="483" spans="1:27" x14ac:dyDescent="0.2">
      <c r="A483">
        <f t="shared" si="98"/>
        <v>71347444498.923294</v>
      </c>
      <c r="B483" s="28">
        <v>0.46300000000000002</v>
      </c>
      <c r="C483">
        <f t="shared" si="99"/>
        <v>71347550472.855911</v>
      </c>
      <c r="E483">
        <f t="shared" si="100"/>
        <v>9483.4950674711927</v>
      </c>
      <c r="F483" s="28">
        <v>0.46300000000000002</v>
      </c>
      <c r="G483">
        <f t="shared" si="101"/>
        <v>1295.8963047561763</v>
      </c>
      <c r="I483">
        <f t="shared" si="102"/>
        <v>104381355069.15898</v>
      </c>
      <c r="J483" s="28">
        <v>0.46300000000000002</v>
      </c>
      <c r="K483">
        <f t="shared" si="103"/>
        <v>104381466341.78822</v>
      </c>
      <c r="M483">
        <f t="shared" si="104"/>
        <v>9422.464646980452</v>
      </c>
      <c r="N483" s="28">
        <v>0.46300000000000002</v>
      </c>
      <c r="O483">
        <f t="shared" si="105"/>
        <v>1895.8962938582858</v>
      </c>
      <c r="Q483">
        <f t="shared" si="106"/>
        <v>33033910570.235657</v>
      </c>
      <c r="R483" s="28">
        <v>0.46300000000000002</v>
      </c>
      <c r="S483">
        <f t="shared" si="107"/>
        <v>33033916468.932289</v>
      </c>
      <c r="U483">
        <f t="shared" si="108"/>
        <v>7571906.3557043402</v>
      </c>
      <c r="V483" s="48">
        <v>0.46300000000000002</v>
      </c>
      <c r="W483">
        <f t="shared" si="109"/>
        <v>7590530.8203925854</v>
      </c>
      <c r="Y483">
        <f t="shared" si="110"/>
        <v>6002.2018689428751</v>
      </c>
      <c r="Z483" s="28">
        <v>0.46300000000000002</v>
      </c>
      <c r="AA483">
        <f t="shared" si="111"/>
        <v>1295.6751236540169</v>
      </c>
    </row>
    <row r="484" spans="1:27" x14ac:dyDescent="0.2">
      <c r="A484">
        <f t="shared" si="98"/>
        <v>73509356846.75766</v>
      </c>
      <c r="B484" s="28">
        <v>0.46400000000000002</v>
      </c>
      <c r="C484">
        <f t="shared" si="99"/>
        <v>73509462820.690277</v>
      </c>
      <c r="E484">
        <f t="shared" si="100"/>
        <v>9486.2879466984614</v>
      </c>
      <c r="F484" s="28">
        <v>0.46400000000000002</v>
      </c>
      <c r="G484">
        <f t="shared" si="101"/>
        <v>1293.1034255289062</v>
      </c>
      <c r="I484">
        <f t="shared" si="102"/>
        <v>107617742296.86131</v>
      </c>
      <c r="J484" s="28">
        <v>0.46400000000000002</v>
      </c>
      <c r="K484">
        <f t="shared" si="103"/>
        <v>107617853569.49055</v>
      </c>
      <c r="M484">
        <f t="shared" si="104"/>
        <v>9425.2575258644192</v>
      </c>
      <c r="N484" s="28">
        <v>0.46400000000000002</v>
      </c>
      <c r="O484">
        <f t="shared" si="105"/>
        <v>1893.1034149743186</v>
      </c>
      <c r="Q484">
        <f t="shared" si="106"/>
        <v>34108385450.103661</v>
      </c>
      <c r="R484" s="28">
        <v>0.46400000000000002</v>
      </c>
      <c r="S484">
        <f t="shared" si="107"/>
        <v>34108391348.800293</v>
      </c>
      <c r="U484">
        <f t="shared" si="108"/>
        <v>7698833.6314252336</v>
      </c>
      <c r="V484" s="48">
        <v>0.46400000000000002</v>
      </c>
      <c r="W484">
        <f t="shared" si="109"/>
        <v>7717458.0961134788</v>
      </c>
      <c r="Y484">
        <f t="shared" si="110"/>
        <v>6004.9901747687163</v>
      </c>
      <c r="Z484" s="28">
        <v>0.46400000000000002</v>
      </c>
      <c r="AA484">
        <f t="shared" si="111"/>
        <v>1292.8868178281755</v>
      </c>
    </row>
    <row r="485" spans="1:27" x14ac:dyDescent="0.2">
      <c r="A485">
        <f t="shared" si="98"/>
        <v>75735474069.054352</v>
      </c>
      <c r="B485" s="28">
        <v>0.46500000000000002</v>
      </c>
      <c r="C485">
        <f t="shared" si="99"/>
        <v>75735580042.986969</v>
      </c>
      <c r="E485">
        <f t="shared" si="100"/>
        <v>9489.0688135656965</v>
      </c>
      <c r="F485" s="28">
        <v>0.46500000000000002</v>
      </c>
      <c r="G485">
        <f t="shared" si="101"/>
        <v>1290.3225586616716</v>
      </c>
      <c r="I485">
        <f t="shared" si="102"/>
        <v>110952513490.34668</v>
      </c>
      <c r="J485" s="28">
        <v>0.46500000000000002</v>
      </c>
      <c r="K485">
        <f t="shared" si="103"/>
        <v>110952624762.97592</v>
      </c>
      <c r="M485">
        <f t="shared" si="104"/>
        <v>9428.0383923993886</v>
      </c>
      <c r="N485" s="28">
        <v>0.46500000000000002</v>
      </c>
      <c r="O485">
        <f t="shared" si="105"/>
        <v>1890.322548439349</v>
      </c>
      <c r="Q485">
        <f t="shared" si="106"/>
        <v>35217039421.292313</v>
      </c>
      <c r="R485" s="28">
        <v>0.46500000000000002</v>
      </c>
      <c r="S485">
        <f t="shared" si="107"/>
        <v>35217045319.988945</v>
      </c>
      <c r="U485">
        <f t="shared" si="108"/>
        <v>7827919.3422953365</v>
      </c>
      <c r="V485" s="48">
        <v>0.46500000000000002</v>
      </c>
      <c r="W485">
        <f t="shared" si="109"/>
        <v>7846543.8069835817</v>
      </c>
      <c r="Y485">
        <f t="shared" si="110"/>
        <v>6007.7665637804566</v>
      </c>
      <c r="Z485" s="28">
        <v>0.46500000000000002</v>
      </c>
      <c r="AA485">
        <f t="shared" si="111"/>
        <v>1290.1104288164354</v>
      </c>
    </row>
    <row r="486" spans="1:27" x14ac:dyDescent="0.2">
      <c r="A486">
        <f t="shared" si="98"/>
        <v>78027663488.991516</v>
      </c>
      <c r="B486" s="28">
        <v>0.46600000000000003</v>
      </c>
      <c r="C486">
        <f t="shared" si="99"/>
        <v>78027769462.924133</v>
      </c>
      <c r="E486">
        <f t="shared" si="100"/>
        <v>9491.8377454049078</v>
      </c>
      <c r="F486" s="28">
        <v>0.46600000000000003</v>
      </c>
      <c r="G486">
        <f t="shared" si="101"/>
        <v>1287.5536268224596</v>
      </c>
      <c r="I486">
        <f t="shared" si="102"/>
        <v>114388598760.01755</v>
      </c>
      <c r="J486" s="28">
        <v>0.46600000000000003</v>
      </c>
      <c r="K486">
        <f t="shared" si="103"/>
        <v>114388710032.64679</v>
      </c>
      <c r="M486">
        <f t="shared" si="104"/>
        <v>9430.8073239170117</v>
      </c>
      <c r="N486" s="28">
        <v>0.46600000000000003</v>
      </c>
      <c r="O486">
        <f t="shared" si="105"/>
        <v>1887.5536169217257</v>
      </c>
      <c r="Q486">
        <f t="shared" si="106"/>
        <v>36360935271.026016</v>
      </c>
      <c r="R486" s="28">
        <v>0.46600000000000003</v>
      </c>
      <c r="S486">
        <f t="shared" si="107"/>
        <v>36360941169.722649</v>
      </c>
      <c r="U486">
        <f t="shared" si="108"/>
        <v>7959200.6346548628</v>
      </c>
      <c r="V486" s="48">
        <v>0.46600000000000003</v>
      </c>
      <c r="W486">
        <f t="shared" si="109"/>
        <v>7977825.099343108</v>
      </c>
      <c r="Y486">
        <f t="shared" si="110"/>
        <v>6010.5311112898598</v>
      </c>
      <c r="Z486" s="28">
        <v>0.46600000000000003</v>
      </c>
      <c r="AA486">
        <f t="shared" si="111"/>
        <v>1287.3458813070315</v>
      </c>
    </row>
    <row r="487" spans="1:27" x14ac:dyDescent="0.2">
      <c r="A487">
        <f t="shared" si="98"/>
        <v>80387845574.21698</v>
      </c>
      <c r="B487" s="28">
        <v>0.46700000000000003</v>
      </c>
      <c r="C487">
        <f t="shared" si="99"/>
        <v>80387951548.149597</v>
      </c>
      <c r="E487">
        <f t="shared" si="100"/>
        <v>9494.5948188857656</v>
      </c>
      <c r="F487" s="28">
        <v>0.46700000000000003</v>
      </c>
      <c r="G487">
        <f t="shared" si="101"/>
        <v>1284.7965533416036</v>
      </c>
      <c r="I487">
        <f t="shared" si="102"/>
        <v>117929013648.50623</v>
      </c>
      <c r="J487" s="28">
        <v>0.46700000000000003</v>
      </c>
      <c r="K487">
        <f t="shared" si="103"/>
        <v>117929124921.13547</v>
      </c>
      <c r="M487">
        <f t="shared" si="104"/>
        <v>9433.5643970866058</v>
      </c>
      <c r="N487" s="28">
        <v>0.46700000000000003</v>
      </c>
      <c r="O487">
        <f t="shared" si="105"/>
        <v>1884.7965437521327</v>
      </c>
      <c r="Q487">
        <f t="shared" si="106"/>
        <v>37541168074.28923</v>
      </c>
      <c r="R487" s="28">
        <v>0.46700000000000003</v>
      </c>
      <c r="S487">
        <f t="shared" si="107"/>
        <v>37541173972.985863</v>
      </c>
      <c r="U487">
        <f t="shared" si="108"/>
        <v>8092715.300038022</v>
      </c>
      <c r="V487" s="48">
        <v>0.46700000000000003</v>
      </c>
      <c r="W487">
        <f t="shared" si="109"/>
        <v>8111339.7647262672</v>
      </c>
      <c r="Y487">
        <f t="shared" si="110"/>
        <v>6013.2838919896676</v>
      </c>
      <c r="Z487" s="28">
        <v>0.46700000000000003</v>
      </c>
      <c r="AA487">
        <f t="shared" si="111"/>
        <v>1284.5931006072237</v>
      </c>
    </row>
    <row r="488" spans="1:27" x14ac:dyDescent="0.2">
      <c r="A488">
        <f t="shared" si="98"/>
        <v>82817995415.805359</v>
      </c>
      <c r="B488" s="28">
        <v>0.46800000000000003</v>
      </c>
      <c r="C488">
        <f t="shared" si="99"/>
        <v>82818101389.737976</v>
      </c>
      <c r="E488">
        <f t="shared" si="100"/>
        <v>9497.3401100226583</v>
      </c>
      <c r="F488" s="28">
        <v>0.46800000000000003</v>
      </c>
      <c r="G488">
        <f t="shared" si="101"/>
        <v>1282.0512622047095</v>
      </c>
      <c r="I488">
        <f t="shared" si="102"/>
        <v>121576861567.50612</v>
      </c>
      <c r="J488" s="28">
        <v>0.46800000000000003</v>
      </c>
      <c r="K488">
        <f t="shared" si="103"/>
        <v>121576972840.13536</v>
      </c>
      <c r="M488">
        <f t="shared" si="104"/>
        <v>9436.3096879222248</v>
      </c>
      <c r="N488" s="28">
        <v>0.46800000000000003</v>
      </c>
      <c r="O488">
        <f t="shared" si="105"/>
        <v>1882.0512529165132</v>
      </c>
      <c r="Q488">
        <f t="shared" si="106"/>
        <v>38758866151.700745</v>
      </c>
      <c r="R488" s="28">
        <v>0.46800000000000003</v>
      </c>
      <c r="S488">
        <f t="shared" si="107"/>
        <v>38758872050.397377</v>
      </c>
      <c r="U488">
        <f t="shared" si="108"/>
        <v>8228501.7864626478</v>
      </c>
      <c r="V488" s="48">
        <v>0.46800000000000003</v>
      </c>
      <c r="W488">
        <f t="shared" si="109"/>
        <v>8247126.251150893</v>
      </c>
      <c r="Y488">
        <f t="shared" si="110"/>
        <v>6016.024979959725</v>
      </c>
      <c r="Z488" s="28">
        <v>0.46800000000000003</v>
      </c>
      <c r="AA488">
        <f t="shared" si="111"/>
        <v>1281.8520126371668</v>
      </c>
    </row>
    <row r="489" spans="1:27" x14ac:dyDescent="0.2">
      <c r="A489">
        <f t="shared" si="98"/>
        <v>85320144247.440384</v>
      </c>
      <c r="B489" s="28">
        <v>0.46899999999999997</v>
      </c>
      <c r="C489">
        <f t="shared" si="99"/>
        <v>85320250221.373001</v>
      </c>
      <c r="E489">
        <f t="shared" si="100"/>
        <v>9500.0736941816995</v>
      </c>
      <c r="F489" s="28">
        <v>0.46899999999999997</v>
      </c>
      <c r="G489">
        <f t="shared" si="101"/>
        <v>1279.3176780456681</v>
      </c>
      <c r="I489">
        <f t="shared" si="102"/>
        <v>125335336302.56767</v>
      </c>
      <c r="J489" s="28">
        <v>0.46899999999999997</v>
      </c>
      <c r="K489">
        <f t="shared" si="103"/>
        <v>125335447575.19691</v>
      </c>
      <c r="M489">
        <f t="shared" si="104"/>
        <v>9439.0432717896529</v>
      </c>
      <c r="N489" s="28">
        <v>0.46899999999999997</v>
      </c>
      <c r="O489">
        <f t="shared" si="105"/>
        <v>1879.3176690490859</v>
      </c>
      <c r="Q489">
        <f t="shared" si="106"/>
        <v>40015192055.127304</v>
      </c>
      <c r="R489" s="28">
        <v>0.46899999999999997</v>
      </c>
      <c r="S489">
        <f t="shared" si="107"/>
        <v>40015197953.823936</v>
      </c>
      <c r="U489">
        <f t="shared" si="108"/>
        <v>8366599.2099183602</v>
      </c>
      <c r="V489" s="48">
        <v>0.46899999999999997</v>
      </c>
      <c r="W489">
        <f t="shared" si="109"/>
        <v>8385223.6746066054</v>
      </c>
      <c r="Y489">
        <f t="shared" si="110"/>
        <v>6018.754448673044</v>
      </c>
      <c r="Z489" s="28">
        <v>0.46899999999999997</v>
      </c>
      <c r="AA489">
        <f t="shared" si="111"/>
        <v>1279.1225439238483</v>
      </c>
    </row>
    <row r="490" spans="1:27" x14ac:dyDescent="0.2">
      <c r="A490">
        <f t="shared" si="98"/>
        <v>87896381005.870361</v>
      </c>
      <c r="B490" s="28">
        <v>0.47</v>
      </c>
      <c r="C490">
        <f t="shared" si="99"/>
        <v>87896486979.802979</v>
      </c>
      <c r="E490">
        <f t="shared" si="100"/>
        <v>9502.7956460876067</v>
      </c>
      <c r="F490" s="28">
        <v>0.47</v>
      </c>
      <c r="G490">
        <f t="shared" si="101"/>
        <v>1276.5957261397614</v>
      </c>
      <c r="I490">
        <f t="shared" si="102"/>
        <v>129207724587.68112</v>
      </c>
      <c r="J490" s="28">
        <v>0.47</v>
      </c>
      <c r="K490">
        <f t="shared" si="103"/>
        <v>129207835860.31036</v>
      </c>
      <c r="M490">
        <f t="shared" si="104"/>
        <v>9441.7652234132893</v>
      </c>
      <c r="N490" s="28">
        <v>0.47</v>
      </c>
      <c r="O490">
        <f t="shared" si="105"/>
        <v>1876.595717425449</v>
      </c>
      <c r="Q490">
        <f t="shared" si="106"/>
        <v>41311343581.810768</v>
      </c>
      <c r="R490" s="28">
        <v>0.47</v>
      </c>
      <c r="S490">
        <f t="shared" si="107"/>
        <v>41311349480.507401</v>
      </c>
      <c r="U490">
        <f t="shared" si="108"/>
        <v>8507047.3660572004</v>
      </c>
      <c r="V490" s="48">
        <v>0.47</v>
      </c>
      <c r="W490">
        <f t="shared" si="109"/>
        <v>8525671.8307454456</v>
      </c>
      <c r="Y490">
        <f t="shared" si="110"/>
        <v>6021.4723710017952</v>
      </c>
      <c r="Z490" s="28">
        <v>0.47</v>
      </c>
      <c r="AA490">
        <f t="shared" si="111"/>
        <v>1276.4046215950971</v>
      </c>
    </row>
    <row r="491" spans="1:27" x14ac:dyDescent="0.2">
      <c r="A491">
        <f t="shared" si="98"/>
        <v>90548853933.749008</v>
      </c>
      <c r="B491" s="28">
        <v>0.47099999999999997</v>
      </c>
      <c r="C491">
        <f t="shared" si="99"/>
        <v>90548959907.681625</v>
      </c>
      <c r="E491">
        <f t="shared" si="100"/>
        <v>9505.5060398305141</v>
      </c>
      <c r="F491" s="28">
        <v>0.47099999999999997</v>
      </c>
      <c r="G491">
        <f t="shared" si="101"/>
        <v>1273.8853323968535</v>
      </c>
      <c r="I491">
        <f t="shared" si="102"/>
        <v>133197408751.57045</v>
      </c>
      <c r="J491" s="28">
        <v>0.47099999999999997</v>
      </c>
      <c r="K491">
        <f t="shared" si="103"/>
        <v>133197520024.19969</v>
      </c>
      <c r="M491">
        <f t="shared" si="104"/>
        <v>9444.4756168829663</v>
      </c>
      <c r="N491" s="28">
        <v>0.47099999999999997</v>
      </c>
      <c r="O491">
        <f t="shared" si="105"/>
        <v>1873.8853239557716</v>
      </c>
      <c r="Q491">
        <f t="shared" si="106"/>
        <v>42648554817.821411</v>
      </c>
      <c r="R491" s="28">
        <v>0.47099999999999997</v>
      </c>
      <c r="S491">
        <f t="shared" si="107"/>
        <v>42648560716.518044</v>
      </c>
      <c r="U491">
        <f t="shared" si="108"/>
        <v>8649886.742089998</v>
      </c>
      <c r="V491" s="48">
        <v>0.47099999999999997</v>
      </c>
      <c r="W491">
        <f t="shared" si="109"/>
        <v>8668511.2067782432</v>
      </c>
      <c r="Y491">
        <f t="shared" si="110"/>
        <v>6024.1788192232361</v>
      </c>
      <c r="Z491" s="28">
        <v>0.47099999999999997</v>
      </c>
      <c r="AA491">
        <f t="shared" si="111"/>
        <v>1273.6981733736554</v>
      </c>
    </row>
    <row r="492" spans="1:27" x14ac:dyDescent="0.2">
      <c r="A492">
        <f t="shared" si="98"/>
        <v>93279772225.973511</v>
      </c>
      <c r="B492" s="28">
        <v>0.47199999999999998</v>
      </c>
      <c r="C492">
        <f t="shared" si="99"/>
        <v>93279878199.906128</v>
      </c>
      <c r="E492">
        <f t="shared" si="100"/>
        <v>9508.2049488726989</v>
      </c>
      <c r="F492" s="28">
        <v>0.47199999999999998</v>
      </c>
      <c r="G492">
        <f t="shared" si="101"/>
        <v>1271.1864233546701</v>
      </c>
      <c r="I492">
        <f t="shared" si="102"/>
        <v>137307869437.63258</v>
      </c>
      <c r="J492" s="28">
        <v>0.47199999999999998</v>
      </c>
      <c r="K492">
        <f t="shared" si="103"/>
        <v>137307980710.26183</v>
      </c>
      <c r="M492">
        <f t="shared" si="104"/>
        <v>9447.1745256606646</v>
      </c>
      <c r="N492" s="28">
        <v>0.47199999999999998</v>
      </c>
      <c r="O492">
        <f t="shared" si="105"/>
        <v>1871.1864151780744</v>
      </c>
      <c r="Q492">
        <f t="shared" si="106"/>
        <v>44028097211.659058</v>
      </c>
      <c r="R492" s="28">
        <v>0.47199999999999998</v>
      </c>
      <c r="S492">
        <f t="shared" si="107"/>
        <v>44028103110.35569</v>
      </c>
      <c r="U492">
        <f t="shared" si="108"/>
        <v>8795158.528892193</v>
      </c>
      <c r="V492" s="48">
        <v>0.47199999999999998</v>
      </c>
      <c r="W492">
        <f t="shared" si="109"/>
        <v>8813782.9935804382</v>
      </c>
      <c r="Y492">
        <f t="shared" si="110"/>
        <v>6026.8738650255682</v>
      </c>
      <c r="Z492" s="28">
        <v>0.47199999999999998</v>
      </c>
      <c r="AA492">
        <f t="shared" si="111"/>
        <v>1271.0031275713236</v>
      </c>
    </row>
    <row r="493" spans="1:27" x14ac:dyDescent="0.2">
      <c r="A493">
        <f t="shared" si="98"/>
        <v>96091407720.684296</v>
      </c>
      <c r="B493" s="28">
        <v>0.47299999999999998</v>
      </c>
      <c r="C493">
        <f t="shared" si="99"/>
        <v>96091513694.616913</v>
      </c>
      <c r="E493">
        <f t="shared" si="100"/>
        <v>9510.892446055208</v>
      </c>
      <c r="F493" s="28">
        <v>0.47299999999999998</v>
      </c>
      <c r="G493">
        <f t="shared" si="101"/>
        <v>1268.4989261721612</v>
      </c>
      <c r="I493">
        <f t="shared" si="102"/>
        <v>141542688399.54144</v>
      </c>
      <c r="J493" s="28">
        <v>0.47299999999999998</v>
      </c>
      <c r="K493">
        <f t="shared" si="103"/>
        <v>141542799672.17068</v>
      </c>
      <c r="M493">
        <f t="shared" si="104"/>
        <v>9449.8620225871455</v>
      </c>
      <c r="N493" s="28">
        <v>0.47299999999999998</v>
      </c>
      <c r="O493">
        <f t="shared" si="105"/>
        <v>1868.4989182515931</v>
      </c>
      <c r="Q493">
        <f t="shared" si="106"/>
        <v>45451280678.857162</v>
      </c>
      <c r="R493" s="28">
        <v>0.47299999999999998</v>
      </c>
      <c r="S493">
        <f t="shared" si="107"/>
        <v>45451286577.553795</v>
      </c>
      <c r="U493">
        <f t="shared" si="108"/>
        <v>8942904.6333230492</v>
      </c>
      <c r="V493" s="48">
        <v>0.47299999999999998</v>
      </c>
      <c r="W493">
        <f t="shared" si="109"/>
        <v>8961529.0980112944</v>
      </c>
      <c r="Y493">
        <f t="shared" si="110"/>
        <v>6029.5575795137265</v>
      </c>
      <c r="Z493" s="28">
        <v>0.47299999999999998</v>
      </c>
      <c r="AA493">
        <f t="shared" si="111"/>
        <v>1268.3194130831653</v>
      </c>
    </row>
    <row r="494" spans="1:27" x14ac:dyDescent="0.2">
      <c r="A494">
        <f t="shared" si="98"/>
        <v>98986096636.094131</v>
      </c>
      <c r="B494" s="28">
        <v>0.47399999999999998</v>
      </c>
      <c r="C494">
        <f t="shared" si="99"/>
        <v>98986202610.026749</v>
      </c>
      <c r="E494">
        <f t="shared" si="100"/>
        <v>9513.568603604419</v>
      </c>
      <c r="F494" s="28">
        <v>0.47399999999999998</v>
      </c>
      <c r="G494">
        <f t="shared" si="101"/>
        <v>1265.8227686229486</v>
      </c>
      <c r="I494">
        <f t="shared" si="102"/>
        <v>145905551374.5502</v>
      </c>
      <c r="J494" s="28">
        <v>0.47399999999999998</v>
      </c>
      <c r="K494">
        <f t="shared" si="103"/>
        <v>145905662647.17944</v>
      </c>
      <c r="M494">
        <f t="shared" si="104"/>
        <v>9452.5381798885119</v>
      </c>
      <c r="N494" s="28">
        <v>0.47399999999999998</v>
      </c>
      <c r="O494">
        <f t="shared" si="105"/>
        <v>1865.822760950226</v>
      </c>
      <c r="Q494">
        <f t="shared" si="106"/>
        <v>46919454738.456047</v>
      </c>
      <c r="R494" s="28">
        <v>0.47399999999999998</v>
      </c>
      <c r="S494">
        <f t="shared" si="107"/>
        <v>46919460637.152679</v>
      </c>
      <c r="U494">
        <f t="shared" si="108"/>
        <v>9093167.6907615773</v>
      </c>
      <c r="V494" s="48">
        <v>0.47399999999999998</v>
      </c>
      <c r="W494">
        <f t="shared" si="109"/>
        <v>9111792.1554498225</v>
      </c>
      <c r="Y494">
        <f t="shared" si="110"/>
        <v>6032.230033215109</v>
      </c>
      <c r="Z494" s="28">
        <v>0.47399999999999998</v>
      </c>
      <c r="AA494">
        <f t="shared" si="111"/>
        <v>1265.6469593817831</v>
      </c>
    </row>
    <row r="495" spans="1:27" x14ac:dyDescent="0.2">
      <c r="A495">
        <f t="shared" si="98"/>
        <v>101966241354.36984</v>
      </c>
      <c r="B495" s="28">
        <v>0.47499999999999998</v>
      </c>
      <c r="C495">
        <f t="shared" si="99"/>
        <v>101966347328.30246</v>
      </c>
      <c r="E495">
        <f t="shared" si="100"/>
        <v>9516.2334931385103</v>
      </c>
      <c r="F495" s="28">
        <v>0.47499999999999998</v>
      </c>
      <c r="G495">
        <f t="shared" si="101"/>
        <v>1263.1578790888573</v>
      </c>
      <c r="I495">
        <f t="shared" si="102"/>
        <v>150400251036.61688</v>
      </c>
      <c r="J495" s="28">
        <v>0.47499999999999998</v>
      </c>
      <c r="K495">
        <f t="shared" si="103"/>
        <v>150400362309.24612</v>
      </c>
      <c r="M495">
        <f t="shared" si="104"/>
        <v>9455.2030691826731</v>
      </c>
      <c r="N495" s="28">
        <v>0.47499999999999998</v>
      </c>
      <c r="O495">
        <f t="shared" si="105"/>
        <v>1863.1578716560646</v>
      </c>
      <c r="Q495">
        <f t="shared" si="106"/>
        <v>48434009682.247032</v>
      </c>
      <c r="R495" s="28">
        <v>0.47499999999999998</v>
      </c>
      <c r="S495">
        <f t="shared" si="107"/>
        <v>48434015580.943665</v>
      </c>
      <c r="U495">
        <f t="shared" si="108"/>
        <v>9245991.0778635535</v>
      </c>
      <c r="V495" s="48">
        <v>0.47499999999999998</v>
      </c>
      <c r="W495">
        <f t="shared" si="109"/>
        <v>9264615.5425517987</v>
      </c>
      <c r="Y495">
        <f t="shared" si="110"/>
        <v>6034.8912960852394</v>
      </c>
      <c r="Z495" s="28">
        <v>0.47499999999999998</v>
      </c>
      <c r="AA495">
        <f t="shared" si="111"/>
        <v>1262.9856965116528</v>
      </c>
    </row>
    <row r="496" spans="1:27" x14ac:dyDescent="0.2">
      <c r="A496">
        <f t="shared" si="98"/>
        <v>105034312253.81308</v>
      </c>
      <c r="B496" s="28">
        <v>0.47599999999999998</v>
      </c>
      <c r="C496">
        <f t="shared" si="99"/>
        <v>105034418227.7457</v>
      </c>
      <c r="E496">
        <f t="shared" si="100"/>
        <v>9518.8871856738406</v>
      </c>
      <c r="F496" s="28">
        <v>0.47599999999999998</v>
      </c>
      <c r="G496">
        <f t="shared" si="101"/>
        <v>1260.5041865535277</v>
      </c>
      <c r="I496">
        <f t="shared" si="102"/>
        <v>155030690031.52341</v>
      </c>
      <c r="J496" s="28">
        <v>0.47599999999999998</v>
      </c>
      <c r="K496">
        <f t="shared" si="103"/>
        <v>155030801304.15265</v>
      </c>
      <c r="M496">
        <f t="shared" si="104"/>
        <v>9457.8567614857311</v>
      </c>
      <c r="N496" s="28">
        <v>0.47599999999999998</v>
      </c>
      <c r="O496">
        <f t="shared" si="105"/>
        <v>1860.5041793530072</v>
      </c>
      <c r="Q496">
        <f t="shared" si="106"/>
        <v>49996377777.71032</v>
      </c>
      <c r="R496" s="28">
        <v>0.47599999999999998</v>
      </c>
      <c r="S496">
        <f t="shared" si="107"/>
        <v>49996383676.406952</v>
      </c>
      <c r="U496">
        <f t="shared" si="108"/>
        <v>9401418.9255430009</v>
      </c>
      <c r="V496" s="48">
        <v>0.47599999999999998</v>
      </c>
      <c r="W496">
        <f t="shared" si="109"/>
        <v>9420043.3902312461</v>
      </c>
      <c r="Y496">
        <f t="shared" si="110"/>
        <v>6037.5414375133632</v>
      </c>
      <c r="Z496" s="28">
        <v>0.47599999999999998</v>
      </c>
      <c r="AA496">
        <f t="shared" si="111"/>
        <v>1260.3355550835283</v>
      </c>
    </row>
    <row r="497" spans="1:27" x14ac:dyDescent="0.2">
      <c r="A497">
        <f t="shared" si="98"/>
        <v>108192849590.60951</v>
      </c>
      <c r="B497" s="28">
        <v>0.47699999999999998</v>
      </c>
      <c r="C497">
        <f t="shared" si="99"/>
        <v>108192955564.54213</v>
      </c>
      <c r="E497">
        <f t="shared" si="100"/>
        <v>9521.5297516312621</v>
      </c>
      <c r="F497" s="28">
        <v>0.47699999999999998</v>
      </c>
      <c r="G497">
        <f t="shared" si="101"/>
        <v>1257.8616205961066</v>
      </c>
      <c r="I497">
        <f t="shared" si="102"/>
        <v>159800884096.19946</v>
      </c>
      <c r="J497" s="28">
        <v>0.47699999999999998</v>
      </c>
      <c r="K497">
        <f t="shared" si="103"/>
        <v>159800995368.8287</v>
      </c>
      <c r="M497">
        <f t="shared" si="104"/>
        <v>9460.4993272182892</v>
      </c>
      <c r="N497" s="28">
        <v>0.47699999999999998</v>
      </c>
      <c r="O497">
        <f t="shared" si="105"/>
        <v>1857.8616136204491</v>
      </c>
      <c r="Q497">
        <f t="shared" si="106"/>
        <v>51608034505.589958</v>
      </c>
      <c r="R497" s="28">
        <v>0.47699999999999998</v>
      </c>
      <c r="S497">
        <f t="shared" si="107"/>
        <v>51608040404.286591</v>
      </c>
      <c r="U497">
        <f t="shared" si="108"/>
        <v>9559496.1321825627</v>
      </c>
      <c r="V497" s="48">
        <v>0.47699999999999998</v>
      </c>
      <c r="W497">
        <f t="shared" si="109"/>
        <v>9578120.5968708079</v>
      </c>
      <c r="Y497">
        <f t="shared" si="110"/>
        <v>6040.1805263279894</v>
      </c>
      <c r="Z497" s="28">
        <v>0.47699999999999998</v>
      </c>
      <c r="AA497">
        <f t="shared" si="111"/>
        <v>1257.6964662689029</v>
      </c>
    </row>
    <row r="498" spans="1:27" x14ac:dyDescent="0.2">
      <c r="A498">
        <f t="shared" si="98"/>
        <v>111444465431.45819</v>
      </c>
      <c r="B498" s="28">
        <v>0.47799999999999998</v>
      </c>
      <c r="C498">
        <f t="shared" si="99"/>
        <v>111444571405.39081</v>
      </c>
      <c r="E498">
        <f t="shared" si="100"/>
        <v>9524.1612608423493</v>
      </c>
      <c r="F498" s="28">
        <v>0.47799999999999998</v>
      </c>
      <c r="G498">
        <f t="shared" si="101"/>
        <v>1255.2301113850187</v>
      </c>
      <c r="I498">
        <f t="shared" si="102"/>
        <v>164714965264.53836</v>
      </c>
      <c r="J498" s="28">
        <v>0.47799999999999998</v>
      </c>
      <c r="K498">
        <f t="shared" si="103"/>
        <v>164715076537.1676</v>
      </c>
      <c r="M498">
        <f t="shared" si="104"/>
        <v>9463.1308362116797</v>
      </c>
      <c r="N498" s="28">
        <v>0.47799999999999998</v>
      </c>
      <c r="O498">
        <f t="shared" si="105"/>
        <v>1855.2301046270579</v>
      </c>
      <c r="Q498">
        <f t="shared" si="106"/>
        <v>53270499833.08017</v>
      </c>
      <c r="R498" s="28">
        <v>0.47799999999999998</v>
      </c>
      <c r="S498">
        <f t="shared" si="107"/>
        <v>53270505731.776802</v>
      </c>
      <c r="U498">
        <f t="shared" si="108"/>
        <v>9720268.3770765997</v>
      </c>
      <c r="V498" s="48">
        <v>0.47799999999999998</v>
      </c>
      <c r="W498">
        <f t="shared" si="109"/>
        <v>9738892.841764845</v>
      </c>
      <c r="Y498">
        <f t="shared" si="110"/>
        <v>6042.8086308023558</v>
      </c>
      <c r="Z498" s="28">
        <v>0.47799999999999998</v>
      </c>
      <c r="AA498">
        <f t="shared" si="111"/>
        <v>1255.0683617945363</v>
      </c>
    </row>
    <row r="499" spans="1:27" x14ac:dyDescent="0.2">
      <c r="A499">
        <f t="shared" si="98"/>
        <v>114791845638.4234</v>
      </c>
      <c r="B499" s="28">
        <v>0.47899999999999998</v>
      </c>
      <c r="C499">
        <f t="shared" si="99"/>
        <v>114791951612.35602</v>
      </c>
      <c r="E499">
        <f t="shared" si="100"/>
        <v>9526.7817825555503</v>
      </c>
      <c r="F499" s="28">
        <v>0.47899999999999998</v>
      </c>
      <c r="G499">
        <f t="shared" si="101"/>
        <v>1252.6095896718184</v>
      </c>
      <c r="I499">
        <f t="shared" si="102"/>
        <v>169777185162.04532</v>
      </c>
      <c r="J499" s="28">
        <v>0.47899999999999998</v>
      </c>
      <c r="K499">
        <f t="shared" si="103"/>
        <v>169777296434.67456</v>
      </c>
      <c r="M499">
        <f t="shared" si="104"/>
        <v>9465.7513577141181</v>
      </c>
      <c r="N499" s="28">
        <v>0.47899999999999998</v>
      </c>
      <c r="O499">
        <f t="shared" si="105"/>
        <v>1852.6095831246193</v>
      </c>
      <c r="Q499">
        <f t="shared" si="106"/>
        <v>54985339523.621895</v>
      </c>
      <c r="R499" s="28">
        <v>0.47899999999999998</v>
      </c>
      <c r="S499">
        <f t="shared" si="107"/>
        <v>54985345422.318527</v>
      </c>
      <c r="U499">
        <f t="shared" si="108"/>
        <v>9883782.1341110282</v>
      </c>
      <c r="V499" s="48">
        <v>0.47899999999999998</v>
      </c>
      <c r="W499">
        <f t="shared" si="109"/>
        <v>9902406.5987992734</v>
      </c>
      <c r="Y499">
        <f t="shared" si="110"/>
        <v>6045.425818659849</v>
      </c>
      <c r="Z499" s="28">
        <v>0.47899999999999998</v>
      </c>
      <c r="AA499">
        <f t="shared" si="111"/>
        <v>1252.4511739370423</v>
      </c>
    </row>
    <row r="500" spans="1:27" x14ac:dyDescent="0.2">
      <c r="A500">
        <f t="shared" si="98"/>
        <v>118237751907.39267</v>
      </c>
      <c r="B500" s="28">
        <v>0.48</v>
      </c>
      <c r="C500">
        <f t="shared" si="99"/>
        <v>118237857881.32529</v>
      </c>
      <c r="E500">
        <f t="shared" si="100"/>
        <v>9529.3913854422553</v>
      </c>
      <c r="F500" s="28">
        <v>0.48</v>
      </c>
      <c r="G500">
        <f t="shared" si="101"/>
        <v>1249.9999867851127</v>
      </c>
      <c r="I500">
        <f t="shared" si="102"/>
        <v>174991918391.73218</v>
      </c>
      <c r="J500" s="28">
        <v>0.48</v>
      </c>
      <c r="K500">
        <f t="shared" si="103"/>
        <v>174992029664.36142</v>
      </c>
      <c r="M500">
        <f t="shared" si="104"/>
        <v>9468.3609603967707</v>
      </c>
      <c r="N500" s="28">
        <v>0.48</v>
      </c>
      <c r="O500">
        <f t="shared" si="105"/>
        <v>1849.9999804419667</v>
      </c>
      <c r="Q500">
        <f t="shared" si="106"/>
        <v>56754166484.3395</v>
      </c>
      <c r="R500" s="28">
        <v>0.48</v>
      </c>
      <c r="S500">
        <f t="shared" si="107"/>
        <v>56754172383.036133</v>
      </c>
      <c r="U500">
        <f t="shared" si="108"/>
        <v>10050084.685684461</v>
      </c>
      <c r="V500" s="48">
        <v>0.48</v>
      </c>
      <c r="W500">
        <f t="shared" si="109"/>
        <v>10068709.150372706</v>
      </c>
      <c r="Y500">
        <f t="shared" si="110"/>
        <v>6048.0321570793558</v>
      </c>
      <c r="Z500" s="28">
        <v>0.48</v>
      </c>
      <c r="AA500">
        <f t="shared" si="111"/>
        <v>1249.844835517536</v>
      </c>
    </row>
    <row r="501" spans="1:27" x14ac:dyDescent="0.2">
      <c r="A501">
        <f t="shared" si="98"/>
        <v>121785023861.54964</v>
      </c>
      <c r="B501" s="28">
        <v>0.48099999999999998</v>
      </c>
      <c r="C501">
        <f t="shared" si="99"/>
        <v>121785129835.48225</v>
      </c>
      <c r="E501">
        <f t="shared" si="100"/>
        <v>9531.9901376028029</v>
      </c>
      <c r="F501" s="28">
        <v>0.48099999999999998</v>
      </c>
      <c r="G501">
        <f t="shared" si="101"/>
        <v>1247.4012346245656</v>
      </c>
      <c r="I501">
        <f t="shared" si="102"/>
        <v>180363666013.71997</v>
      </c>
      <c r="J501" s="28">
        <v>0.48099999999999998</v>
      </c>
      <c r="K501">
        <f t="shared" si="103"/>
        <v>180363777286.34921</v>
      </c>
      <c r="M501">
        <f t="shared" si="104"/>
        <v>9470.9597123597559</v>
      </c>
      <c r="N501" s="28">
        <v>0.48099999999999998</v>
      </c>
      <c r="O501">
        <f t="shared" si="105"/>
        <v>1847.4012284789815</v>
      </c>
      <c r="Q501">
        <f t="shared" si="106"/>
        <v>58578642152.170326</v>
      </c>
      <c r="R501" s="28">
        <v>0.48099999999999998</v>
      </c>
      <c r="S501">
        <f t="shared" si="107"/>
        <v>58578648050.866959</v>
      </c>
      <c r="U501">
        <f t="shared" si="108"/>
        <v>10219224.136874419</v>
      </c>
      <c r="V501" s="48">
        <v>0.48099999999999998</v>
      </c>
      <c r="W501">
        <f t="shared" si="109"/>
        <v>10237848.601562664</v>
      </c>
      <c r="Y501">
        <f t="shared" si="110"/>
        <v>6050.6277127005478</v>
      </c>
      <c r="Z501" s="28">
        <v>0.48099999999999998</v>
      </c>
      <c r="AA501">
        <f t="shared" si="111"/>
        <v>1247.2492798963438</v>
      </c>
    </row>
    <row r="502" spans="1:27" x14ac:dyDescent="0.2">
      <c r="A502">
        <f t="shared" si="98"/>
        <v>125436581201.30656</v>
      </c>
      <c r="B502" s="28">
        <v>0.48199999999999998</v>
      </c>
      <c r="C502">
        <f t="shared" si="99"/>
        <v>125436687175.23918</v>
      </c>
      <c r="E502">
        <f t="shared" si="100"/>
        <v>9534.5781065723932</v>
      </c>
      <c r="F502" s="28">
        <v>0.48199999999999998</v>
      </c>
      <c r="G502">
        <f t="shared" si="101"/>
        <v>1244.8132656549744</v>
      </c>
      <c r="I502">
        <f t="shared" si="102"/>
        <v>185897059121.07523</v>
      </c>
      <c r="J502" s="28">
        <v>0.48199999999999998</v>
      </c>
      <c r="K502">
        <f t="shared" si="103"/>
        <v>185897170393.70447</v>
      </c>
      <c r="M502">
        <f t="shared" si="104"/>
        <v>9473.5476811380668</v>
      </c>
      <c r="N502" s="28">
        <v>0.48199999999999998</v>
      </c>
      <c r="O502">
        <f t="shared" si="105"/>
        <v>1844.8132597006722</v>
      </c>
      <c r="Q502">
        <f t="shared" si="106"/>
        <v>60460477919.768654</v>
      </c>
      <c r="R502" s="28">
        <v>0.48199999999999998</v>
      </c>
      <c r="S502">
        <f t="shared" si="107"/>
        <v>60460483818.465286</v>
      </c>
      <c r="U502">
        <f t="shared" si="108"/>
        <v>10391249.429853519</v>
      </c>
      <c r="V502" s="48">
        <v>0.48199999999999998</v>
      </c>
      <c r="W502">
        <f t="shared" si="109"/>
        <v>10409873.894541765</v>
      </c>
      <c r="Y502">
        <f t="shared" si="110"/>
        <v>6053.2125516291253</v>
      </c>
      <c r="Z502" s="28">
        <v>0.48199999999999998</v>
      </c>
      <c r="AA502">
        <f t="shared" si="111"/>
        <v>1244.6644409677663</v>
      </c>
    </row>
    <row r="503" spans="1:27" x14ac:dyDescent="0.2">
      <c r="A503">
        <f t="shared" si="98"/>
        <v>129195425912.19156</v>
      </c>
      <c r="B503" s="28">
        <v>0.48299999999999998</v>
      </c>
      <c r="C503">
        <f t="shared" si="99"/>
        <v>129195531886.12418</v>
      </c>
      <c r="E503">
        <f t="shared" si="100"/>
        <v>9537.1553593269491</v>
      </c>
      <c r="F503" s="28">
        <v>0.48299999999999998</v>
      </c>
      <c r="G503">
        <f t="shared" si="101"/>
        <v>1242.2360129004196</v>
      </c>
      <c r="I503">
        <f t="shared" si="102"/>
        <v>191596862514.49292</v>
      </c>
      <c r="J503" s="28">
        <v>0.48299999999999998</v>
      </c>
      <c r="K503">
        <f t="shared" si="103"/>
        <v>191596973787.12216</v>
      </c>
      <c r="M503">
        <f t="shared" si="104"/>
        <v>9476.124933707415</v>
      </c>
      <c r="N503" s="28">
        <v>0.48299999999999998</v>
      </c>
      <c r="O503">
        <f t="shared" si="105"/>
        <v>1842.2360071313224</v>
      </c>
      <c r="Q503">
        <f t="shared" si="106"/>
        <v>62401436602.301346</v>
      </c>
      <c r="R503" s="28">
        <v>0.48299999999999998</v>
      </c>
      <c r="S503">
        <f t="shared" si="107"/>
        <v>62401442500.997978</v>
      </c>
      <c r="U503">
        <f t="shared" si="108"/>
        <v>10566210.358559463</v>
      </c>
      <c r="V503" s="48">
        <v>0.48299999999999998</v>
      </c>
      <c r="W503">
        <f t="shared" si="109"/>
        <v>10584834.823247708</v>
      </c>
      <c r="Y503">
        <f t="shared" si="110"/>
        <v>6055.7867394419845</v>
      </c>
      <c r="Z503" s="28">
        <v>0.48299999999999998</v>
      </c>
      <c r="AA503">
        <f t="shared" si="111"/>
        <v>1242.0902531549075</v>
      </c>
    </row>
    <row r="504" spans="1:27" x14ac:dyDescent="0.2">
      <c r="A504">
        <f t="shared" si="98"/>
        <v>133064644532.213</v>
      </c>
      <c r="B504" s="28">
        <v>0.48399999999999999</v>
      </c>
      <c r="C504">
        <f t="shared" si="99"/>
        <v>133064750506.14561</v>
      </c>
      <c r="E504">
        <f t="shared" si="100"/>
        <v>9539.7219622888806</v>
      </c>
      <c r="F504" s="28">
        <v>0.48399999999999999</v>
      </c>
      <c r="G504">
        <f t="shared" si="101"/>
        <v>1239.6694099384872</v>
      </c>
      <c r="I504">
        <f t="shared" si="102"/>
        <v>197467978478.49084</v>
      </c>
      <c r="J504" s="28">
        <v>0.48399999999999999</v>
      </c>
      <c r="K504">
        <f t="shared" si="103"/>
        <v>197468089751.12009</v>
      </c>
      <c r="M504">
        <f t="shared" si="104"/>
        <v>9478.6915364900233</v>
      </c>
      <c r="N504" s="28">
        <v>0.48399999999999999</v>
      </c>
      <c r="O504">
        <f t="shared" si="105"/>
        <v>1839.669404348715</v>
      </c>
      <c r="Q504">
        <f t="shared" si="106"/>
        <v>64403333946.27784</v>
      </c>
      <c r="R504" s="28">
        <v>0.48399999999999999</v>
      </c>
      <c r="S504">
        <f t="shared" si="107"/>
        <v>64403339844.974472</v>
      </c>
      <c r="U504">
        <f t="shared" si="108"/>
        <v>10744157.583623961</v>
      </c>
      <c r="V504" s="48">
        <v>0.48399999999999999</v>
      </c>
      <c r="W504">
        <f t="shared" si="109"/>
        <v>10762782.048312206</v>
      </c>
      <c r="Y504">
        <f t="shared" si="110"/>
        <v>6058.3503411923366</v>
      </c>
      <c r="Z504" s="28">
        <v>0.48399999999999999</v>
      </c>
      <c r="AA504">
        <f t="shared" si="111"/>
        <v>1239.5266514045552</v>
      </c>
    </row>
    <row r="505" spans="1:27" x14ac:dyDescent="0.2">
      <c r="A505">
        <f t="shared" si="98"/>
        <v>137047410480.26665</v>
      </c>
      <c r="B505" s="28">
        <v>0.48499999999999999</v>
      </c>
      <c r="C505">
        <f t="shared" si="99"/>
        <v>137047516454.19926</v>
      </c>
      <c r="E505">
        <f t="shared" si="100"/>
        <v>9542.2779813328034</v>
      </c>
      <c r="F505" s="28">
        <v>0.48499999999999999</v>
      </c>
      <c r="G505">
        <f t="shared" si="101"/>
        <v>1237.1133908945642</v>
      </c>
      <c r="I505">
        <f t="shared" si="102"/>
        <v>203515450661.85666</v>
      </c>
      <c r="J505" s="28">
        <v>0.48499999999999999</v>
      </c>
      <c r="K505">
        <f t="shared" si="103"/>
        <v>203515561934.4859</v>
      </c>
      <c r="M505">
        <f t="shared" si="104"/>
        <v>9481.2475553603108</v>
      </c>
      <c r="N505" s="28">
        <v>0.48499999999999999</v>
      </c>
      <c r="O505">
        <f t="shared" si="105"/>
        <v>1837.1133854784277</v>
      </c>
      <c r="Q505">
        <f t="shared" si="106"/>
        <v>66468040181.590012</v>
      </c>
      <c r="R505" s="28">
        <v>0.48499999999999999</v>
      </c>
      <c r="S505">
        <f t="shared" si="107"/>
        <v>66468046080.286644</v>
      </c>
      <c r="U505">
        <f t="shared" si="108"/>
        <v>10925142.64756451</v>
      </c>
      <c r="V505" s="48">
        <v>0.48499999999999999</v>
      </c>
      <c r="W505">
        <f t="shared" si="109"/>
        <v>10943767.112252755</v>
      </c>
      <c r="Y505">
        <f t="shared" si="110"/>
        <v>6060.9034214147696</v>
      </c>
      <c r="Z505" s="28">
        <v>0.48499999999999999</v>
      </c>
      <c r="AA505">
        <f t="shared" si="111"/>
        <v>1236.9735711821222</v>
      </c>
    </row>
    <row r="506" spans="1:27" x14ac:dyDescent="0.2">
      <c r="A506">
        <f t="shared" si="98"/>
        <v>141146986447.18207</v>
      </c>
      <c r="B506" s="28">
        <v>0.48599999999999999</v>
      </c>
      <c r="C506">
        <f t="shared" si="99"/>
        <v>141147092421.11469</v>
      </c>
      <c r="E506">
        <f t="shared" si="100"/>
        <v>9544.8234817911652</v>
      </c>
      <c r="F506" s="28">
        <v>0.48599999999999999</v>
      </c>
      <c r="G506">
        <f t="shared" si="101"/>
        <v>1234.5678904362026</v>
      </c>
      <c r="I506">
        <f t="shared" si="102"/>
        <v>209744468065.14719</v>
      </c>
      <c r="J506" s="28">
        <v>0.48599999999999999</v>
      </c>
      <c r="K506">
        <f t="shared" si="103"/>
        <v>209744579337.77643</v>
      </c>
      <c r="M506">
        <f t="shared" si="104"/>
        <v>9483.7930556505416</v>
      </c>
      <c r="N506" s="28">
        <v>0.48599999999999999</v>
      </c>
      <c r="O506">
        <f t="shared" si="105"/>
        <v>1834.5678851881969</v>
      </c>
      <c r="Q506">
        <f t="shared" si="106"/>
        <v>68597481617.965103</v>
      </c>
      <c r="R506" s="28">
        <v>0.48599999999999999</v>
      </c>
      <c r="S506">
        <f t="shared" si="107"/>
        <v>68597487516.661736</v>
      </c>
      <c r="U506">
        <f t="shared" si="108"/>
        <v>11109217.990244372</v>
      </c>
      <c r="V506" s="48">
        <v>0.48599999999999999</v>
      </c>
      <c r="W506">
        <f t="shared" si="109"/>
        <v>11127842.454932617</v>
      </c>
      <c r="Y506">
        <f t="shared" si="110"/>
        <v>6063.4460441302517</v>
      </c>
      <c r="Z506" s="28">
        <v>0.48599999999999999</v>
      </c>
      <c r="AA506">
        <f t="shared" si="111"/>
        <v>1234.4309484666401</v>
      </c>
    </row>
    <row r="507" spans="1:27" x14ac:dyDescent="0.2">
      <c r="A507">
        <f t="shared" si="98"/>
        <v>145366726851.06195</v>
      </c>
      <c r="B507" s="28">
        <v>0.48699999999999999</v>
      </c>
      <c r="C507">
        <f t="shared" si="99"/>
        <v>145366832824.99457</v>
      </c>
      <c r="E507">
        <f t="shared" si="100"/>
        <v>9547.3585284598157</v>
      </c>
      <c r="F507" s="28">
        <v>0.48699999999999999</v>
      </c>
      <c r="G507">
        <f t="shared" si="101"/>
        <v>1232.0328437675525</v>
      </c>
      <c r="I507">
        <f t="shared" si="102"/>
        <v>216160369138.13766</v>
      </c>
      <c r="J507" s="28">
        <v>0.48699999999999999</v>
      </c>
      <c r="K507">
        <f t="shared" si="103"/>
        <v>216160480410.76691</v>
      </c>
      <c r="M507">
        <f t="shared" si="104"/>
        <v>9486.3281021563871</v>
      </c>
      <c r="N507" s="28">
        <v>0.48699999999999999</v>
      </c>
      <c r="O507">
        <f t="shared" si="105"/>
        <v>1832.0328386823505</v>
      </c>
      <c r="Q507">
        <f t="shared" si="106"/>
        <v>70793642287.075729</v>
      </c>
      <c r="R507" s="28">
        <v>0.48699999999999999</v>
      </c>
      <c r="S507">
        <f t="shared" si="107"/>
        <v>70793648185.772354</v>
      </c>
      <c r="U507">
        <f t="shared" si="108"/>
        <v>11296436.964604806</v>
      </c>
      <c r="V507" s="48">
        <v>0.48699999999999999</v>
      </c>
      <c r="W507">
        <f t="shared" si="109"/>
        <v>11315061.429293051</v>
      </c>
      <c r="Y507">
        <f t="shared" si="110"/>
        <v>6065.9782728510781</v>
      </c>
      <c r="Z507" s="28">
        <v>0.48699999999999999</v>
      </c>
      <c r="AA507">
        <f t="shared" si="111"/>
        <v>1231.8987197458132</v>
      </c>
    </row>
    <row r="508" spans="1:27" x14ac:dyDescent="0.2">
      <c r="A508">
        <f t="shared" si="98"/>
        <v>149710080358.60397</v>
      </c>
      <c r="B508" s="28">
        <v>0.48799999999999999</v>
      </c>
      <c r="C508">
        <f t="shared" si="99"/>
        <v>149710186332.53659</v>
      </c>
      <c r="E508">
        <f t="shared" si="100"/>
        <v>9549.8831856035013</v>
      </c>
      <c r="F508" s="28">
        <v>0.48799999999999999</v>
      </c>
      <c r="G508">
        <f t="shared" si="101"/>
        <v>1229.5081866238663</v>
      </c>
      <c r="I508">
        <f t="shared" si="102"/>
        <v>222768645990.18518</v>
      </c>
      <c r="J508" s="28">
        <v>0.48799999999999999</v>
      </c>
      <c r="K508">
        <f t="shared" si="103"/>
        <v>222768757262.81442</v>
      </c>
      <c r="M508">
        <f t="shared" si="104"/>
        <v>9488.8527591424245</v>
      </c>
      <c r="N508" s="28">
        <v>0.48799999999999999</v>
      </c>
      <c r="O508">
        <f t="shared" si="105"/>
        <v>1829.5081816963132</v>
      </c>
      <c r="Q508">
        <f t="shared" si="106"/>
        <v>73058565631.581223</v>
      </c>
      <c r="R508" s="28">
        <v>0.48799999999999999</v>
      </c>
      <c r="S508">
        <f t="shared" si="107"/>
        <v>73058571530.277847</v>
      </c>
      <c r="U508">
        <f t="shared" si="108"/>
        <v>11486853.852675084</v>
      </c>
      <c r="V508" s="48">
        <v>0.48799999999999999</v>
      </c>
      <c r="W508">
        <f t="shared" si="109"/>
        <v>11505478.317363329</v>
      </c>
      <c r="Y508">
        <f t="shared" si="110"/>
        <v>6068.5001705857685</v>
      </c>
      <c r="Z508" s="28">
        <v>0.48799999999999999</v>
      </c>
      <c r="AA508">
        <f t="shared" si="111"/>
        <v>1229.3768220111233</v>
      </c>
    </row>
    <row r="509" spans="1:27" x14ac:dyDescent="0.2">
      <c r="A509">
        <f t="shared" si="98"/>
        <v>154180592474.12827</v>
      </c>
      <c r="B509" s="28">
        <v>0.48899999999999999</v>
      </c>
      <c r="C509">
        <f t="shared" si="99"/>
        <v>154180698448.06088</v>
      </c>
      <c r="E509">
        <f t="shared" si="100"/>
        <v>9552.3975169613004</v>
      </c>
      <c r="F509" s="28">
        <v>0.48899999999999999</v>
      </c>
      <c r="G509">
        <f t="shared" si="101"/>
        <v>1226.9938552660678</v>
      </c>
      <c r="I509">
        <f t="shared" si="102"/>
        <v>229574948716.53345</v>
      </c>
      <c r="J509" s="28">
        <v>0.48899999999999999</v>
      </c>
      <c r="K509">
        <f t="shared" si="103"/>
        <v>229575059989.16269</v>
      </c>
      <c r="M509">
        <f t="shared" si="104"/>
        <v>9491.3670903475631</v>
      </c>
      <c r="N509" s="28">
        <v>0.48899999999999999</v>
      </c>
      <c r="O509">
        <f t="shared" si="105"/>
        <v>1826.993850491175</v>
      </c>
      <c r="Q509">
        <f t="shared" si="106"/>
        <v>75394356242.405151</v>
      </c>
      <c r="R509" s="28">
        <v>0.48899999999999999</v>
      </c>
      <c r="S509">
        <f t="shared" si="107"/>
        <v>75394362141.101776</v>
      </c>
      <c r="U509">
        <f t="shared" si="108"/>
        <v>11680523.881864494</v>
      </c>
      <c r="V509" s="48">
        <v>0.48899999999999999</v>
      </c>
      <c r="W509">
        <f t="shared" si="109"/>
        <v>11699148.346552739</v>
      </c>
      <c r="Y509">
        <f t="shared" si="110"/>
        <v>6071.0117998439018</v>
      </c>
      <c r="Z509" s="28">
        <v>0.48899999999999999</v>
      </c>
      <c r="AA509">
        <f t="shared" si="111"/>
        <v>1226.8651927529897</v>
      </c>
    </row>
    <row r="510" spans="1:27" x14ac:dyDescent="0.2">
      <c r="A510">
        <f t="shared" si="98"/>
        <v>158781908198.08801</v>
      </c>
      <c r="B510" s="28">
        <v>0.49</v>
      </c>
      <c r="C510">
        <f t="shared" si="99"/>
        <v>158782014172.02063</v>
      </c>
      <c r="E510">
        <f t="shared" si="100"/>
        <v>9554.9015857519807</v>
      </c>
      <c r="F510" s="28">
        <v>0.49</v>
      </c>
      <c r="G510">
        <f t="shared" si="101"/>
        <v>1224.4897864753882</v>
      </c>
      <c r="I510">
        <f t="shared" si="102"/>
        <v>236585089843.68149</v>
      </c>
      <c r="J510" s="28">
        <v>0.49</v>
      </c>
      <c r="K510">
        <f t="shared" si="103"/>
        <v>236585201116.31073</v>
      </c>
      <c r="M510">
        <f t="shared" si="104"/>
        <v>9493.8711589904105</v>
      </c>
      <c r="N510" s="28">
        <v>0.49</v>
      </c>
      <c r="O510">
        <f t="shared" si="105"/>
        <v>1824.4897818483284</v>
      </c>
      <c r="Q510">
        <f t="shared" si="106"/>
        <v>77803181645.593475</v>
      </c>
      <c r="R510" s="28">
        <v>0.49</v>
      </c>
      <c r="S510">
        <f t="shared" si="107"/>
        <v>77803187544.2901</v>
      </c>
      <c r="U510">
        <f t="shared" si="108"/>
        <v>11877503.241542069</v>
      </c>
      <c r="V510" s="48">
        <v>0.49</v>
      </c>
      <c r="W510">
        <f t="shared" si="109"/>
        <v>11896127.706230314</v>
      </c>
      <c r="Y510">
        <f t="shared" si="110"/>
        <v>6073.5132226409069</v>
      </c>
      <c r="Z510" s="28">
        <v>0.49</v>
      </c>
      <c r="AA510">
        <f t="shared" si="111"/>
        <v>1224.3637699559847</v>
      </c>
    </row>
    <row r="511" spans="1:27" x14ac:dyDescent="0.2">
      <c r="A511">
        <f t="shared" si="98"/>
        <v>163517774756.8862</v>
      </c>
      <c r="B511" s="28">
        <v>0.49099999999999999</v>
      </c>
      <c r="C511">
        <f t="shared" si="99"/>
        <v>163517880730.81882</v>
      </c>
      <c r="E511">
        <f t="shared" si="100"/>
        <v>9557.3954546792993</v>
      </c>
      <c r="F511" s="28">
        <v>0.49099999999999999</v>
      </c>
      <c r="G511">
        <f t="shared" si="101"/>
        <v>1221.9959175480685</v>
      </c>
      <c r="I511">
        <f t="shared" si="102"/>
        <v>243805048897.02158</v>
      </c>
      <c r="J511" s="28">
        <v>0.49099999999999999</v>
      </c>
      <c r="K511">
        <f t="shared" si="103"/>
        <v>243805160169.65082</v>
      </c>
      <c r="M511">
        <f t="shared" si="104"/>
        <v>9496.3650277745674</v>
      </c>
      <c r="N511" s="28">
        <v>0.49099999999999999</v>
      </c>
      <c r="O511">
        <f t="shared" si="105"/>
        <v>1821.9959130641703</v>
      </c>
      <c r="Q511">
        <f t="shared" si="106"/>
        <v>80287274140.135406</v>
      </c>
      <c r="R511" s="28">
        <v>0.49099999999999999</v>
      </c>
      <c r="S511">
        <f t="shared" si="107"/>
        <v>80287280038.832031</v>
      </c>
      <c r="U511">
        <f t="shared" si="108"/>
        <v>12077849.099908372</v>
      </c>
      <c r="V511" s="48">
        <v>0.49099999999999999</v>
      </c>
      <c r="W511">
        <f t="shared" si="109"/>
        <v>12096473.564596618</v>
      </c>
      <c r="Y511">
        <f t="shared" si="110"/>
        <v>6076.0045005027923</v>
      </c>
      <c r="Z511" s="28">
        <v>0.49099999999999999</v>
      </c>
      <c r="AA511">
        <f t="shared" si="111"/>
        <v>1221.8724920940992</v>
      </c>
    </row>
    <row r="512" spans="1:27" x14ac:dyDescent="0.2">
      <c r="A512">
        <f t="shared" si="98"/>
        <v>168392044405.86365</v>
      </c>
      <c r="B512" s="28">
        <v>0.49199999999999999</v>
      </c>
      <c r="C512">
        <f t="shared" si="99"/>
        <v>168392150379.79626</v>
      </c>
      <c r="E512">
        <f t="shared" si="100"/>
        <v>9559.8791859372413</v>
      </c>
      <c r="F512" s="28">
        <v>0.49199999999999999</v>
      </c>
      <c r="G512">
        <f t="shared" si="101"/>
        <v>1219.5121862901265</v>
      </c>
      <c r="I512">
        <f t="shared" si="102"/>
        <v>251240977094.02676</v>
      </c>
      <c r="J512" s="28">
        <v>0.49199999999999999</v>
      </c>
      <c r="K512">
        <f t="shared" si="103"/>
        <v>251241088366.65601</v>
      </c>
      <c r="M512">
        <f t="shared" si="104"/>
        <v>9498.8487588938697</v>
      </c>
      <c r="N512" s="28">
        <v>0.49199999999999999</v>
      </c>
      <c r="O512">
        <f t="shared" si="105"/>
        <v>1819.5121819448686</v>
      </c>
      <c r="Q512">
        <f t="shared" si="106"/>
        <v>82848932688.163132</v>
      </c>
      <c r="R512" s="28">
        <v>0.49199999999999999</v>
      </c>
      <c r="S512">
        <f t="shared" si="107"/>
        <v>82848938586.859756</v>
      </c>
      <c r="U512">
        <f t="shared" si="108"/>
        <v>12281619.621165313</v>
      </c>
      <c r="V512" s="48">
        <v>0.49199999999999999</v>
      </c>
      <c r="W512">
        <f t="shared" si="109"/>
        <v>12300244.085853558</v>
      </c>
      <c r="Y512">
        <f t="shared" si="110"/>
        <v>6078.4856944708299</v>
      </c>
      <c r="Z512" s="28">
        <v>0.49199999999999999</v>
      </c>
      <c r="AA512">
        <f t="shared" si="111"/>
        <v>1219.3912981260617</v>
      </c>
    </row>
    <row r="513" spans="1:27" x14ac:dyDescent="0.2">
      <c r="A513">
        <f t="shared" si="98"/>
        <v>173408677307.37854</v>
      </c>
      <c r="B513" s="28">
        <v>0.49299999999999999</v>
      </c>
      <c r="C513">
        <f t="shared" si="99"/>
        <v>173408783281.31116</v>
      </c>
      <c r="E513">
        <f t="shared" si="100"/>
        <v>9562.3528412151827</v>
      </c>
      <c r="F513" s="28">
        <v>0.49299999999999999</v>
      </c>
      <c r="G513">
        <f t="shared" si="101"/>
        <v>1217.0385310121851</v>
      </c>
      <c r="I513">
        <f t="shared" si="102"/>
        <v>258899202166.36832</v>
      </c>
      <c r="J513" s="28">
        <v>0.49299999999999999</v>
      </c>
      <c r="K513">
        <f t="shared" si="103"/>
        <v>258899313438.99756</v>
      </c>
      <c r="M513">
        <f t="shared" si="104"/>
        <v>9501.322414037546</v>
      </c>
      <c r="N513" s="28">
        <v>0.49299999999999999</v>
      </c>
      <c r="O513">
        <f t="shared" si="105"/>
        <v>1817.0385268011926</v>
      </c>
      <c r="Q513">
        <f t="shared" si="106"/>
        <v>85490524858.989777</v>
      </c>
      <c r="R513" s="28">
        <v>0.49299999999999999</v>
      </c>
      <c r="S513">
        <f t="shared" si="107"/>
        <v>85490530757.686401</v>
      </c>
      <c r="U513">
        <f t="shared" si="108"/>
        <v>12488873.982988469</v>
      </c>
      <c r="V513" s="48">
        <v>0.49299999999999999</v>
      </c>
      <c r="W513">
        <f t="shared" si="109"/>
        <v>12507498.447676715</v>
      </c>
      <c r="Y513">
        <f t="shared" si="110"/>
        <v>6080.9568651061836</v>
      </c>
      <c r="Z513" s="28">
        <v>0.49299999999999999</v>
      </c>
      <c r="AA513">
        <f t="shared" si="111"/>
        <v>1216.920127490708</v>
      </c>
    </row>
    <row r="514" spans="1:27" x14ac:dyDescent="0.2">
      <c r="A514">
        <f t="shared" si="98"/>
        <v>178571744485.93237</v>
      </c>
      <c r="B514" s="28">
        <v>0.49399999999999999</v>
      </c>
      <c r="C514">
        <f t="shared" si="99"/>
        <v>178571850459.86499</v>
      </c>
      <c r="E514">
        <f t="shared" si="100"/>
        <v>9564.8164817029992</v>
      </c>
      <c r="F514" s="28">
        <v>0.49399999999999999</v>
      </c>
      <c r="G514">
        <f t="shared" si="101"/>
        <v>1214.5748905243684</v>
      </c>
      <c r="I514">
        <f t="shared" si="102"/>
        <v>266786233314.40906</v>
      </c>
      <c r="J514" s="28">
        <v>0.49399999999999999</v>
      </c>
      <c r="K514">
        <f t="shared" si="103"/>
        <v>266786344587.0383</v>
      </c>
      <c r="M514">
        <f t="shared" si="104"/>
        <v>9503.786054395332</v>
      </c>
      <c r="N514" s="28">
        <v>0.49399999999999999</v>
      </c>
      <c r="O514">
        <f t="shared" si="105"/>
        <v>1814.5748864434063</v>
      </c>
      <c r="Q514">
        <f t="shared" si="106"/>
        <v>88214488828.476685</v>
      </c>
      <c r="R514" s="28">
        <v>0.49399999999999999</v>
      </c>
      <c r="S514">
        <f t="shared" si="107"/>
        <v>88214494727.173309</v>
      </c>
      <c r="U514">
        <f t="shared" si="108"/>
        <v>12699672.394308072</v>
      </c>
      <c r="V514" s="48">
        <v>0.49399999999999999</v>
      </c>
      <c r="W514">
        <f t="shared" si="109"/>
        <v>12718296.858996317</v>
      </c>
      <c r="Y514">
        <f t="shared" si="110"/>
        <v>6083.4180724944863</v>
      </c>
      <c r="Z514" s="28">
        <v>0.49399999999999999</v>
      </c>
      <c r="AA514">
        <f t="shared" si="111"/>
        <v>1214.4589201024053</v>
      </c>
    </row>
    <row r="515" spans="1:27" x14ac:dyDescent="0.2">
      <c r="A515">
        <f t="shared" si="98"/>
        <v>183885430862.35236</v>
      </c>
      <c r="B515" s="28">
        <v>0.495</v>
      </c>
      <c r="C515">
        <f t="shared" si="99"/>
        <v>183885536836.28497</v>
      </c>
      <c r="E515">
        <f t="shared" si="100"/>
        <v>9567.2701680961145</v>
      </c>
      <c r="F515" s="28">
        <v>0.495</v>
      </c>
      <c r="G515">
        <f t="shared" si="101"/>
        <v>1212.1212041312535</v>
      </c>
      <c r="I515">
        <f t="shared" si="102"/>
        <v>274908766297.61682</v>
      </c>
      <c r="J515" s="28">
        <v>0.495</v>
      </c>
      <c r="K515">
        <f t="shared" si="103"/>
        <v>274908877570.24609</v>
      </c>
      <c r="M515">
        <f t="shared" si="104"/>
        <v>9506.2397406625132</v>
      </c>
      <c r="N515" s="28">
        <v>0.495</v>
      </c>
      <c r="O515">
        <f t="shared" si="105"/>
        <v>1812.1212001762242</v>
      </c>
      <c r="Q515">
        <f t="shared" si="106"/>
        <v>91023335435.264435</v>
      </c>
      <c r="R515" s="28">
        <v>0.495</v>
      </c>
      <c r="S515">
        <f t="shared" si="107"/>
        <v>91023341333.96106</v>
      </c>
      <c r="U515">
        <f t="shared" si="108"/>
        <v>12914076.113403341</v>
      </c>
      <c r="V515" s="48">
        <v>0.495</v>
      </c>
      <c r="W515">
        <f t="shared" si="109"/>
        <v>12932700.578091586</v>
      </c>
      <c r="Y515">
        <f t="shared" si="110"/>
        <v>6085.8693762503717</v>
      </c>
      <c r="Z515" s="28">
        <v>0.495</v>
      </c>
      <c r="AA515">
        <f t="shared" si="111"/>
        <v>1212.0076163465203</v>
      </c>
    </row>
    <row r="516" spans="1:27" x14ac:dyDescent="0.2">
      <c r="A516">
        <f t="shared" si="98"/>
        <v>189354038369.12051</v>
      </c>
      <c r="B516" s="28">
        <v>0.496</v>
      </c>
      <c r="C516">
        <f t="shared" si="99"/>
        <v>189354144343.05313</v>
      </c>
      <c r="E516">
        <f t="shared" si="100"/>
        <v>9569.7139606004803</v>
      </c>
      <c r="F516" s="28">
        <v>0.496</v>
      </c>
      <c r="G516">
        <f t="shared" si="101"/>
        <v>1209.6774116268882</v>
      </c>
      <c r="I516">
        <f t="shared" si="102"/>
        <v>283273688664.57825</v>
      </c>
      <c r="J516" s="28">
        <v>0.496</v>
      </c>
      <c r="K516">
        <f t="shared" si="103"/>
        <v>283273799937.20752</v>
      </c>
      <c r="M516">
        <f t="shared" si="104"/>
        <v>9508.6835330449139</v>
      </c>
      <c r="N516" s="28">
        <v>0.496</v>
      </c>
      <c r="O516">
        <f t="shared" si="105"/>
        <v>1809.6774077938248</v>
      </c>
      <c r="Q516">
        <f t="shared" si="106"/>
        <v>93919650295.457733</v>
      </c>
      <c r="R516" s="28">
        <v>0.496</v>
      </c>
      <c r="S516">
        <f t="shared" si="107"/>
        <v>93919656194.154358</v>
      </c>
      <c r="U516">
        <f t="shared" si="108"/>
        <v>13132147.466316532</v>
      </c>
      <c r="V516" s="48">
        <v>0.496</v>
      </c>
      <c r="W516">
        <f t="shared" si="109"/>
        <v>13150771.931004778</v>
      </c>
      <c r="Y516">
        <f t="shared" si="110"/>
        <v>6088.3108355219483</v>
      </c>
      <c r="Z516" s="28">
        <v>0.496</v>
      </c>
      <c r="AA516">
        <f t="shared" si="111"/>
        <v>1209.566157074943</v>
      </c>
    </row>
    <row r="517" spans="1:27" x14ac:dyDescent="0.2">
      <c r="A517">
        <f t="shared" si="98"/>
        <v>194981989148.93735</v>
      </c>
      <c r="B517" s="28">
        <v>0.497</v>
      </c>
      <c r="C517">
        <f t="shared" si="99"/>
        <v>194982095122.86996</v>
      </c>
      <c r="E517">
        <f t="shared" si="100"/>
        <v>9572.1479189375023</v>
      </c>
      <c r="F517" s="28">
        <v>0.497</v>
      </c>
      <c r="G517">
        <f t="shared" si="101"/>
        <v>1207.2434532898667</v>
      </c>
      <c r="I517">
        <f t="shared" si="102"/>
        <v>291888085126.30701</v>
      </c>
      <c r="J517" s="28">
        <v>0.497</v>
      </c>
      <c r="K517">
        <f t="shared" si="103"/>
        <v>291888196398.93628</v>
      </c>
      <c r="M517">
        <f t="shared" si="104"/>
        <v>9511.1174912638089</v>
      </c>
      <c r="N517" s="28">
        <v>0.497</v>
      </c>
      <c r="O517">
        <f t="shared" si="105"/>
        <v>1807.2434495749301</v>
      </c>
      <c r="Q517">
        <f t="shared" si="106"/>
        <v>96906095977.369751</v>
      </c>
      <c r="R517" s="28">
        <v>0.497</v>
      </c>
      <c r="S517">
        <f t="shared" si="107"/>
        <v>96906101876.066376</v>
      </c>
      <c r="U517">
        <f t="shared" si="108"/>
        <v>13353949.865591533</v>
      </c>
      <c r="V517" s="48">
        <v>0.497</v>
      </c>
      <c r="W517">
        <f t="shared" si="109"/>
        <v>13372574.330279779</v>
      </c>
      <c r="Y517">
        <f t="shared" si="110"/>
        <v>6090.7425089952349</v>
      </c>
      <c r="Z517" s="28">
        <v>0.497</v>
      </c>
      <c r="AA517">
        <f t="shared" si="111"/>
        <v>1207.1344836016572</v>
      </c>
    </row>
    <row r="518" spans="1:27" x14ac:dyDescent="0.2">
      <c r="A518">
        <f t="shared" si="98"/>
        <v>200773828838.707</v>
      </c>
      <c r="B518" s="28">
        <v>0.498</v>
      </c>
      <c r="C518">
        <f t="shared" si="99"/>
        <v>200773934812.63962</v>
      </c>
      <c r="E518">
        <f t="shared" si="100"/>
        <v>9574.5721023489041</v>
      </c>
      <c r="F518" s="28">
        <v>0.498</v>
      </c>
      <c r="G518">
        <f t="shared" si="101"/>
        <v>1204.8192698784637</v>
      </c>
      <c r="I518">
        <f t="shared" si="102"/>
        <v>300759243076.7049</v>
      </c>
      <c r="J518" s="28">
        <v>0.498</v>
      </c>
      <c r="K518">
        <f t="shared" si="103"/>
        <v>300759354349.33417</v>
      </c>
      <c r="M518">
        <f t="shared" si="104"/>
        <v>9513.5416745607999</v>
      </c>
      <c r="N518" s="28">
        <v>0.498</v>
      </c>
      <c r="O518">
        <f t="shared" si="105"/>
        <v>1804.8192662779391</v>
      </c>
      <c r="Q518">
        <f t="shared" si="106"/>
        <v>99985414237.99791</v>
      </c>
      <c r="R518" s="28">
        <v>0.498</v>
      </c>
      <c r="S518">
        <f t="shared" si="107"/>
        <v>99985420136.694534</v>
      </c>
      <c r="U518">
        <f t="shared" si="108"/>
        <v>13579547.829343587</v>
      </c>
      <c r="V518" s="48">
        <v>0.498</v>
      </c>
      <c r="W518">
        <f t="shared" si="109"/>
        <v>13598172.294031832</v>
      </c>
      <c r="Y518">
        <f t="shared" si="110"/>
        <v>6093.164454898535</v>
      </c>
      <c r="Z518" s="28">
        <v>0.498</v>
      </c>
      <c r="AA518">
        <f t="shared" si="111"/>
        <v>1204.7125376983565</v>
      </c>
    </row>
    <row r="519" spans="1:27" x14ac:dyDescent="0.2">
      <c r="A519">
        <f t="shared" si="98"/>
        <v>206734229941.16483</v>
      </c>
      <c r="B519" s="28">
        <v>0.499</v>
      </c>
      <c r="C519">
        <f t="shared" si="99"/>
        <v>206734335915.09744</v>
      </c>
      <c r="E519">
        <f t="shared" si="100"/>
        <v>9576.9865696015368</v>
      </c>
      <c r="F519" s="28">
        <v>0.499</v>
      </c>
      <c r="G519">
        <f t="shared" si="101"/>
        <v>1202.4048026258317</v>
      </c>
      <c r="I519">
        <f t="shared" si="102"/>
        <v>309894658264.10187</v>
      </c>
      <c r="J519" s="28">
        <v>0.499</v>
      </c>
      <c r="K519">
        <f t="shared" si="103"/>
        <v>309894769536.73114</v>
      </c>
      <c r="M519">
        <f t="shared" si="104"/>
        <v>9515.9561417026162</v>
      </c>
      <c r="N519" s="28">
        <v>0.499</v>
      </c>
      <c r="O519">
        <f t="shared" si="105"/>
        <v>1802.4047991361217</v>
      </c>
      <c r="Q519">
        <f t="shared" si="106"/>
        <v>103160428322.937</v>
      </c>
      <c r="R519" s="28">
        <v>0.499</v>
      </c>
      <c r="S519">
        <f t="shared" si="107"/>
        <v>103160434221.63362</v>
      </c>
      <c r="U519">
        <f t="shared" si="108"/>
        <v>13809007.000665233</v>
      </c>
      <c r="V519" s="48">
        <v>0.499</v>
      </c>
      <c r="W519">
        <f t="shared" si="109"/>
        <v>13827631.465353478</v>
      </c>
      <c r="Y519">
        <f t="shared" si="110"/>
        <v>6095.5767310067768</v>
      </c>
      <c r="Z519" s="28">
        <v>0.499</v>
      </c>
      <c r="AA519">
        <f t="shared" si="111"/>
        <v>1202.3002615901155</v>
      </c>
    </row>
    <row r="520" spans="1:27" x14ac:dyDescent="0.2">
      <c r="A520">
        <f t="shared" si="98"/>
        <v>212867995286.44305</v>
      </c>
      <c r="B520" s="28">
        <v>0.5</v>
      </c>
      <c r="C520">
        <f t="shared" si="99"/>
        <v>212868101260.37567</v>
      </c>
      <c r="E520">
        <f t="shared" si="100"/>
        <v>9579.3913789921207</v>
      </c>
      <c r="F520" s="28">
        <v>0.5</v>
      </c>
      <c r="G520">
        <f t="shared" si="101"/>
        <v>1199.9999932352475</v>
      </c>
      <c r="I520">
        <f t="shared" si="102"/>
        <v>319302040617.93427</v>
      </c>
      <c r="J520" s="28">
        <v>0.5</v>
      </c>
      <c r="K520">
        <f t="shared" si="103"/>
        <v>319302151890.56354</v>
      </c>
      <c r="M520">
        <f t="shared" si="104"/>
        <v>9518.360950985867</v>
      </c>
      <c r="N520" s="28">
        <v>0.5</v>
      </c>
      <c r="O520">
        <f t="shared" si="105"/>
        <v>1799.9999898528715</v>
      </c>
      <c r="Q520">
        <f t="shared" si="106"/>
        <v>106434045331.49121</v>
      </c>
      <c r="R520" s="28">
        <v>0.5</v>
      </c>
      <c r="S520">
        <f t="shared" si="107"/>
        <v>106434051230.18784</v>
      </c>
      <c r="U520">
        <f t="shared" si="108"/>
        <v>14042394.167375179</v>
      </c>
      <c r="V520" s="48">
        <v>0.5</v>
      </c>
      <c r="W520">
        <f t="shared" si="109"/>
        <v>14061018.632063424</v>
      </c>
      <c r="Y520">
        <f t="shared" si="110"/>
        <v>6097.9793946457921</v>
      </c>
      <c r="Z520" s="28">
        <v>0.5</v>
      </c>
      <c r="AA520">
        <f t="shared" si="111"/>
        <v>1199.8975979511001</v>
      </c>
    </row>
    <row r="521" spans="1:27" x14ac:dyDescent="0.2">
      <c r="A521">
        <f t="shared" si="98"/>
        <v>219180061585.90247</v>
      </c>
      <c r="B521" s="28">
        <v>0.501</v>
      </c>
      <c r="C521">
        <f t="shared" si="99"/>
        <v>219180167559.83508</v>
      </c>
      <c r="E521">
        <f t="shared" si="100"/>
        <v>9581.7865883519426</v>
      </c>
      <c r="F521" s="28">
        <v>0.501</v>
      </c>
      <c r="G521">
        <f t="shared" si="101"/>
        <v>1197.6047838754255</v>
      </c>
      <c r="I521">
        <f t="shared" si="102"/>
        <v>328989320234.68311</v>
      </c>
      <c r="J521" s="28">
        <v>0.501</v>
      </c>
      <c r="K521">
        <f t="shared" si="103"/>
        <v>328989431507.31238</v>
      </c>
      <c r="M521">
        <f t="shared" si="104"/>
        <v>9520.7561602417245</v>
      </c>
      <c r="N521" s="28">
        <v>0.501</v>
      </c>
      <c r="O521">
        <f t="shared" si="105"/>
        <v>1797.6047805970134</v>
      </c>
      <c r="Q521">
        <f t="shared" si="106"/>
        <v>109809258648.78075</v>
      </c>
      <c r="R521" s="28">
        <v>0.501</v>
      </c>
      <c r="S521">
        <f t="shared" si="107"/>
        <v>109809264547.47737</v>
      </c>
      <c r="U521">
        <f t="shared" si="108"/>
        <v>14279777.282115459</v>
      </c>
      <c r="V521" s="48">
        <v>0.501</v>
      </c>
      <c r="W521">
        <f t="shared" si="109"/>
        <v>14298401.746803705</v>
      </c>
      <c r="Y521">
        <f t="shared" si="110"/>
        <v>6100.3725026965603</v>
      </c>
      <c r="Z521" s="28">
        <v>0.501</v>
      </c>
      <c r="AA521">
        <f t="shared" si="111"/>
        <v>1197.504489900331</v>
      </c>
    </row>
    <row r="522" spans="1:27" x14ac:dyDescent="0.2">
      <c r="A522">
        <f t="shared" si="98"/>
        <v>225675503080.6312</v>
      </c>
      <c r="B522" s="28">
        <v>0.502</v>
      </c>
      <c r="C522">
        <f t="shared" si="99"/>
        <v>225675609054.56381</v>
      </c>
      <c r="E522">
        <f t="shared" si="100"/>
        <v>9584.1722550514896</v>
      </c>
      <c r="F522" s="28">
        <v>0.502</v>
      </c>
      <c r="G522">
        <f t="shared" si="101"/>
        <v>1195.219117175878</v>
      </c>
      <c r="I522">
        <f t="shared" si="102"/>
        <v>338964653527.32562</v>
      </c>
      <c r="J522" s="28">
        <v>0.502</v>
      </c>
      <c r="K522">
        <f t="shared" si="103"/>
        <v>338964764799.9549</v>
      </c>
      <c r="M522">
        <f t="shared" si="104"/>
        <v>9523.1418268405687</v>
      </c>
      <c r="N522" s="28">
        <v>0.502</v>
      </c>
      <c r="O522">
        <f t="shared" si="105"/>
        <v>1795.219113998169</v>
      </c>
      <c r="Q522">
        <f t="shared" si="106"/>
        <v>113289150446.69441</v>
      </c>
      <c r="R522" s="28">
        <v>0.502</v>
      </c>
      <c r="S522">
        <f t="shared" si="107"/>
        <v>113289156345.39104</v>
      </c>
      <c r="U522">
        <f t="shared" si="108"/>
        <v>14521225.482803658</v>
      </c>
      <c r="V522" s="48">
        <v>0.502</v>
      </c>
      <c r="W522">
        <f t="shared" si="109"/>
        <v>14539849.947491903</v>
      </c>
      <c r="Y522">
        <f t="shared" si="110"/>
        <v>6102.7561115994031</v>
      </c>
      <c r="Z522" s="28">
        <v>0.502</v>
      </c>
      <c r="AA522">
        <f t="shared" si="111"/>
        <v>1195.1208809974889</v>
      </c>
    </row>
    <row r="523" spans="1:27" x14ac:dyDescent="0.2">
      <c r="A523">
        <f t="shared" si="98"/>
        <v>232359535287.08185</v>
      </c>
      <c r="B523" s="28">
        <v>0.503</v>
      </c>
      <c r="C523">
        <f t="shared" si="99"/>
        <v>232359641261.01447</v>
      </c>
      <c r="E523">
        <f t="shared" si="100"/>
        <v>9586.5484360050305</v>
      </c>
      <c r="F523" s="28">
        <v>0.503</v>
      </c>
      <c r="G523">
        <f t="shared" si="101"/>
        <v>1192.8429362223383</v>
      </c>
      <c r="I523">
        <f t="shared" si="102"/>
        <v>349236429542.67554</v>
      </c>
      <c r="J523" s="28">
        <v>0.503</v>
      </c>
      <c r="K523">
        <f t="shared" si="103"/>
        <v>349236540815.30481</v>
      </c>
      <c r="M523">
        <f t="shared" si="104"/>
        <v>9525.5180076965644</v>
      </c>
      <c r="N523" s="28">
        <v>0.503</v>
      </c>
      <c r="O523">
        <f t="shared" si="105"/>
        <v>1792.8429331421746</v>
      </c>
      <c r="Q523">
        <f t="shared" si="106"/>
        <v>116876894255.59366</v>
      </c>
      <c r="R523" s="28">
        <v>0.503</v>
      </c>
      <c r="S523">
        <f t="shared" si="107"/>
        <v>116876900154.29028</v>
      </c>
      <c r="U523">
        <f t="shared" si="108"/>
        <v>14766809.113446251</v>
      </c>
      <c r="V523" s="48">
        <v>0.503</v>
      </c>
      <c r="W523">
        <f t="shared" si="109"/>
        <v>14785433.578134496</v>
      </c>
      <c r="Y523">
        <f t="shared" si="110"/>
        <v>6105.1302773581237</v>
      </c>
      <c r="Z523" s="28">
        <v>0.503</v>
      </c>
      <c r="AA523">
        <f t="shared" si="111"/>
        <v>1192.7467152387678</v>
      </c>
    </row>
    <row r="524" spans="1:27" x14ac:dyDescent="0.2">
      <c r="A524">
        <f t="shared" si="98"/>
        <v>239237518842.37036</v>
      </c>
      <c r="B524" s="28">
        <v>0.504</v>
      </c>
      <c r="C524">
        <f t="shared" si="99"/>
        <v>239237624816.30298</v>
      </c>
      <c r="E524">
        <f t="shared" si="100"/>
        <v>9588.9151876751348</v>
      </c>
      <c r="F524" s="28">
        <v>0.504</v>
      </c>
      <c r="G524">
        <f t="shared" si="101"/>
        <v>1190.4761845522328</v>
      </c>
      <c r="I524">
        <f t="shared" si="102"/>
        <v>359813276451.09045</v>
      </c>
      <c r="J524" s="28">
        <v>0.504</v>
      </c>
      <c r="K524">
        <f t="shared" si="103"/>
        <v>359813387723.71973</v>
      </c>
      <c r="M524">
        <f t="shared" si="104"/>
        <v>9527.8847592721795</v>
      </c>
      <c r="N524" s="28">
        <v>0.504</v>
      </c>
      <c r="O524">
        <f t="shared" si="105"/>
        <v>1790.4761815665581</v>
      </c>
      <c r="Q524">
        <f t="shared" si="106"/>
        <v>120575757608.72008</v>
      </c>
      <c r="R524" s="28">
        <v>0.504</v>
      </c>
      <c r="S524">
        <f t="shared" si="107"/>
        <v>120575763507.4167</v>
      </c>
      <c r="U524">
        <f t="shared" si="108"/>
        <v>15016599.745319225</v>
      </c>
      <c r="V524" s="48">
        <v>0.504</v>
      </c>
      <c r="W524">
        <f t="shared" si="109"/>
        <v>15035224.21000747</v>
      </c>
      <c r="Y524">
        <f t="shared" si="110"/>
        <v>6107.4950555441183</v>
      </c>
      <c r="Z524" s="28">
        <v>0.504</v>
      </c>
      <c r="AA524">
        <f t="shared" si="111"/>
        <v>1190.3819370527738</v>
      </c>
    </row>
    <row r="525" spans="1:27" x14ac:dyDescent="0.2">
      <c r="A525">
        <f t="shared" si="98"/>
        <v>246314963451.81659</v>
      </c>
      <c r="B525" s="28">
        <v>0.505</v>
      </c>
      <c r="C525">
        <f t="shared" si="99"/>
        <v>246315069425.74921</v>
      </c>
      <c r="E525">
        <f t="shared" si="100"/>
        <v>9591.2725660771575</v>
      </c>
      <c r="F525" s="28">
        <v>0.505</v>
      </c>
      <c r="G525">
        <f t="shared" si="101"/>
        <v>1188.1188061502098</v>
      </c>
      <c r="I525">
        <f t="shared" si="102"/>
        <v>370704068213.12329</v>
      </c>
      <c r="J525" s="28">
        <v>0.505</v>
      </c>
      <c r="K525">
        <f t="shared" si="103"/>
        <v>370704179485.75256</v>
      </c>
      <c r="M525">
        <f t="shared" si="104"/>
        <v>9530.2421375826725</v>
      </c>
      <c r="N525" s="28">
        <v>0.505</v>
      </c>
      <c r="O525">
        <f t="shared" si="105"/>
        <v>1788.1188032560658</v>
      </c>
      <c r="Q525">
        <f t="shared" si="106"/>
        <v>124389104761.30673</v>
      </c>
      <c r="R525" s="28">
        <v>0.505</v>
      </c>
      <c r="S525">
        <f t="shared" si="107"/>
        <v>124389110660.00336</v>
      </c>
      <c r="U525">
        <f t="shared" si="108"/>
        <v>15270670.198523108</v>
      </c>
      <c r="V525" s="48">
        <v>0.505</v>
      </c>
      <c r="W525">
        <f t="shared" si="109"/>
        <v>15289294.663211353</v>
      </c>
      <c r="Y525">
        <f t="shared" si="110"/>
        <v>6109.8505013004269</v>
      </c>
      <c r="Z525" s="28">
        <v>0.505</v>
      </c>
      <c r="AA525">
        <f t="shared" si="111"/>
        <v>1188.0264912964644</v>
      </c>
    </row>
    <row r="526" spans="1:27" x14ac:dyDescent="0.2">
      <c r="A526">
        <f t="shared" si="98"/>
        <v>253597531941.38937</v>
      </c>
      <c r="B526" s="28">
        <v>0.50600000000000001</v>
      </c>
      <c r="C526">
        <f t="shared" si="99"/>
        <v>253597637915.32199</v>
      </c>
      <c r="E526">
        <f t="shared" si="100"/>
        <v>9593.6206267836478</v>
      </c>
      <c r="F526" s="28">
        <v>0.50600000000000001</v>
      </c>
      <c r="G526">
        <f t="shared" si="101"/>
        <v>1185.7707454437204</v>
      </c>
      <c r="I526">
        <f t="shared" si="102"/>
        <v>381917931427.84564</v>
      </c>
      <c r="J526" s="28">
        <v>0.50600000000000001</v>
      </c>
      <c r="K526">
        <f t="shared" si="103"/>
        <v>381918042700.47491</v>
      </c>
      <c r="M526">
        <f t="shared" si="104"/>
        <v>9532.5901982004943</v>
      </c>
      <c r="N526" s="28">
        <v>0.50600000000000001</v>
      </c>
      <c r="O526">
        <f t="shared" si="105"/>
        <v>1785.7707426382431</v>
      </c>
      <c r="Q526">
        <f t="shared" si="106"/>
        <v>128320399486.4563</v>
      </c>
      <c r="R526" s="28">
        <v>0.50600000000000001</v>
      </c>
      <c r="S526">
        <f t="shared" si="107"/>
        <v>128320405385.15292</v>
      </c>
      <c r="U526">
        <f t="shared" si="108"/>
        <v>15529094.563918291</v>
      </c>
      <c r="V526" s="48">
        <v>0.50600000000000001</v>
      </c>
      <c r="W526">
        <f t="shared" si="109"/>
        <v>15547719.028606536</v>
      </c>
      <c r="Y526">
        <f t="shared" si="110"/>
        <v>6112.1966693457534</v>
      </c>
      <c r="Z526" s="28">
        <v>0.50600000000000001</v>
      </c>
      <c r="AA526">
        <f t="shared" si="111"/>
        <v>1185.6803232511381</v>
      </c>
    </row>
    <row r="527" spans="1:27" x14ac:dyDescent="0.2">
      <c r="A527">
        <f t="shared" si="98"/>
        <v>261091044417.76645</v>
      </c>
      <c r="B527" s="28">
        <v>0.50700000000000001</v>
      </c>
      <c r="C527">
        <f t="shared" si="99"/>
        <v>261091150391.69907</v>
      </c>
      <c r="E527">
        <f t="shared" si="100"/>
        <v>9595.9594249287165</v>
      </c>
      <c r="F527" s="28">
        <v>0.50700000000000001</v>
      </c>
      <c r="G527">
        <f t="shared" si="101"/>
        <v>1183.4319472986519</v>
      </c>
      <c r="I527">
        <f t="shared" si="102"/>
        <v>393464252367.66125</v>
      </c>
      <c r="J527" s="28">
        <v>0.50700000000000001</v>
      </c>
      <c r="K527">
        <f t="shared" si="103"/>
        <v>393464363640.29053</v>
      </c>
      <c r="M527">
        <f t="shared" si="104"/>
        <v>9534.9289962596704</v>
      </c>
      <c r="N527" s="28">
        <v>0.50700000000000001</v>
      </c>
      <c r="O527">
        <f t="shared" si="105"/>
        <v>1783.4319445790686</v>
      </c>
      <c r="Q527">
        <f t="shared" si="106"/>
        <v>132373207949.89481</v>
      </c>
      <c r="R527" s="28">
        <v>0.50700000000000001</v>
      </c>
      <c r="S527">
        <f t="shared" si="107"/>
        <v>132373213848.59143</v>
      </c>
      <c r="U527">
        <f t="shared" si="108"/>
        <v>15791948.225448187</v>
      </c>
      <c r="V527" s="48">
        <v>0.50700000000000001</v>
      </c>
      <c r="W527">
        <f t="shared" si="109"/>
        <v>15810572.690136433</v>
      </c>
      <c r="Y527">
        <f t="shared" si="110"/>
        <v>6114.5336139784295</v>
      </c>
      <c r="Z527" s="28">
        <v>0.50700000000000001</v>
      </c>
      <c r="AA527">
        <f t="shared" si="111"/>
        <v>1183.3433786184621</v>
      </c>
    </row>
    <row r="528" spans="1:27" x14ac:dyDescent="0.2">
      <c r="A528">
        <f t="shared" si="98"/>
        <v>268801482538.81799</v>
      </c>
      <c r="B528" s="28">
        <v>0.50800000000000001</v>
      </c>
      <c r="C528">
        <f t="shared" si="99"/>
        <v>268801588512.75061</v>
      </c>
      <c r="E528">
        <f t="shared" si="100"/>
        <v>9598.2890152123564</v>
      </c>
      <c r="F528" s="28">
        <v>0.50800000000000001</v>
      </c>
      <c r="G528">
        <f t="shared" si="101"/>
        <v>1181.1023570150126</v>
      </c>
      <c r="I528">
        <f t="shared" si="102"/>
        <v>405352684204.59857</v>
      </c>
      <c r="J528" s="28">
        <v>0.50800000000000001</v>
      </c>
      <c r="K528">
        <f t="shared" si="103"/>
        <v>405352795477.22784</v>
      </c>
      <c r="M528">
        <f t="shared" si="104"/>
        <v>9537.2585864600987</v>
      </c>
      <c r="N528" s="28">
        <v>0.50800000000000001</v>
      </c>
      <c r="O528">
        <f t="shared" si="105"/>
        <v>1781.1023543786389</v>
      </c>
      <c r="Q528">
        <f t="shared" si="106"/>
        <v>136551201665.78069</v>
      </c>
      <c r="R528" s="28">
        <v>0.50800000000000001</v>
      </c>
      <c r="S528">
        <f t="shared" si="107"/>
        <v>136551207564.47731</v>
      </c>
      <c r="U528">
        <f t="shared" si="108"/>
        <v>16059307.882856291</v>
      </c>
      <c r="V528" s="48">
        <v>0.50800000000000001</v>
      </c>
      <c r="W528">
        <f t="shared" si="109"/>
        <v>16077932.347544536</v>
      </c>
      <c r="Y528">
        <f t="shared" si="110"/>
        <v>6116.8613890803472</v>
      </c>
      <c r="Z528" s="28">
        <v>0.50800000000000001</v>
      </c>
      <c r="AA528">
        <f t="shared" si="111"/>
        <v>1181.0156035165448</v>
      </c>
    </row>
    <row r="529" spans="1:27" x14ac:dyDescent="0.2">
      <c r="A529">
        <f t="shared" si="98"/>
        <v>276734993897.35681</v>
      </c>
      <c r="B529" s="28">
        <v>0.50900000000000001</v>
      </c>
      <c r="C529">
        <f t="shared" si="99"/>
        <v>276735099871.28943</v>
      </c>
      <c r="E529">
        <f t="shared" si="100"/>
        <v>9600.6094519047001</v>
      </c>
      <c r="F529" s="28">
        <v>0.50900000000000001</v>
      </c>
      <c r="G529">
        <f t="shared" si="101"/>
        <v>1178.7819203226672</v>
      </c>
      <c r="I529">
        <f t="shared" si="102"/>
        <v>417593154433.14648</v>
      </c>
      <c r="J529" s="28">
        <v>0.50900000000000001</v>
      </c>
      <c r="K529">
        <f t="shared" si="103"/>
        <v>417593265705.77576</v>
      </c>
      <c r="M529">
        <f t="shared" si="104"/>
        <v>9539.5790230718339</v>
      </c>
      <c r="N529" s="28">
        <v>0.50900000000000001</v>
      </c>
      <c r="O529">
        <f t="shared" si="105"/>
        <v>1778.7819177669051</v>
      </c>
      <c r="Q529">
        <f t="shared" si="106"/>
        <v>140858160535.7897</v>
      </c>
      <c r="R529" s="28">
        <v>0.50900000000000001</v>
      </c>
      <c r="S529">
        <f t="shared" si="107"/>
        <v>140858166434.48633</v>
      </c>
      <c r="U529">
        <f t="shared" si="108"/>
        <v>16331251.574804969</v>
      </c>
      <c r="V529" s="48">
        <v>0.50900000000000001</v>
      </c>
      <c r="W529">
        <f t="shared" si="109"/>
        <v>16349876.039493214</v>
      </c>
      <c r="Y529">
        <f t="shared" si="110"/>
        <v>6119.1800481208402</v>
      </c>
      <c r="Z529" s="28">
        <v>0.50900000000000001</v>
      </c>
      <c r="AA529">
        <f t="shared" si="111"/>
        <v>1178.6969444760514</v>
      </c>
    </row>
    <row r="530" spans="1:27" x14ac:dyDescent="0.2">
      <c r="A530">
        <f t="shared" si="98"/>
        <v>284897896521.09656</v>
      </c>
      <c r="B530" s="28">
        <v>0.51</v>
      </c>
      <c r="C530">
        <f t="shared" si="99"/>
        <v>284898002495.02917</v>
      </c>
      <c r="E530">
        <f t="shared" si="100"/>
        <v>9602.9207888502442</v>
      </c>
      <c r="F530" s="28">
        <v>0.51</v>
      </c>
      <c r="G530">
        <f t="shared" si="101"/>
        <v>1176.4705833771238</v>
      </c>
      <c r="I530">
        <f t="shared" si="102"/>
        <v>430195872494.86475</v>
      </c>
      <c r="J530" s="28">
        <v>0.51</v>
      </c>
      <c r="K530">
        <f t="shared" si="103"/>
        <v>430195983767.49402</v>
      </c>
      <c r="M530">
        <f t="shared" si="104"/>
        <v>9541.8903599392816</v>
      </c>
      <c r="N530" s="28">
        <v>0.51</v>
      </c>
      <c r="O530">
        <f t="shared" si="105"/>
        <v>1776.470580899457</v>
      </c>
      <c r="Q530">
        <f t="shared" si="106"/>
        <v>145297975973.76825</v>
      </c>
      <c r="R530" s="28">
        <v>0.51</v>
      </c>
      <c r="S530">
        <f t="shared" si="107"/>
        <v>145297981872.46487</v>
      </c>
      <c r="U530">
        <f t="shared" si="108"/>
        <v>16607858.702402247</v>
      </c>
      <c r="V530" s="48">
        <v>0.51</v>
      </c>
      <c r="W530">
        <f t="shared" si="109"/>
        <v>16626483.167090492</v>
      </c>
      <c r="Y530">
        <f t="shared" si="110"/>
        <v>6121.4896441605315</v>
      </c>
      <c r="Z530" s="28">
        <v>0.51</v>
      </c>
      <c r="AA530">
        <f t="shared" si="111"/>
        <v>1176.3873484363603</v>
      </c>
    </row>
    <row r="531" spans="1:27" x14ac:dyDescent="0.2">
      <c r="A531">
        <f t="shared" si="98"/>
        <v>293296683491.81604</v>
      </c>
      <c r="B531" s="28">
        <v>0.51100000000000001</v>
      </c>
      <c r="C531">
        <f t="shared" si="99"/>
        <v>293296789465.74866</v>
      </c>
      <c r="E531">
        <f t="shared" si="100"/>
        <v>9605.2230794719999</v>
      </c>
      <c r="F531" s="28">
        <v>0.51100000000000001</v>
      </c>
      <c r="G531">
        <f t="shared" si="101"/>
        <v>1174.1682927553677</v>
      </c>
      <c r="I531">
        <f t="shared" si="102"/>
        <v>443171337610.11694</v>
      </c>
      <c r="J531" s="28">
        <v>0.51100000000000001</v>
      </c>
      <c r="K531">
        <f t="shared" si="103"/>
        <v>443171448882.74622</v>
      </c>
      <c r="M531">
        <f t="shared" si="104"/>
        <v>9544.1926504853782</v>
      </c>
      <c r="N531" s="28">
        <v>0.51100000000000001</v>
      </c>
      <c r="O531">
        <f t="shared" si="105"/>
        <v>1774.1682903533606</v>
      </c>
      <c r="Q531">
        <f t="shared" si="106"/>
        <v>149874654118.30093</v>
      </c>
      <c r="R531" s="28">
        <v>0.51100000000000001</v>
      </c>
      <c r="S531">
        <f t="shared" si="107"/>
        <v>149874660016.99756</v>
      </c>
      <c r="U531">
        <f t="shared" si="108"/>
        <v>16889210.053144746</v>
      </c>
      <c r="V531" s="48">
        <v>0.51100000000000001</v>
      </c>
      <c r="W531">
        <f t="shared" si="109"/>
        <v>16907834.517832991</v>
      </c>
      <c r="Y531">
        <f t="shared" si="110"/>
        <v>6123.7902298551307</v>
      </c>
      <c r="Z531" s="28">
        <v>0.51100000000000001</v>
      </c>
      <c r="AA531">
        <f t="shared" si="111"/>
        <v>1174.0867627417613</v>
      </c>
    </row>
    <row r="532" spans="1:27" x14ac:dyDescent="0.2">
      <c r="A532">
        <f t="shared" si="98"/>
        <v>301938027686.83044</v>
      </c>
      <c r="B532" s="28">
        <v>0.51200000000000001</v>
      </c>
      <c r="C532">
        <f t="shared" si="99"/>
        <v>301938133660.76306</v>
      </c>
      <c r="E532">
        <f t="shared" si="100"/>
        <v>9607.5163767756203</v>
      </c>
      <c r="F532" s="28">
        <v>0.51200000000000001</v>
      </c>
      <c r="G532">
        <f t="shared" si="101"/>
        <v>1171.8749954517471</v>
      </c>
      <c r="I532">
        <f t="shared" si="102"/>
        <v>456530346822.44452</v>
      </c>
      <c r="J532" s="28">
        <v>0.51200000000000001</v>
      </c>
      <c r="K532">
        <f t="shared" si="103"/>
        <v>456530458095.07379</v>
      </c>
      <c r="M532">
        <f t="shared" si="104"/>
        <v>9546.485947715697</v>
      </c>
      <c r="N532" s="28">
        <v>0.51200000000000001</v>
      </c>
      <c r="O532">
        <f t="shared" si="105"/>
        <v>1771.8749931230418</v>
      </c>
      <c r="Q532">
        <f t="shared" si="106"/>
        <v>154592319135.61407</v>
      </c>
      <c r="R532" s="28">
        <v>0.51200000000000001</v>
      </c>
      <c r="S532">
        <f t="shared" si="107"/>
        <v>154592325034.3107</v>
      </c>
      <c r="U532">
        <f t="shared" si="108"/>
        <v>17175387.825283177</v>
      </c>
      <c r="V532" s="48">
        <v>0.51200000000000001</v>
      </c>
      <c r="W532">
        <f t="shared" si="109"/>
        <v>17194012.289971422</v>
      </c>
      <c r="Y532">
        <f t="shared" si="110"/>
        <v>6126.0818574591958</v>
      </c>
      <c r="Z532" s="28">
        <v>0.51200000000000001</v>
      </c>
      <c r="AA532">
        <f t="shared" si="111"/>
        <v>1171.795135137696</v>
      </c>
    </row>
    <row r="533" spans="1:27" x14ac:dyDescent="0.2">
      <c r="A533">
        <f t="shared" si="98"/>
        <v>310828786645.91827</v>
      </c>
      <c r="B533" s="28">
        <v>0.51300000000000001</v>
      </c>
      <c r="C533">
        <f t="shared" si="99"/>
        <v>310828892619.85089</v>
      </c>
      <c r="E533">
        <f t="shared" si="100"/>
        <v>9609.8007333534642</v>
      </c>
      <c r="F533" s="28">
        <v>0.51300000000000001</v>
      </c>
      <c r="G533">
        <f t="shared" si="101"/>
        <v>1169.5906388739043</v>
      </c>
      <c r="I533">
        <f t="shared" si="102"/>
        <v>470284003261.20514</v>
      </c>
      <c r="J533" s="28">
        <v>0.51300000000000001</v>
      </c>
      <c r="K533">
        <f t="shared" si="103"/>
        <v>470284114533.83441</v>
      </c>
      <c r="M533">
        <f t="shared" si="104"/>
        <v>9548.7703042225221</v>
      </c>
      <c r="N533" s="28">
        <v>0.51300000000000001</v>
      </c>
      <c r="O533">
        <f t="shared" si="105"/>
        <v>1769.5906366162171</v>
      </c>
      <c r="Q533">
        <f t="shared" si="106"/>
        <v>159455216615.2869</v>
      </c>
      <c r="R533" s="28">
        <v>0.51300000000000001</v>
      </c>
      <c r="S533">
        <f t="shared" si="107"/>
        <v>159455222513.98352</v>
      </c>
      <c r="U533">
        <f t="shared" si="108"/>
        <v>17466475.652618926</v>
      </c>
      <c r="V533" s="48">
        <v>0.51300000000000001</v>
      </c>
      <c r="W533">
        <f t="shared" si="109"/>
        <v>17485100.117307171</v>
      </c>
      <c r="Y533">
        <f t="shared" si="110"/>
        <v>6128.3645788298563</v>
      </c>
      <c r="Z533" s="28">
        <v>0.51300000000000001</v>
      </c>
      <c r="AA533">
        <f t="shared" si="111"/>
        <v>1169.5124137670352</v>
      </c>
    </row>
    <row r="534" spans="1:27" x14ac:dyDescent="0.2">
      <c r="A534">
        <f t="shared" ref="A534:A597" si="112">ABS($D$11-C534)</f>
        <v>319976007566.93774</v>
      </c>
      <c r="B534" s="28">
        <v>0.51400000000000001</v>
      </c>
      <c r="C534">
        <f t="shared" ref="C534:C597" si="113">($B$4)*(((1+B534)^($B$6*$B$5))-1)/B534</f>
        <v>319976113540.87036</v>
      </c>
      <c r="E534">
        <f t="shared" ref="E534:E597" si="114">ABS($E$12-G534)</f>
        <v>9612.0762013886124</v>
      </c>
      <c r="F534" s="28">
        <v>0.51400000000000001</v>
      </c>
      <c r="G534">
        <f t="shared" ref="G534:G597" si="115">$B$4*(((1-(1+F534)^(-$B$5*$B$6)))/F534)</f>
        <v>1167.3151708387561</v>
      </c>
      <c r="I534">
        <f t="shared" ref="I534:I597" si="116">ABS($F$11-K534)</f>
        <v>484443724628.24847</v>
      </c>
      <c r="J534" s="28">
        <v>0.51400000000000001</v>
      </c>
      <c r="K534">
        <f t="shared" ref="K534:K597" si="117">($B$4*(1+J534)*(((1+J534)^($B$6*$B$5))-1))/J534</f>
        <v>484443835900.87775</v>
      </c>
      <c r="M534">
        <f t="shared" ref="M534:M597" si="118">ABS($G$12-O534)</f>
        <v>9551.0457721888615</v>
      </c>
      <c r="N534" s="28">
        <v>0.51400000000000001</v>
      </c>
      <c r="O534">
        <f t="shared" ref="O534:O597" si="119">($B$4*(1+N534)*(1-((1+N534)^(-$B$6*$B$5))))/N534</f>
        <v>1767.3151686498766</v>
      </c>
      <c r="Q534">
        <f t="shared" ref="Q534:Q597" si="120">ABS($H$11-S534)</f>
        <v>164467717061.31076</v>
      </c>
      <c r="R534" s="28">
        <v>0.51400000000000001</v>
      </c>
      <c r="S534">
        <f t="shared" ref="S534:S597" si="121">$B$3*((1+R534)^($B$6*$B$5))</f>
        <v>164467722960.00739</v>
      </c>
      <c r="U534">
        <f t="shared" ref="U534:U597" si="122">ABS($I$11-W534)</f>
        <v>17762558.629738361</v>
      </c>
      <c r="V534" s="48">
        <v>0.51400000000000001</v>
      </c>
      <c r="W534">
        <f t="shared" ref="W534:W597" si="123">($B$4*(EXP(V534*$B$6)-1))/V534</f>
        <v>17781183.094426606</v>
      </c>
      <c r="Y534">
        <f t="shared" ref="Y534:Y597" si="124">ABS($I$12-AA534)</f>
        <v>6130.6384454304925</v>
      </c>
      <c r="Z534" s="28">
        <v>0.51400000000000001</v>
      </c>
      <c r="AA534">
        <f t="shared" ref="AA534:AA597" si="125">$B$4*(1-EXP(-Z534*$B$6))/Z534</f>
        <v>1167.2385471663995</v>
      </c>
    </row>
    <row r="535" spans="1:27" x14ac:dyDescent="0.2">
      <c r="A535">
        <f t="shared" si="112"/>
        <v>329386932433.46643</v>
      </c>
      <c r="B535" s="28">
        <v>0.51500000000000001</v>
      </c>
      <c r="C535">
        <f t="shared" si="113"/>
        <v>329387038407.39905</v>
      </c>
      <c r="E535">
        <f t="shared" si="114"/>
        <v>9614.3428326588473</v>
      </c>
      <c r="F535" s="28">
        <v>0.51500000000000001</v>
      </c>
      <c r="G535">
        <f t="shared" si="115"/>
        <v>1165.0485395685203</v>
      </c>
      <c r="I535">
        <f t="shared" si="116"/>
        <v>499021251914.58038</v>
      </c>
      <c r="J535" s="28">
        <v>0.51500000000000001</v>
      </c>
      <c r="K535">
        <f t="shared" si="117"/>
        <v>499021363187.20966</v>
      </c>
      <c r="M535">
        <f t="shared" si="118"/>
        <v>9553.3124033924305</v>
      </c>
      <c r="N535" s="28">
        <v>0.51500000000000001</v>
      </c>
      <c r="O535">
        <f t="shared" si="119"/>
        <v>1765.0485374463085</v>
      </c>
      <c r="Q535">
        <f t="shared" si="120"/>
        <v>169634319481.11389</v>
      </c>
      <c r="R535" s="28">
        <v>0.51500000000000001</v>
      </c>
      <c r="S535">
        <f t="shared" si="121"/>
        <v>169634325379.81052</v>
      </c>
      <c r="U535">
        <f t="shared" si="122"/>
        <v>18063723.337693583</v>
      </c>
      <c r="V535" s="48">
        <v>0.51500000000000001</v>
      </c>
      <c r="W535">
        <f t="shared" si="123"/>
        <v>18082347.802381828</v>
      </c>
      <c r="Y535">
        <f t="shared" si="124"/>
        <v>6132.9035083343733</v>
      </c>
      <c r="Z535" s="28">
        <v>0.51500000000000001</v>
      </c>
      <c r="AA535">
        <f t="shared" si="125"/>
        <v>1164.9734842625187</v>
      </c>
    </row>
    <row r="536" spans="1:27" x14ac:dyDescent="0.2">
      <c r="A536">
        <f t="shared" si="112"/>
        <v>339069003277.86932</v>
      </c>
      <c r="B536" s="28">
        <v>0.51600000000000001</v>
      </c>
      <c r="C536">
        <f t="shared" si="113"/>
        <v>339069109251.80194</v>
      </c>
      <c r="E536">
        <f t="shared" si="114"/>
        <v>9616.6006785405807</v>
      </c>
      <c r="F536" s="28">
        <v>0.51600000000000001</v>
      </c>
      <c r="G536">
        <f t="shared" si="115"/>
        <v>1162.7906936867885</v>
      </c>
      <c r="I536">
        <f t="shared" si="116"/>
        <v>514028658353.10254</v>
      </c>
      <c r="J536" s="28">
        <v>0.51600000000000001</v>
      </c>
      <c r="K536">
        <f t="shared" si="117"/>
        <v>514028769625.73181</v>
      </c>
      <c r="M536">
        <f t="shared" si="118"/>
        <v>9555.5702492095661</v>
      </c>
      <c r="N536" s="28">
        <v>0.51600000000000001</v>
      </c>
      <c r="O536">
        <f t="shared" si="119"/>
        <v>1762.7906916291713</v>
      </c>
      <c r="Q536">
        <f t="shared" si="120"/>
        <v>174959655075.23318</v>
      </c>
      <c r="R536" s="28">
        <v>0.51600000000000001</v>
      </c>
      <c r="S536">
        <f t="shared" si="121"/>
        <v>174959660973.92981</v>
      </c>
      <c r="U536">
        <f t="shared" si="122"/>
        <v>18370057.870136663</v>
      </c>
      <c r="V536" s="48">
        <v>0.51600000000000001</v>
      </c>
      <c r="W536">
        <f t="shared" si="123"/>
        <v>18388682.334824909</v>
      </c>
      <c r="Y536">
        <f t="shared" si="124"/>
        <v>6135.1598182282632</v>
      </c>
      <c r="Z536" s="28">
        <v>0.51600000000000001</v>
      </c>
      <c r="AA536">
        <f t="shared" si="125"/>
        <v>1162.7171743686283</v>
      </c>
    </row>
    <row r="537" spans="1:27" x14ac:dyDescent="0.2">
      <c r="A537">
        <f t="shared" si="112"/>
        <v>349029867583.28162</v>
      </c>
      <c r="B537" s="28">
        <v>0.51700000000000002</v>
      </c>
      <c r="C537">
        <f t="shared" si="113"/>
        <v>349029973557.21423</v>
      </c>
      <c r="E537">
        <f t="shared" si="114"/>
        <v>9618.849790012724</v>
      </c>
      <c r="F537" s="28">
        <v>0.51700000000000002</v>
      </c>
      <c r="G537">
        <f t="shared" si="115"/>
        <v>1160.541582214644</v>
      </c>
      <c r="I537">
        <f t="shared" si="116"/>
        <v>529478358613.66473</v>
      </c>
      <c r="J537" s="28">
        <v>0.51700000000000002</v>
      </c>
      <c r="K537">
        <f t="shared" si="117"/>
        <v>529478469886.29401</v>
      </c>
      <c r="M537">
        <f t="shared" si="118"/>
        <v>9557.8193606191235</v>
      </c>
      <c r="N537" s="28">
        <v>0.51700000000000002</v>
      </c>
      <c r="O537">
        <f t="shared" si="119"/>
        <v>1760.5415802196146</v>
      </c>
      <c r="Q537">
        <f t="shared" si="120"/>
        <v>180448491030.38315</v>
      </c>
      <c r="R537" s="28">
        <v>0.51700000000000002</v>
      </c>
      <c r="S537">
        <f t="shared" si="121"/>
        <v>180448496929.07977</v>
      </c>
      <c r="U537">
        <f t="shared" si="122"/>
        <v>18681651.859916318</v>
      </c>
      <c r="V537" s="48">
        <v>0.51700000000000002</v>
      </c>
      <c r="W537">
        <f t="shared" si="123"/>
        <v>18700276.324604563</v>
      </c>
      <c r="Y537">
        <f t="shared" si="124"/>
        <v>6137.4074254159841</v>
      </c>
      <c r="Z537" s="28">
        <v>0.51700000000000002</v>
      </c>
      <c r="AA537">
        <f t="shared" si="125"/>
        <v>1160.4695671809079</v>
      </c>
    </row>
    <row r="538" spans="1:27" x14ac:dyDescent="0.2">
      <c r="A538">
        <f t="shared" si="112"/>
        <v>359277383828.0896</v>
      </c>
      <c r="B538" s="28">
        <v>0.51800000000000002</v>
      </c>
      <c r="C538">
        <f t="shared" si="113"/>
        <v>359277489802.02222</v>
      </c>
      <c r="E538">
        <f t="shared" si="114"/>
        <v>9621.0902176605432</v>
      </c>
      <c r="F538" s="28">
        <v>0.51800000000000002</v>
      </c>
      <c r="G538">
        <f t="shared" si="115"/>
        <v>1158.3011545668257</v>
      </c>
      <c r="I538">
        <f t="shared" si="116"/>
        <v>545383118246.84045</v>
      </c>
      <c r="J538" s="28">
        <v>0.51800000000000002</v>
      </c>
      <c r="K538">
        <f t="shared" si="117"/>
        <v>545383229519.46973</v>
      </c>
      <c r="M538">
        <f t="shared" si="118"/>
        <v>9560.0597882062975</v>
      </c>
      <c r="N538" s="28">
        <v>0.51800000000000002</v>
      </c>
      <c r="O538">
        <f t="shared" si="119"/>
        <v>1758.3011526324417</v>
      </c>
      <c r="Q538">
        <f t="shared" si="120"/>
        <v>186105734418.75089</v>
      </c>
      <c r="R538" s="28">
        <v>0.51800000000000002</v>
      </c>
      <c r="S538">
        <f t="shared" si="121"/>
        <v>186105740317.44751</v>
      </c>
      <c r="U538">
        <f t="shared" si="122"/>
        <v>18998596.506144248</v>
      </c>
      <c r="V538" s="48">
        <v>0.51800000000000002</v>
      </c>
      <c r="W538">
        <f t="shared" si="123"/>
        <v>19017220.970832493</v>
      </c>
      <c r="Y538">
        <f t="shared" si="124"/>
        <v>6139.6463798219393</v>
      </c>
      <c r="Z538" s="28">
        <v>0.51800000000000002</v>
      </c>
      <c r="AA538">
        <f t="shared" si="125"/>
        <v>1158.2306127749525</v>
      </c>
    </row>
    <row r="539" spans="1:27" x14ac:dyDescent="0.2">
      <c r="A539">
        <f t="shared" si="112"/>
        <v>369819627176.56586</v>
      </c>
      <c r="B539" s="28">
        <v>0.51900000000000002</v>
      </c>
      <c r="C539">
        <f t="shared" si="113"/>
        <v>369819733150.49847</v>
      </c>
      <c r="E539">
        <f t="shared" si="114"/>
        <v>9623.3220116794309</v>
      </c>
      <c r="F539" s="28">
        <v>0.51900000000000002</v>
      </c>
      <c r="G539">
        <f t="shared" si="115"/>
        <v>1156.0693605479366</v>
      </c>
      <c r="I539">
        <f t="shared" si="116"/>
        <v>561756063382.97791</v>
      </c>
      <c r="J539" s="28">
        <v>0.51900000000000002</v>
      </c>
      <c r="K539">
        <f t="shared" si="117"/>
        <v>561756174655.60718</v>
      </c>
      <c r="M539">
        <f t="shared" si="118"/>
        <v>9562.2915821664228</v>
      </c>
      <c r="N539" s="28">
        <v>0.51900000000000002</v>
      </c>
      <c r="O539">
        <f t="shared" si="119"/>
        <v>1756.069358672316</v>
      </c>
      <c r="Q539">
        <f t="shared" si="120"/>
        <v>191936436206.41208</v>
      </c>
      <c r="R539" s="28">
        <v>0.51900000000000002</v>
      </c>
      <c r="S539">
        <f t="shared" si="121"/>
        <v>191936442105.1087</v>
      </c>
      <c r="U539">
        <f t="shared" si="122"/>
        <v>19320984.601740539</v>
      </c>
      <c r="V539" s="48">
        <v>0.51900000000000002</v>
      </c>
      <c r="W539">
        <f t="shared" si="123"/>
        <v>19339609.066428784</v>
      </c>
      <c r="Y539">
        <f t="shared" si="124"/>
        <v>6141.8767309946033</v>
      </c>
      <c r="Z539" s="28">
        <v>0.51900000000000002</v>
      </c>
      <c r="AA539">
        <f t="shared" si="125"/>
        <v>1156.0002616022887</v>
      </c>
    </row>
    <row r="540" spans="1:27" x14ac:dyDescent="0.2">
      <c r="A540">
        <f t="shared" si="112"/>
        <v>380664895319.44818</v>
      </c>
      <c r="B540" s="28">
        <v>0.52</v>
      </c>
      <c r="C540">
        <f t="shared" si="113"/>
        <v>380665001293.3808</v>
      </c>
      <c r="E540">
        <f t="shared" si="114"/>
        <v>9625.5452218786759</v>
      </c>
      <c r="F540" s="28">
        <v>0.52</v>
      </c>
      <c r="G540">
        <f t="shared" si="115"/>
        <v>1153.8461503486928</v>
      </c>
      <c r="I540">
        <f t="shared" si="116"/>
        <v>578610690693.30957</v>
      </c>
      <c r="J540" s="28">
        <v>0.52</v>
      </c>
      <c r="K540">
        <f t="shared" si="117"/>
        <v>578610801965.93884</v>
      </c>
      <c r="M540">
        <f t="shared" si="118"/>
        <v>9564.5147923087243</v>
      </c>
      <c r="N540" s="28">
        <v>0.52</v>
      </c>
      <c r="O540">
        <f t="shared" si="119"/>
        <v>1753.8461485300131</v>
      </c>
      <c r="Q540">
        <f t="shared" si="120"/>
        <v>197945795373.86139</v>
      </c>
      <c r="R540" s="28">
        <v>0.52</v>
      </c>
      <c r="S540">
        <f t="shared" si="121"/>
        <v>197945801272.55801</v>
      </c>
      <c r="U540">
        <f t="shared" si="122"/>
        <v>19648910.561465587</v>
      </c>
      <c r="V540" s="48">
        <v>0.52</v>
      </c>
      <c r="W540">
        <f t="shared" si="123"/>
        <v>19667535.026153833</v>
      </c>
      <c r="Y540">
        <f t="shared" si="124"/>
        <v>6144.098528109972</v>
      </c>
      <c r="Z540" s="28">
        <v>0.52</v>
      </c>
      <c r="AA540">
        <f t="shared" si="125"/>
        <v>1153.7784644869196</v>
      </c>
    </row>
    <row r="541" spans="1:27" x14ac:dyDescent="0.2">
      <c r="A541">
        <f t="shared" si="112"/>
        <v>391821714468.29108</v>
      </c>
      <c r="B541" s="28">
        <v>0.52100000000000002</v>
      </c>
      <c r="C541">
        <f t="shared" si="113"/>
        <v>391821820442.22369</v>
      </c>
      <c r="E541">
        <f t="shared" si="114"/>
        <v>9627.7598976851477</v>
      </c>
      <c r="F541" s="28">
        <v>0.52100000000000002</v>
      </c>
      <c r="G541">
        <f t="shared" si="115"/>
        <v>1151.631474542221</v>
      </c>
      <c r="I541">
        <f t="shared" si="116"/>
        <v>595960877619.99292</v>
      </c>
      <c r="J541" s="28">
        <v>0.52100000000000002</v>
      </c>
      <c r="K541">
        <f t="shared" si="117"/>
        <v>595960988892.62219</v>
      </c>
      <c r="M541">
        <f t="shared" si="118"/>
        <v>9566.7294680600207</v>
      </c>
      <c r="N541" s="28">
        <v>0.52100000000000002</v>
      </c>
      <c r="O541">
        <f t="shared" si="119"/>
        <v>1751.631472778718</v>
      </c>
      <c r="Q541">
        <f t="shared" si="120"/>
        <v>204139163151.70193</v>
      </c>
      <c r="R541" s="28">
        <v>0.52100000000000002</v>
      </c>
      <c r="S541">
        <f t="shared" si="121"/>
        <v>204139169050.39856</v>
      </c>
      <c r="U541">
        <f t="shared" si="122"/>
        <v>19982470.450448193</v>
      </c>
      <c r="V541" s="48">
        <v>0.52100000000000002</v>
      </c>
      <c r="W541">
        <f t="shared" si="123"/>
        <v>20001094.915136438</v>
      </c>
      <c r="Y541">
        <f t="shared" si="124"/>
        <v>6146.3118199749779</v>
      </c>
      <c r="Z541" s="28">
        <v>0.52100000000000002</v>
      </c>
      <c r="AA541">
        <f t="shared" si="125"/>
        <v>1151.5651726219137</v>
      </c>
    </row>
    <row r="542" spans="1:27" x14ac:dyDescent="0.2">
      <c r="A542">
        <f t="shared" si="112"/>
        <v>403298845507.55212</v>
      </c>
      <c r="B542" s="28">
        <v>0.52200000000000002</v>
      </c>
      <c r="C542">
        <f t="shared" si="113"/>
        <v>403298951481.48474</v>
      </c>
      <c r="E542">
        <f t="shared" si="114"/>
        <v>9629.9660881469754</v>
      </c>
      <c r="F542" s="28">
        <v>0.52200000000000002</v>
      </c>
      <c r="G542">
        <f t="shared" si="115"/>
        <v>1149.4252840803933</v>
      </c>
      <c r="I542">
        <f t="shared" si="116"/>
        <v>613820892882.19043</v>
      </c>
      <c r="J542" s="28">
        <v>0.52200000000000002</v>
      </c>
      <c r="K542">
        <f t="shared" si="117"/>
        <v>613821004154.8197</v>
      </c>
      <c r="M542">
        <f t="shared" si="118"/>
        <v>9568.9356584683792</v>
      </c>
      <c r="N542" s="28">
        <v>0.52200000000000002</v>
      </c>
      <c r="O542">
        <f t="shared" si="119"/>
        <v>1749.4252823703589</v>
      </c>
      <c r="Q542">
        <f t="shared" si="120"/>
        <v>210522047374.63843</v>
      </c>
      <c r="R542" s="28">
        <v>0.52200000000000002</v>
      </c>
      <c r="S542">
        <f t="shared" si="121"/>
        <v>210522053273.33505</v>
      </c>
      <c r="U542">
        <f t="shared" si="122"/>
        <v>20321762.013217609</v>
      </c>
      <c r="V542" s="48">
        <v>0.52200000000000002</v>
      </c>
      <c r="W542">
        <f t="shared" si="123"/>
        <v>20340386.477905855</v>
      </c>
      <c r="Y542">
        <f t="shared" si="124"/>
        <v>6148.5166550308659</v>
      </c>
      <c r="Z542" s="28">
        <v>0.52200000000000002</v>
      </c>
      <c r="AA542">
        <f t="shared" si="125"/>
        <v>1149.3603375660257</v>
      </c>
    </row>
    <row r="543" spans="1:27" x14ac:dyDescent="0.2">
      <c r="A543">
        <f t="shared" si="112"/>
        <v>415105290308.46594</v>
      </c>
      <c r="B543" s="28">
        <v>0.52300000000000002</v>
      </c>
      <c r="C543">
        <f t="shared" si="113"/>
        <v>415105396282.39856</v>
      </c>
      <c r="E543">
        <f t="shared" si="114"/>
        <v>9632.1638419371593</v>
      </c>
      <c r="F543" s="28">
        <v>0.52300000000000002</v>
      </c>
      <c r="G543">
        <f t="shared" si="115"/>
        <v>1147.2275302902081</v>
      </c>
      <c r="I543">
        <f t="shared" si="116"/>
        <v>632205407265.46375</v>
      </c>
      <c r="J543" s="28">
        <v>0.52300000000000002</v>
      </c>
      <c r="K543">
        <f t="shared" si="117"/>
        <v>632205518538.09302</v>
      </c>
      <c r="M543">
        <f t="shared" si="118"/>
        <v>9571.133412206751</v>
      </c>
      <c r="N543" s="28">
        <v>0.52300000000000002</v>
      </c>
      <c r="O543">
        <f t="shared" si="119"/>
        <v>1747.2275286319873</v>
      </c>
      <c r="Q543">
        <f t="shared" si="120"/>
        <v>217100116956.99783</v>
      </c>
      <c r="R543" s="28">
        <v>0.52300000000000002</v>
      </c>
      <c r="S543">
        <f t="shared" si="121"/>
        <v>217100122855.69446</v>
      </c>
      <c r="U543">
        <f t="shared" si="122"/>
        <v>20666884.70324963</v>
      </c>
      <c r="V543" s="48">
        <v>0.52300000000000002</v>
      </c>
      <c r="W543">
        <f t="shared" si="123"/>
        <v>20685509.167937875</v>
      </c>
      <c r="Y543">
        <f t="shared" si="124"/>
        <v>6150.7130813565373</v>
      </c>
      <c r="Z543" s="28">
        <v>0.52300000000000002</v>
      </c>
      <c r="AA543">
        <f t="shared" si="125"/>
        <v>1147.1639112403548</v>
      </c>
    </row>
    <row r="544" spans="1:27" x14ac:dyDescent="0.2">
      <c r="A544">
        <f t="shared" si="112"/>
        <v>427250298208.84991</v>
      </c>
      <c r="B544" s="28">
        <v>0.52400000000000002</v>
      </c>
      <c r="C544">
        <f t="shared" si="113"/>
        <v>427250404182.78253</v>
      </c>
      <c r="E544">
        <f t="shared" si="114"/>
        <v>9634.3532073571587</v>
      </c>
      <c r="F544" s="28">
        <v>0.52400000000000002</v>
      </c>
      <c r="G544">
        <f t="shared" si="115"/>
        <v>1145.03816487021</v>
      </c>
      <c r="I544">
        <f t="shared" si="116"/>
        <v>651129504701.93127</v>
      </c>
      <c r="J544" s="28">
        <v>0.52400000000000002</v>
      </c>
      <c r="K544">
        <f t="shared" si="117"/>
        <v>651129615974.56055</v>
      </c>
      <c r="M544">
        <f t="shared" si="118"/>
        <v>9573.322777576539</v>
      </c>
      <c r="N544" s="28">
        <v>0.52400000000000002</v>
      </c>
      <c r="O544">
        <f t="shared" si="119"/>
        <v>1745.0381632622</v>
      </c>
      <c r="Q544">
        <f t="shared" si="120"/>
        <v>223879206493.08142</v>
      </c>
      <c r="R544" s="28">
        <v>0.52400000000000002</v>
      </c>
      <c r="S544">
        <f t="shared" si="121"/>
        <v>223879212391.77805</v>
      </c>
      <c r="U544">
        <f t="shared" si="122"/>
        <v>21017939.713034637</v>
      </c>
      <c r="V544" s="48">
        <v>0.52400000000000002</v>
      </c>
      <c r="W544">
        <f t="shared" si="123"/>
        <v>21036564.177722882</v>
      </c>
      <c r="Y544">
        <f t="shared" si="124"/>
        <v>6152.9011466718539</v>
      </c>
      <c r="Z544" s="28">
        <v>0.52400000000000002</v>
      </c>
      <c r="AA544">
        <f t="shared" si="125"/>
        <v>1144.9758459250379</v>
      </c>
    </row>
    <row r="545" spans="1:27" x14ac:dyDescent="0.2">
      <c r="A545">
        <f t="shared" si="112"/>
        <v>439743372663.13342</v>
      </c>
      <c r="B545" s="28">
        <v>0.52500000000000002</v>
      </c>
      <c r="C545">
        <f t="shared" si="113"/>
        <v>439743478637.06604</v>
      </c>
      <c r="E545">
        <f t="shared" si="114"/>
        <v>9636.5342323404166</v>
      </c>
      <c r="F545" s="28">
        <v>0.52500000000000002</v>
      </c>
      <c r="G545">
        <f t="shared" si="115"/>
        <v>1142.857139886951</v>
      </c>
      <c r="I545">
        <f t="shared" si="116"/>
        <v>670608693648.89648</v>
      </c>
      <c r="J545" s="28">
        <v>0.52500000000000002</v>
      </c>
      <c r="K545">
        <f t="shared" si="117"/>
        <v>670608804921.52576</v>
      </c>
      <c r="M545">
        <f t="shared" si="118"/>
        <v>9575.5038025111389</v>
      </c>
      <c r="N545" s="28">
        <v>0.52500000000000002</v>
      </c>
      <c r="O545">
        <f t="shared" si="119"/>
        <v>1742.8571383276003</v>
      </c>
      <c r="Q545">
        <f t="shared" si="120"/>
        <v>230865320985.76306</v>
      </c>
      <c r="R545" s="28">
        <v>0.52500000000000002</v>
      </c>
      <c r="S545">
        <f t="shared" si="121"/>
        <v>230865326884.45969</v>
      </c>
      <c r="U545">
        <f t="shared" si="122"/>
        <v>21375030.004678074</v>
      </c>
      <c r="V545" s="48">
        <v>0.52500000000000002</v>
      </c>
      <c r="W545">
        <f t="shared" si="123"/>
        <v>21393654.469366319</v>
      </c>
      <c r="Y545">
        <f t="shared" si="124"/>
        <v>6155.0808983409133</v>
      </c>
      <c r="Z545" s="28">
        <v>0.52500000000000002</v>
      </c>
      <c r="AA545">
        <f t="shared" si="125"/>
        <v>1142.7960942559785</v>
      </c>
    </row>
    <row r="546" spans="1:27" x14ac:dyDescent="0.2">
      <c r="A546">
        <f t="shared" si="112"/>
        <v>452594278066.91772</v>
      </c>
      <c r="B546" s="28">
        <v>0.52600000000000002</v>
      </c>
      <c r="C546">
        <f t="shared" si="113"/>
        <v>452594384040.85034</v>
      </c>
      <c r="E546">
        <f t="shared" si="114"/>
        <v>9638.7069644558742</v>
      </c>
      <c r="F546" s="28">
        <v>0.52600000000000002</v>
      </c>
      <c r="G546">
        <f t="shared" si="115"/>
        <v>1140.6844077714936</v>
      </c>
      <c r="I546">
        <f t="shared" si="116"/>
        <v>690658918773.7085</v>
      </c>
      <c r="J546" s="28">
        <v>0.52600000000000002</v>
      </c>
      <c r="K546">
        <f t="shared" si="117"/>
        <v>690659030046.33777</v>
      </c>
      <c r="M546">
        <f t="shared" si="118"/>
        <v>9577.6765345794392</v>
      </c>
      <c r="N546" s="28">
        <v>0.52600000000000002</v>
      </c>
      <c r="O546">
        <f t="shared" si="119"/>
        <v>1740.6844062592993</v>
      </c>
      <c r="Q546">
        <f t="shared" si="120"/>
        <v>238064640706.79068</v>
      </c>
      <c r="R546" s="28">
        <v>0.52600000000000002</v>
      </c>
      <c r="S546">
        <f t="shared" si="121"/>
        <v>238064646605.4873</v>
      </c>
      <c r="U546">
        <f t="shared" si="122"/>
        <v>21738260.341041725</v>
      </c>
      <c r="V546" s="48">
        <v>0.52600000000000002</v>
      </c>
      <c r="W546">
        <f t="shared" si="123"/>
        <v>21756884.80572997</v>
      </c>
      <c r="Y546">
        <f t="shared" si="124"/>
        <v>6157.252383375283</v>
      </c>
      <c r="Z546" s="28">
        <v>0.52600000000000002</v>
      </c>
      <c r="AA546">
        <f t="shared" si="125"/>
        <v>1140.6246092216086</v>
      </c>
    </row>
    <row r="547" spans="1:27" x14ac:dyDescent="0.2">
      <c r="A547">
        <f t="shared" si="112"/>
        <v>465813046760.57703</v>
      </c>
      <c r="B547" s="28">
        <v>0.52700000000000002</v>
      </c>
      <c r="C547">
        <f t="shared" si="113"/>
        <v>465813152734.50964</v>
      </c>
      <c r="E547">
        <f t="shared" si="114"/>
        <v>9640.8714509114161</v>
      </c>
      <c r="F547" s="28">
        <v>0.52700000000000002</v>
      </c>
      <c r="G547">
        <f t="shared" si="115"/>
        <v>1138.5199213159517</v>
      </c>
      <c r="I547">
        <f t="shared" si="116"/>
        <v>711296572952.96704</v>
      </c>
      <c r="J547" s="28">
        <v>0.52700000000000002</v>
      </c>
      <c r="K547">
        <f t="shared" si="117"/>
        <v>711296684225.59631</v>
      </c>
      <c r="M547">
        <f t="shared" si="118"/>
        <v>9579.8410209892791</v>
      </c>
      <c r="N547" s="28">
        <v>0.52700000000000002</v>
      </c>
      <c r="O547">
        <f t="shared" si="119"/>
        <v>1738.5199198494583</v>
      </c>
      <c r="Q547">
        <f t="shared" si="120"/>
        <v>245483526192.38998</v>
      </c>
      <c r="R547" s="28">
        <v>0.52700000000000002</v>
      </c>
      <c r="S547">
        <f t="shared" si="121"/>
        <v>245483532091.08661</v>
      </c>
      <c r="U547">
        <f t="shared" si="122"/>
        <v>22107737.3174362</v>
      </c>
      <c r="V547" s="48">
        <v>0.52700000000000002</v>
      </c>
      <c r="W547">
        <f t="shared" si="123"/>
        <v>22126361.782124445</v>
      </c>
      <c r="Y547">
        <f t="shared" si="124"/>
        <v>6159.4156484372043</v>
      </c>
      <c r="Z547" s="28">
        <v>0.52700000000000002</v>
      </c>
      <c r="AA547">
        <f t="shared" si="125"/>
        <v>1138.4613441596873</v>
      </c>
    </row>
    <row r="548" spans="1:27" x14ac:dyDescent="0.2">
      <c r="A548">
        <f t="shared" si="112"/>
        <v>479409986216.47955</v>
      </c>
      <c r="B548" s="28">
        <v>0.52800000000000002</v>
      </c>
      <c r="C548">
        <f t="shared" si="113"/>
        <v>479410092190.41217</v>
      </c>
      <c r="E548">
        <f t="shared" si="114"/>
        <v>9643.0277385572972</v>
      </c>
      <c r="F548" s="28">
        <v>0.52800000000000002</v>
      </c>
      <c r="G548">
        <f t="shared" si="115"/>
        <v>1136.3636336700711</v>
      </c>
      <c r="I548">
        <f t="shared" si="116"/>
        <v>732538509594.32056</v>
      </c>
      <c r="J548" s="28">
        <v>0.52800000000000002</v>
      </c>
      <c r="K548">
        <f t="shared" si="117"/>
        <v>732538620866.94983</v>
      </c>
      <c r="M548">
        <f t="shared" si="118"/>
        <v>9581.9973085908696</v>
      </c>
      <c r="N548" s="28">
        <v>0.52800000000000002</v>
      </c>
      <c r="O548">
        <f t="shared" si="119"/>
        <v>1736.363632247869</v>
      </c>
      <c r="Q548">
        <f t="shared" si="120"/>
        <v>253128523377.841</v>
      </c>
      <c r="R548" s="28">
        <v>0.52800000000000002</v>
      </c>
      <c r="S548">
        <f t="shared" si="121"/>
        <v>253128529276.53763</v>
      </c>
      <c r="U548">
        <f t="shared" si="122"/>
        <v>22483569.393874235</v>
      </c>
      <c r="V548" s="48">
        <v>0.52800000000000002</v>
      </c>
      <c r="W548">
        <f t="shared" si="123"/>
        <v>22502193.858562481</v>
      </c>
      <c r="Y548">
        <f t="shared" si="124"/>
        <v>6161.5707398427612</v>
      </c>
      <c r="Z548" s="28">
        <v>0.52800000000000002</v>
      </c>
      <c r="AA548">
        <f t="shared" si="125"/>
        <v>1136.3062527541306</v>
      </c>
    </row>
    <row r="549" spans="1:27" x14ac:dyDescent="0.2">
      <c r="A549">
        <f t="shared" si="112"/>
        <v>493395686414.54102</v>
      </c>
      <c r="B549" s="28">
        <v>0.52900000000000003</v>
      </c>
      <c r="C549">
        <f t="shared" si="113"/>
        <v>493395792388.47363</v>
      </c>
      <c r="E549">
        <f t="shared" si="114"/>
        <v>9645.1758738895169</v>
      </c>
      <c r="F549" s="28">
        <v>0.52900000000000003</v>
      </c>
      <c r="G549">
        <f t="shared" si="115"/>
        <v>1134.2154983378512</v>
      </c>
      <c r="I549">
        <f t="shared" si="116"/>
        <v>754402055289.34692</v>
      </c>
      <c r="J549" s="28">
        <v>0.52900000000000003</v>
      </c>
      <c r="K549">
        <f t="shared" si="117"/>
        <v>754402166561.9762</v>
      </c>
      <c r="M549">
        <f t="shared" si="118"/>
        <v>9584.1454438801629</v>
      </c>
      <c r="N549" s="28">
        <v>0.52900000000000003</v>
      </c>
      <c r="O549">
        <f t="shared" si="119"/>
        <v>1734.2154969585747</v>
      </c>
      <c r="Q549">
        <f t="shared" si="120"/>
        <v>261006368874.80594</v>
      </c>
      <c r="R549" s="28">
        <v>0.52900000000000003</v>
      </c>
      <c r="S549">
        <f t="shared" si="121"/>
        <v>261006374773.50256</v>
      </c>
      <c r="U549">
        <f t="shared" si="122"/>
        <v>22865866.92789422</v>
      </c>
      <c r="V549" s="48">
        <v>0.52900000000000003</v>
      </c>
      <c r="W549">
        <f t="shared" si="123"/>
        <v>22884491.392582465</v>
      </c>
      <c r="Y549">
        <f t="shared" si="124"/>
        <v>6163.7177035650166</v>
      </c>
      <c r="Z549" s="28">
        <v>0.52900000000000003</v>
      </c>
      <c r="AA549">
        <f t="shared" si="125"/>
        <v>1134.1592890318757</v>
      </c>
    </row>
    <row r="550" spans="1:27" x14ac:dyDescent="0.2">
      <c r="A550">
        <f t="shared" si="112"/>
        <v>507781027410.88629</v>
      </c>
      <c r="B550" s="28">
        <v>0.53</v>
      </c>
      <c r="C550">
        <f t="shared" si="113"/>
        <v>507781133384.81891</v>
      </c>
      <c r="E550">
        <f t="shared" si="114"/>
        <v>9647.3159030531679</v>
      </c>
      <c r="F550" s="28">
        <v>0.53</v>
      </c>
      <c r="G550">
        <f t="shared" si="115"/>
        <v>1132.0754691742013</v>
      </c>
      <c r="I550">
        <f t="shared" si="116"/>
        <v>776905022806.14355</v>
      </c>
      <c r="J550" s="28">
        <v>0.53</v>
      </c>
      <c r="K550">
        <f t="shared" si="117"/>
        <v>776905134078.77283</v>
      </c>
      <c r="M550">
        <f t="shared" si="118"/>
        <v>9586.28547300221</v>
      </c>
      <c r="N550" s="28">
        <v>0.53</v>
      </c>
      <c r="O550">
        <f t="shared" si="119"/>
        <v>1732.0754678365279</v>
      </c>
      <c r="Q550">
        <f t="shared" si="120"/>
        <v>269123995395.25742</v>
      </c>
      <c r="R550" s="28">
        <v>0.53</v>
      </c>
      <c r="S550">
        <f t="shared" si="121"/>
        <v>269124001293.95404</v>
      </c>
      <c r="U550">
        <f t="shared" si="122"/>
        <v>23254742.207965106</v>
      </c>
      <c r="V550" s="48">
        <v>0.53</v>
      </c>
      <c r="W550">
        <f t="shared" si="123"/>
        <v>23273366.672653351</v>
      </c>
      <c r="Y550">
        <f t="shared" si="124"/>
        <v>6165.856585237113</v>
      </c>
      <c r="Z550" s="28">
        <v>0.53</v>
      </c>
      <c r="AA550">
        <f t="shared" si="125"/>
        <v>1132.020407359779</v>
      </c>
    </row>
    <row r="551" spans="1:27" x14ac:dyDescent="0.2">
      <c r="A551">
        <f t="shared" si="112"/>
        <v>522577187104.58453</v>
      </c>
      <c r="B551" s="28">
        <v>0.53100000000000003</v>
      </c>
      <c r="C551">
        <f t="shared" si="113"/>
        <v>522577293078.51715</v>
      </c>
      <c r="E551">
        <f t="shared" si="114"/>
        <v>9649.4478718457322</v>
      </c>
      <c r="F551" s="28">
        <v>0.53100000000000003</v>
      </c>
      <c r="G551">
        <f t="shared" si="115"/>
        <v>1129.9435003816368</v>
      </c>
      <c r="I551">
        <f t="shared" si="116"/>
        <v>800065724430.58069</v>
      </c>
      <c r="J551" s="28">
        <v>0.53100000000000003</v>
      </c>
      <c r="K551">
        <f t="shared" si="117"/>
        <v>800065835703.20996</v>
      </c>
      <c r="M551">
        <f t="shared" si="118"/>
        <v>9588.4174417544527</v>
      </c>
      <c r="N551" s="28">
        <v>0.53100000000000003</v>
      </c>
      <c r="O551">
        <f t="shared" si="119"/>
        <v>1729.9434990842863</v>
      </c>
      <c r="Q551">
        <f t="shared" si="120"/>
        <v>277488537325.99597</v>
      </c>
      <c r="R551" s="28">
        <v>0.53100000000000003</v>
      </c>
      <c r="S551">
        <f t="shared" si="121"/>
        <v>277488543224.69263</v>
      </c>
      <c r="U551">
        <f t="shared" si="122"/>
        <v>23650309.487481929</v>
      </c>
      <c r="V551" s="48">
        <v>0.53100000000000003</v>
      </c>
      <c r="W551">
        <f t="shared" si="123"/>
        <v>23668933.952170175</v>
      </c>
      <c r="Y551">
        <f t="shared" si="124"/>
        <v>6167.9874301553464</v>
      </c>
      <c r="Z551" s="28">
        <v>0.53100000000000003</v>
      </c>
      <c r="AA551">
        <f t="shared" si="125"/>
        <v>1129.8895624415456</v>
      </c>
    </row>
    <row r="552" spans="1:27" x14ac:dyDescent="0.2">
      <c r="A552">
        <f t="shared" si="112"/>
        <v>537795649207.53015</v>
      </c>
      <c r="B552" s="28">
        <v>0.53200000000000003</v>
      </c>
      <c r="C552">
        <f t="shared" si="113"/>
        <v>537795755181.46277</v>
      </c>
      <c r="E552">
        <f t="shared" si="114"/>
        <v>9651.5718257203553</v>
      </c>
      <c r="F552" s="28">
        <v>0.53200000000000003</v>
      </c>
      <c r="G552">
        <f t="shared" si="115"/>
        <v>1127.819546507013</v>
      </c>
      <c r="I552">
        <f t="shared" si="116"/>
        <v>823902985665.3717</v>
      </c>
      <c r="J552" s="28">
        <v>0.53200000000000003</v>
      </c>
      <c r="K552">
        <f t="shared" si="117"/>
        <v>823903096938.00098</v>
      </c>
      <c r="M552">
        <f t="shared" si="118"/>
        <v>9590.5413955899949</v>
      </c>
      <c r="N552" s="28">
        <v>0.53200000000000003</v>
      </c>
      <c r="O552">
        <f t="shared" si="119"/>
        <v>1727.8195452487441</v>
      </c>
      <c r="Q552">
        <f t="shared" si="120"/>
        <v>286107336457.84155</v>
      </c>
      <c r="R552" s="28">
        <v>0.53200000000000003</v>
      </c>
      <c r="S552">
        <f t="shared" si="121"/>
        <v>286107342356.53821</v>
      </c>
      <c r="U552">
        <f t="shared" si="122"/>
        <v>24052685.019363511</v>
      </c>
      <c r="V552" s="48">
        <v>0.53200000000000003</v>
      </c>
      <c r="W552">
        <f t="shared" si="123"/>
        <v>24071309.484051757</v>
      </c>
      <c r="Y552">
        <f t="shared" si="124"/>
        <v>6170.1102832822007</v>
      </c>
      <c r="Z552" s="28">
        <v>0.53200000000000003</v>
      </c>
      <c r="AA552">
        <f t="shared" si="125"/>
        <v>1127.7667093146908</v>
      </c>
    </row>
    <row r="553" spans="1:27" x14ac:dyDescent="0.2">
      <c r="A553">
        <f t="shared" si="112"/>
        <v>553448211422.63208</v>
      </c>
      <c r="B553" s="28">
        <v>0.53300000000000003</v>
      </c>
      <c r="C553">
        <f t="shared" si="113"/>
        <v>553448317396.5647</v>
      </c>
      <c r="E553">
        <f t="shared" si="114"/>
        <v>9653.6878097890731</v>
      </c>
      <c r="F553" s="28">
        <v>0.53300000000000003</v>
      </c>
      <c r="G553">
        <f t="shared" si="115"/>
        <v>1125.703562438295</v>
      </c>
      <c r="I553">
        <f t="shared" si="116"/>
        <v>848436159296.30432</v>
      </c>
      <c r="J553" s="28">
        <v>0.53300000000000003</v>
      </c>
      <c r="K553">
        <f t="shared" si="117"/>
        <v>848436270568.93359</v>
      </c>
      <c r="M553">
        <f t="shared" si="118"/>
        <v>9592.6573796208322</v>
      </c>
      <c r="N553" s="28">
        <v>0.53300000000000003</v>
      </c>
      <c r="O553">
        <f t="shared" si="119"/>
        <v>1725.7035612179059</v>
      </c>
      <c r="Q553">
        <f t="shared" si="120"/>
        <v>294987947873.67236</v>
      </c>
      <c r="R553" s="28">
        <v>0.53300000000000003</v>
      </c>
      <c r="S553">
        <f t="shared" si="121"/>
        <v>294987953772.36902</v>
      </c>
      <c r="U553">
        <f t="shared" si="122"/>
        <v>24461987.091261901</v>
      </c>
      <c r="V553" s="48">
        <v>0.53300000000000003</v>
      </c>
      <c r="W553">
        <f t="shared" si="123"/>
        <v>24480611.555950146</v>
      </c>
      <c r="Y553">
        <f t="shared" si="124"/>
        <v>6172.2251892493568</v>
      </c>
      <c r="Z553" s="28">
        <v>0.53300000000000003</v>
      </c>
      <c r="AA553">
        <f t="shared" si="125"/>
        <v>1125.6518033475345</v>
      </c>
    </row>
    <row r="554" spans="1:27" x14ac:dyDescent="0.2">
      <c r="A554">
        <f t="shared" si="112"/>
        <v>569546993835.62317</v>
      </c>
      <c r="B554" s="28">
        <v>0.53400000000000003</v>
      </c>
      <c r="C554">
        <f t="shared" si="113"/>
        <v>569547099809.55579</v>
      </c>
      <c r="E554">
        <f t="shared" si="114"/>
        <v>9655.795868826006</v>
      </c>
      <c r="F554" s="28">
        <v>0.53400000000000003</v>
      </c>
      <c r="G554">
        <f t="shared" si="115"/>
        <v>1123.5955034013621</v>
      </c>
      <c r="I554">
        <f t="shared" si="116"/>
        <v>873685139835.22925</v>
      </c>
      <c r="J554" s="28">
        <v>0.53400000000000003</v>
      </c>
      <c r="K554">
        <f t="shared" si="117"/>
        <v>873685251107.85852</v>
      </c>
      <c r="M554">
        <f t="shared" si="118"/>
        <v>9594.7654386210488</v>
      </c>
      <c r="N554" s="28">
        <v>0.53400000000000003</v>
      </c>
      <c r="O554">
        <f t="shared" si="119"/>
        <v>1723.5955022176895</v>
      </c>
      <c r="Q554">
        <f t="shared" si="120"/>
        <v>304138145999.60614</v>
      </c>
      <c r="R554" s="28">
        <v>0.53400000000000003</v>
      </c>
      <c r="S554">
        <f t="shared" si="121"/>
        <v>304138151898.3028</v>
      </c>
      <c r="U554">
        <f t="shared" si="122"/>
        <v>24878336.061395749</v>
      </c>
      <c r="V554" s="48">
        <v>0.53400000000000003</v>
      </c>
      <c r="W554">
        <f t="shared" si="123"/>
        <v>24896960.526083995</v>
      </c>
      <c r="Y554">
        <f t="shared" si="124"/>
        <v>6174.3321923606654</v>
      </c>
      <c r="Z554" s="28">
        <v>0.53400000000000003</v>
      </c>
      <c r="AA554">
        <f t="shared" si="125"/>
        <v>1123.5448002362268</v>
      </c>
    </row>
    <row r="555" spans="1:27" x14ac:dyDescent="0.2">
      <c r="A555">
        <f t="shared" si="112"/>
        <v>586104447525.95068</v>
      </c>
      <c r="B555" s="28">
        <v>0.53500000000000003</v>
      </c>
      <c r="C555">
        <f t="shared" si="113"/>
        <v>586104553499.8833</v>
      </c>
      <c r="E555">
        <f t="shared" si="114"/>
        <v>9657.8960472705148</v>
      </c>
      <c r="F555" s="28">
        <v>0.53500000000000003</v>
      </c>
      <c r="G555">
        <f t="shared" si="115"/>
        <v>1121.4953249568525</v>
      </c>
      <c r="I555">
        <f t="shared" si="116"/>
        <v>899670378349.69165</v>
      </c>
      <c r="J555" s="28">
        <v>0.53500000000000003</v>
      </c>
      <c r="K555">
        <f t="shared" si="117"/>
        <v>899670489622.32092</v>
      </c>
      <c r="M555">
        <f t="shared" si="118"/>
        <v>9596.8656170299691</v>
      </c>
      <c r="N555" s="28">
        <v>0.53500000000000003</v>
      </c>
      <c r="O555">
        <f t="shared" si="119"/>
        <v>1721.4953238087687</v>
      </c>
      <c r="Q555">
        <f t="shared" si="120"/>
        <v>313565930823.74091</v>
      </c>
      <c r="R555" s="28">
        <v>0.53500000000000003</v>
      </c>
      <c r="S555">
        <f t="shared" si="121"/>
        <v>313565936722.43756</v>
      </c>
      <c r="U555">
        <f t="shared" si="122"/>
        <v>25301854.39501727</v>
      </c>
      <c r="V555" s="48">
        <v>0.53500000000000003</v>
      </c>
      <c r="W555">
        <f t="shared" si="123"/>
        <v>25320478.859705515</v>
      </c>
      <c r="Y555">
        <f t="shared" si="124"/>
        <v>6176.4313365950875</v>
      </c>
      <c r="Z555" s="28">
        <v>0.53500000000000003</v>
      </c>
      <c r="AA555">
        <f t="shared" si="125"/>
        <v>1121.4456560018039</v>
      </c>
    </row>
    <row r="556" spans="1:27" x14ac:dyDescent="0.2">
      <c r="A556">
        <f t="shared" si="112"/>
        <v>603133363402.33594</v>
      </c>
      <c r="B556" s="28">
        <v>0.53600000000000003</v>
      </c>
      <c r="C556">
        <f t="shared" si="113"/>
        <v>603133469376.26855</v>
      </c>
      <c r="E556">
        <f t="shared" si="114"/>
        <v>9659.9883892303296</v>
      </c>
      <c r="F556" s="28">
        <v>0.53600000000000003</v>
      </c>
      <c r="G556">
        <f t="shared" si="115"/>
        <v>1119.4029829970384</v>
      </c>
      <c r="I556">
        <f t="shared" si="116"/>
        <v>926412897689.31934</v>
      </c>
      <c r="J556" s="28">
        <v>0.53600000000000003</v>
      </c>
      <c r="K556">
        <f t="shared" si="117"/>
        <v>926413008961.94861</v>
      </c>
      <c r="M556">
        <f t="shared" si="118"/>
        <v>9598.9579589552868</v>
      </c>
      <c r="N556" s="28">
        <v>0.53600000000000003</v>
      </c>
      <c r="O556">
        <f t="shared" si="119"/>
        <v>1719.402981883451</v>
      </c>
      <c r="Q556">
        <f t="shared" si="120"/>
        <v>323279534286.98334</v>
      </c>
      <c r="R556" s="28">
        <v>0.53600000000000003</v>
      </c>
      <c r="S556">
        <f t="shared" si="121"/>
        <v>323279540185.67999</v>
      </c>
      <c r="U556">
        <f t="shared" si="122"/>
        <v>25732666.70152548</v>
      </c>
      <c r="V556" s="48">
        <v>0.53600000000000003</v>
      </c>
      <c r="W556">
        <f t="shared" si="123"/>
        <v>25751291.166213725</v>
      </c>
      <c r="Y556">
        <f t="shared" si="124"/>
        <v>6178.5226656096165</v>
      </c>
      <c r="Z556" s="28">
        <v>0.53600000000000003</v>
      </c>
      <c r="AA556">
        <f t="shared" si="125"/>
        <v>1119.354326987275</v>
      </c>
    </row>
    <row r="557" spans="1:27" x14ac:dyDescent="0.2">
      <c r="A557">
        <f t="shared" si="112"/>
        <v>620646881268.70618</v>
      </c>
      <c r="B557" s="28">
        <v>0.53700000000000003</v>
      </c>
      <c r="C557">
        <f t="shared" si="113"/>
        <v>620646987242.63879</v>
      </c>
      <c r="E557">
        <f t="shared" si="114"/>
        <v>9662.072938484629</v>
      </c>
      <c r="F557" s="28">
        <v>0.53700000000000003</v>
      </c>
      <c r="G557">
        <f t="shared" si="115"/>
        <v>1117.3184337427397</v>
      </c>
      <c r="I557">
        <f t="shared" si="116"/>
        <v>953934308119.30652</v>
      </c>
      <c r="J557" s="28">
        <v>0.53700000000000003</v>
      </c>
      <c r="K557">
        <f t="shared" si="117"/>
        <v>953934419391.93579</v>
      </c>
      <c r="M557">
        <f t="shared" si="118"/>
        <v>9601.0425081761477</v>
      </c>
      <c r="N557" s="28">
        <v>0.53700000000000003</v>
      </c>
      <c r="O557">
        <f t="shared" si="119"/>
        <v>1717.3184326625908</v>
      </c>
      <c r="Q557">
        <f t="shared" si="120"/>
        <v>333287426850.6004</v>
      </c>
      <c r="R557" s="28">
        <v>0.53700000000000003</v>
      </c>
      <c r="S557">
        <f t="shared" si="121"/>
        <v>333287432749.29706</v>
      </c>
      <c r="U557">
        <f t="shared" si="122"/>
        <v>26170899.772235848</v>
      </c>
      <c r="V557" s="48">
        <v>0.53700000000000003</v>
      </c>
      <c r="W557">
        <f t="shared" si="123"/>
        <v>26189524.236924093</v>
      </c>
      <c r="Y557">
        <f t="shared" si="124"/>
        <v>6180.6062227421507</v>
      </c>
      <c r="Z557" s="28">
        <v>0.53700000000000003</v>
      </c>
      <c r="AA557">
        <f t="shared" si="125"/>
        <v>1117.270769854741</v>
      </c>
    </row>
    <row r="558" spans="1:27" x14ac:dyDescent="0.2">
      <c r="A558">
        <f t="shared" si="112"/>
        <v>638658499126.38062</v>
      </c>
      <c r="B558" s="28">
        <v>0.53800000000000003</v>
      </c>
      <c r="C558">
        <f t="shared" si="113"/>
        <v>638658605100.31323</v>
      </c>
      <c r="E558">
        <f t="shared" si="114"/>
        <v>9664.1497384870981</v>
      </c>
      <c r="F558" s="28">
        <v>0.53800000000000003</v>
      </c>
      <c r="G558">
        <f t="shared" si="115"/>
        <v>1115.2416337402694</v>
      </c>
      <c r="I558">
        <f t="shared" si="116"/>
        <v>982256823371.65259</v>
      </c>
      <c r="J558" s="28">
        <v>0.53800000000000003</v>
      </c>
      <c r="K558">
        <f t="shared" si="117"/>
        <v>982256934644.28186</v>
      </c>
      <c r="M558">
        <f t="shared" si="118"/>
        <v>9603.1193081462043</v>
      </c>
      <c r="N558" s="28">
        <v>0.53800000000000003</v>
      </c>
      <c r="O558">
        <f t="shared" si="119"/>
        <v>1715.2416326925345</v>
      </c>
      <c r="Q558">
        <f t="shared" si="120"/>
        <v>343598324245.27191</v>
      </c>
      <c r="R558" s="28">
        <v>0.53800000000000003</v>
      </c>
      <c r="S558">
        <f t="shared" si="121"/>
        <v>343598330143.96857</v>
      </c>
      <c r="U558">
        <f t="shared" si="122"/>
        <v>26616682.618819404</v>
      </c>
      <c r="V558" s="48">
        <v>0.53800000000000003</v>
      </c>
      <c r="W558">
        <f t="shared" si="123"/>
        <v>26635307.08350765</v>
      </c>
      <c r="Y558">
        <f t="shared" si="124"/>
        <v>6182.6820510143507</v>
      </c>
      <c r="Z558" s="28">
        <v>0.53800000000000003</v>
      </c>
      <c r="AA558">
        <f t="shared" si="125"/>
        <v>1115.1949415825409</v>
      </c>
    </row>
    <row r="559" spans="1:27" x14ac:dyDescent="0.2">
      <c r="A559">
        <f t="shared" si="112"/>
        <v>657182082718.48047</v>
      </c>
      <c r="B559" s="28">
        <v>0.53900000000000003</v>
      </c>
      <c r="C559">
        <f t="shared" si="113"/>
        <v>657182188692.41309</v>
      </c>
      <c r="E559">
        <f t="shared" si="114"/>
        <v>9666.2188323689534</v>
      </c>
      <c r="F559" s="28">
        <v>0.53900000000000003</v>
      </c>
      <c r="G559">
        <f t="shared" si="115"/>
        <v>1113.1725398584153</v>
      </c>
      <c r="I559">
        <f t="shared" si="116"/>
        <v>1011403277124.9945</v>
      </c>
      <c r="J559" s="28">
        <v>0.53900000000000003</v>
      </c>
      <c r="K559">
        <f t="shared" si="117"/>
        <v>1011403388397.6238</v>
      </c>
      <c r="M559">
        <f t="shared" si="118"/>
        <v>9605.1884019966365</v>
      </c>
      <c r="N559" s="28">
        <v>0.53900000000000003</v>
      </c>
      <c r="O559">
        <f t="shared" si="119"/>
        <v>1713.1725388421014</v>
      </c>
      <c r="Q559">
        <f t="shared" si="120"/>
        <v>354221194406.51404</v>
      </c>
      <c r="R559" s="28">
        <v>0.53900000000000003</v>
      </c>
      <c r="S559">
        <f t="shared" si="121"/>
        <v>354221200305.21069</v>
      </c>
      <c r="U559">
        <f t="shared" si="122"/>
        <v>27070146.512421712</v>
      </c>
      <c r="V559" s="48">
        <v>0.53900000000000003</v>
      </c>
      <c r="W559">
        <f t="shared" si="123"/>
        <v>27088770.977109957</v>
      </c>
      <c r="Y559">
        <f t="shared" si="124"/>
        <v>6184.7501931344632</v>
      </c>
      <c r="Z559" s="28">
        <v>0.53900000000000003</v>
      </c>
      <c r="AA559">
        <f t="shared" si="125"/>
        <v>1113.1267994624291</v>
      </c>
    </row>
    <row r="560" spans="1:27" x14ac:dyDescent="0.2">
      <c r="A560">
        <f t="shared" si="112"/>
        <v>676231875322.78088</v>
      </c>
      <c r="B560" s="28">
        <v>0.54</v>
      </c>
      <c r="C560">
        <f t="shared" si="113"/>
        <v>676231981296.7135</v>
      </c>
      <c r="E560">
        <f t="shared" si="114"/>
        <v>9668.2802629419148</v>
      </c>
      <c r="F560" s="28">
        <v>0.54</v>
      </c>
      <c r="G560">
        <f t="shared" si="115"/>
        <v>1111.1111092854537</v>
      </c>
      <c r="I560">
        <f t="shared" si="116"/>
        <v>1041397139924.3097</v>
      </c>
      <c r="J560" s="28">
        <v>0.54</v>
      </c>
      <c r="K560">
        <f t="shared" si="117"/>
        <v>1041397251196.939</v>
      </c>
      <c r="M560">
        <f t="shared" si="118"/>
        <v>9607.2498325391389</v>
      </c>
      <c r="N560" s="28">
        <v>0.54</v>
      </c>
      <c r="O560">
        <f t="shared" si="119"/>
        <v>1711.1111082995988</v>
      </c>
      <c r="Q560">
        <f t="shared" si="120"/>
        <v>365165264601.52869</v>
      </c>
      <c r="R560" s="28">
        <v>0.54</v>
      </c>
      <c r="S560">
        <f t="shared" si="121"/>
        <v>365165270500.22534</v>
      </c>
      <c r="U560">
        <f t="shared" si="122"/>
        <v>27531425.023475423</v>
      </c>
      <c r="V560" s="48">
        <v>0.54</v>
      </c>
      <c r="W560">
        <f t="shared" si="123"/>
        <v>27550049.488163669</v>
      </c>
      <c r="Y560">
        <f t="shared" si="124"/>
        <v>6186.8106915001099</v>
      </c>
      <c r="Z560" s="28">
        <v>0.54</v>
      </c>
      <c r="AA560">
        <f t="shared" si="125"/>
        <v>1111.0663010967819</v>
      </c>
    </row>
    <row r="561" spans="1:27" x14ac:dyDescent="0.2">
      <c r="A561">
        <f t="shared" si="112"/>
        <v>695822507799.29187</v>
      </c>
      <c r="B561" s="28">
        <v>0.54100000000000004</v>
      </c>
      <c r="C561">
        <f t="shared" si="113"/>
        <v>695822613773.22449</v>
      </c>
      <c r="E561">
        <f t="shared" si="114"/>
        <v>9670.334072701171</v>
      </c>
      <c r="F561" s="28">
        <v>0.54100000000000004</v>
      </c>
      <c r="G561">
        <f t="shared" si="115"/>
        <v>1109.0572995261964</v>
      </c>
      <c r="I561">
        <f t="shared" si="116"/>
        <v>1072262536551.9093</v>
      </c>
      <c r="J561" s="28">
        <v>0.54100000000000004</v>
      </c>
      <c r="K561">
        <f t="shared" si="117"/>
        <v>1072262647824.5386</v>
      </c>
      <c r="M561">
        <f t="shared" si="118"/>
        <v>9609.3036422688692</v>
      </c>
      <c r="N561" s="28">
        <v>0.54100000000000004</v>
      </c>
      <c r="O561">
        <f t="shared" si="119"/>
        <v>1709.0572985698686</v>
      </c>
      <c r="Q561">
        <f t="shared" si="120"/>
        <v>376440028752.6178</v>
      </c>
      <c r="R561" s="28">
        <v>0.54100000000000004</v>
      </c>
      <c r="S561">
        <f t="shared" si="121"/>
        <v>376440034651.31445</v>
      </c>
      <c r="U561">
        <f t="shared" si="122"/>
        <v>28000654.062217113</v>
      </c>
      <c r="V561" s="48">
        <v>0.54100000000000004</v>
      </c>
      <c r="W561">
        <f t="shared" si="123"/>
        <v>28019278.526905358</v>
      </c>
      <c r="Y561">
        <f t="shared" si="124"/>
        <v>6188.8635882010576</v>
      </c>
      <c r="Z561" s="28">
        <v>0.54100000000000004</v>
      </c>
      <c r="AA561">
        <f t="shared" si="125"/>
        <v>1109.0134043958342</v>
      </c>
    </row>
    <row r="562" spans="1:27" x14ac:dyDescent="0.2">
      <c r="A562">
        <f t="shared" si="112"/>
        <v>715969008898.99512</v>
      </c>
      <c r="B562" s="28">
        <v>0.54200000000000004</v>
      </c>
      <c r="C562">
        <f t="shared" si="113"/>
        <v>715969114872.92773</v>
      </c>
      <c r="E562">
        <f t="shared" si="114"/>
        <v>9672.3803038282967</v>
      </c>
      <c r="F562" s="28">
        <v>0.54200000000000004</v>
      </c>
      <c r="G562">
        <f t="shared" si="115"/>
        <v>1107.011068399072</v>
      </c>
      <c r="I562">
        <f t="shared" si="116"/>
        <v>1104024263861.4253</v>
      </c>
      <c r="J562" s="28">
        <v>0.54200000000000004</v>
      </c>
      <c r="K562">
        <f t="shared" si="117"/>
        <v>1104024375134.0544</v>
      </c>
      <c r="M562">
        <f t="shared" si="118"/>
        <v>9611.3498733673696</v>
      </c>
      <c r="N562" s="28">
        <v>0.54200000000000004</v>
      </c>
      <c r="O562">
        <f t="shared" si="119"/>
        <v>1707.0110674713692</v>
      </c>
      <c r="Q562">
        <f t="shared" si="120"/>
        <v>388055254962.43018</v>
      </c>
      <c r="R562" s="28">
        <v>0.54200000000000004</v>
      </c>
      <c r="S562">
        <f t="shared" si="121"/>
        <v>388055260861.12683</v>
      </c>
      <c r="U562">
        <f t="shared" si="122"/>
        <v>28477971.919922482</v>
      </c>
      <c r="V562" s="48">
        <v>0.54200000000000004</v>
      </c>
      <c r="W562">
        <f t="shared" si="123"/>
        <v>28496596.384610727</v>
      </c>
      <c r="Y562">
        <f t="shared" si="124"/>
        <v>6190.9089250219504</v>
      </c>
      <c r="Z562" s="28">
        <v>0.54200000000000004</v>
      </c>
      <c r="AA562">
        <f t="shared" si="125"/>
        <v>1106.9680675749412</v>
      </c>
    </row>
    <row r="563" spans="1:27" x14ac:dyDescent="0.2">
      <c r="A563">
        <f t="shared" si="112"/>
        <v>736686815840.41162</v>
      </c>
      <c r="B563" s="28">
        <v>0.54300000000000004</v>
      </c>
      <c r="C563">
        <f t="shared" si="113"/>
        <v>736686921814.34424</v>
      </c>
      <c r="E563">
        <f t="shared" si="114"/>
        <v>9674.4189981941327</v>
      </c>
      <c r="F563" s="28">
        <v>0.54300000000000004</v>
      </c>
      <c r="G563">
        <f t="shared" si="115"/>
        <v>1104.9723740332361</v>
      </c>
      <c r="I563">
        <f t="shared" si="116"/>
        <v>1136707809086.9043</v>
      </c>
      <c r="J563" s="28">
        <v>0.54300000000000004</v>
      </c>
      <c r="K563">
        <f t="shared" si="117"/>
        <v>1136707920359.5334</v>
      </c>
      <c r="M563">
        <f t="shared" si="118"/>
        <v>9613.388567705455</v>
      </c>
      <c r="N563" s="28">
        <v>0.54300000000000004</v>
      </c>
      <c r="O563">
        <f t="shared" si="119"/>
        <v>1704.9723731332836</v>
      </c>
      <c r="Q563">
        <f t="shared" si="120"/>
        <v>400020993246.49231</v>
      </c>
      <c r="R563" s="28">
        <v>0.54300000000000004</v>
      </c>
      <c r="S563">
        <f t="shared" si="121"/>
        <v>400020999145.18896</v>
      </c>
      <c r="U563">
        <f t="shared" si="122"/>
        <v>28963519.31087118</v>
      </c>
      <c r="V563" s="48">
        <v>0.54300000000000004</v>
      </c>
      <c r="W563">
        <f t="shared" si="123"/>
        <v>28982143.775559425</v>
      </c>
      <c r="Y563">
        <f t="shared" si="124"/>
        <v>6192.9467434450189</v>
      </c>
      <c r="Z563" s="28">
        <v>0.54300000000000004</v>
      </c>
      <c r="AA563">
        <f t="shared" si="125"/>
        <v>1104.9302491518729</v>
      </c>
    </row>
    <row r="564" spans="1:27" x14ac:dyDescent="0.2">
      <c r="A564">
        <f t="shared" si="112"/>
        <v>757991785160.77893</v>
      </c>
      <c r="B564" s="28">
        <v>0.54400000000000004</v>
      </c>
      <c r="C564">
        <f t="shared" si="113"/>
        <v>757991891134.71155</v>
      </c>
      <c r="E564">
        <f t="shared" si="114"/>
        <v>9676.4501973616516</v>
      </c>
      <c r="F564" s="28">
        <v>0.54400000000000004</v>
      </c>
      <c r="G564">
        <f t="shared" si="115"/>
        <v>1102.9411748657171</v>
      </c>
      <c r="I564">
        <f t="shared" si="116"/>
        <v>1170339368639.3655</v>
      </c>
      <c r="J564" s="28">
        <v>0.54400000000000004</v>
      </c>
      <c r="K564">
        <f t="shared" si="117"/>
        <v>1170339479911.9946</v>
      </c>
      <c r="M564">
        <f t="shared" si="118"/>
        <v>9615.4197668460711</v>
      </c>
      <c r="N564" s="28">
        <v>0.54400000000000004</v>
      </c>
      <c r="O564">
        <f t="shared" si="119"/>
        <v>1702.9411739926672</v>
      </c>
      <c r="Q564">
        <f t="shared" si="120"/>
        <v>412347583478.58649</v>
      </c>
      <c r="R564" s="28">
        <v>0.54400000000000004</v>
      </c>
      <c r="S564">
        <f t="shared" si="121"/>
        <v>412347589377.28314</v>
      </c>
      <c r="U564">
        <f t="shared" si="122"/>
        <v>29457439.415055815</v>
      </c>
      <c r="V564" s="48">
        <v>0.54400000000000004</v>
      </c>
      <c r="W564">
        <f t="shared" si="123"/>
        <v>29476063.87974406</v>
      </c>
      <c r="Y564">
        <f t="shared" si="124"/>
        <v>6194.9770846527581</v>
      </c>
      <c r="Z564" s="28">
        <v>0.54400000000000004</v>
      </c>
      <c r="AA564">
        <f t="shared" si="125"/>
        <v>1102.8999079441335</v>
      </c>
    </row>
    <row r="565" spans="1:27" x14ac:dyDescent="0.2">
      <c r="A565">
        <f t="shared" si="112"/>
        <v>779900203848.81091</v>
      </c>
      <c r="B565" s="28">
        <v>0.54500000000000004</v>
      </c>
      <c r="C565">
        <f t="shared" si="113"/>
        <v>779900309822.74353</v>
      </c>
      <c r="E565">
        <f t="shared" si="114"/>
        <v>9678.4739425887765</v>
      </c>
      <c r="F565" s="28">
        <v>0.54500000000000004</v>
      </c>
      <c r="G565">
        <f t="shared" si="115"/>
        <v>1100.9174296385911</v>
      </c>
      <c r="I565">
        <f t="shared" si="116"/>
        <v>1204945867403.5098</v>
      </c>
      <c r="J565" s="28">
        <v>0.54500000000000004</v>
      </c>
      <c r="K565">
        <f t="shared" si="117"/>
        <v>1204945978676.1389</v>
      </c>
      <c r="M565">
        <f t="shared" si="118"/>
        <v>9617.4435120471153</v>
      </c>
      <c r="N565" s="28">
        <v>0.54500000000000004</v>
      </c>
      <c r="O565">
        <f t="shared" si="119"/>
        <v>1700.9174287916233</v>
      </c>
      <c r="Q565">
        <f t="shared" si="120"/>
        <v>425045663554.69861</v>
      </c>
      <c r="R565" s="28">
        <v>0.54500000000000004</v>
      </c>
      <c r="S565">
        <f t="shared" si="121"/>
        <v>425045669453.39526</v>
      </c>
      <c r="U565">
        <f t="shared" si="122"/>
        <v>29959877.921646703</v>
      </c>
      <c r="V565" s="48">
        <v>0.54500000000000004</v>
      </c>
      <c r="W565">
        <f t="shared" si="123"/>
        <v>29978502.386334948</v>
      </c>
      <c r="Y565">
        <f t="shared" si="124"/>
        <v>6196.9999895305818</v>
      </c>
      <c r="Z565" s="28">
        <v>0.54500000000000004</v>
      </c>
      <c r="AA565">
        <f t="shared" si="125"/>
        <v>1100.87700306631</v>
      </c>
    </row>
    <row r="566" spans="1:27" x14ac:dyDescent="0.2">
      <c r="A566">
        <f t="shared" si="112"/>
        <v>802428800766.13904</v>
      </c>
      <c r="B566" s="28">
        <v>0.54600000000000004</v>
      </c>
      <c r="C566">
        <f t="shared" si="113"/>
        <v>802428906740.07166</v>
      </c>
      <c r="E566">
        <f t="shared" si="114"/>
        <v>9680.4902748311797</v>
      </c>
      <c r="F566" s="28">
        <v>0.54600000000000004</v>
      </c>
      <c r="G566">
        <f t="shared" si="115"/>
        <v>1098.9010973961883</v>
      </c>
      <c r="I566">
        <f t="shared" si="116"/>
        <v>1240554978547.5217</v>
      </c>
      <c r="J566" s="28">
        <v>0.54600000000000004</v>
      </c>
      <c r="K566">
        <f t="shared" si="117"/>
        <v>1240555089820.1509</v>
      </c>
      <c r="M566">
        <f t="shared" si="118"/>
        <v>9619.4598442642309</v>
      </c>
      <c r="N566" s="28">
        <v>0.54600000000000004</v>
      </c>
      <c r="O566">
        <f t="shared" si="119"/>
        <v>1698.9010965745074</v>
      </c>
      <c r="Q566">
        <f t="shared" si="120"/>
        <v>438126177781.38251</v>
      </c>
      <c r="R566" s="28">
        <v>0.54600000000000004</v>
      </c>
      <c r="S566">
        <f t="shared" si="121"/>
        <v>438126183680.07916</v>
      </c>
      <c r="U566">
        <f t="shared" si="122"/>
        <v>30470983.073227607</v>
      </c>
      <c r="V566" s="48">
        <v>0.54600000000000004</v>
      </c>
      <c r="W566">
        <f t="shared" si="123"/>
        <v>30489607.537915852</v>
      </c>
      <c r="Y566">
        <f t="shared" si="124"/>
        <v>6199.0154986694452</v>
      </c>
      <c r="Z566" s="28">
        <v>0.54600000000000004</v>
      </c>
      <c r="AA566">
        <f t="shared" si="125"/>
        <v>1098.8614939274462</v>
      </c>
    </row>
    <row r="567" spans="1:27" x14ac:dyDescent="0.2">
      <c r="A567">
        <f t="shared" si="112"/>
        <v>825594758364.73816</v>
      </c>
      <c r="B567" s="28">
        <v>0.54700000000000004</v>
      </c>
      <c r="C567">
        <f t="shared" si="113"/>
        <v>825594864338.67078</v>
      </c>
      <c r="E567">
        <f t="shared" si="114"/>
        <v>9682.499234745037</v>
      </c>
      <c r="F567" s="28">
        <v>0.54700000000000004</v>
      </c>
      <c r="G567">
        <f t="shared" si="115"/>
        <v>1096.892137482331</v>
      </c>
      <c r="I567">
        <f t="shared" si="116"/>
        <v>1277195143859.2947</v>
      </c>
      <c r="J567" s="28">
        <v>0.54700000000000004</v>
      </c>
      <c r="K567">
        <f t="shared" si="117"/>
        <v>1277195255131.9238</v>
      </c>
      <c r="M567">
        <f t="shared" si="118"/>
        <v>9621.4688041535719</v>
      </c>
      <c r="N567" s="28">
        <v>0.54700000000000004</v>
      </c>
      <c r="O567">
        <f t="shared" si="119"/>
        <v>1696.8921366851662</v>
      </c>
      <c r="Q567">
        <f t="shared" si="120"/>
        <v>451600385494.55627</v>
      </c>
      <c r="R567" s="28">
        <v>0.54700000000000004</v>
      </c>
      <c r="S567">
        <f t="shared" si="121"/>
        <v>451600391393.25293</v>
      </c>
      <c r="U567">
        <f t="shared" si="122"/>
        <v>30990905.710814252</v>
      </c>
      <c r="V567" s="48">
        <v>0.54700000000000004</v>
      </c>
      <c r="W567">
        <f t="shared" si="123"/>
        <v>31009530.175502498</v>
      </c>
      <c r="Y567">
        <f t="shared" si="124"/>
        <v>6201.0236523684453</v>
      </c>
      <c r="Z567" s="28">
        <v>0.54700000000000004</v>
      </c>
      <c r="AA567">
        <f t="shared" si="125"/>
        <v>1096.853340228447</v>
      </c>
    </row>
    <row r="568" spans="1:27" x14ac:dyDescent="0.2">
      <c r="A568">
        <f t="shared" si="112"/>
        <v>849415724707.87537</v>
      </c>
      <c r="B568" s="28">
        <v>0.54800000000000004</v>
      </c>
      <c r="C568">
        <f t="shared" si="113"/>
        <v>849415830681.80798</v>
      </c>
      <c r="E568">
        <f t="shared" si="114"/>
        <v>9684.5008626897688</v>
      </c>
      <c r="F568" s="28">
        <v>0.54800000000000004</v>
      </c>
      <c r="G568">
        <f t="shared" si="115"/>
        <v>1094.8905095375994</v>
      </c>
      <c r="I568">
        <f t="shared" si="116"/>
        <v>1314895594622.8096</v>
      </c>
      <c r="J568" s="28">
        <v>0.54800000000000004</v>
      </c>
      <c r="K568">
        <f t="shared" si="117"/>
        <v>1314895705895.4387</v>
      </c>
      <c r="M568">
        <f t="shared" si="118"/>
        <v>9623.4704320745332</v>
      </c>
      <c r="N568" s="28">
        <v>0.54800000000000004</v>
      </c>
      <c r="O568">
        <f t="shared" si="119"/>
        <v>1694.8905087642042</v>
      </c>
      <c r="Q568">
        <f t="shared" si="120"/>
        <v>465479869914.93414</v>
      </c>
      <c r="R568" s="28">
        <v>0.54800000000000004</v>
      </c>
      <c r="S568">
        <f t="shared" si="121"/>
        <v>465479875813.6308</v>
      </c>
      <c r="U568">
        <f t="shared" si="122"/>
        <v>31519799.319671553</v>
      </c>
      <c r="V568" s="48">
        <v>0.54800000000000004</v>
      </c>
      <c r="W568">
        <f t="shared" si="123"/>
        <v>31538423.784359798</v>
      </c>
      <c r="Y568">
        <f t="shared" si="124"/>
        <v>6203.0244906373855</v>
      </c>
      <c r="Z568" s="28">
        <v>0.54800000000000004</v>
      </c>
      <c r="AA568">
        <f t="shared" si="125"/>
        <v>1094.8525019595061</v>
      </c>
    </row>
    <row r="569" spans="1:27" x14ac:dyDescent="0.2">
      <c r="A569">
        <f t="shared" si="112"/>
        <v>873909825802.24524</v>
      </c>
      <c r="B569" s="28">
        <v>0.54900000000000004</v>
      </c>
      <c r="C569">
        <f t="shared" si="113"/>
        <v>873909931776.17786</v>
      </c>
      <c r="E569">
        <f t="shared" si="114"/>
        <v>9686.4951987307377</v>
      </c>
      <c r="F569" s="28">
        <v>0.54900000000000004</v>
      </c>
      <c r="G569">
        <f t="shared" si="115"/>
        <v>1092.8961734966313</v>
      </c>
      <c r="I569">
        <f t="shared" si="116"/>
        <v>1353686373048.6702</v>
      </c>
      <c r="J569" s="28">
        <v>0.54900000000000004</v>
      </c>
      <c r="K569">
        <f t="shared" si="117"/>
        <v>1353686484321.2993</v>
      </c>
      <c r="M569">
        <f t="shared" si="118"/>
        <v>9625.4647680924572</v>
      </c>
      <c r="N569" s="28">
        <v>0.54900000000000004</v>
      </c>
      <c r="O569">
        <f t="shared" si="119"/>
        <v>1692.896172746282</v>
      </c>
      <c r="Q569">
        <f t="shared" si="120"/>
        <v>479776547246.42505</v>
      </c>
      <c r="R569" s="28">
        <v>0.54900000000000004</v>
      </c>
      <c r="S569">
        <f t="shared" si="121"/>
        <v>479776553145.1217</v>
      </c>
      <c r="U569">
        <f t="shared" si="122"/>
        <v>32057820.075941775</v>
      </c>
      <c r="V569" s="48">
        <v>0.54900000000000004</v>
      </c>
      <c r="W569">
        <f t="shared" si="123"/>
        <v>32076444.54063002</v>
      </c>
      <c r="Y569">
        <f t="shared" si="124"/>
        <v>6205.0180531993301</v>
      </c>
      <c r="Z569" s="28">
        <v>0.54900000000000004</v>
      </c>
      <c r="AA569">
        <f t="shared" si="125"/>
        <v>1092.8589393975612</v>
      </c>
    </row>
    <row r="570" spans="1:27" x14ac:dyDescent="0.2">
      <c r="A570">
        <f t="shared" si="112"/>
        <v>899095678249.08215</v>
      </c>
      <c r="B570" s="28">
        <v>0.55000000000000004</v>
      </c>
      <c r="C570">
        <f t="shared" si="113"/>
        <v>899095784223.01477</v>
      </c>
      <c r="E570">
        <f t="shared" si="114"/>
        <v>9688.4822826419222</v>
      </c>
      <c r="F570" s="28">
        <v>0.55000000000000004</v>
      </c>
      <c r="G570">
        <f t="shared" si="115"/>
        <v>1090.909089585447</v>
      </c>
      <c r="I570">
        <f t="shared" si="116"/>
        <v>1393598354273.0437</v>
      </c>
      <c r="J570" s="28">
        <v>0.55000000000000004</v>
      </c>
      <c r="K570">
        <f t="shared" si="117"/>
        <v>1393598465545.6729</v>
      </c>
      <c r="M570">
        <f t="shared" si="118"/>
        <v>9627.4518519812955</v>
      </c>
      <c r="N570" s="28">
        <v>0.55000000000000004</v>
      </c>
      <c r="O570">
        <f t="shared" si="119"/>
        <v>1690.9090888574426</v>
      </c>
      <c r="Q570">
        <f t="shared" si="120"/>
        <v>494502676023.96149</v>
      </c>
      <c r="R570" s="28">
        <v>0.55000000000000004</v>
      </c>
      <c r="S570">
        <f t="shared" si="121"/>
        <v>494502681922.65814</v>
      </c>
      <c r="U570">
        <f t="shared" si="122"/>
        <v>32605126.89410001</v>
      </c>
      <c r="V570" s="48">
        <v>0.55000000000000004</v>
      </c>
      <c r="W570">
        <f t="shared" si="123"/>
        <v>32623751.358788256</v>
      </c>
      <c r="Y570">
        <f t="shared" si="124"/>
        <v>6207.0043794931144</v>
      </c>
      <c r="Z570" s="28">
        <v>0.55000000000000004</v>
      </c>
      <c r="AA570">
        <f t="shared" si="125"/>
        <v>1090.8726131037772</v>
      </c>
    </row>
    <row r="571" spans="1:27" x14ac:dyDescent="0.2">
      <c r="A571">
        <f t="shared" si="112"/>
        <v>924992402222.36169</v>
      </c>
      <c r="B571" s="28">
        <v>0.55100000000000005</v>
      </c>
      <c r="C571">
        <f t="shared" si="113"/>
        <v>924992508196.29431</v>
      </c>
      <c r="E571">
        <f t="shared" si="114"/>
        <v>9690.4621539085638</v>
      </c>
      <c r="F571" s="28">
        <v>0.55100000000000005</v>
      </c>
      <c r="G571">
        <f t="shared" si="115"/>
        <v>1088.9292183188054</v>
      </c>
      <c r="I571">
        <f t="shared" si="116"/>
        <v>1434663268939.8235</v>
      </c>
      <c r="J571" s="28">
        <v>0.55100000000000005</v>
      </c>
      <c r="K571">
        <f t="shared" si="117"/>
        <v>1434663380212.4526</v>
      </c>
      <c r="M571">
        <f t="shared" si="118"/>
        <v>9629.4317232262711</v>
      </c>
      <c r="N571" s="28">
        <v>0.55100000000000005</v>
      </c>
      <c r="O571">
        <f t="shared" si="119"/>
        <v>1688.9292176124675</v>
      </c>
      <c r="Q571">
        <f t="shared" si="120"/>
        <v>509670866717.46155</v>
      </c>
      <c r="R571" s="28">
        <v>0.55100000000000005</v>
      </c>
      <c r="S571">
        <f t="shared" si="121"/>
        <v>509670872616.1582</v>
      </c>
      <c r="U571">
        <f t="shared" si="122"/>
        <v>33161881.47524976</v>
      </c>
      <c r="V571" s="48">
        <v>0.55100000000000005</v>
      </c>
      <c r="W571">
        <f t="shared" si="123"/>
        <v>33180505.939938005</v>
      </c>
      <c r="Y571">
        <f t="shared" si="124"/>
        <v>6208.9835086758394</v>
      </c>
      <c r="Z571" s="28">
        <v>0.55100000000000005</v>
      </c>
      <c r="AA571">
        <f t="shared" si="125"/>
        <v>1088.8934839210522</v>
      </c>
    </row>
    <row r="572" spans="1:27" x14ac:dyDescent="0.2">
      <c r="A572">
        <f t="shared" si="112"/>
        <v>951619634782.39819</v>
      </c>
      <c r="B572" s="28">
        <v>0.55200000000000005</v>
      </c>
      <c r="C572">
        <f t="shared" si="113"/>
        <v>951619740756.33081</v>
      </c>
      <c r="E572">
        <f t="shared" si="114"/>
        <v>9692.4348517297785</v>
      </c>
      <c r="F572" s="28">
        <v>0.55200000000000005</v>
      </c>
      <c r="G572">
        <f t="shared" si="115"/>
        <v>1086.9565204975897</v>
      </c>
      <c r="I572">
        <f t="shared" si="116"/>
        <v>1476913726381.196</v>
      </c>
      <c r="J572" s="28">
        <v>0.55200000000000005</v>
      </c>
      <c r="K572">
        <f t="shared" si="117"/>
        <v>1476913837653.8252</v>
      </c>
      <c r="M572">
        <f t="shared" si="118"/>
        <v>9631.4044210264783</v>
      </c>
      <c r="N572" s="28">
        <v>0.55200000000000005</v>
      </c>
      <c r="O572">
        <f t="shared" si="119"/>
        <v>1686.9565198122593</v>
      </c>
      <c r="Q572">
        <f t="shared" si="120"/>
        <v>525294091598.79797</v>
      </c>
      <c r="R572" s="28">
        <v>0.55200000000000005</v>
      </c>
      <c r="S572">
        <f t="shared" si="121"/>
        <v>525294097497.49463</v>
      </c>
      <c r="U572">
        <f t="shared" si="122"/>
        <v>33728248.356275491</v>
      </c>
      <c r="V572" s="48">
        <v>0.55200000000000005</v>
      </c>
      <c r="W572">
        <f t="shared" si="123"/>
        <v>33746872.820963733</v>
      </c>
      <c r="Y572">
        <f t="shared" si="124"/>
        <v>6210.9554796253415</v>
      </c>
      <c r="Z572" s="28">
        <v>0.55200000000000005</v>
      </c>
      <c r="AA572">
        <f t="shared" si="125"/>
        <v>1086.9215129715503</v>
      </c>
    </row>
    <row r="573" spans="1:27" x14ac:dyDescent="0.2">
      <c r="A573">
        <f t="shared" si="112"/>
        <v>978997543533.16785</v>
      </c>
      <c r="B573" s="28">
        <v>0.55300000000000005</v>
      </c>
      <c r="C573">
        <f t="shared" si="113"/>
        <v>978997649507.10046</v>
      </c>
      <c r="E573">
        <f t="shared" si="114"/>
        <v>9694.4004150211476</v>
      </c>
      <c r="F573" s="28">
        <v>0.55300000000000005</v>
      </c>
      <c r="G573">
        <f t="shared" si="115"/>
        <v>1084.9909572062199</v>
      </c>
      <c r="I573">
        <f t="shared" si="116"/>
        <v>1520383238411.8977</v>
      </c>
      <c r="J573" s="28">
        <v>0.55300000000000005</v>
      </c>
      <c r="K573">
        <f t="shared" si="117"/>
        <v>1520383349684.5269</v>
      </c>
      <c r="M573">
        <f t="shared" si="118"/>
        <v>9633.3699842974784</v>
      </c>
      <c r="N573" s="28">
        <v>0.55300000000000005</v>
      </c>
      <c r="O573">
        <f t="shared" si="119"/>
        <v>1684.9909565412595</v>
      </c>
      <c r="Q573">
        <f t="shared" si="120"/>
        <v>541385694878.72998</v>
      </c>
      <c r="R573" s="28">
        <v>0.55300000000000005</v>
      </c>
      <c r="S573">
        <f t="shared" si="121"/>
        <v>541385700777.42664</v>
      </c>
      <c r="U573">
        <f t="shared" si="122"/>
        <v>34304394.959865645</v>
      </c>
      <c r="V573" s="48">
        <v>0.55300000000000005</v>
      </c>
      <c r="W573">
        <f t="shared" si="123"/>
        <v>34323019.424553886</v>
      </c>
      <c r="Y573">
        <f t="shared" si="124"/>
        <v>6212.9203309426321</v>
      </c>
      <c r="Z573" s="28">
        <v>0.55300000000000005</v>
      </c>
      <c r="AA573">
        <f t="shared" si="125"/>
        <v>1084.9566616542597</v>
      </c>
    </row>
    <row r="574" spans="1:27" x14ac:dyDescent="0.2">
      <c r="A574">
        <f t="shared" si="112"/>
        <v>1007146840632.1294</v>
      </c>
      <c r="B574" s="28">
        <v>0.55400000000000005</v>
      </c>
      <c r="C574">
        <f t="shared" si="113"/>
        <v>1007146946606.062</v>
      </c>
      <c r="E574">
        <f t="shared" si="114"/>
        <v>9696.3588824172748</v>
      </c>
      <c r="F574" s="28">
        <v>0.55400000000000005</v>
      </c>
      <c r="G574">
        <f t="shared" si="115"/>
        <v>1083.0324898100932</v>
      </c>
      <c r="I574">
        <f t="shared" si="116"/>
        <v>1565106243753.1912</v>
      </c>
      <c r="J574" s="28">
        <v>0.55400000000000005</v>
      </c>
      <c r="K574">
        <f t="shared" si="117"/>
        <v>1565106355025.8203</v>
      </c>
      <c r="M574">
        <f t="shared" si="118"/>
        <v>9635.3284516738531</v>
      </c>
      <c r="N574" s="28">
        <v>0.55400000000000005</v>
      </c>
      <c r="O574">
        <f t="shared" si="119"/>
        <v>1683.0324891648852</v>
      </c>
      <c r="Q574">
        <f t="shared" si="120"/>
        <v>557959403121.06177</v>
      </c>
      <c r="R574" s="28">
        <v>0.55400000000000005</v>
      </c>
      <c r="S574">
        <f t="shared" si="121"/>
        <v>557959409019.75842</v>
      </c>
      <c r="U574">
        <f t="shared" si="122"/>
        <v>34890491.645422868</v>
      </c>
      <c r="V574" s="48">
        <v>0.55400000000000005</v>
      </c>
      <c r="W574">
        <f t="shared" si="123"/>
        <v>34909116.11011111</v>
      </c>
      <c r="Y574">
        <f t="shared" si="124"/>
        <v>6214.8781009543154</v>
      </c>
      <c r="Z574" s="28">
        <v>0.55400000000000005</v>
      </c>
      <c r="AA574">
        <f t="shared" si="125"/>
        <v>1082.9988916425764</v>
      </c>
    </row>
    <row r="575" spans="1:27" x14ac:dyDescent="0.2">
      <c r="A575">
        <f t="shared" si="112"/>
        <v>1036088797161.359</v>
      </c>
      <c r="B575" s="28">
        <v>0.55500000000000005</v>
      </c>
      <c r="C575">
        <f t="shared" si="113"/>
        <v>1036088903135.2916</v>
      </c>
      <c r="E575">
        <f t="shared" si="114"/>
        <v>9698.3102922743146</v>
      </c>
      <c r="F575" s="28">
        <v>0.55500000000000005</v>
      </c>
      <c r="G575">
        <f t="shared" si="115"/>
        <v>1081.0810799530539</v>
      </c>
      <c r="I575">
        <f t="shared" si="116"/>
        <v>1611118133102.7495</v>
      </c>
      <c r="J575" s="28">
        <v>0.55500000000000005</v>
      </c>
      <c r="K575">
        <f t="shared" si="117"/>
        <v>1611118244375.3787</v>
      </c>
      <c r="M575">
        <f t="shared" si="118"/>
        <v>9637.279861511739</v>
      </c>
      <c r="N575" s="28">
        <v>0.55500000000000005</v>
      </c>
      <c r="O575">
        <f t="shared" si="119"/>
        <v>1681.0810793269991</v>
      </c>
      <c r="Q575">
        <f t="shared" si="120"/>
        <v>575029335941.39026</v>
      </c>
      <c r="R575" s="28">
        <v>0.55500000000000005</v>
      </c>
      <c r="S575">
        <f t="shared" si="121"/>
        <v>575029341840.08691</v>
      </c>
      <c r="U575">
        <f t="shared" si="122"/>
        <v>35486711.760877006</v>
      </c>
      <c r="V575" s="48">
        <v>0.55500000000000005</v>
      </c>
      <c r="W575">
        <f t="shared" si="123"/>
        <v>35505336.225565247</v>
      </c>
      <c r="Y575">
        <f t="shared" si="124"/>
        <v>6216.8288277149804</v>
      </c>
      <c r="Z575" s="28">
        <v>0.55500000000000005</v>
      </c>
      <c r="AA575">
        <f t="shared" si="125"/>
        <v>1081.0481648819111</v>
      </c>
    </row>
    <row r="576" spans="1:27" x14ac:dyDescent="0.2">
      <c r="A576">
        <f t="shared" si="112"/>
        <v>1065845257869.1349</v>
      </c>
      <c r="B576" s="28">
        <v>0.55600000000000005</v>
      </c>
      <c r="C576">
        <f t="shared" si="113"/>
        <v>1065845363843.0675</v>
      </c>
      <c r="E576">
        <f t="shared" si="114"/>
        <v>9700.2546826724792</v>
      </c>
      <c r="F576" s="28">
        <v>0.55600000000000005</v>
      </c>
      <c r="G576">
        <f t="shared" si="115"/>
        <v>1079.1366895548881</v>
      </c>
      <c r="I576">
        <f t="shared" si="116"/>
        <v>1658455274867.1841</v>
      </c>
      <c r="J576" s="28">
        <v>0.55600000000000005</v>
      </c>
      <c r="K576">
        <f t="shared" si="117"/>
        <v>1658455386139.8132</v>
      </c>
      <c r="M576">
        <f t="shared" si="118"/>
        <v>9639.2242518913317</v>
      </c>
      <c r="N576" s="28">
        <v>0.55600000000000005</v>
      </c>
      <c r="O576">
        <f t="shared" si="119"/>
        <v>1679.1366889474061</v>
      </c>
      <c r="Q576">
        <f t="shared" si="120"/>
        <v>592610016998.04895</v>
      </c>
      <c r="R576" s="28">
        <v>0.55600000000000005</v>
      </c>
      <c r="S576">
        <f t="shared" si="121"/>
        <v>592610022896.74561</v>
      </c>
      <c r="U576">
        <f t="shared" si="122"/>
        <v>36093231.695415981</v>
      </c>
      <c r="V576" s="48">
        <v>0.55600000000000005</v>
      </c>
      <c r="W576">
        <f t="shared" si="123"/>
        <v>36111856.160104223</v>
      </c>
      <c r="Y576">
        <f t="shared" si="124"/>
        <v>6218.7725490095709</v>
      </c>
      <c r="Z576" s="28">
        <v>0.55600000000000005</v>
      </c>
      <c r="AA576">
        <f t="shared" si="125"/>
        <v>1079.1044435873212</v>
      </c>
    </row>
    <row r="577" spans="1:27" x14ac:dyDescent="0.2">
      <c r="A577">
        <f t="shared" si="112"/>
        <v>1096438656291.291</v>
      </c>
      <c r="B577" s="28">
        <v>0.55700000000000005</v>
      </c>
      <c r="C577">
        <f t="shared" si="113"/>
        <v>1096438762265.2236</v>
      </c>
      <c r="E577">
        <f t="shared" si="114"/>
        <v>9702.1920914185212</v>
      </c>
      <c r="F577" s="28">
        <v>0.55700000000000005</v>
      </c>
      <c r="G577">
        <f t="shared" si="115"/>
        <v>1077.1992808088478</v>
      </c>
      <c r="I577">
        <f t="shared" si="116"/>
        <v>1707155041574.3242</v>
      </c>
      <c r="J577" s="28">
        <v>0.55700000000000005</v>
      </c>
      <c r="K577">
        <f t="shared" si="117"/>
        <v>1707155152846.9534</v>
      </c>
      <c r="M577">
        <f t="shared" si="118"/>
        <v>9641.161660619362</v>
      </c>
      <c r="N577" s="28">
        <v>0.55700000000000005</v>
      </c>
      <c r="O577">
        <f t="shared" si="119"/>
        <v>1677.1992802193761</v>
      </c>
      <c r="Q577">
        <f t="shared" si="120"/>
        <v>610716385283.03296</v>
      </c>
      <c r="R577" s="28">
        <v>0.55700000000000005</v>
      </c>
      <c r="S577">
        <f t="shared" si="121"/>
        <v>610716391181.72961</v>
      </c>
      <c r="U577">
        <f t="shared" si="122"/>
        <v>36710230.933152676</v>
      </c>
      <c r="V577" s="48">
        <v>0.55700000000000005</v>
      </c>
      <c r="W577">
        <f t="shared" si="123"/>
        <v>36728855.397840917</v>
      </c>
      <c r="Y577">
        <f t="shared" si="124"/>
        <v>6220.7093023557263</v>
      </c>
      <c r="Z577" s="28">
        <v>0.55700000000000005</v>
      </c>
      <c r="AA577">
        <f t="shared" si="125"/>
        <v>1077.1676902411659</v>
      </c>
    </row>
    <row r="578" spans="1:27" x14ac:dyDescent="0.2">
      <c r="A578">
        <f t="shared" si="112"/>
        <v>1127892030261.8398</v>
      </c>
      <c r="B578" s="28">
        <v>0.55800000000000005</v>
      </c>
      <c r="C578">
        <f t="shared" si="113"/>
        <v>1127892136235.7725</v>
      </c>
      <c r="E578">
        <f t="shared" si="114"/>
        <v>9704.1225560481689</v>
      </c>
      <c r="F578" s="28">
        <v>0.55800000000000005</v>
      </c>
      <c r="G578">
        <f t="shared" si="115"/>
        <v>1075.2688161792003</v>
      </c>
      <c r="I578">
        <f t="shared" si="116"/>
        <v>1757255836982.7046</v>
      </c>
      <c r="J578" s="28">
        <v>0.55800000000000005</v>
      </c>
      <c r="K578">
        <f t="shared" si="117"/>
        <v>1757255948255.3337</v>
      </c>
      <c r="M578">
        <f t="shared" si="118"/>
        <v>9643.0921252315438</v>
      </c>
      <c r="N578" s="28">
        <v>0.55800000000000005</v>
      </c>
      <c r="O578">
        <f t="shared" si="119"/>
        <v>1675.268815607194</v>
      </c>
      <c r="Q578">
        <f t="shared" si="120"/>
        <v>629363806720.8645</v>
      </c>
      <c r="R578" s="28">
        <v>0.55800000000000005</v>
      </c>
      <c r="S578">
        <f t="shared" si="121"/>
        <v>629363812619.56116</v>
      </c>
      <c r="U578">
        <f t="shared" si="122"/>
        <v>37337892.107742377</v>
      </c>
      <c r="V578" s="48">
        <v>0.55800000000000005</v>
      </c>
      <c r="W578">
        <f t="shared" si="123"/>
        <v>37356516.572430618</v>
      </c>
      <c r="Y578">
        <f t="shared" si="124"/>
        <v>6222.6391250061033</v>
      </c>
      <c r="Z578" s="28">
        <v>0.55800000000000005</v>
      </c>
      <c r="AA578">
        <f t="shared" si="125"/>
        <v>1075.2378675907883</v>
      </c>
    </row>
    <row r="579" spans="1:27" x14ac:dyDescent="0.2">
      <c r="A579">
        <f t="shared" si="112"/>
        <v>1160229037822.6731</v>
      </c>
      <c r="B579" s="28">
        <v>0.55900000000000005</v>
      </c>
      <c r="C579">
        <f t="shared" si="113"/>
        <v>1160229143796.6057</v>
      </c>
      <c r="E579">
        <f t="shared" si="114"/>
        <v>9706.0461138285646</v>
      </c>
      <c r="F579" s="28">
        <v>0.55900000000000005</v>
      </c>
      <c r="G579">
        <f t="shared" si="115"/>
        <v>1073.3452583988033</v>
      </c>
      <c r="I579">
        <f t="shared" si="116"/>
        <v>1808797123906.2791</v>
      </c>
      <c r="J579" s="28">
        <v>0.55900000000000005</v>
      </c>
      <c r="K579">
        <f t="shared" si="117"/>
        <v>1808797235178.9082</v>
      </c>
      <c r="M579">
        <f t="shared" si="118"/>
        <v>9645.0156829950047</v>
      </c>
      <c r="N579" s="28">
        <v>0.55900000000000005</v>
      </c>
      <c r="O579">
        <f t="shared" si="119"/>
        <v>1673.3452578437343</v>
      </c>
      <c r="Q579">
        <f t="shared" si="120"/>
        <v>648568086083.60596</v>
      </c>
      <c r="R579" s="28">
        <v>0.55900000000000005</v>
      </c>
      <c r="S579">
        <f t="shared" si="121"/>
        <v>648568091982.30261</v>
      </c>
      <c r="U579">
        <f t="shared" si="122"/>
        <v>37976401.057969905</v>
      </c>
      <c r="V579" s="48">
        <v>0.55900000000000005</v>
      </c>
      <c r="W579">
        <f t="shared" si="123"/>
        <v>37995025.522658147</v>
      </c>
      <c r="Y579">
        <f t="shared" si="124"/>
        <v>6224.5620539506763</v>
      </c>
      <c r="Z579" s="28">
        <v>0.55900000000000005</v>
      </c>
      <c r="AA579">
        <f t="shared" si="125"/>
        <v>1073.3149386462158</v>
      </c>
    </row>
    <row r="580" spans="1:27" x14ac:dyDescent="0.2">
      <c r="A580">
        <f t="shared" si="112"/>
        <v>1193473973542.4111</v>
      </c>
      <c r="B580" s="28">
        <v>0.56000000000000005</v>
      </c>
      <c r="C580">
        <f t="shared" si="113"/>
        <v>1193474079516.3438</v>
      </c>
      <c r="E580">
        <f t="shared" si="114"/>
        <v>9707.962801760661</v>
      </c>
      <c r="F580" s="28">
        <v>0.56000000000000005</v>
      </c>
      <c r="G580">
        <f t="shared" si="115"/>
        <v>1071.4285704667077</v>
      </c>
      <c r="I580">
        <f t="shared" si="116"/>
        <v>1861819452772.8674</v>
      </c>
      <c r="J580" s="28">
        <v>0.56000000000000005</v>
      </c>
      <c r="K580">
        <f t="shared" si="117"/>
        <v>1861819564045.4966</v>
      </c>
      <c r="M580">
        <f t="shared" si="118"/>
        <v>9646.9323709106739</v>
      </c>
      <c r="N580" s="28">
        <v>0.56000000000000005</v>
      </c>
      <c r="O580">
        <f t="shared" si="119"/>
        <v>1671.4285699280642</v>
      </c>
      <c r="Q580">
        <f t="shared" si="120"/>
        <v>668345479230.45593</v>
      </c>
      <c r="R580" s="28">
        <v>0.56000000000000005</v>
      </c>
      <c r="S580">
        <f t="shared" si="121"/>
        <v>668345485129.15259</v>
      </c>
      <c r="U580">
        <f t="shared" si="122"/>
        <v>38625946.884321518</v>
      </c>
      <c r="V580" s="48">
        <v>0.56000000000000005</v>
      </c>
      <c r="W580">
        <f t="shared" si="123"/>
        <v>38644571.34900976</v>
      </c>
      <c r="Y580">
        <f t="shared" si="124"/>
        <v>6226.4781259190031</v>
      </c>
      <c r="Z580" s="28">
        <v>0.56000000000000005</v>
      </c>
      <c r="AA580">
        <f t="shared" si="125"/>
        <v>1071.3988666778887</v>
      </c>
    </row>
    <row r="581" spans="1:27" x14ac:dyDescent="0.2">
      <c r="A581">
        <f t="shared" si="112"/>
        <v>1227651785254.5999</v>
      </c>
      <c r="B581" s="28">
        <v>0.56100000000000005</v>
      </c>
      <c r="C581">
        <f t="shared" si="113"/>
        <v>1227651891228.5325</v>
      </c>
      <c r="E581">
        <f t="shared" si="114"/>
        <v>9709.8726565815832</v>
      </c>
      <c r="F581" s="28">
        <v>0.56100000000000005</v>
      </c>
      <c r="G581">
        <f t="shared" si="115"/>
        <v>1069.5187156457855</v>
      </c>
      <c r="I581">
        <f t="shared" si="116"/>
        <v>1916364490935.1099</v>
      </c>
      <c r="J581" s="28">
        <v>0.56100000000000005</v>
      </c>
      <c r="K581">
        <f t="shared" si="117"/>
        <v>1916364602207.739</v>
      </c>
      <c r="M581">
        <f t="shared" si="118"/>
        <v>9648.8422257156672</v>
      </c>
      <c r="N581" s="28">
        <v>0.56100000000000005</v>
      </c>
      <c r="O581">
        <f t="shared" si="119"/>
        <v>1669.5187151230709</v>
      </c>
      <c r="Q581">
        <f t="shared" si="120"/>
        <v>688712705680.51013</v>
      </c>
      <c r="R581" s="28">
        <v>0.56100000000000005</v>
      </c>
      <c r="S581">
        <f t="shared" si="121"/>
        <v>688712711579.20679</v>
      </c>
      <c r="U581">
        <f t="shared" si="122"/>
        <v>39286722.006561235</v>
      </c>
      <c r="V581" s="48">
        <v>0.56100000000000005</v>
      </c>
      <c r="W581">
        <f t="shared" si="123"/>
        <v>39305346.471249476</v>
      </c>
      <c r="Y581">
        <f t="shared" si="124"/>
        <v>6228.3873773824835</v>
      </c>
      <c r="Z581" s="28">
        <v>0.56100000000000005</v>
      </c>
      <c r="AA581">
        <f t="shared" si="125"/>
        <v>1069.4896152144088</v>
      </c>
    </row>
    <row r="582" spans="1:27" x14ac:dyDescent="0.2">
      <c r="A582">
        <f t="shared" si="112"/>
        <v>1262788091225.8025</v>
      </c>
      <c r="B582" s="28">
        <v>0.56200000000000006</v>
      </c>
      <c r="C582">
        <f t="shared" si="113"/>
        <v>1262788197199.7351</v>
      </c>
      <c r="E582">
        <f t="shared" si="114"/>
        <v>9711.7757147669872</v>
      </c>
      <c r="F582" s="28">
        <v>0.56200000000000006</v>
      </c>
      <c r="G582">
        <f t="shared" si="115"/>
        <v>1067.6156574603808</v>
      </c>
      <c r="I582">
        <f t="shared" si="116"/>
        <v>1972475052753.3572</v>
      </c>
      <c r="J582" s="28">
        <v>0.56200000000000006</v>
      </c>
      <c r="K582">
        <f t="shared" si="117"/>
        <v>1972475164025.9863</v>
      </c>
      <c r="M582">
        <f t="shared" si="118"/>
        <v>9650.7452838856225</v>
      </c>
      <c r="N582" s="28">
        <v>0.56200000000000006</v>
      </c>
      <c r="O582">
        <f t="shared" si="119"/>
        <v>1667.6156569531151</v>
      </c>
      <c r="Q582">
        <f t="shared" si="120"/>
        <v>709686961527.55457</v>
      </c>
      <c r="R582" s="28">
        <v>0.56200000000000006</v>
      </c>
      <c r="S582">
        <f t="shared" si="121"/>
        <v>709686967426.25122</v>
      </c>
      <c r="U582">
        <f t="shared" si="122"/>
        <v>39958922.222327389</v>
      </c>
      <c r="V582" s="48">
        <v>0.56200000000000006</v>
      </c>
      <c r="W582">
        <f t="shared" si="123"/>
        <v>39977546.68701563</v>
      </c>
      <c r="Y582">
        <f t="shared" si="124"/>
        <v>6230.2898445565806</v>
      </c>
      <c r="Z582" s="28">
        <v>0.56200000000000006</v>
      </c>
      <c r="AA582">
        <f t="shared" si="125"/>
        <v>1067.5871480403114</v>
      </c>
    </row>
    <row r="583" spans="1:27" x14ac:dyDescent="0.2">
      <c r="A583">
        <f t="shared" si="112"/>
        <v>1298909197764.3364</v>
      </c>
      <c r="B583" s="28">
        <v>0.56299999999999994</v>
      </c>
      <c r="C583">
        <f t="shared" si="113"/>
        <v>1298909303738.269</v>
      </c>
      <c r="E583">
        <f t="shared" si="114"/>
        <v>9713.6720125333777</v>
      </c>
      <c r="F583" s="28">
        <v>0.56299999999999994</v>
      </c>
      <c r="G583">
        <f t="shared" si="115"/>
        <v>1065.7193596939903</v>
      </c>
      <c r="I583">
        <f t="shared" si="116"/>
        <v>2030195130470.2854</v>
      </c>
      <c r="J583" s="28">
        <v>0.56299999999999994</v>
      </c>
      <c r="K583">
        <f t="shared" si="117"/>
        <v>2030195241742.9146</v>
      </c>
      <c r="M583">
        <f t="shared" si="118"/>
        <v>9652.6415816370318</v>
      </c>
      <c r="N583" s="28">
        <v>0.56299999999999994</v>
      </c>
      <c r="O583">
        <f t="shared" si="119"/>
        <v>1665.7193592017068</v>
      </c>
      <c r="Q583">
        <f t="shared" si="120"/>
        <v>731285932705.94873</v>
      </c>
      <c r="R583" s="28">
        <v>0.56299999999999994</v>
      </c>
      <c r="S583">
        <f t="shared" si="121"/>
        <v>731285938604.64539</v>
      </c>
      <c r="U583">
        <f t="shared" si="122"/>
        <v>40642746.766769685</v>
      </c>
      <c r="V583" s="48">
        <v>0.56299999999999994</v>
      </c>
      <c r="W583">
        <f t="shared" si="123"/>
        <v>40661371.231457926</v>
      </c>
      <c r="Y583">
        <f t="shared" si="124"/>
        <v>6232.1855634030308</v>
      </c>
      <c r="Z583" s="28">
        <v>0.56299999999999994</v>
      </c>
      <c r="AA583">
        <f t="shared" si="125"/>
        <v>1065.6914291938608</v>
      </c>
    </row>
    <row r="584" spans="1:27" x14ac:dyDescent="0.2">
      <c r="A584">
        <f t="shared" si="112"/>
        <v>1336042117280.7859</v>
      </c>
      <c r="B584" s="28">
        <v>0.56399999999999995</v>
      </c>
      <c r="C584">
        <f t="shared" si="113"/>
        <v>1336042223254.7185</v>
      </c>
      <c r="E584">
        <f t="shared" si="114"/>
        <v>9715.5615858404053</v>
      </c>
      <c r="F584" s="28">
        <v>0.56399999999999995</v>
      </c>
      <c r="G584">
        <f t="shared" si="115"/>
        <v>1063.8297863869632</v>
      </c>
      <c r="I584">
        <f t="shared" si="116"/>
        <v>2089569925897.751</v>
      </c>
      <c r="J584" s="28">
        <v>0.56399999999999995</v>
      </c>
      <c r="K584">
        <f t="shared" si="117"/>
        <v>2089570037170.3801</v>
      </c>
      <c r="M584">
        <f t="shared" si="118"/>
        <v>9654.5311549295275</v>
      </c>
      <c r="N584" s="28">
        <v>0.56399999999999995</v>
      </c>
      <c r="O584">
        <f t="shared" si="119"/>
        <v>1663.8297859092106</v>
      </c>
      <c r="Q584">
        <f t="shared" si="120"/>
        <v>753527808616.96448</v>
      </c>
      <c r="R584" s="28">
        <v>0.56399999999999995</v>
      </c>
      <c r="S584">
        <f t="shared" si="121"/>
        <v>753527814515.66113</v>
      </c>
      <c r="U584">
        <f t="shared" si="122"/>
        <v>41338398.373243362</v>
      </c>
      <c r="V584" s="48">
        <v>0.56399999999999995</v>
      </c>
      <c r="W584">
        <f t="shared" si="123"/>
        <v>41357022.837931603</v>
      </c>
      <c r="Y584">
        <f t="shared" si="124"/>
        <v>6234.0745696320255</v>
      </c>
      <c r="Z584" s="28">
        <v>0.56399999999999995</v>
      </c>
      <c r="AA584">
        <f t="shared" si="125"/>
        <v>1063.8024229648661</v>
      </c>
    </row>
    <row r="585" spans="1:27" x14ac:dyDescent="0.2">
      <c r="A585">
        <f t="shared" si="112"/>
        <v>1374214586811.4397</v>
      </c>
      <c r="B585" s="28">
        <v>0.56499999999999995</v>
      </c>
      <c r="C585">
        <f t="shared" si="113"/>
        <v>1374214692785.3723</v>
      </c>
      <c r="E585">
        <f t="shared" si="114"/>
        <v>9717.4444703931385</v>
      </c>
      <c r="F585" s="28">
        <v>0.56499999999999995</v>
      </c>
      <c r="G585">
        <f t="shared" si="115"/>
        <v>1061.9469018342304</v>
      </c>
      <c r="I585">
        <f t="shared" si="116"/>
        <v>2150645882936.4785</v>
      </c>
      <c r="J585" s="28">
        <v>0.56499999999999995</v>
      </c>
      <c r="K585">
        <f t="shared" si="117"/>
        <v>2150645994209.1077</v>
      </c>
      <c r="M585">
        <f t="shared" si="118"/>
        <v>9656.4140394681672</v>
      </c>
      <c r="N585" s="28">
        <v>0.56499999999999995</v>
      </c>
      <c r="O585">
        <f t="shared" si="119"/>
        <v>1661.9469013705707</v>
      </c>
      <c r="Q585">
        <f t="shared" si="120"/>
        <v>776431296125.0387</v>
      </c>
      <c r="R585" s="28">
        <v>0.56499999999999995</v>
      </c>
      <c r="S585">
        <f t="shared" si="121"/>
        <v>776431302023.73535</v>
      </c>
      <c r="U585">
        <f t="shared" si="122"/>
        <v>42046083.335080713</v>
      </c>
      <c r="V585" s="48">
        <v>0.56499999999999995</v>
      </c>
      <c r="W585">
        <f t="shared" si="123"/>
        <v>42064707.799768955</v>
      </c>
      <c r="Y585">
        <f t="shared" si="124"/>
        <v>6235.9568987043713</v>
      </c>
      <c r="Z585" s="28">
        <v>0.56499999999999995</v>
      </c>
      <c r="AA585">
        <f t="shared" si="125"/>
        <v>1061.9200938925208</v>
      </c>
    </row>
    <row r="586" spans="1:27" x14ac:dyDescent="0.2">
      <c r="A586">
        <f t="shared" si="112"/>
        <v>1413455087016.4255</v>
      </c>
      <c r="B586" s="28">
        <v>0.56599999999999995</v>
      </c>
      <c r="C586">
        <f t="shared" si="113"/>
        <v>1413455192990.3582</v>
      </c>
      <c r="E586">
        <f t="shared" si="114"/>
        <v>9719.3207016443139</v>
      </c>
      <c r="F586" s="28">
        <v>0.56599999999999995</v>
      </c>
      <c r="G586">
        <f t="shared" si="115"/>
        <v>1060.0706705830546</v>
      </c>
      <c r="I586">
        <f t="shared" si="116"/>
        <v>2213470720950.271</v>
      </c>
      <c r="J586" s="28">
        <v>0.56599999999999995</v>
      </c>
      <c r="K586">
        <f t="shared" si="117"/>
        <v>2213470832222.9004</v>
      </c>
      <c r="M586">
        <f t="shared" si="118"/>
        <v>9658.2902707056746</v>
      </c>
      <c r="N586" s="28">
        <v>0.56599999999999995</v>
      </c>
      <c r="O586">
        <f t="shared" si="119"/>
        <v>1660.0706701330632</v>
      </c>
      <c r="Q586">
        <f t="shared" si="120"/>
        <v>800015633933.84595</v>
      </c>
      <c r="R586" s="28">
        <v>0.56599999999999995</v>
      </c>
      <c r="S586">
        <f t="shared" si="121"/>
        <v>800015639832.5426</v>
      </c>
      <c r="U586">
        <f t="shared" si="122"/>
        <v>42766011.56845814</v>
      </c>
      <c r="V586" s="48">
        <v>0.56599999999999995</v>
      </c>
      <c r="W586">
        <f t="shared" si="123"/>
        <v>42784636.033146381</v>
      </c>
      <c r="Y586">
        <f t="shared" si="124"/>
        <v>6237.8325858336275</v>
      </c>
      <c r="Z586" s="28">
        <v>0.56599999999999995</v>
      </c>
      <c r="AA586">
        <f t="shared" si="125"/>
        <v>1060.0444067632641</v>
      </c>
    </row>
    <row r="587" spans="1:27" x14ac:dyDescent="0.2">
      <c r="A587">
        <f t="shared" si="112"/>
        <v>1453792861664.2627</v>
      </c>
      <c r="B587" s="28">
        <v>0.56699999999999995</v>
      </c>
      <c r="C587">
        <f t="shared" si="113"/>
        <v>1453792967638.1953</v>
      </c>
      <c r="E587">
        <f t="shared" si="114"/>
        <v>9721.1903147965641</v>
      </c>
      <c r="F587" s="28">
        <v>0.56699999999999995</v>
      </c>
      <c r="G587">
        <f t="shared" si="115"/>
        <v>1058.2010574308044</v>
      </c>
      <c r="I587">
        <f t="shared" si="116"/>
        <v>2278093469016.4224</v>
      </c>
      <c r="J587" s="28">
        <v>0.56699999999999995</v>
      </c>
      <c r="K587">
        <f t="shared" si="117"/>
        <v>2278093580289.0518</v>
      </c>
      <c r="M587">
        <f t="shared" si="118"/>
        <v>9660.159883844668</v>
      </c>
      <c r="N587" s="28">
        <v>0.56699999999999995</v>
      </c>
      <c r="O587">
        <f t="shared" si="119"/>
        <v>1658.2010569940708</v>
      </c>
      <c r="Q587">
        <f t="shared" si="120"/>
        <v>824300607352.16003</v>
      </c>
      <c r="R587" s="28">
        <v>0.56699999999999995</v>
      </c>
      <c r="S587">
        <f t="shared" si="121"/>
        <v>824300613250.85669</v>
      </c>
      <c r="U587">
        <f t="shared" si="122"/>
        <v>43498396.676379487</v>
      </c>
      <c r="V587" s="48">
        <v>0.56699999999999995</v>
      </c>
      <c r="W587">
        <f t="shared" si="123"/>
        <v>43517021.141067728</v>
      </c>
      <c r="Y587">
        <f t="shared" si="124"/>
        <v>6239.701665988232</v>
      </c>
      <c r="Z587" s="28">
        <v>0.56699999999999995</v>
      </c>
      <c r="AA587">
        <f t="shared" si="125"/>
        <v>1058.1753266086603</v>
      </c>
    </row>
    <row r="588" spans="1:27" x14ac:dyDescent="0.2">
      <c r="A588">
        <f t="shared" si="112"/>
        <v>1495257937615.0205</v>
      </c>
      <c r="B588" s="28">
        <v>0.56799999999999995</v>
      </c>
      <c r="C588">
        <f t="shared" si="113"/>
        <v>1495258043588.9531</v>
      </c>
      <c r="E588">
        <f t="shared" si="114"/>
        <v>9723.0533448046135</v>
      </c>
      <c r="F588" s="28">
        <v>0.56799999999999995</v>
      </c>
      <c r="G588">
        <f t="shared" si="115"/>
        <v>1056.338027422755</v>
      </c>
      <c r="I588">
        <f t="shared" si="116"/>
        <v>2344564501074.8496</v>
      </c>
      <c r="J588" s="28">
        <v>0.56799999999999995</v>
      </c>
      <c r="K588">
        <f t="shared" si="117"/>
        <v>2344564612347.479</v>
      </c>
      <c r="M588">
        <f t="shared" si="118"/>
        <v>9662.022913839859</v>
      </c>
      <c r="N588" s="28">
        <v>0.56799999999999995</v>
      </c>
      <c r="O588">
        <f t="shared" si="119"/>
        <v>1656.33802699888</v>
      </c>
      <c r="Q588">
        <f t="shared" si="120"/>
        <v>849306563459.82861</v>
      </c>
      <c r="R588" s="28">
        <v>0.56799999999999995</v>
      </c>
      <c r="S588">
        <f t="shared" si="121"/>
        <v>849306569358.52527</v>
      </c>
      <c r="U588">
        <f t="shared" si="122"/>
        <v>44243456.013793774</v>
      </c>
      <c r="V588" s="48">
        <v>0.56799999999999995</v>
      </c>
      <c r="W588">
        <f t="shared" si="123"/>
        <v>44262080.478482015</v>
      </c>
      <c r="Y588">
        <f t="shared" si="124"/>
        <v>6241.5641738935865</v>
      </c>
      <c r="Z588" s="28">
        <v>0.56799999999999995</v>
      </c>
      <c r="AA588">
        <f t="shared" si="125"/>
        <v>1056.3128187033049</v>
      </c>
    </row>
    <row r="589" spans="1:27" x14ac:dyDescent="0.2">
      <c r="A589">
        <f t="shared" si="112"/>
        <v>1537881145314.6213</v>
      </c>
      <c r="B589" s="28">
        <v>0.56899999999999995</v>
      </c>
      <c r="C589">
        <f t="shared" si="113"/>
        <v>1537881251288.554</v>
      </c>
      <c r="E589">
        <f t="shared" si="114"/>
        <v>9724.9098263774613</v>
      </c>
      <c r="F589" s="28">
        <v>0.56899999999999995</v>
      </c>
      <c r="G589">
        <f t="shared" si="115"/>
        <v>1054.481545849907</v>
      </c>
      <c r="I589">
        <f t="shared" si="116"/>
        <v>2412935571999.1118</v>
      </c>
      <c r="J589" s="28">
        <v>0.56899999999999995</v>
      </c>
      <c r="K589">
        <f t="shared" si="117"/>
        <v>2412935683271.7412</v>
      </c>
      <c r="M589">
        <f t="shared" si="118"/>
        <v>9663.879395400234</v>
      </c>
      <c r="N589" s="28">
        <v>0.56899999999999995</v>
      </c>
      <c r="O589">
        <f t="shared" si="119"/>
        <v>1654.4815454385041</v>
      </c>
      <c r="Q589">
        <f t="shared" si="120"/>
        <v>875054426684.49048</v>
      </c>
      <c r="R589" s="28">
        <v>0.56899999999999995</v>
      </c>
      <c r="S589">
        <f t="shared" si="121"/>
        <v>875054432583.18713</v>
      </c>
      <c r="U589">
        <f t="shared" si="122"/>
        <v>45001410.75386966</v>
      </c>
      <c r="V589" s="48">
        <v>0.56899999999999995</v>
      </c>
      <c r="W589">
        <f t="shared" si="123"/>
        <v>45020035.218557902</v>
      </c>
      <c r="Y589">
        <f t="shared" si="124"/>
        <v>6243.420144034144</v>
      </c>
      <c r="Z589" s="28">
        <v>0.56899999999999995</v>
      </c>
      <c r="AA589">
        <f t="shared" si="125"/>
        <v>1054.4568485627476</v>
      </c>
    </row>
    <row r="590" spans="1:27" x14ac:dyDescent="0.2">
      <c r="A590">
        <f t="shared" si="112"/>
        <v>1581694139812.9736</v>
      </c>
      <c r="B590" s="28">
        <v>0.56999999999999995</v>
      </c>
      <c r="C590">
        <f t="shared" si="113"/>
        <v>1581694245786.9062</v>
      </c>
      <c r="E590">
        <f t="shared" si="114"/>
        <v>9726.7597939805346</v>
      </c>
      <c r="F590" s="28">
        <v>0.56999999999999995</v>
      </c>
      <c r="G590">
        <f t="shared" si="115"/>
        <v>1052.6315782468328</v>
      </c>
      <c r="I590">
        <f t="shared" si="116"/>
        <v>2483259854612.813</v>
      </c>
      <c r="J590" s="28">
        <v>0.56999999999999995</v>
      </c>
      <c r="K590">
        <f t="shared" si="117"/>
        <v>2483259965885.4424</v>
      </c>
      <c r="M590">
        <f t="shared" si="118"/>
        <v>9665.729362991211</v>
      </c>
      <c r="N590" s="28">
        <v>0.56999999999999995</v>
      </c>
      <c r="O590">
        <f t="shared" si="119"/>
        <v>1652.6315778475273</v>
      </c>
      <c r="Q590">
        <f t="shared" si="120"/>
        <v>901565714799.83984</v>
      </c>
      <c r="R590" s="28">
        <v>0.56999999999999995</v>
      </c>
      <c r="S590">
        <f t="shared" si="121"/>
        <v>901565720698.5365</v>
      </c>
      <c r="U590">
        <f t="shared" si="122"/>
        <v>45772485.955444962</v>
      </c>
      <c r="V590" s="48">
        <v>0.56999999999999995</v>
      </c>
      <c r="W590">
        <f t="shared" si="123"/>
        <v>45791110.420133203</v>
      </c>
      <c r="Y590">
        <f t="shared" si="124"/>
        <v>6245.2696106554558</v>
      </c>
      <c r="Z590" s="28">
        <v>0.56999999999999995</v>
      </c>
      <c r="AA590">
        <f t="shared" si="125"/>
        <v>1052.6073819414364</v>
      </c>
    </row>
    <row r="591" spans="1:27" x14ac:dyDescent="0.2">
      <c r="A591">
        <f t="shared" si="112"/>
        <v>1626729422319.0112</v>
      </c>
      <c r="B591" s="28">
        <v>0.57099999999999995</v>
      </c>
      <c r="C591">
        <f t="shared" si="113"/>
        <v>1626729528292.9438</v>
      </c>
      <c r="E591">
        <f t="shared" si="114"/>
        <v>9728.6032818378244</v>
      </c>
      <c r="F591" s="28">
        <v>0.57099999999999995</v>
      </c>
      <c r="G591">
        <f t="shared" si="115"/>
        <v>1050.7880903895434</v>
      </c>
      <c r="I591">
        <f t="shared" si="116"/>
        <v>2555591977675.5854</v>
      </c>
      <c r="J591" s="28">
        <v>0.57099999999999995</v>
      </c>
      <c r="K591">
        <f t="shared" si="117"/>
        <v>2555592088948.2148</v>
      </c>
      <c r="M591">
        <f t="shared" si="118"/>
        <v>9667.5728508367647</v>
      </c>
      <c r="N591" s="28">
        <v>0.57099999999999995</v>
      </c>
      <c r="O591">
        <f t="shared" si="119"/>
        <v>1650.7880900019727</v>
      </c>
      <c r="Q591">
        <f t="shared" si="120"/>
        <v>928862555356.57422</v>
      </c>
      <c r="R591" s="28">
        <v>0.57099999999999995</v>
      </c>
      <c r="S591">
        <f t="shared" si="121"/>
        <v>928862561255.27087</v>
      </c>
      <c r="U591">
        <f t="shared" si="122"/>
        <v>46556910.631674632</v>
      </c>
      <c r="V591" s="48">
        <v>0.57099999999999995</v>
      </c>
      <c r="W591">
        <f t="shared" si="123"/>
        <v>46575535.096362874</v>
      </c>
      <c r="Y591">
        <f t="shared" si="124"/>
        <v>6247.1126077662066</v>
      </c>
      <c r="Z591" s="28">
        <v>0.57099999999999995</v>
      </c>
      <c r="AA591">
        <f t="shared" si="125"/>
        <v>1050.7643848306852</v>
      </c>
    </row>
    <row r="592" spans="1:27" x14ac:dyDescent="0.2">
      <c r="A592">
        <f t="shared" si="112"/>
        <v>1673020362305.939</v>
      </c>
      <c r="B592" s="28">
        <v>0.57199999999999995</v>
      </c>
      <c r="C592">
        <f t="shared" si="113"/>
        <v>1673020468279.8716</v>
      </c>
      <c r="E592">
        <f t="shared" si="114"/>
        <v>9730.4403239339917</v>
      </c>
      <c r="F592" s="28">
        <v>0.57199999999999995</v>
      </c>
      <c r="G592">
        <f t="shared" si="115"/>
        <v>1048.9510482933774</v>
      </c>
      <c r="I592">
        <f t="shared" si="116"/>
        <v>2629988064863.3286</v>
      </c>
      <c r="J592" s="28">
        <v>0.57199999999999995</v>
      </c>
      <c r="K592">
        <f t="shared" si="117"/>
        <v>2629988176135.958</v>
      </c>
      <c r="M592">
        <f t="shared" si="118"/>
        <v>9669.4098929215488</v>
      </c>
      <c r="N592" s="28">
        <v>0.57199999999999995</v>
      </c>
      <c r="O592">
        <f t="shared" si="119"/>
        <v>1648.9510479171893</v>
      </c>
      <c r="Q592">
        <f t="shared" si="120"/>
        <v>956967702557.38977</v>
      </c>
      <c r="R592" s="28">
        <v>0.57199999999999995</v>
      </c>
      <c r="S592">
        <f t="shared" si="121"/>
        <v>956967708456.08643</v>
      </c>
      <c r="U592">
        <f t="shared" si="122"/>
        <v>47354917.819895983</v>
      </c>
      <c r="V592" s="48">
        <v>0.57199999999999995</v>
      </c>
      <c r="W592">
        <f t="shared" si="123"/>
        <v>47373542.284584224</v>
      </c>
      <c r="Y592">
        <f t="shared" si="124"/>
        <v>6248.9491691402354</v>
      </c>
      <c r="Z592" s="28">
        <v>0.57199999999999995</v>
      </c>
      <c r="AA592">
        <f t="shared" si="125"/>
        <v>1048.9278234566564</v>
      </c>
    </row>
    <row r="593" spans="1:27" x14ac:dyDescent="0.2">
      <c r="A593">
        <f t="shared" si="112"/>
        <v>1720601220180.6455</v>
      </c>
      <c r="B593" s="28">
        <v>0.57299999999999995</v>
      </c>
      <c r="C593">
        <f t="shared" si="113"/>
        <v>1720601326154.5781</v>
      </c>
      <c r="E593">
        <f t="shared" si="114"/>
        <v>9732.270954016456</v>
      </c>
      <c r="F593" s="28">
        <v>0.57299999999999995</v>
      </c>
      <c r="G593">
        <f t="shared" si="115"/>
        <v>1047.1204182109129</v>
      </c>
      <c r="I593">
        <f t="shared" si="116"/>
        <v>2706505774768.522</v>
      </c>
      <c r="J593" s="28">
        <v>0.57299999999999995</v>
      </c>
      <c r="K593">
        <f t="shared" si="117"/>
        <v>2706505886041.1514</v>
      </c>
      <c r="M593">
        <f t="shared" si="118"/>
        <v>9671.2405229929718</v>
      </c>
      <c r="N593" s="28">
        <v>0.57299999999999995</v>
      </c>
      <c r="O593">
        <f t="shared" si="119"/>
        <v>1647.120417845766</v>
      </c>
      <c r="Q593">
        <f t="shared" si="120"/>
        <v>985904554587.87659</v>
      </c>
      <c r="R593" s="28">
        <v>0.57299999999999995</v>
      </c>
      <c r="S593">
        <f t="shared" si="121"/>
        <v>985904560486.57324</v>
      </c>
      <c r="U593">
        <f t="shared" si="122"/>
        <v>48166744.652735375</v>
      </c>
      <c r="V593" s="48">
        <v>0.57299999999999995</v>
      </c>
      <c r="W593">
        <f t="shared" si="123"/>
        <v>48185369.117423616</v>
      </c>
      <c r="Y593">
        <f t="shared" si="124"/>
        <v>6250.7793283185219</v>
      </c>
      <c r="Z593" s="28">
        <v>0.57299999999999995</v>
      </c>
      <c r="AA593">
        <f t="shared" si="125"/>
        <v>1047.0976642783703</v>
      </c>
    </row>
    <row r="594" spans="1:27" x14ac:dyDescent="0.2">
      <c r="A594">
        <f t="shared" si="112"/>
        <v>1769507170531.051</v>
      </c>
      <c r="B594" s="28">
        <v>0.57399999999999995</v>
      </c>
      <c r="C594">
        <f t="shared" si="113"/>
        <v>1769507276504.9836</v>
      </c>
      <c r="E594">
        <f t="shared" si="114"/>
        <v>9734.0952055974667</v>
      </c>
      <c r="F594" s="28">
        <v>0.57399999999999995</v>
      </c>
      <c r="G594">
        <f t="shared" si="115"/>
        <v>1045.296166629902</v>
      </c>
      <c r="I594">
        <f t="shared" si="116"/>
        <v>2785204341946.2144</v>
      </c>
      <c r="J594" s="28">
        <v>0.57399999999999995</v>
      </c>
      <c r="K594">
        <f t="shared" si="117"/>
        <v>2785204453218.8438</v>
      </c>
      <c r="M594">
        <f t="shared" si="118"/>
        <v>9673.0647745632723</v>
      </c>
      <c r="N594" s="28">
        <v>0.57399999999999995</v>
      </c>
      <c r="O594">
        <f t="shared" si="119"/>
        <v>1645.2961662754653</v>
      </c>
      <c r="Q594">
        <f t="shared" si="120"/>
        <v>1015697171415.1638</v>
      </c>
      <c r="R594" s="28">
        <v>0.57399999999999995</v>
      </c>
      <c r="S594">
        <f t="shared" si="121"/>
        <v>1015697177313.8605</v>
      </c>
      <c r="U594">
        <f t="shared" si="122"/>
        <v>48992632.430476077</v>
      </c>
      <c r="V594" s="48">
        <v>0.57399999999999995</v>
      </c>
      <c r="W594">
        <f t="shared" si="123"/>
        <v>49011256.895164318</v>
      </c>
      <c r="Y594">
        <f t="shared" si="124"/>
        <v>6252.6031186111641</v>
      </c>
      <c r="Z594" s="28">
        <v>0.57399999999999995</v>
      </c>
      <c r="AA594">
        <f t="shared" si="125"/>
        <v>1045.273873985728</v>
      </c>
    </row>
    <row r="595" spans="1:27" x14ac:dyDescent="0.2">
      <c r="A595">
        <f t="shared" si="112"/>
        <v>1819774325965.9771</v>
      </c>
      <c r="B595" s="28">
        <v>0.57499999999999996</v>
      </c>
      <c r="C595">
        <f t="shared" si="113"/>
        <v>1819774431939.9097</v>
      </c>
      <c r="E595">
        <f t="shared" si="114"/>
        <v>9735.9131119561443</v>
      </c>
      <c r="F595" s="28">
        <v>0.57499999999999996</v>
      </c>
      <c r="G595">
        <f t="shared" si="115"/>
        <v>1043.4782602712237</v>
      </c>
      <c r="I595">
        <f t="shared" si="116"/>
        <v>2866144619032.7285</v>
      </c>
      <c r="J595" s="28">
        <v>0.57499999999999996</v>
      </c>
      <c r="K595">
        <f t="shared" si="117"/>
        <v>2866144730305.3579</v>
      </c>
      <c r="M595">
        <f t="shared" si="118"/>
        <v>9674.8826809115617</v>
      </c>
      <c r="N595" s="28">
        <v>0.57499999999999996</v>
      </c>
      <c r="O595">
        <f t="shared" si="119"/>
        <v>1643.4782599271771</v>
      </c>
      <c r="Q595">
        <f t="shared" si="120"/>
        <v>1046370293066.7513</v>
      </c>
      <c r="R595" s="28">
        <v>0.57499999999999996</v>
      </c>
      <c r="S595">
        <f t="shared" si="121"/>
        <v>1046370298965.448</v>
      </c>
      <c r="U595">
        <f t="shared" si="122"/>
        <v>49832826.694712199</v>
      </c>
      <c r="V595" s="48">
        <v>0.57499999999999996</v>
      </c>
      <c r="W595">
        <f t="shared" si="123"/>
        <v>49851451.159400441</v>
      </c>
      <c r="Y595">
        <f t="shared" si="124"/>
        <v>6254.4205730993344</v>
      </c>
      <c r="Z595" s="28">
        <v>0.57499999999999996</v>
      </c>
      <c r="AA595">
        <f t="shared" si="125"/>
        <v>1043.4564194975574</v>
      </c>
    </row>
    <row r="596" spans="1:27" x14ac:dyDescent="0.2">
      <c r="A596">
        <f t="shared" si="112"/>
        <v>1871439761562.0532</v>
      </c>
      <c r="B596" s="28">
        <v>0.57599999999999996</v>
      </c>
      <c r="C596">
        <f t="shared" si="113"/>
        <v>1871439867535.9858</v>
      </c>
      <c r="E596">
        <f t="shared" si="114"/>
        <v>9737.7247061405069</v>
      </c>
      <c r="F596" s="28">
        <v>0.57599999999999996</v>
      </c>
      <c r="G596">
        <f t="shared" si="115"/>
        <v>1041.6666660868621</v>
      </c>
      <c r="I596">
        <f t="shared" si="116"/>
        <v>2949389119964.0845</v>
      </c>
      <c r="J596" s="28">
        <v>0.57599999999999996</v>
      </c>
      <c r="K596">
        <f t="shared" si="117"/>
        <v>2949389231236.7139</v>
      </c>
      <c r="M596">
        <f t="shared" si="118"/>
        <v>9676.6942750858434</v>
      </c>
      <c r="N596" s="28">
        <v>0.57599999999999996</v>
      </c>
      <c r="O596">
        <f t="shared" si="119"/>
        <v>1641.6666657528949</v>
      </c>
      <c r="Q596">
        <f t="shared" si="120"/>
        <v>1077949358402.0311</v>
      </c>
      <c r="R596" s="28">
        <v>0.57599999999999996</v>
      </c>
      <c r="S596">
        <f t="shared" si="121"/>
        <v>1077949364300.7278</v>
      </c>
      <c r="U596">
        <f t="shared" si="122"/>
        <v>50687577.303309046</v>
      </c>
      <c r="V596" s="48">
        <v>0.57599999999999996</v>
      </c>
      <c r="W596">
        <f t="shared" si="123"/>
        <v>50706201.767997287</v>
      </c>
      <c r="Y596">
        <f t="shared" si="124"/>
        <v>6256.2317246372131</v>
      </c>
      <c r="Z596" s="28">
        <v>0.57599999999999996</v>
      </c>
      <c r="AA596">
        <f t="shared" si="125"/>
        <v>1041.6452679596784</v>
      </c>
    </row>
    <row r="597" spans="1:27" x14ac:dyDescent="0.2">
      <c r="A597">
        <f t="shared" si="112"/>
        <v>1924541539933.0549</v>
      </c>
      <c r="B597" s="28">
        <v>0.57699999999999996</v>
      </c>
      <c r="C597">
        <f t="shared" si="113"/>
        <v>1924541645906.9875</v>
      </c>
      <c r="E597">
        <f t="shared" si="114"/>
        <v>9739.5300209694651</v>
      </c>
      <c r="F597" s="28">
        <v>0.57699999999999996</v>
      </c>
      <c r="G597">
        <f t="shared" si="115"/>
        <v>1039.8613512579034</v>
      </c>
      <c r="I597">
        <f t="shared" si="116"/>
        <v>3035002064322.6899</v>
      </c>
      <c r="J597" s="28">
        <v>0.57699999999999996</v>
      </c>
      <c r="K597">
        <f t="shared" si="117"/>
        <v>3035002175595.3193</v>
      </c>
      <c r="M597">
        <f t="shared" si="118"/>
        <v>9678.4995899050245</v>
      </c>
      <c r="N597" s="28">
        <v>0.57699999999999996</v>
      </c>
      <c r="O597">
        <f t="shared" si="119"/>
        <v>1639.8613509337135</v>
      </c>
      <c r="Q597">
        <f t="shared" si="120"/>
        <v>1110460524389.6353</v>
      </c>
      <c r="R597" s="28">
        <v>0.57699999999999996</v>
      </c>
      <c r="S597">
        <f t="shared" si="121"/>
        <v>1110460530288.3318</v>
      </c>
      <c r="U597">
        <f t="shared" si="122"/>
        <v>51557138.506695993</v>
      </c>
      <c r="V597" s="48">
        <v>0.57699999999999996</v>
      </c>
      <c r="W597">
        <f t="shared" si="123"/>
        <v>51575762.971384235</v>
      </c>
      <c r="Y597">
        <f t="shared" si="124"/>
        <v>6258.0366058539057</v>
      </c>
      <c r="Z597" s="28">
        <v>0.57699999999999996</v>
      </c>
      <c r="AA597">
        <f t="shared" si="125"/>
        <v>1039.8403867429861</v>
      </c>
    </row>
    <row r="598" spans="1:27" x14ac:dyDescent="0.2">
      <c r="A598">
        <f t="shared" ref="A598:A661" si="126">ABS($D$11-C598)</f>
        <v>1979118736936.8691</v>
      </c>
      <c r="B598" s="28">
        <v>0.57799999999999996</v>
      </c>
      <c r="C598">
        <f t="shared" ref="C598:C661" si="127">($B$4)*(((1+B598)^($B$6*$B$5))-1)/B598</f>
        <v>1979118842910.8018</v>
      </c>
      <c r="E598">
        <f t="shared" ref="E598:E661" si="128">ABS($E$12-G598)</f>
        <v>9741.3290890348144</v>
      </c>
      <c r="F598" s="28">
        <v>0.57799999999999996</v>
      </c>
      <c r="G598">
        <f t="shared" ref="G598:G661" si="129">$B$4*(((1-(1+F598)^(-$B$5*$B$6)))/F598)</f>
        <v>1038.062283192553</v>
      </c>
      <c r="I598">
        <f t="shared" ref="I598:I661" si="130">ABS($F$11-K598)</f>
        <v>3123049422840.6157</v>
      </c>
      <c r="J598" s="28">
        <v>0.57799999999999996</v>
      </c>
      <c r="K598">
        <f t="shared" ref="K598:K661" si="131">($B$4*(1+J598)*(((1+J598)^($B$6*$B$5))-1))/J598</f>
        <v>3123049534113.2451</v>
      </c>
      <c r="M598">
        <f t="shared" ref="M598:M661" si="132">ABS($G$12-O598)</f>
        <v>9680.2986579608896</v>
      </c>
      <c r="N598" s="28">
        <v>0.57799999999999996</v>
      </c>
      <c r="O598">
        <f t="shared" ref="O598:O661" si="133">($B$4*(1+N598)*(1-((1+N598)^(-$B$6*$B$5))))/N598</f>
        <v>1638.0622828778485</v>
      </c>
      <c r="Q598">
        <f t="shared" ref="Q598:Q661" si="134">ABS($H$11-S598)</f>
        <v>1143930685903.7468</v>
      </c>
      <c r="R598" s="28">
        <v>0.57799999999999996</v>
      </c>
      <c r="S598">
        <f t="shared" ref="S598:S661" si="135">$B$3*((1+R598)^($B$6*$B$5))</f>
        <v>1143930691802.4434</v>
      </c>
      <c r="U598">
        <f t="shared" ref="U598:U661" si="136">ABS($I$11-W598)</f>
        <v>52441769.025512658</v>
      </c>
      <c r="V598" s="48">
        <v>0.57799999999999996</v>
      </c>
      <c r="W598">
        <f t="shared" ref="W598:W661" si="137">($B$4*(EXP(V598*$B$6)-1))/V598</f>
        <v>52460393.4902009</v>
      </c>
      <c r="Y598">
        <f t="shared" ref="Y598:Y661" si="138">ABS($I$12-AA598)</f>
        <v>6259.8352491553387</v>
      </c>
      <c r="Z598" s="28">
        <v>0.57799999999999996</v>
      </c>
      <c r="AA598">
        <f t="shared" ref="AA598:AA661" si="139">$B$4*(1-EXP(-Z598*$B$6))/Z598</f>
        <v>1038.0417434415533</v>
      </c>
    </row>
    <row r="599" spans="1:27" x14ac:dyDescent="0.2">
      <c r="A599">
        <f t="shared" si="126"/>
        <v>2035211468036.0559</v>
      </c>
      <c r="B599" s="28">
        <v>0.57899999999999996</v>
      </c>
      <c r="C599">
        <f t="shared" si="127"/>
        <v>2035211574009.9885</v>
      </c>
      <c r="E599">
        <f t="shared" si="128"/>
        <v>9743.121942703192</v>
      </c>
      <c r="F599" s="28">
        <v>0.57899999999999996</v>
      </c>
      <c r="G599">
        <f t="shared" si="129"/>
        <v>1036.2694295241758</v>
      </c>
      <c r="I599">
        <f t="shared" si="130"/>
        <v>3213598964089.1426</v>
      </c>
      <c r="J599" s="28">
        <v>0.57899999999999996</v>
      </c>
      <c r="K599">
        <f t="shared" si="131"/>
        <v>3213599075361.772</v>
      </c>
      <c r="M599">
        <f t="shared" si="132"/>
        <v>9682.0915116200649</v>
      </c>
      <c r="N599" s="28">
        <v>0.57899999999999996</v>
      </c>
      <c r="O599">
        <f t="shared" si="133"/>
        <v>1636.2694292186736</v>
      </c>
      <c r="Q599">
        <f t="shared" si="134"/>
        <v>1178387496053.0867</v>
      </c>
      <c r="R599" s="28">
        <v>0.57899999999999996</v>
      </c>
      <c r="S599">
        <f t="shared" si="135"/>
        <v>1178387501951.7832</v>
      </c>
      <c r="U599">
        <f t="shared" si="136"/>
        <v>53341732.129635535</v>
      </c>
      <c r="V599" s="48">
        <v>0.57899999999999996</v>
      </c>
      <c r="W599">
        <f t="shared" si="137"/>
        <v>53360356.594323777</v>
      </c>
      <c r="Y599">
        <f t="shared" si="138"/>
        <v>6261.6276867261395</v>
      </c>
      <c r="Z599" s="28">
        <v>0.57899999999999996</v>
      </c>
      <c r="AA599">
        <f t="shared" si="139"/>
        <v>1036.2493058707526</v>
      </c>
    </row>
    <row r="600" spans="1:27" x14ac:dyDescent="0.2">
      <c r="A600">
        <f t="shared" si="126"/>
        <v>2092860915328.115</v>
      </c>
      <c r="B600" s="28">
        <v>0.57999999999999996</v>
      </c>
      <c r="C600">
        <f t="shared" si="127"/>
        <v>2092861021302.0476</v>
      </c>
      <c r="E600">
        <f t="shared" si="128"/>
        <v>9744.9086141180142</v>
      </c>
      <c r="F600" s="28">
        <v>0.57999999999999996</v>
      </c>
      <c r="G600">
        <f t="shared" si="129"/>
        <v>1034.4827581093541</v>
      </c>
      <c r="I600">
        <f t="shared" si="130"/>
        <v>3306720302384.6064</v>
      </c>
      <c r="J600" s="28">
        <v>0.57999999999999996</v>
      </c>
      <c r="K600">
        <f t="shared" si="131"/>
        <v>3306720413657.2358</v>
      </c>
      <c r="M600">
        <f t="shared" si="132"/>
        <v>9683.8781830259595</v>
      </c>
      <c r="N600" s="28">
        <v>0.57999999999999996</v>
      </c>
      <c r="O600">
        <f t="shared" si="133"/>
        <v>1634.4827578127793</v>
      </c>
      <c r="Q600">
        <f t="shared" si="134"/>
        <v>1213859387056.491</v>
      </c>
      <c r="R600" s="28">
        <v>0.57999999999999996</v>
      </c>
      <c r="S600">
        <f t="shared" si="135"/>
        <v>1213859392955.1875</v>
      </c>
      <c r="U600">
        <f t="shared" si="136"/>
        <v>54257295.718606658</v>
      </c>
      <c r="V600" s="48">
        <v>0.57999999999999996</v>
      </c>
      <c r="W600">
        <f t="shared" si="137"/>
        <v>54275920.1832949</v>
      </c>
      <c r="Y600">
        <f t="shared" si="138"/>
        <v>6263.4139505314961</v>
      </c>
      <c r="Z600" s="28">
        <v>0.57999999999999996</v>
      </c>
      <c r="AA600">
        <f t="shared" si="139"/>
        <v>1034.4630420653955</v>
      </c>
    </row>
    <row r="601" spans="1:27" x14ac:dyDescent="0.2">
      <c r="A601">
        <f t="shared" si="126"/>
        <v>2152109355262.2344</v>
      </c>
      <c r="B601" s="28">
        <v>0.58099999999999996</v>
      </c>
      <c r="C601">
        <f t="shared" si="127"/>
        <v>2152109461236.167</v>
      </c>
      <c r="E601">
        <f t="shared" si="128"/>
        <v>9746.6891352014027</v>
      </c>
      <c r="F601" s="28">
        <v>0.58099999999999996</v>
      </c>
      <c r="G601">
        <f t="shared" si="129"/>
        <v>1032.7022370259665</v>
      </c>
      <c r="I601">
        <f t="shared" si="130"/>
        <v>3402484946941.7505</v>
      </c>
      <c r="J601" s="28">
        <v>0.58099999999999996</v>
      </c>
      <c r="K601">
        <f t="shared" si="131"/>
        <v>3402485058214.3799</v>
      </c>
      <c r="M601">
        <f t="shared" si="132"/>
        <v>9685.658704100686</v>
      </c>
      <c r="N601" s="28">
        <v>0.58099999999999996</v>
      </c>
      <c r="O601">
        <f t="shared" si="133"/>
        <v>1632.7022367380532</v>
      </c>
      <c r="Q601">
        <f t="shared" si="134"/>
        <v>1250375591679.5164</v>
      </c>
      <c r="R601" s="28">
        <v>0.58099999999999996</v>
      </c>
      <c r="S601">
        <f t="shared" si="135"/>
        <v>1250375597578.2129</v>
      </c>
      <c r="U601">
        <f t="shared" si="136"/>
        <v>55188732.403492406</v>
      </c>
      <c r="V601" s="48">
        <v>0.58099999999999996</v>
      </c>
      <c r="W601">
        <f t="shared" si="137"/>
        <v>55207356.868180647</v>
      </c>
      <c r="Y601">
        <f t="shared" si="138"/>
        <v>6265.194072319</v>
      </c>
      <c r="Z601" s="28">
        <v>0.58099999999999996</v>
      </c>
      <c r="AA601">
        <f t="shared" si="139"/>
        <v>1032.6829202778913</v>
      </c>
    </row>
    <row r="602" spans="1:27" x14ac:dyDescent="0.2">
      <c r="A602">
        <f t="shared" si="126"/>
        <v>2213000187059.3745</v>
      </c>
      <c r="B602" s="28">
        <v>0.58199999999999996</v>
      </c>
      <c r="C602">
        <f t="shared" si="127"/>
        <v>2213000293033.3071</v>
      </c>
      <c r="E602">
        <f t="shared" si="128"/>
        <v>9748.46353765608</v>
      </c>
      <c r="F602" s="28">
        <v>0.58199999999999996</v>
      </c>
      <c r="G602">
        <f t="shared" si="129"/>
        <v>1030.927834571288</v>
      </c>
      <c r="I602">
        <f t="shared" si="130"/>
        <v>3500966352306.0625</v>
      </c>
      <c r="J602" s="28">
        <v>0.58199999999999996</v>
      </c>
      <c r="K602">
        <f t="shared" si="131"/>
        <v>3500966463578.6919</v>
      </c>
      <c r="M602">
        <f t="shared" si="132"/>
        <v>9687.4331065469614</v>
      </c>
      <c r="N602" s="28">
        <v>0.58199999999999996</v>
      </c>
      <c r="O602">
        <f t="shared" si="133"/>
        <v>1630.9278342917773</v>
      </c>
      <c r="Q602">
        <f t="shared" si="134"/>
        <v>1287966165246.6882</v>
      </c>
      <c r="R602" s="28">
        <v>0.58199999999999996</v>
      </c>
      <c r="S602">
        <f t="shared" si="135"/>
        <v>1287966171145.3848</v>
      </c>
      <c r="U602">
        <f t="shared" si="136"/>
        <v>56136319.590194717</v>
      </c>
      <c r="V602" s="48">
        <v>0.58199999999999996</v>
      </c>
      <c r="W602">
        <f t="shared" si="137"/>
        <v>56154944.054882959</v>
      </c>
      <c r="Y602">
        <f t="shared" si="138"/>
        <v>6266.968083620468</v>
      </c>
      <c r="Z602" s="28">
        <v>0.58199999999999996</v>
      </c>
      <c r="AA602">
        <f t="shared" si="139"/>
        <v>1030.9089089764243</v>
      </c>
    </row>
    <row r="603" spans="1:27" x14ac:dyDescent="0.2">
      <c r="A603">
        <f t="shared" si="126"/>
        <v>2275577961853.187</v>
      </c>
      <c r="B603" s="28">
        <v>0.58299999999999996</v>
      </c>
      <c r="C603">
        <f t="shared" si="127"/>
        <v>2275578067827.1196</v>
      </c>
      <c r="E603">
        <f t="shared" si="128"/>
        <v>9750.2318529672611</v>
      </c>
      <c r="F603" s="28">
        <v>0.58299999999999996</v>
      </c>
      <c r="G603">
        <f t="shared" si="129"/>
        <v>1029.1595192601069</v>
      </c>
      <c r="I603">
        <f t="shared" si="130"/>
        <v>3602239970097.7007</v>
      </c>
      <c r="J603" s="28">
        <v>0.58299999999999996</v>
      </c>
      <c r="K603">
        <f t="shared" si="131"/>
        <v>3602240081370.3301</v>
      </c>
      <c r="M603">
        <f t="shared" si="132"/>
        <v>9689.2014218499899</v>
      </c>
      <c r="N603" s="28">
        <v>0.58299999999999996</v>
      </c>
      <c r="O603">
        <f t="shared" si="133"/>
        <v>1629.1595189887489</v>
      </c>
      <c r="Q603">
        <f t="shared" si="134"/>
        <v>1326662008244.5142</v>
      </c>
      <c r="R603" s="28">
        <v>0.58299999999999996</v>
      </c>
      <c r="S603">
        <f t="shared" si="135"/>
        <v>1326662014143.2107</v>
      </c>
      <c r="U603">
        <f t="shared" si="136"/>
        <v>57100339.564243957</v>
      </c>
      <c r="V603" s="48">
        <v>0.58299999999999996</v>
      </c>
      <c r="W603">
        <f t="shared" si="137"/>
        <v>57118964.028932199</v>
      </c>
      <c r="Y603">
        <f t="shared" si="138"/>
        <v>6268.736015753746</v>
      </c>
      <c r="Z603" s="28">
        <v>0.58299999999999996</v>
      </c>
      <c r="AA603">
        <f t="shared" si="139"/>
        <v>1029.1409768431461</v>
      </c>
    </row>
    <row r="604" spans="1:27" x14ac:dyDescent="0.2">
      <c r="A604">
        <f t="shared" si="126"/>
        <v>2339888412569.5391</v>
      </c>
      <c r="B604" s="28">
        <v>0.58399999999999996</v>
      </c>
      <c r="C604">
        <f t="shared" si="127"/>
        <v>2339888518543.4717</v>
      </c>
      <c r="E604">
        <f t="shared" si="128"/>
        <v>9751.9941124045054</v>
      </c>
      <c r="F604" s="28">
        <v>0.58399999999999996</v>
      </c>
      <c r="G604">
        <f t="shared" si="129"/>
        <v>1027.3972598228636</v>
      </c>
      <c r="I604">
        <f t="shared" si="130"/>
        <v>3706383302100.23</v>
      </c>
      <c r="J604" s="28">
        <v>0.58399999999999996</v>
      </c>
      <c r="K604">
        <f t="shared" si="131"/>
        <v>3706383413372.8594</v>
      </c>
      <c r="M604">
        <f t="shared" si="132"/>
        <v>9690.9636812793215</v>
      </c>
      <c r="N604" s="28">
        <v>0.58399999999999996</v>
      </c>
      <c r="O604">
        <f t="shared" si="133"/>
        <v>1627.3972595594159</v>
      </c>
      <c r="Q604">
        <f t="shared" si="134"/>
        <v>1366494889530.6909</v>
      </c>
      <c r="R604" s="28">
        <v>0.58399999999999996</v>
      </c>
      <c r="S604">
        <f t="shared" si="135"/>
        <v>1366494895429.3875</v>
      </c>
      <c r="U604">
        <f t="shared" si="136"/>
        <v>58081079.577096477</v>
      </c>
      <c r="V604" s="48">
        <v>0.58399999999999996</v>
      </c>
      <c r="W604">
        <f t="shared" si="137"/>
        <v>58099704.041784719</v>
      </c>
      <c r="Y604">
        <f t="shared" si="138"/>
        <v>6270.4978998245024</v>
      </c>
      <c r="Z604" s="28">
        <v>0.58399999999999996</v>
      </c>
      <c r="AA604">
        <f t="shared" si="139"/>
        <v>1027.3790927723892</v>
      </c>
    </row>
    <row r="605" spans="1:27" x14ac:dyDescent="0.2">
      <c r="A605">
        <f t="shared" si="126"/>
        <v>2405978484563.0234</v>
      </c>
      <c r="B605" s="28">
        <v>0.58499999999999996</v>
      </c>
      <c r="C605">
        <f t="shared" si="127"/>
        <v>2405978590536.9561</v>
      </c>
      <c r="E605">
        <f t="shared" si="128"/>
        <v>9753.7503470235606</v>
      </c>
      <c r="F605" s="28">
        <v>0.58499999999999996</v>
      </c>
      <c r="G605">
        <f t="shared" si="129"/>
        <v>1025.6410252038067</v>
      </c>
      <c r="I605">
        <f t="shared" si="130"/>
        <v>3813475954728.4458</v>
      </c>
      <c r="J605" s="28">
        <v>0.58499999999999996</v>
      </c>
      <c r="K605">
        <f t="shared" si="131"/>
        <v>3813476066001.0752</v>
      </c>
      <c r="M605">
        <f t="shared" si="132"/>
        <v>9692.7199158907042</v>
      </c>
      <c r="N605" s="28">
        <v>0.58499999999999996</v>
      </c>
      <c r="O605">
        <f t="shared" si="133"/>
        <v>1625.6410249480334</v>
      </c>
      <c r="Q605">
        <f t="shared" si="134"/>
        <v>1407497470165.4226</v>
      </c>
      <c r="R605" s="28">
        <v>0.58499999999999996</v>
      </c>
      <c r="S605">
        <f t="shared" si="135"/>
        <v>1407497476064.1191</v>
      </c>
      <c r="U605">
        <f t="shared" si="136"/>
        <v>59078831.933967106</v>
      </c>
      <c r="V605" s="48">
        <v>0.58499999999999996</v>
      </c>
      <c r="W605">
        <f t="shared" si="137"/>
        <v>59097456.398655348</v>
      </c>
      <c r="Y605">
        <f t="shared" si="138"/>
        <v>6272.2537667279948</v>
      </c>
      <c r="Z605" s="28">
        <v>0.58499999999999996</v>
      </c>
      <c r="AA605">
        <f t="shared" si="139"/>
        <v>1025.6232258688967</v>
      </c>
    </row>
    <row r="606" spans="1:27" x14ac:dyDescent="0.2">
      <c r="A606">
        <f t="shared" si="126"/>
        <v>2473896367029.1509</v>
      </c>
      <c r="B606" s="28">
        <v>0.58599999999999997</v>
      </c>
      <c r="C606">
        <f t="shared" si="127"/>
        <v>2473896473003.0835</v>
      </c>
      <c r="E606">
        <f t="shared" si="128"/>
        <v>9755.5005876681989</v>
      </c>
      <c r="F606" s="28">
        <v>0.58599999999999997</v>
      </c>
      <c r="G606">
        <f t="shared" si="129"/>
        <v>1023.8907845591696</v>
      </c>
      <c r="I606">
        <f t="shared" si="130"/>
        <v>3923599694910.2603</v>
      </c>
      <c r="J606" s="28">
        <v>0.58599999999999997</v>
      </c>
      <c r="K606">
        <f t="shared" si="131"/>
        <v>3923599806182.8896</v>
      </c>
      <c r="M606">
        <f t="shared" si="132"/>
        <v>9694.4701565278956</v>
      </c>
      <c r="N606" s="28">
        <v>0.58599999999999997</v>
      </c>
      <c r="O606">
        <f t="shared" si="133"/>
        <v>1623.8907843108427</v>
      </c>
      <c r="Q606">
        <f t="shared" si="134"/>
        <v>1449703327881.1104</v>
      </c>
      <c r="R606" s="28">
        <v>0.58599999999999997</v>
      </c>
      <c r="S606">
        <f t="shared" si="135"/>
        <v>1449703333779.8069</v>
      </c>
      <c r="U606">
        <f t="shared" si="136"/>
        <v>60093894.083220534</v>
      </c>
      <c r="V606" s="48">
        <v>0.58599999999999997</v>
      </c>
      <c r="W606">
        <f t="shared" si="137"/>
        <v>60112518.547908776</v>
      </c>
      <c r="Y606">
        <f t="shared" si="138"/>
        <v>6274.0036471508238</v>
      </c>
      <c r="Z606" s="28">
        <v>0.58599999999999997</v>
      </c>
      <c r="AA606">
        <f t="shared" si="139"/>
        <v>1023.873345446068</v>
      </c>
    </row>
    <row r="607" spans="1:27" x14ac:dyDescent="0.2">
      <c r="A607">
        <f t="shared" si="126"/>
        <v>2543691525211.2461</v>
      </c>
      <c r="B607" s="28">
        <v>0.58699999999999997</v>
      </c>
      <c r="C607">
        <f t="shared" si="127"/>
        <v>2543691631185.1787</v>
      </c>
      <c r="E607">
        <f t="shared" si="128"/>
        <v>9757.2448649720045</v>
      </c>
      <c r="F607" s="28">
        <v>0.58699999999999997</v>
      </c>
      <c r="G607">
        <f t="shared" si="129"/>
        <v>1022.1465072553638</v>
      </c>
      <c r="I607">
        <f t="shared" si="130"/>
        <v>4036838507418.249</v>
      </c>
      <c r="J607" s="28">
        <v>0.58699999999999997</v>
      </c>
      <c r="K607">
        <f t="shared" si="131"/>
        <v>4036838618690.8784</v>
      </c>
      <c r="M607">
        <f t="shared" si="132"/>
        <v>9696.2144338244761</v>
      </c>
      <c r="N607" s="28">
        <v>0.58699999999999997</v>
      </c>
      <c r="O607">
        <f t="shared" si="133"/>
        <v>1622.1465070142619</v>
      </c>
      <c r="Q607">
        <f t="shared" si="134"/>
        <v>1493146982207.0032</v>
      </c>
      <c r="R607" s="28">
        <v>0.58699999999999997</v>
      </c>
      <c r="S607">
        <f t="shared" si="135"/>
        <v>1493146988105.6997</v>
      </c>
      <c r="U607">
        <f t="shared" si="136"/>
        <v>61126568.707352817</v>
      </c>
      <c r="V607" s="48">
        <v>0.58699999999999997</v>
      </c>
      <c r="W607">
        <f t="shared" si="137"/>
        <v>61145193.172041059</v>
      </c>
      <c r="Y607">
        <f t="shared" si="138"/>
        <v>6275.7475715726678</v>
      </c>
      <c r="Z607" s="28">
        <v>0.58699999999999997</v>
      </c>
      <c r="AA607">
        <f t="shared" si="139"/>
        <v>1022.1294210242243</v>
      </c>
    </row>
    <row r="608" spans="1:27" x14ac:dyDescent="0.2">
      <c r="A608">
        <f t="shared" si="126"/>
        <v>2615414733421.832</v>
      </c>
      <c r="B608" s="28">
        <v>0.58799999999999997</v>
      </c>
      <c r="C608">
        <f t="shared" si="127"/>
        <v>2615414839395.7646</v>
      </c>
      <c r="E608">
        <f t="shared" si="128"/>
        <v>9758.9832093601763</v>
      </c>
      <c r="F608" s="28">
        <v>0.58799999999999997</v>
      </c>
      <c r="G608">
        <f t="shared" si="129"/>
        <v>1020.4081628671923</v>
      </c>
      <c r="I608">
        <f t="shared" si="130"/>
        <v>4153278653687.8447</v>
      </c>
      <c r="J608" s="28">
        <v>0.58799999999999997</v>
      </c>
      <c r="K608">
        <f t="shared" si="131"/>
        <v>4153278764960.4741</v>
      </c>
      <c r="M608">
        <f t="shared" si="132"/>
        <v>9697.9527782056375</v>
      </c>
      <c r="N608" s="28">
        <v>0.58799999999999997</v>
      </c>
      <c r="O608">
        <f t="shared" si="133"/>
        <v>1620.4081626331015</v>
      </c>
      <c r="Q608">
        <f t="shared" si="134"/>
        <v>1537863920266.0129</v>
      </c>
      <c r="R608" s="28">
        <v>0.58799999999999997</v>
      </c>
      <c r="S608">
        <f t="shared" si="135"/>
        <v>1537863926164.7095</v>
      </c>
      <c r="U608">
        <f t="shared" si="136"/>
        <v>62177163.815588064</v>
      </c>
      <c r="V608" s="48">
        <v>0.58799999999999997</v>
      </c>
      <c r="W608">
        <f t="shared" si="137"/>
        <v>62195788.280276306</v>
      </c>
      <c r="Y608">
        <f t="shared" si="138"/>
        <v>6277.4855702680034</v>
      </c>
      <c r="Z608" s="28">
        <v>0.58799999999999997</v>
      </c>
      <c r="AA608">
        <f t="shared" si="139"/>
        <v>1020.3914223288881</v>
      </c>
    </row>
    <row r="609" spans="1:27" x14ac:dyDescent="0.2">
      <c r="A609">
        <f t="shared" si="126"/>
        <v>2689118108898.5566</v>
      </c>
      <c r="B609" s="28">
        <v>0.58899999999999997</v>
      </c>
      <c r="C609">
        <f t="shared" si="127"/>
        <v>2689118214872.4893</v>
      </c>
      <c r="E609">
        <f t="shared" si="128"/>
        <v>9760.7156510512868</v>
      </c>
      <c r="F609" s="28">
        <v>0.58899999999999997</v>
      </c>
      <c r="G609">
        <f t="shared" si="129"/>
        <v>1018.675721176081</v>
      </c>
      <c r="I609">
        <f t="shared" si="130"/>
        <v>4273008732159.7559</v>
      </c>
      <c r="J609" s="28">
        <v>0.58899999999999997</v>
      </c>
      <c r="K609">
        <f t="shared" si="131"/>
        <v>4273008843432.3853</v>
      </c>
      <c r="M609">
        <f t="shared" si="132"/>
        <v>9699.6852198899451</v>
      </c>
      <c r="N609" s="28">
        <v>0.58899999999999997</v>
      </c>
      <c r="O609">
        <f t="shared" si="133"/>
        <v>1618.6757209487926</v>
      </c>
      <c r="Q609">
        <f t="shared" si="134"/>
        <v>1583890623261.1995</v>
      </c>
      <c r="R609" s="28">
        <v>0.58899999999999997</v>
      </c>
      <c r="S609">
        <f t="shared" si="135"/>
        <v>1583890629159.896</v>
      </c>
      <c r="U609">
        <f t="shared" si="136"/>
        <v>63245992.838121846</v>
      </c>
      <c r="V609" s="48">
        <v>0.58899999999999997</v>
      </c>
      <c r="W609">
        <f t="shared" si="137"/>
        <v>63264617.302810088</v>
      </c>
      <c r="Y609">
        <f t="shared" si="138"/>
        <v>6279.2176733078095</v>
      </c>
      <c r="Z609" s="28">
        <v>0.58899999999999997</v>
      </c>
      <c r="AA609">
        <f t="shared" si="139"/>
        <v>1018.6593192890823</v>
      </c>
    </row>
    <row r="610" spans="1:27" x14ac:dyDescent="0.2">
      <c r="A610">
        <f t="shared" si="126"/>
        <v>2764855146515.2466</v>
      </c>
      <c r="B610" s="28">
        <v>0.59</v>
      </c>
      <c r="C610">
        <f t="shared" si="127"/>
        <v>2764855252489.1792</v>
      </c>
      <c r="E610">
        <f t="shared" si="128"/>
        <v>9762.4422200590416</v>
      </c>
      <c r="F610" s="28">
        <v>0.59</v>
      </c>
      <c r="G610">
        <f t="shared" si="129"/>
        <v>1016.949152168326</v>
      </c>
      <c r="I610">
        <f t="shared" si="130"/>
        <v>4396119740185.165</v>
      </c>
      <c r="J610" s="28">
        <v>0.59</v>
      </c>
      <c r="K610">
        <f t="shared" si="131"/>
        <v>4396119851457.7944</v>
      </c>
      <c r="M610">
        <f t="shared" si="132"/>
        <v>9701.4117888911005</v>
      </c>
      <c r="N610" s="28">
        <v>0.59</v>
      </c>
      <c r="O610">
        <f t="shared" si="133"/>
        <v>1616.9491519476383</v>
      </c>
      <c r="Q610">
        <f t="shared" si="134"/>
        <v>1631264593669.9192</v>
      </c>
      <c r="R610" s="28">
        <v>0.59</v>
      </c>
      <c r="S610">
        <f t="shared" si="135"/>
        <v>1631264599568.6157</v>
      </c>
      <c r="U610">
        <f t="shared" si="136"/>
        <v>64333374.722039416</v>
      </c>
      <c r="V610" s="48">
        <v>0.59</v>
      </c>
      <c r="W610">
        <f t="shared" si="137"/>
        <v>64351999.186727658</v>
      </c>
      <c r="Y610">
        <f t="shared" si="138"/>
        <v>6280.9439105612482</v>
      </c>
      <c r="Z610" s="28">
        <v>0.59</v>
      </c>
      <c r="AA610">
        <f t="shared" si="139"/>
        <v>1016.9330820356438</v>
      </c>
    </row>
    <row r="611" spans="1:27" x14ac:dyDescent="0.2">
      <c r="A611">
        <f t="shared" si="126"/>
        <v>2842680754369.1963</v>
      </c>
      <c r="B611" s="28">
        <v>0.59099999999999997</v>
      </c>
      <c r="C611">
        <f t="shared" si="127"/>
        <v>2842680860343.1289</v>
      </c>
      <c r="E611">
        <f t="shared" si="128"/>
        <v>9764.1629461940047</v>
      </c>
      <c r="F611" s="28">
        <v>0.59099999999999997</v>
      </c>
      <c r="G611">
        <f t="shared" si="129"/>
        <v>1015.2284260333629</v>
      </c>
      <c r="I611">
        <f t="shared" si="130"/>
        <v>4522705137533.2891</v>
      </c>
      <c r="J611" s="28">
        <v>0.59099999999999997</v>
      </c>
      <c r="K611">
        <f t="shared" si="131"/>
        <v>4522705248805.918</v>
      </c>
      <c r="M611">
        <f t="shared" si="132"/>
        <v>9703.1325150196571</v>
      </c>
      <c r="N611" s="28">
        <v>0.59099999999999997</v>
      </c>
      <c r="O611">
        <f t="shared" si="133"/>
        <v>1615.2284258190803</v>
      </c>
      <c r="Q611">
        <f t="shared" si="134"/>
        <v>1680024383164.0925</v>
      </c>
      <c r="R611" s="28">
        <v>0.59099999999999997</v>
      </c>
      <c r="S611">
        <f t="shared" si="135"/>
        <v>1680024389062.7891</v>
      </c>
      <c r="U611">
        <f t="shared" si="136"/>
        <v>65439634.028937943</v>
      </c>
      <c r="V611" s="48">
        <v>0.59099999999999997</v>
      </c>
      <c r="W611">
        <f t="shared" si="137"/>
        <v>65458258.493626185</v>
      </c>
      <c r="Y611">
        <f t="shared" si="138"/>
        <v>6282.6643116973382</v>
      </c>
      <c r="Z611" s="28">
        <v>0.59099999999999997</v>
      </c>
      <c r="AA611">
        <f t="shared" si="139"/>
        <v>1015.2126808995539</v>
      </c>
    </row>
    <row r="612" spans="1:27" x14ac:dyDescent="0.2">
      <c r="A612">
        <f t="shared" si="126"/>
        <v>2922651290266.04</v>
      </c>
      <c r="B612" s="28">
        <v>0.59199999999999997</v>
      </c>
      <c r="C612">
        <f t="shared" si="127"/>
        <v>2922651396239.9727</v>
      </c>
      <c r="E612">
        <f t="shared" si="128"/>
        <v>9765.8778590653201</v>
      </c>
      <c r="F612" s="28">
        <v>0.59199999999999997</v>
      </c>
      <c r="G612">
        <f t="shared" si="129"/>
        <v>1013.5135131620485</v>
      </c>
      <c r="I612">
        <f t="shared" si="130"/>
        <v>4652860911541.4082</v>
      </c>
      <c r="J612" s="28">
        <v>0.59199999999999997</v>
      </c>
      <c r="K612">
        <f t="shared" si="131"/>
        <v>4652861022814.0371</v>
      </c>
      <c r="M612">
        <f t="shared" si="132"/>
        <v>9704.8474278847571</v>
      </c>
      <c r="N612" s="28">
        <v>0.59199999999999997</v>
      </c>
      <c r="O612">
        <f t="shared" si="133"/>
        <v>1613.5135129539815</v>
      </c>
      <c r="Q612">
        <f t="shared" si="134"/>
        <v>1730209621275.3672</v>
      </c>
      <c r="R612" s="28">
        <v>0.59199999999999997</v>
      </c>
      <c r="S612">
        <f t="shared" si="135"/>
        <v>1730209627174.0637</v>
      </c>
      <c r="U612">
        <f t="shared" si="136"/>
        <v>66565101.034285434</v>
      </c>
      <c r="V612" s="48">
        <v>0.59199999999999997</v>
      </c>
      <c r="W612">
        <f t="shared" si="137"/>
        <v>66583725.498973675</v>
      </c>
      <c r="Y612">
        <f t="shared" si="138"/>
        <v>6284.3789061866046</v>
      </c>
      <c r="Z612" s="28">
        <v>0.59199999999999997</v>
      </c>
      <c r="AA612">
        <f t="shared" si="139"/>
        <v>1013.4980864102869</v>
      </c>
    </row>
    <row r="613" spans="1:27" x14ac:dyDescent="0.2">
      <c r="A613">
        <f t="shared" si="126"/>
        <v>3004824599124.7969</v>
      </c>
      <c r="B613" s="28">
        <v>0.59299999999999997</v>
      </c>
      <c r="C613">
        <f t="shared" si="127"/>
        <v>3004824705098.7295</v>
      </c>
      <c r="E613">
        <f t="shared" si="128"/>
        <v>9767.586988082403</v>
      </c>
      <c r="F613" s="28">
        <v>0.59299999999999997</v>
      </c>
      <c r="G613">
        <f t="shared" si="129"/>
        <v>1011.8043841449646</v>
      </c>
      <c r="I613">
        <f t="shared" si="130"/>
        <v>4786685643949.6475</v>
      </c>
      <c r="J613" s="28">
        <v>0.59299999999999997</v>
      </c>
      <c r="K613">
        <f t="shared" si="131"/>
        <v>4786685755222.2764</v>
      </c>
      <c r="M613">
        <f t="shared" si="132"/>
        <v>9706.55655689581</v>
      </c>
      <c r="N613" s="28">
        <v>0.59299999999999997</v>
      </c>
      <c r="O613">
        <f t="shared" si="133"/>
        <v>1611.8043839429286</v>
      </c>
      <c r="Q613">
        <f t="shared" si="134"/>
        <v>1781861044824.8501</v>
      </c>
      <c r="R613" s="28">
        <v>0.59299999999999997</v>
      </c>
      <c r="S613">
        <f t="shared" si="135"/>
        <v>1781861050723.5466</v>
      </c>
      <c r="U613">
        <f t="shared" si="136"/>
        <v>67710111.828544244</v>
      </c>
      <c r="V613" s="48">
        <v>0.59299999999999997</v>
      </c>
      <c r="W613">
        <f t="shared" si="137"/>
        <v>67728736.293232486</v>
      </c>
      <c r="Y613">
        <f t="shared" si="138"/>
        <v>6286.0877233027213</v>
      </c>
      <c r="Z613" s="28">
        <v>0.59299999999999997</v>
      </c>
      <c r="AA613">
        <f t="shared" si="139"/>
        <v>1011.7892692941704</v>
      </c>
    </row>
    <row r="614" spans="1:27" x14ac:dyDescent="0.2">
      <c r="A614">
        <f t="shared" si="126"/>
        <v>3089260051325.2778</v>
      </c>
      <c r="B614" s="28">
        <v>0.59399999999999997</v>
      </c>
      <c r="C614">
        <f t="shared" si="127"/>
        <v>3089260157299.2104</v>
      </c>
      <c r="E614">
        <f t="shared" si="128"/>
        <v>9769.2903624566334</v>
      </c>
      <c r="F614" s="28">
        <v>0.59399999999999997</v>
      </c>
      <c r="G614">
        <f t="shared" si="129"/>
        <v>1010.1010097707356</v>
      </c>
      <c r="I614">
        <f t="shared" si="130"/>
        <v>4924280579462.3115</v>
      </c>
      <c r="J614" s="28">
        <v>0.59399999999999997</v>
      </c>
      <c r="K614">
        <f t="shared" si="131"/>
        <v>4924280690734.9404</v>
      </c>
      <c r="M614">
        <f t="shared" si="132"/>
        <v>9708.2599312641869</v>
      </c>
      <c r="N614" s="28">
        <v>0.59399999999999997</v>
      </c>
      <c r="O614">
        <f t="shared" si="133"/>
        <v>1610.1010095745523</v>
      </c>
      <c r="Q614">
        <f t="shared" si="134"/>
        <v>1835020528137.0344</v>
      </c>
      <c r="R614" s="28">
        <v>0.59399999999999997</v>
      </c>
      <c r="S614">
        <f t="shared" si="135"/>
        <v>1835020534035.731</v>
      </c>
      <c r="U614">
        <f t="shared" si="136"/>
        <v>68875008.420094177</v>
      </c>
      <c r="V614" s="48">
        <v>0.59399999999999997</v>
      </c>
      <c r="W614">
        <f t="shared" si="137"/>
        <v>68893632.884782419</v>
      </c>
      <c r="Y614">
        <f t="shared" si="138"/>
        <v>6287.7907921241258</v>
      </c>
      <c r="Z614" s="28">
        <v>0.59399999999999997</v>
      </c>
      <c r="AA614">
        <f t="shared" si="139"/>
        <v>1010.0862004727663</v>
      </c>
    </row>
    <row r="615" spans="1:27" x14ac:dyDescent="0.2">
      <c r="A615">
        <f t="shared" si="126"/>
        <v>3176018582021.2305</v>
      </c>
      <c r="B615" s="28">
        <v>0.59499999999999997</v>
      </c>
      <c r="C615">
        <f t="shared" si="127"/>
        <v>3176018687995.1631</v>
      </c>
      <c r="E615">
        <f t="shared" si="128"/>
        <v>9770.9880112030041</v>
      </c>
      <c r="F615" s="28">
        <v>0.59499999999999997</v>
      </c>
      <c r="G615">
        <f t="shared" si="129"/>
        <v>1008.4033610243644</v>
      </c>
      <c r="I615">
        <f t="shared" si="130"/>
        <v>5065749696079.6572</v>
      </c>
      <c r="J615" s="28">
        <v>0.59499999999999997</v>
      </c>
      <c r="K615">
        <f t="shared" si="131"/>
        <v>5065749807352.2861</v>
      </c>
      <c r="M615">
        <f t="shared" si="132"/>
        <v>9709.9575800048769</v>
      </c>
      <c r="N615" s="28">
        <v>0.59499999999999997</v>
      </c>
      <c r="O615">
        <f t="shared" si="133"/>
        <v>1608.4033608338609</v>
      </c>
      <c r="Q615">
        <f t="shared" si="134"/>
        <v>1889731114058.4255</v>
      </c>
      <c r="R615" s="28">
        <v>0.59499999999999997</v>
      </c>
      <c r="S615">
        <f t="shared" si="135"/>
        <v>1889731119957.1221</v>
      </c>
      <c r="U615">
        <f t="shared" si="136"/>
        <v>70060138.839983523</v>
      </c>
      <c r="V615" s="48">
        <v>0.59499999999999997</v>
      </c>
      <c r="W615">
        <f t="shared" si="137"/>
        <v>70078763.304671764</v>
      </c>
      <c r="Y615">
        <f t="shared" si="138"/>
        <v>6289.4881415356267</v>
      </c>
      <c r="Z615" s="28">
        <v>0.59499999999999997</v>
      </c>
      <c r="AA615">
        <f t="shared" si="139"/>
        <v>1008.3888510612652</v>
      </c>
    </row>
    <row r="616" spans="1:27" x14ac:dyDescent="0.2">
      <c r="A616">
        <f t="shared" si="126"/>
        <v>3265162731442.8193</v>
      </c>
      <c r="B616" s="28">
        <v>0.59599999999999997</v>
      </c>
      <c r="C616">
        <f t="shared" si="127"/>
        <v>3265162837416.752</v>
      </c>
      <c r="E616">
        <f t="shared" si="128"/>
        <v>9772.6799631417834</v>
      </c>
      <c r="F616" s="28">
        <v>0.59599999999999997</v>
      </c>
      <c r="G616">
        <f t="shared" si="129"/>
        <v>1006.711409085585</v>
      </c>
      <c r="I616">
        <f t="shared" si="130"/>
        <v>5211199777244.5078</v>
      </c>
      <c r="J616" s="28">
        <v>0.59599999999999997</v>
      </c>
      <c r="K616">
        <f t="shared" si="131"/>
        <v>5211199888517.1367</v>
      </c>
      <c r="M616">
        <f t="shared" si="132"/>
        <v>9711.6495319381447</v>
      </c>
      <c r="N616" s="28">
        <v>0.59599999999999997</v>
      </c>
      <c r="O616">
        <f t="shared" si="133"/>
        <v>1606.7114089005938</v>
      </c>
      <c r="Q616">
        <f t="shared" si="134"/>
        <v>1946037045801.6875</v>
      </c>
      <c r="R616" s="28">
        <v>0.59599999999999997</v>
      </c>
      <c r="S616">
        <f t="shared" si="135"/>
        <v>1946037051700.384</v>
      </c>
      <c r="U616">
        <f t="shared" si="136"/>
        <v>71265857.248544425</v>
      </c>
      <c r="V616" s="48">
        <v>0.59599999999999997</v>
      </c>
      <c r="W616">
        <f t="shared" si="137"/>
        <v>71284481.713232666</v>
      </c>
      <c r="Y616">
        <f t="shared" si="138"/>
        <v>6291.1798002299965</v>
      </c>
      <c r="Z616" s="28">
        <v>0.59599999999999997</v>
      </c>
      <c r="AA616">
        <f t="shared" si="139"/>
        <v>1006.6971923668948</v>
      </c>
    </row>
    <row r="617" spans="1:27" x14ac:dyDescent="0.2">
      <c r="A617">
        <f t="shared" si="126"/>
        <v>3356756686212.9741</v>
      </c>
      <c r="B617" s="28">
        <v>0.59699999999999998</v>
      </c>
      <c r="C617">
        <f t="shared" si="127"/>
        <v>3356756792186.9067</v>
      </c>
      <c r="E617">
        <f t="shared" si="128"/>
        <v>9774.3662469001356</v>
      </c>
      <c r="F617" s="28">
        <v>0.59699999999999998</v>
      </c>
      <c r="G617">
        <f t="shared" si="129"/>
        <v>1005.0251253272327</v>
      </c>
      <c r="I617">
        <f t="shared" si="130"/>
        <v>5360740485849.8613</v>
      </c>
      <c r="J617" s="28">
        <v>0.59699999999999998</v>
      </c>
      <c r="K617">
        <f t="shared" si="131"/>
        <v>5360740597122.4902</v>
      </c>
      <c r="M617">
        <f t="shared" si="132"/>
        <v>9713.3358156911472</v>
      </c>
      <c r="N617" s="28">
        <v>0.59699999999999998</v>
      </c>
      <c r="O617">
        <f t="shared" si="133"/>
        <v>1605.0251251475904</v>
      </c>
      <c r="Q617">
        <f t="shared" si="134"/>
        <v>2003983799636.8867</v>
      </c>
      <c r="R617" s="28">
        <v>0.59699999999999998</v>
      </c>
      <c r="S617">
        <f t="shared" si="135"/>
        <v>2003983805535.5833</v>
      </c>
      <c r="U617">
        <f t="shared" si="136"/>
        <v>72492524.043902263</v>
      </c>
      <c r="V617" s="48">
        <v>0.59699999999999998</v>
      </c>
      <c r="W617">
        <f t="shared" si="137"/>
        <v>72511148.508590505</v>
      </c>
      <c r="Y617">
        <f t="shared" si="138"/>
        <v>6292.8657967095451</v>
      </c>
      <c r="Z617" s="28">
        <v>0.59699999999999998</v>
      </c>
      <c r="AA617">
        <f t="shared" si="139"/>
        <v>1005.0111958873466</v>
      </c>
    </row>
    <row r="618" spans="1:27" x14ac:dyDescent="0.2">
      <c r="A618">
        <f t="shared" si="126"/>
        <v>3450866321702.3999</v>
      </c>
      <c r="B618" s="28">
        <v>0.59799999999999998</v>
      </c>
      <c r="C618">
        <f t="shared" si="127"/>
        <v>3450866427676.3325</v>
      </c>
      <c r="E618">
        <f t="shared" si="128"/>
        <v>9776.0468909137417</v>
      </c>
      <c r="F618" s="28">
        <v>0.59799999999999998</v>
      </c>
      <c r="G618">
        <f t="shared" si="129"/>
        <v>1003.3444813136273</v>
      </c>
      <c r="I618">
        <f t="shared" si="130"/>
        <v>5514484440154.1504</v>
      </c>
      <c r="J618" s="28">
        <v>0.59799999999999998</v>
      </c>
      <c r="K618">
        <f t="shared" si="131"/>
        <v>5514484551426.7793</v>
      </c>
      <c r="M618">
        <f t="shared" si="132"/>
        <v>9715.0164596995619</v>
      </c>
      <c r="N618" s="28">
        <v>0.59799999999999998</v>
      </c>
      <c r="O618">
        <f t="shared" si="133"/>
        <v>1603.3444811391764</v>
      </c>
      <c r="Q618">
        <f t="shared" si="134"/>
        <v>2063618118451.7502</v>
      </c>
      <c r="R618" s="28">
        <v>0.59799999999999998</v>
      </c>
      <c r="S618">
        <f t="shared" si="135"/>
        <v>2063618124350.4468</v>
      </c>
      <c r="U618">
        <f t="shared" si="136"/>
        <v>73740505.972416461</v>
      </c>
      <c r="V618" s="48">
        <v>0.59799999999999998</v>
      </c>
      <c r="W618">
        <f t="shared" si="137"/>
        <v>73759130.437104702</v>
      </c>
      <c r="Y618">
        <f t="shared" si="138"/>
        <v>6294.5461592876745</v>
      </c>
      <c r="Z618" s="28">
        <v>0.59799999999999998</v>
      </c>
      <c r="AA618">
        <f t="shared" si="139"/>
        <v>1003.3308333092168</v>
      </c>
    </row>
    <row r="619" spans="1:27" x14ac:dyDescent="0.2">
      <c r="A619">
        <f t="shared" si="126"/>
        <v>3547559245448.5186</v>
      </c>
      <c r="B619" s="28">
        <v>0.59899999999999998</v>
      </c>
      <c r="C619">
        <f t="shared" si="127"/>
        <v>3547559351422.4512</v>
      </c>
      <c r="E619">
        <f t="shared" si="128"/>
        <v>9777.7219234283912</v>
      </c>
      <c r="F619" s="28">
        <v>0.59899999999999998</v>
      </c>
      <c r="G619">
        <f t="shared" si="129"/>
        <v>1001.6694487989771</v>
      </c>
      <c r="I619">
        <f t="shared" si="130"/>
        <v>5672547291651.8701</v>
      </c>
      <c r="J619" s="28">
        <v>0.59899999999999998</v>
      </c>
      <c r="K619">
        <f t="shared" si="131"/>
        <v>5672547402924.499</v>
      </c>
      <c r="M619">
        <f t="shared" si="132"/>
        <v>9716.6914922091746</v>
      </c>
      <c r="N619" s="28">
        <v>0.59899999999999998</v>
      </c>
      <c r="O619">
        <f t="shared" si="133"/>
        <v>1601.6694486295644</v>
      </c>
      <c r="Q619">
        <f t="shared" si="134"/>
        <v>2124988046203.3516</v>
      </c>
      <c r="R619" s="28">
        <v>0.59899999999999998</v>
      </c>
      <c r="S619">
        <f t="shared" si="135"/>
        <v>2124988052102.0481</v>
      </c>
      <c r="U619">
        <f t="shared" si="136"/>
        <v>75010176.241083249</v>
      </c>
      <c r="V619" s="48">
        <v>0.59899999999999998</v>
      </c>
      <c r="W619">
        <f t="shared" si="137"/>
        <v>75028800.705771491</v>
      </c>
      <c r="Y619">
        <f t="shared" si="138"/>
        <v>6296.2209160904313</v>
      </c>
      <c r="Z619" s="28">
        <v>0.59899999999999998</v>
      </c>
      <c r="AA619">
        <f t="shared" si="139"/>
        <v>1001.6560765064602</v>
      </c>
    </row>
    <row r="620" spans="1:27" x14ac:dyDescent="0.2">
      <c r="A620">
        <f t="shared" si="126"/>
        <v>3646904841664.6558</v>
      </c>
      <c r="B620" s="28">
        <v>0.6</v>
      </c>
      <c r="C620">
        <f t="shared" si="127"/>
        <v>3646904947638.5884</v>
      </c>
      <c r="E620">
        <f t="shared" si="128"/>
        <v>9779.3913725015736</v>
      </c>
      <c r="F620" s="28">
        <v>0.6</v>
      </c>
      <c r="G620">
        <f t="shared" si="129"/>
        <v>999.99999972579496</v>
      </c>
      <c r="I620">
        <f t="shared" si="130"/>
        <v>5835047804949.1133</v>
      </c>
      <c r="J620" s="28">
        <v>0.6</v>
      </c>
      <c r="K620">
        <f t="shared" si="131"/>
        <v>5835047916221.7422</v>
      </c>
      <c r="M620">
        <f t="shared" si="132"/>
        <v>9718.3609412774658</v>
      </c>
      <c r="N620" s="28">
        <v>0.6</v>
      </c>
      <c r="O620">
        <f t="shared" si="133"/>
        <v>1599.999999561272</v>
      </c>
      <c r="Q620">
        <f t="shared" si="134"/>
        <v>2188142963284.4565</v>
      </c>
      <c r="R620" s="28">
        <v>0.6</v>
      </c>
      <c r="S620">
        <f t="shared" si="135"/>
        <v>2188142969183.1531</v>
      </c>
      <c r="U620">
        <f t="shared" si="136"/>
        <v>76301914.631939799</v>
      </c>
      <c r="V620" s="48">
        <v>0.6</v>
      </c>
      <c r="W620">
        <f t="shared" si="137"/>
        <v>76320539.09662804</v>
      </c>
      <c r="Y620">
        <f t="shared" si="138"/>
        <v>6297.8900950580301</v>
      </c>
      <c r="Z620" s="28">
        <v>0.6</v>
      </c>
      <c r="AA620">
        <f t="shared" si="139"/>
        <v>999.98689753886197</v>
      </c>
    </row>
    <row r="621" spans="1:27" x14ac:dyDescent="0.2">
      <c r="A621">
        <f t="shared" si="126"/>
        <v>3748974316866.2056</v>
      </c>
      <c r="B621" s="28">
        <v>0.60099999999999998</v>
      </c>
      <c r="C621">
        <f t="shared" si="127"/>
        <v>3748974422840.1382</v>
      </c>
      <c r="E621">
        <f t="shared" si="128"/>
        <v>9781.0552660040357</v>
      </c>
      <c r="F621" s="28">
        <v>0.60099999999999998</v>
      </c>
      <c r="G621">
        <f t="shared" si="129"/>
        <v>998.33610622333208</v>
      </c>
      <c r="I621">
        <f t="shared" si="130"/>
        <v>6002107939694.4326</v>
      </c>
      <c r="J621" s="28">
        <v>0.60099999999999998</v>
      </c>
      <c r="K621">
        <f t="shared" si="131"/>
        <v>6002108050967.0615</v>
      </c>
      <c r="M621">
        <f t="shared" si="132"/>
        <v>9720.024834775184</v>
      </c>
      <c r="N621" s="28">
        <v>0.60099999999999998</v>
      </c>
      <c r="O621">
        <f t="shared" si="133"/>
        <v>1598.3361060635548</v>
      </c>
      <c r="Q621">
        <f t="shared" si="134"/>
        <v>2253133622828.2261</v>
      </c>
      <c r="R621" s="28">
        <v>0.60099999999999998</v>
      </c>
      <c r="S621">
        <f t="shared" si="135"/>
        <v>2253133628726.9229</v>
      </c>
      <c r="U621">
        <f t="shared" si="136"/>
        <v>77616107.618500739</v>
      </c>
      <c r="V621" s="48">
        <v>0.60099999999999998</v>
      </c>
      <c r="W621">
        <f t="shared" si="137"/>
        <v>77634732.083188981</v>
      </c>
      <c r="Y621">
        <f t="shared" si="138"/>
        <v>6299.5537239463692</v>
      </c>
      <c r="Z621" s="28">
        <v>0.60099999999999998</v>
      </c>
      <c r="AA621">
        <f t="shared" si="139"/>
        <v>998.32326865052278</v>
      </c>
    </row>
    <row r="622" spans="1:27" x14ac:dyDescent="0.2">
      <c r="A622">
        <f t="shared" si="126"/>
        <v>3853840746641.0771</v>
      </c>
      <c r="B622" s="28">
        <v>0.60199999999999998</v>
      </c>
      <c r="C622">
        <f t="shared" si="127"/>
        <v>3853840852615.0098</v>
      </c>
      <c r="E622">
        <f t="shared" si="128"/>
        <v>9782.71363162134</v>
      </c>
      <c r="F622" s="28">
        <v>0.60199999999999998</v>
      </c>
      <c r="G622">
        <f t="shared" si="129"/>
        <v>996.67774060602733</v>
      </c>
      <c r="I622">
        <f t="shared" si="130"/>
        <v>6173852934616.6162</v>
      </c>
      <c r="J622" s="28">
        <v>0.60199999999999998</v>
      </c>
      <c r="K622">
        <f t="shared" si="131"/>
        <v>6173853045889.2451</v>
      </c>
      <c r="M622">
        <f t="shared" si="132"/>
        <v>9721.6832003878826</v>
      </c>
      <c r="N622" s="28">
        <v>0.60199999999999998</v>
      </c>
      <c r="O622">
        <f t="shared" si="133"/>
        <v>1596.6777404508555</v>
      </c>
      <c r="Q622">
        <f t="shared" si="134"/>
        <v>2320012187975.5391</v>
      </c>
      <c r="R622" s="28">
        <v>0.60199999999999998</v>
      </c>
      <c r="S622">
        <f t="shared" si="135"/>
        <v>2320012193874.2358</v>
      </c>
      <c r="U622">
        <f t="shared" si="136"/>
        <v>78953148.484268308</v>
      </c>
      <c r="V622" s="48">
        <v>0.60199999999999998</v>
      </c>
      <c r="W622">
        <f t="shared" si="137"/>
        <v>78971772.948956549</v>
      </c>
      <c r="Y622">
        <f t="shared" si="138"/>
        <v>6301.2118303285342</v>
      </c>
      <c r="Z622" s="28">
        <v>0.60199999999999998</v>
      </c>
      <c r="AA622">
        <f t="shared" si="139"/>
        <v>996.66516226835734</v>
      </c>
    </row>
    <row r="623" spans="1:27" x14ac:dyDescent="0.2">
      <c r="A623">
        <f t="shared" si="126"/>
        <v>3961579123592.2358</v>
      </c>
      <c r="B623" s="28">
        <v>0.60299999999999998</v>
      </c>
      <c r="C623">
        <f t="shared" si="127"/>
        <v>3961579229566.1685</v>
      </c>
      <c r="E623">
        <f t="shared" si="128"/>
        <v>9784.3664968553967</v>
      </c>
      <c r="F623" s="28">
        <v>0.60299999999999998</v>
      </c>
      <c r="G623">
        <f t="shared" si="129"/>
        <v>995.02487537197135</v>
      </c>
      <c r="I623">
        <f t="shared" si="130"/>
        <v>6350411393721.9375</v>
      </c>
      <c r="J623" s="28">
        <v>0.60299999999999998</v>
      </c>
      <c r="K623">
        <f t="shared" si="131"/>
        <v>6350411504994.5664</v>
      </c>
      <c r="M623">
        <f t="shared" si="132"/>
        <v>9723.3360656174682</v>
      </c>
      <c r="N623" s="28">
        <v>0.60299999999999998</v>
      </c>
      <c r="O623">
        <f t="shared" si="133"/>
        <v>1595.0248752212701</v>
      </c>
      <c r="Q623">
        <f t="shared" si="134"/>
        <v>2388832270129.7026</v>
      </c>
      <c r="R623" s="28">
        <v>0.60299999999999998</v>
      </c>
      <c r="S623">
        <f t="shared" si="135"/>
        <v>2388832276028.3994</v>
      </c>
      <c r="U623">
        <f t="shared" si="136"/>
        <v>80313437.443347991</v>
      </c>
      <c r="V623" s="48">
        <v>0.60299999999999998</v>
      </c>
      <c r="W623">
        <f t="shared" si="137"/>
        <v>80332061.908036232</v>
      </c>
      <c r="Y623">
        <f t="shared" si="138"/>
        <v>6302.8644415962826</v>
      </c>
      <c r="Z623" s="28">
        <v>0.60299999999999998</v>
      </c>
      <c r="AA623">
        <f t="shared" si="139"/>
        <v>995.01255100060894</v>
      </c>
    </row>
    <row r="624" spans="1:27" x14ac:dyDescent="0.2">
      <c r="A624">
        <f t="shared" si="126"/>
        <v>4072266406481.3477</v>
      </c>
      <c r="B624" s="28">
        <v>0.60399999999999998</v>
      </c>
      <c r="C624">
        <f t="shared" si="127"/>
        <v>4072266512455.2803</v>
      </c>
      <c r="E624">
        <f t="shared" si="128"/>
        <v>9786.0138890259805</v>
      </c>
      <c r="F624" s="28">
        <v>0.60399999999999998</v>
      </c>
      <c r="G624">
        <f t="shared" si="129"/>
        <v>993.37748320138689</v>
      </c>
      <c r="I624">
        <f t="shared" si="130"/>
        <v>6531915374705.6416</v>
      </c>
      <c r="J624" s="28">
        <v>0.60399999999999998</v>
      </c>
      <c r="K624">
        <f t="shared" si="131"/>
        <v>6531915485978.2705</v>
      </c>
      <c r="M624">
        <f t="shared" si="132"/>
        <v>9724.9834577837137</v>
      </c>
      <c r="N624" s="28">
        <v>0.60399999999999998</v>
      </c>
      <c r="O624">
        <f t="shared" si="133"/>
        <v>1593.3774830550249</v>
      </c>
      <c r="Q624">
        <f t="shared" si="134"/>
        <v>2459648968224.2925</v>
      </c>
      <c r="R624" s="28">
        <v>0.60399999999999998</v>
      </c>
      <c r="S624">
        <f t="shared" si="135"/>
        <v>2459648974122.9893</v>
      </c>
      <c r="U624">
        <f t="shared" si="136"/>
        <v>81697381.763212532</v>
      </c>
      <c r="V624" s="48">
        <v>0.60399999999999998</v>
      </c>
      <c r="W624">
        <f t="shared" si="137"/>
        <v>81716006.227900773</v>
      </c>
      <c r="Y624">
        <f t="shared" si="138"/>
        <v>6304.511584961514</v>
      </c>
      <c r="Z624" s="28">
        <v>0.60399999999999998</v>
      </c>
      <c r="AA624">
        <f t="shared" si="139"/>
        <v>993.36540763537766</v>
      </c>
    </row>
    <row r="625" spans="1:27" x14ac:dyDescent="0.2">
      <c r="A625">
        <f t="shared" si="126"/>
        <v>4185981570602.5791</v>
      </c>
      <c r="B625" s="28">
        <v>0.60499999999999998</v>
      </c>
      <c r="C625">
        <f t="shared" si="127"/>
        <v>4185981676576.5117</v>
      </c>
      <c r="E625">
        <f t="shared" si="128"/>
        <v>9787.6558352722459</v>
      </c>
      <c r="F625" s="28">
        <v>0.60499999999999998</v>
      </c>
      <c r="G625">
        <f t="shared" si="129"/>
        <v>991.73553695512237</v>
      </c>
      <c r="I625">
        <f t="shared" si="130"/>
        <v>6718500479632.6719</v>
      </c>
      <c r="J625" s="28">
        <v>0.60499999999999998</v>
      </c>
      <c r="K625">
        <f t="shared" si="131"/>
        <v>6718500590905.3008</v>
      </c>
      <c r="M625">
        <f t="shared" si="132"/>
        <v>9726.6254040257663</v>
      </c>
      <c r="N625" s="28">
        <v>0.60499999999999998</v>
      </c>
      <c r="O625">
        <f t="shared" si="133"/>
        <v>1591.7355368129715</v>
      </c>
      <c r="Q625">
        <f t="shared" si="134"/>
        <v>2532518909030.0928</v>
      </c>
      <c r="R625" s="28">
        <v>0.60499999999999998</v>
      </c>
      <c r="S625">
        <f t="shared" si="135"/>
        <v>2532518914928.7896</v>
      </c>
      <c r="U625">
        <f t="shared" si="136"/>
        <v>83105395.889647439</v>
      </c>
      <c r="V625" s="48">
        <v>0.60499999999999998</v>
      </c>
      <c r="W625">
        <f t="shared" si="137"/>
        <v>83124020.354335681</v>
      </c>
      <c r="Y625">
        <f t="shared" si="138"/>
        <v>6306.1532874577288</v>
      </c>
      <c r="Z625" s="28">
        <v>0.60499999999999998</v>
      </c>
      <c r="AA625">
        <f t="shared" si="139"/>
        <v>991.72370513916326</v>
      </c>
    </row>
    <row r="626" spans="1:27" x14ac:dyDescent="0.2">
      <c r="A626">
        <f t="shared" si="126"/>
        <v>4302805659416.9565</v>
      </c>
      <c r="B626" s="28">
        <v>0.60599999999999998</v>
      </c>
      <c r="C626">
        <f t="shared" si="127"/>
        <v>4302805765390.8892</v>
      </c>
      <c r="E626">
        <f t="shared" si="128"/>
        <v>9789.2923625542062</v>
      </c>
      <c r="F626" s="28">
        <v>0.60599999999999998</v>
      </c>
      <c r="G626">
        <f t="shared" si="129"/>
        <v>990.09900967316287</v>
      </c>
      <c r="I626">
        <f t="shared" si="130"/>
        <v>6910305947945.1387</v>
      </c>
      <c r="J626" s="28">
        <v>0.60599999999999998</v>
      </c>
      <c r="K626">
        <f t="shared" si="131"/>
        <v>6910306059217.7676</v>
      </c>
      <c r="M626">
        <f t="shared" si="132"/>
        <v>9728.2619313036394</v>
      </c>
      <c r="N626" s="28">
        <v>0.60599999999999998</v>
      </c>
      <c r="O626">
        <f t="shared" si="133"/>
        <v>1590.0990095350994</v>
      </c>
      <c r="Q626">
        <f t="shared" si="134"/>
        <v>2607500288528.1821</v>
      </c>
      <c r="R626" s="28">
        <v>0.60599999999999998</v>
      </c>
      <c r="S626">
        <f t="shared" si="135"/>
        <v>2607500294426.8789</v>
      </c>
      <c r="U626">
        <f t="shared" si="136"/>
        <v>84537901.573921949</v>
      </c>
      <c r="V626" s="48">
        <v>0.60599999999999998</v>
      </c>
      <c r="W626">
        <f t="shared" si="137"/>
        <v>84556526.03861019</v>
      </c>
      <c r="Y626">
        <f t="shared" si="138"/>
        <v>6307.7895759414723</v>
      </c>
      <c r="Z626" s="28">
        <v>0.60599999999999998</v>
      </c>
      <c r="AA626">
        <f t="shared" si="139"/>
        <v>990.0874166554197</v>
      </c>
    </row>
    <row r="627" spans="1:27" x14ac:dyDescent="0.2">
      <c r="A627">
        <f t="shared" si="126"/>
        <v>4422821837477.6602</v>
      </c>
      <c r="B627" s="28">
        <v>0.60699999999999998</v>
      </c>
      <c r="C627">
        <f t="shared" si="127"/>
        <v>4422821943451.5928</v>
      </c>
      <c r="E627">
        <f t="shared" si="128"/>
        <v>9790.9234976542139</v>
      </c>
      <c r="F627" s="28">
        <v>0.60699999999999998</v>
      </c>
      <c r="G627">
        <f t="shared" si="129"/>
        <v>988.46787457315406</v>
      </c>
      <c r="I627">
        <f t="shared" si="130"/>
        <v>7107474751854.0811</v>
      </c>
      <c r="J627" s="28">
        <v>0.60699999999999998</v>
      </c>
      <c r="K627">
        <f t="shared" si="131"/>
        <v>7107474863126.71</v>
      </c>
      <c r="M627">
        <f t="shared" si="132"/>
        <v>9729.8930663996798</v>
      </c>
      <c r="N627" s="28">
        <v>0.60699999999999998</v>
      </c>
      <c r="O627">
        <f t="shared" si="133"/>
        <v>1588.4678744390587</v>
      </c>
      <c r="Q627">
        <f t="shared" si="134"/>
        <v>2684652914376.4199</v>
      </c>
      <c r="R627" s="28">
        <v>0.60699999999999998</v>
      </c>
      <c r="S627">
        <f t="shared" si="135"/>
        <v>2684652920275.1167</v>
      </c>
      <c r="U627">
        <f t="shared" si="136"/>
        <v>85995328.002220482</v>
      </c>
      <c r="V627" s="48">
        <v>0.60699999999999998</v>
      </c>
      <c r="W627">
        <f t="shared" si="137"/>
        <v>86013952.466908723</v>
      </c>
      <c r="Y627">
        <f t="shared" si="138"/>
        <v>6309.4204770937649</v>
      </c>
      <c r="Z627" s="28">
        <v>0.60699999999999998</v>
      </c>
      <c r="AA627">
        <f t="shared" si="139"/>
        <v>988.45651550312641</v>
      </c>
    </row>
    <row r="628" spans="1:27" x14ac:dyDescent="0.2">
      <c r="A628">
        <f t="shared" si="126"/>
        <v>4546115444677.9668</v>
      </c>
      <c r="B628" s="28">
        <v>0.60799999999999998</v>
      </c>
      <c r="C628">
        <f t="shared" si="127"/>
        <v>4546115550651.8994</v>
      </c>
      <c r="E628">
        <f t="shared" si="128"/>
        <v>9792.5492671784268</v>
      </c>
      <c r="F628" s="28">
        <v>0.60799999999999998</v>
      </c>
      <c r="G628">
        <f t="shared" si="129"/>
        <v>986.84210504894054</v>
      </c>
      <c r="I628">
        <f t="shared" si="130"/>
        <v>7310153694175.626</v>
      </c>
      <c r="J628" s="28">
        <v>0.60799999999999998</v>
      </c>
      <c r="K628">
        <f t="shared" si="131"/>
        <v>7310153805448.2549</v>
      </c>
      <c r="M628">
        <f t="shared" si="132"/>
        <v>9731.518835920042</v>
      </c>
      <c r="N628" s="28">
        <v>0.60799999999999998</v>
      </c>
      <c r="O628">
        <f t="shared" si="133"/>
        <v>1586.8421049186966</v>
      </c>
      <c r="Q628">
        <f t="shared" si="134"/>
        <v>2764038249497.6577</v>
      </c>
      <c r="R628" s="28">
        <v>0.60799999999999998</v>
      </c>
      <c r="S628">
        <f t="shared" si="135"/>
        <v>2764038255396.3545</v>
      </c>
      <c r="U628">
        <f t="shared" si="136"/>
        <v>87478111.927379578</v>
      </c>
      <c r="V628" s="48">
        <v>0.60799999999999998</v>
      </c>
      <c r="W628">
        <f t="shared" si="137"/>
        <v>87496736.39206782</v>
      </c>
      <c r="Y628">
        <f t="shared" si="138"/>
        <v>6311.0460174215204</v>
      </c>
      <c r="Z628" s="28">
        <v>0.60799999999999998</v>
      </c>
      <c r="AA628">
        <f t="shared" si="139"/>
        <v>986.83097517537146</v>
      </c>
    </row>
    <row r="629" spans="1:27" x14ac:dyDescent="0.2">
      <c r="A629">
        <f t="shared" si="126"/>
        <v>4672774051854.209</v>
      </c>
      <c r="B629" s="28">
        <v>0.60899999999999999</v>
      </c>
      <c r="C629">
        <f t="shared" si="127"/>
        <v>4672774157828.1416</v>
      </c>
      <c r="E629">
        <f t="shared" si="128"/>
        <v>9794.1696975582472</v>
      </c>
      <c r="F629" s="28">
        <v>0.60899999999999999</v>
      </c>
      <c r="G629">
        <f t="shared" si="129"/>
        <v>985.22167466912026</v>
      </c>
      <c r="I629">
        <f t="shared" si="130"/>
        <v>7518493508672.8506</v>
      </c>
      <c r="J629" s="28">
        <v>0.60899999999999999</v>
      </c>
      <c r="K629">
        <f t="shared" si="131"/>
        <v>7518493619945.4795</v>
      </c>
      <c r="M629">
        <f t="shared" si="132"/>
        <v>9733.1392662961243</v>
      </c>
      <c r="N629" s="28">
        <v>0.60899999999999999</v>
      </c>
      <c r="O629">
        <f t="shared" si="133"/>
        <v>1585.2216745426144</v>
      </c>
      <c r="Q629">
        <f t="shared" si="134"/>
        <v>2845719456818.6411</v>
      </c>
      <c r="R629" s="28">
        <v>0.60899999999999999</v>
      </c>
      <c r="S629">
        <f t="shared" si="135"/>
        <v>2845719462717.3379</v>
      </c>
      <c r="U629">
        <f t="shared" si="136"/>
        <v>88986697.802966714</v>
      </c>
      <c r="V629" s="48">
        <v>0.60899999999999999</v>
      </c>
      <c r="W629">
        <f t="shared" si="137"/>
        <v>89005322.267654955</v>
      </c>
      <c r="Y629">
        <f t="shared" si="138"/>
        <v>6312.6662232589442</v>
      </c>
      <c r="Z629" s="28">
        <v>0.60899999999999999</v>
      </c>
      <c r="AA629">
        <f t="shared" si="139"/>
        <v>985.21076933794757</v>
      </c>
    </row>
    <row r="630" spans="1:27" x14ac:dyDescent="0.2">
      <c r="A630">
        <f t="shared" si="126"/>
        <v>4802887517776.5625</v>
      </c>
      <c r="B630" s="28">
        <v>0.61</v>
      </c>
      <c r="C630">
        <f t="shared" si="127"/>
        <v>4802887623750.4951</v>
      </c>
      <c r="E630">
        <f t="shared" si="128"/>
        <v>9795.7848150517566</v>
      </c>
      <c r="F630" s="28">
        <v>0.61</v>
      </c>
      <c r="G630">
        <f t="shared" si="129"/>
        <v>983.60655717561167</v>
      </c>
      <c r="I630">
        <f t="shared" si="130"/>
        <v>7732648962965.6689</v>
      </c>
      <c r="J630" s="28">
        <v>0.61</v>
      </c>
      <c r="K630">
        <f t="shared" si="131"/>
        <v>7732649074238.2979</v>
      </c>
      <c r="M630">
        <f t="shared" si="132"/>
        <v>9734.754383786003</v>
      </c>
      <c r="N630" s="28">
        <v>0.61</v>
      </c>
      <c r="O630">
        <f t="shared" si="133"/>
        <v>1583.6065570527346</v>
      </c>
      <c r="Q630">
        <f t="shared" si="134"/>
        <v>2929761445189.1055</v>
      </c>
      <c r="R630" s="28">
        <v>0.61</v>
      </c>
      <c r="S630">
        <f t="shared" si="135"/>
        <v>2929761451087.8022</v>
      </c>
      <c r="U630">
        <f t="shared" si="136"/>
        <v>90521537.919747829</v>
      </c>
      <c r="V630" s="48">
        <v>0.61</v>
      </c>
      <c r="W630">
        <f t="shared" si="137"/>
        <v>90540162.384436071</v>
      </c>
      <c r="Y630">
        <f t="shared" si="138"/>
        <v>6314.2811207689274</v>
      </c>
      <c r="Z630" s="28">
        <v>0.61</v>
      </c>
      <c r="AA630">
        <f t="shared" si="139"/>
        <v>983.59587182796406</v>
      </c>
    </row>
    <row r="631" spans="1:27" x14ac:dyDescent="0.2">
      <c r="A631">
        <f t="shared" si="126"/>
        <v>4936548047561.6152</v>
      </c>
      <c r="B631" s="28">
        <v>0.61099999999999999</v>
      </c>
      <c r="C631">
        <f t="shared" si="127"/>
        <v>4936548153535.5479</v>
      </c>
      <c r="E631">
        <f t="shared" si="128"/>
        <v>9797.3946457451329</v>
      </c>
      <c r="F631" s="28">
        <v>0.61099999999999999</v>
      </c>
      <c r="G631">
        <f t="shared" si="129"/>
        <v>981.99672648223532</v>
      </c>
      <c r="I631">
        <f t="shared" si="130"/>
        <v>7952778964073.1396</v>
      </c>
      <c r="J631" s="28">
        <v>0.61099999999999999</v>
      </c>
      <c r="K631">
        <f t="shared" si="131"/>
        <v>7952779075345.7686</v>
      </c>
      <c r="M631">
        <f t="shared" si="132"/>
        <v>9736.3642144758578</v>
      </c>
      <c r="N631" s="28">
        <v>0.61099999999999999</v>
      </c>
      <c r="O631">
        <f t="shared" si="133"/>
        <v>1581.9967263628812</v>
      </c>
      <c r="Q631">
        <f t="shared" si="134"/>
        <v>3016230916511.5229</v>
      </c>
      <c r="R631" s="28">
        <v>0.61099999999999999</v>
      </c>
      <c r="S631">
        <f t="shared" si="135"/>
        <v>3016230922410.2197</v>
      </c>
      <c r="U631">
        <f t="shared" si="136"/>
        <v>92083092.544581175</v>
      </c>
      <c r="V631" s="48">
        <v>0.61099999999999999</v>
      </c>
      <c r="W631">
        <f t="shared" si="137"/>
        <v>92101717.009269416</v>
      </c>
      <c r="Y631">
        <f t="shared" si="138"/>
        <v>6315.8907359444229</v>
      </c>
      <c r="Z631" s="28">
        <v>0.61099999999999999</v>
      </c>
      <c r="AA631">
        <f t="shared" si="139"/>
        <v>981.98625665246857</v>
      </c>
    </row>
    <row r="632" spans="1:27" x14ac:dyDescent="0.2">
      <c r="A632">
        <f t="shared" si="126"/>
        <v>5073850252541.0527</v>
      </c>
      <c r="B632" s="28">
        <v>0.61199999999999999</v>
      </c>
      <c r="C632">
        <f t="shared" si="127"/>
        <v>5073850358514.9854</v>
      </c>
      <c r="E632">
        <f t="shared" si="128"/>
        <v>9798.9992155540585</v>
      </c>
      <c r="F632" s="28">
        <v>0.61199999999999999</v>
      </c>
      <c r="G632">
        <f t="shared" si="129"/>
        <v>980.39215667330939</v>
      </c>
      <c r="I632">
        <f t="shared" si="130"/>
        <v>8179046666653.5273</v>
      </c>
      <c r="J632" s="28">
        <v>0.61199999999999999</v>
      </c>
      <c r="K632">
        <f t="shared" si="131"/>
        <v>8179046777926.1562</v>
      </c>
      <c r="M632">
        <f t="shared" si="132"/>
        <v>9737.9687842813637</v>
      </c>
      <c r="N632" s="28">
        <v>0.61199999999999999</v>
      </c>
      <c r="O632">
        <f t="shared" si="133"/>
        <v>1580.3921565573748</v>
      </c>
      <c r="Q632">
        <f t="shared" si="134"/>
        <v>3105196414112.4741</v>
      </c>
      <c r="R632" s="28">
        <v>0.61199999999999999</v>
      </c>
      <c r="S632">
        <f t="shared" si="135"/>
        <v>3105196420011.1709</v>
      </c>
      <c r="U632">
        <f t="shared" si="136"/>
        <v>93671830.061785772</v>
      </c>
      <c r="V632" s="48">
        <v>0.61199999999999999</v>
      </c>
      <c r="W632">
        <f t="shared" si="137"/>
        <v>93690454.526474014</v>
      </c>
      <c r="Y632">
        <f t="shared" si="138"/>
        <v>6317.495094609807</v>
      </c>
      <c r="Z632" s="28">
        <v>0.61199999999999999</v>
      </c>
      <c r="AA632">
        <f t="shared" si="139"/>
        <v>980.38189798708515</v>
      </c>
    </row>
    <row r="633" spans="1:27" x14ac:dyDescent="0.2">
      <c r="A633">
        <f t="shared" si="126"/>
        <v>5214891211622.4863</v>
      </c>
      <c r="B633" s="28">
        <v>0.61299999999999999</v>
      </c>
      <c r="C633">
        <f t="shared" si="127"/>
        <v>5214891317596.4189</v>
      </c>
      <c r="E633">
        <f t="shared" si="128"/>
        <v>9800.5985502251096</v>
      </c>
      <c r="F633" s="28">
        <v>0.61299999999999999</v>
      </c>
      <c r="G633">
        <f t="shared" si="129"/>
        <v>978.7928220022593</v>
      </c>
      <c r="I633">
        <f t="shared" si="130"/>
        <v>8411619584010.3945</v>
      </c>
      <c r="J633" s="28">
        <v>0.61299999999999999</v>
      </c>
      <c r="K633">
        <f t="shared" si="131"/>
        <v>8411619695283.0234</v>
      </c>
      <c r="M633">
        <f t="shared" si="132"/>
        <v>9739.5681189490933</v>
      </c>
      <c r="N633" s="28">
        <v>0.61299999999999999</v>
      </c>
      <c r="O633">
        <f t="shared" si="133"/>
        <v>1578.7928218896441</v>
      </c>
      <c r="Q633">
        <f t="shared" si="134"/>
        <v>3196728372387.9077</v>
      </c>
      <c r="R633" s="28">
        <v>0.61299999999999999</v>
      </c>
      <c r="S633">
        <f t="shared" si="135"/>
        <v>3196728378286.6045</v>
      </c>
      <c r="U633">
        <f t="shared" si="136"/>
        <v>95288227.117024079</v>
      </c>
      <c r="V633" s="48">
        <v>0.61299999999999999</v>
      </c>
      <c r="W633">
        <f t="shared" si="137"/>
        <v>95306851.58171232</v>
      </c>
      <c r="Y633">
        <f t="shared" si="138"/>
        <v>6319.0942224222299</v>
      </c>
      <c r="Z633" s="28">
        <v>0.61299999999999999</v>
      </c>
      <c r="AA633">
        <f t="shared" si="139"/>
        <v>978.78277017466155</v>
      </c>
    </row>
    <row r="634" spans="1:27" x14ac:dyDescent="0.2">
      <c r="A634">
        <f t="shared" si="126"/>
        <v>5359770534178.085</v>
      </c>
      <c r="B634" s="28">
        <v>0.61399999999999999</v>
      </c>
      <c r="C634">
        <f t="shared" si="127"/>
        <v>5359770640152.0176</v>
      </c>
      <c r="E634">
        <f t="shared" si="128"/>
        <v>9802.1926753371281</v>
      </c>
      <c r="F634" s="28">
        <v>0.61399999999999999</v>
      </c>
      <c r="G634">
        <f t="shared" si="129"/>
        <v>977.19869689024017</v>
      </c>
      <c r="I634">
        <f t="shared" si="130"/>
        <v>8650669701932.7275</v>
      </c>
      <c r="J634" s="28">
        <v>0.61399999999999999</v>
      </c>
      <c r="K634">
        <f t="shared" si="131"/>
        <v>8650669813205.3564</v>
      </c>
      <c r="M634">
        <f t="shared" si="132"/>
        <v>9741.1622440578903</v>
      </c>
      <c r="N634" s="28">
        <v>0.61399999999999999</v>
      </c>
      <c r="O634">
        <f t="shared" si="133"/>
        <v>1577.1986967808475</v>
      </c>
      <c r="Q634">
        <f t="shared" si="134"/>
        <v>3290899167754.6421</v>
      </c>
      <c r="R634" s="28">
        <v>0.61399999999999999</v>
      </c>
      <c r="S634">
        <f t="shared" si="135"/>
        <v>3290899173653.3389</v>
      </c>
      <c r="U634">
        <f t="shared" si="136"/>
        <v>96932768.763747379</v>
      </c>
      <c r="V634" s="48">
        <v>0.61399999999999999</v>
      </c>
      <c r="W634">
        <f t="shared" si="137"/>
        <v>96951393.228435621</v>
      </c>
      <c r="Y634">
        <f t="shared" si="138"/>
        <v>6320.6881448729582</v>
      </c>
      <c r="Z634" s="28">
        <v>0.61399999999999999</v>
      </c>
      <c r="AA634">
        <f t="shared" si="139"/>
        <v>977.18884772393358</v>
      </c>
    </row>
    <row r="635" spans="1:27" x14ac:dyDescent="0.2">
      <c r="A635">
        <f t="shared" si="126"/>
        <v>5508590424498.4102</v>
      </c>
      <c r="B635" s="28">
        <v>0.61499999999999999</v>
      </c>
      <c r="C635">
        <f t="shared" si="127"/>
        <v>5508590530472.3428</v>
      </c>
      <c r="E635">
        <f t="shared" si="128"/>
        <v>9803.7816163025946</v>
      </c>
      <c r="F635" s="28">
        <v>0.61499999999999999</v>
      </c>
      <c r="G635">
        <f t="shared" si="129"/>
        <v>975.60975592477371</v>
      </c>
      <c r="I635">
        <f t="shared" si="130"/>
        <v>8896373595440.2051</v>
      </c>
      <c r="J635" s="28">
        <v>0.61499999999999999</v>
      </c>
      <c r="K635">
        <f t="shared" si="131"/>
        <v>8896373706712.834</v>
      </c>
      <c r="M635">
        <f t="shared" si="132"/>
        <v>9742.7511850202281</v>
      </c>
      <c r="N635" s="28">
        <v>0.61499999999999999</v>
      </c>
      <c r="O635">
        <f t="shared" si="133"/>
        <v>1575.6097558185095</v>
      </c>
      <c r="Q635">
        <f t="shared" si="134"/>
        <v>3387783170941.7939</v>
      </c>
      <c r="R635" s="28">
        <v>0.61499999999999999</v>
      </c>
      <c r="S635">
        <f t="shared" si="135"/>
        <v>3387783176840.4907</v>
      </c>
      <c r="U635">
        <f t="shared" si="136"/>
        <v>98605948.612248361</v>
      </c>
      <c r="V635" s="48">
        <v>0.61499999999999999</v>
      </c>
      <c r="W635">
        <f t="shared" si="137"/>
        <v>98624573.076936603</v>
      </c>
      <c r="Y635">
        <f t="shared" si="138"/>
        <v>6322.2768872886936</v>
      </c>
      <c r="Z635" s="28">
        <v>0.61499999999999999</v>
      </c>
      <c r="AA635">
        <f t="shared" si="139"/>
        <v>975.60010530819784</v>
      </c>
    </row>
    <row r="636" spans="1:27" x14ac:dyDescent="0.2">
      <c r="A636">
        <f t="shared" si="126"/>
        <v>5661455747849.3672</v>
      </c>
      <c r="B636" s="28">
        <v>0.61599999999999999</v>
      </c>
      <c r="C636">
        <f t="shared" si="127"/>
        <v>5661455853823.2998</v>
      </c>
      <c r="E636">
        <f t="shared" si="128"/>
        <v>9805.365398368971</v>
      </c>
      <c r="F636" s="28">
        <v>0.61599999999999999</v>
      </c>
      <c r="G636">
        <f t="shared" si="129"/>
        <v>974.02597385839749</v>
      </c>
      <c r="I636">
        <f t="shared" si="130"/>
        <v>9148912548505.8242</v>
      </c>
      <c r="J636" s="28">
        <v>0.61599999999999999</v>
      </c>
      <c r="K636">
        <f t="shared" si="131"/>
        <v>9148912659778.4531</v>
      </c>
      <c r="M636">
        <f t="shared" si="132"/>
        <v>9744.3349670835669</v>
      </c>
      <c r="N636" s="28">
        <v>0.61599999999999999</v>
      </c>
      <c r="O636">
        <f t="shared" si="133"/>
        <v>1574.0259737551705</v>
      </c>
      <c r="Q636">
        <f t="shared" si="134"/>
        <v>3487456800656.4561</v>
      </c>
      <c r="R636" s="28">
        <v>0.61599999999999999</v>
      </c>
      <c r="S636">
        <f t="shared" si="135"/>
        <v>3487456806555.1528</v>
      </c>
      <c r="U636">
        <f t="shared" si="136"/>
        <v>100308268.98136577</v>
      </c>
      <c r="V636" s="48">
        <v>0.61599999999999999</v>
      </c>
      <c r="W636">
        <f t="shared" si="137"/>
        <v>100326893.44605401</v>
      </c>
      <c r="Y636">
        <f t="shared" si="138"/>
        <v>6323.8604748328917</v>
      </c>
      <c r="Z636" s="28">
        <v>0.61599999999999999</v>
      </c>
      <c r="AA636">
        <f t="shared" si="139"/>
        <v>974.01651776400035</v>
      </c>
    </row>
    <row r="637" spans="1:27" x14ac:dyDescent="0.2">
      <c r="A637">
        <f t="shared" si="126"/>
        <v>5818474098171.501</v>
      </c>
      <c r="B637" s="28">
        <v>0.61699999999999999</v>
      </c>
      <c r="C637">
        <f t="shared" si="127"/>
        <v>5818474204145.4336</v>
      </c>
      <c r="E637">
        <f t="shared" si="128"/>
        <v>9806.9440466200394</v>
      </c>
      <c r="F637" s="28">
        <v>0.61699999999999999</v>
      </c>
      <c r="G637">
        <f t="shared" si="129"/>
        <v>972.44732560732814</v>
      </c>
      <c r="I637">
        <f t="shared" si="130"/>
        <v>9408472676830.5371</v>
      </c>
      <c r="J637" s="28">
        <v>0.61699999999999999</v>
      </c>
      <c r="K637">
        <f t="shared" si="131"/>
        <v>9408472788103.166</v>
      </c>
      <c r="M637">
        <f t="shared" si="132"/>
        <v>9745.9136153316886</v>
      </c>
      <c r="N637" s="28">
        <v>0.61699999999999999</v>
      </c>
      <c r="O637">
        <f t="shared" si="133"/>
        <v>1572.4473255070495</v>
      </c>
      <c r="Q637">
        <f t="shared" si="134"/>
        <v>3589998578659.0356</v>
      </c>
      <c r="R637" s="28">
        <v>0.61699999999999999</v>
      </c>
      <c r="S637">
        <f t="shared" si="135"/>
        <v>3589998584557.7324</v>
      </c>
      <c r="U637">
        <f t="shared" si="136"/>
        <v>102040241.05289266</v>
      </c>
      <c r="V637" s="48">
        <v>0.61699999999999999</v>
      </c>
      <c r="W637">
        <f t="shared" si="137"/>
        <v>102058865.5175809</v>
      </c>
      <c r="Y637">
        <f t="shared" si="138"/>
        <v>6325.438932507057</v>
      </c>
      <c r="Z637" s="28">
        <v>0.61699999999999999</v>
      </c>
      <c r="AA637">
        <f t="shared" si="139"/>
        <v>972.43806008983495</v>
      </c>
    </row>
    <row r="638" spans="1:27" x14ac:dyDescent="0.2">
      <c r="A638">
        <f t="shared" si="126"/>
        <v>5979755867461.0586</v>
      </c>
      <c r="B638" s="28">
        <v>0.61799999999999999</v>
      </c>
      <c r="C638">
        <f t="shared" si="127"/>
        <v>5979755973434.9912</v>
      </c>
      <c r="E638">
        <f t="shared" si="128"/>
        <v>9808.5175859772316</v>
      </c>
      <c r="F638" s="28">
        <v>0.61799999999999999</v>
      </c>
      <c r="G638">
        <f t="shared" si="129"/>
        <v>970.87378625013582</v>
      </c>
      <c r="I638">
        <f t="shared" si="130"/>
        <v>9675245053745.1875</v>
      </c>
      <c r="J638" s="28">
        <v>0.61799999999999999</v>
      </c>
      <c r="K638">
        <f t="shared" si="131"/>
        <v>9675245165017.8164</v>
      </c>
      <c r="M638">
        <f t="shared" si="132"/>
        <v>9747.4871546860195</v>
      </c>
      <c r="N638" s="28">
        <v>0.61799999999999999</v>
      </c>
      <c r="O638">
        <f t="shared" si="133"/>
        <v>1570.8737861527197</v>
      </c>
      <c r="Q638">
        <f t="shared" si="134"/>
        <v>3695489186284.1279</v>
      </c>
      <c r="R638" s="28">
        <v>0.61799999999999999</v>
      </c>
      <c r="S638">
        <f t="shared" si="135"/>
        <v>3695489192182.8247</v>
      </c>
      <c r="U638">
        <f t="shared" si="136"/>
        <v>103802385.02873118</v>
      </c>
      <c r="V638" s="48">
        <v>0.61799999999999999</v>
      </c>
      <c r="W638">
        <f t="shared" si="137"/>
        <v>103821009.49341942</v>
      </c>
      <c r="Y638">
        <f t="shared" si="138"/>
        <v>6327.0122851520364</v>
      </c>
      <c r="Z638" s="28">
        <v>0.61799999999999999</v>
      </c>
      <c r="AA638">
        <f t="shared" si="139"/>
        <v>970.86470744485564</v>
      </c>
    </row>
    <row r="639" spans="1:27" x14ac:dyDescent="0.2">
      <c r="A639">
        <f t="shared" si="126"/>
        <v>6145414316873.8613</v>
      </c>
      <c r="B639" s="28">
        <v>0.61899999999999999</v>
      </c>
      <c r="C639">
        <f t="shared" si="127"/>
        <v>6145414422847.7939</v>
      </c>
      <c r="E639">
        <f t="shared" si="128"/>
        <v>9810.0860412009333</v>
      </c>
      <c r="F639" s="28">
        <v>0.61899999999999999</v>
      </c>
      <c r="G639">
        <f t="shared" si="129"/>
        <v>969.30533102643471</v>
      </c>
      <c r="I639">
        <f t="shared" si="130"/>
        <v>9949425839317.9492</v>
      </c>
      <c r="J639" s="28">
        <v>0.61899999999999999</v>
      </c>
      <c r="K639">
        <f t="shared" si="131"/>
        <v>9949425950590.5781</v>
      </c>
      <c r="M639">
        <f t="shared" si="132"/>
        <v>9749.0556099069399</v>
      </c>
      <c r="N639" s="28">
        <v>0.61899999999999999</v>
      </c>
      <c r="O639">
        <f t="shared" si="133"/>
        <v>1569.3053309317977</v>
      </c>
      <c r="Q639">
        <f t="shared" si="134"/>
        <v>3804011522444.0879</v>
      </c>
      <c r="R639" s="28">
        <v>0.61899999999999999</v>
      </c>
      <c r="S639">
        <f t="shared" si="135"/>
        <v>3804011528342.7847</v>
      </c>
      <c r="U639">
        <f t="shared" si="136"/>
        <v>105595230.29084891</v>
      </c>
      <c r="V639" s="48">
        <v>0.61899999999999999</v>
      </c>
      <c r="W639">
        <f t="shared" si="137"/>
        <v>105613854.75553715</v>
      </c>
      <c r="Y639">
        <f t="shared" si="138"/>
        <v>6328.5805574492915</v>
      </c>
      <c r="Z639" s="28">
        <v>0.61899999999999999</v>
      </c>
      <c r="AA639">
        <f t="shared" si="139"/>
        <v>969.2964351476005</v>
      </c>
    </row>
    <row r="640" spans="1:27" x14ac:dyDescent="0.2">
      <c r="A640">
        <f t="shared" si="126"/>
        <v>6315565649593.4443</v>
      </c>
      <c r="B640" s="28">
        <v>0.62</v>
      </c>
      <c r="C640">
        <f t="shared" si="127"/>
        <v>6315565755567.377</v>
      </c>
      <c r="E640">
        <f t="shared" si="128"/>
        <v>9811.6494368917847</v>
      </c>
      <c r="F640" s="28">
        <v>0.62</v>
      </c>
      <c r="G640">
        <f t="shared" si="129"/>
        <v>967.74193533558275</v>
      </c>
      <c r="I640">
        <f t="shared" si="130"/>
        <v>10231216412746.523</v>
      </c>
      <c r="J640" s="28">
        <v>0.62</v>
      </c>
      <c r="K640">
        <f t="shared" si="131"/>
        <v>10231216524019.152</v>
      </c>
      <c r="M640">
        <f t="shared" si="132"/>
        <v>9750.6190055950938</v>
      </c>
      <c r="N640" s="28">
        <v>0.62</v>
      </c>
      <c r="O640">
        <f t="shared" si="133"/>
        <v>1567.7419352436441</v>
      </c>
      <c r="Q640">
        <f t="shared" si="134"/>
        <v>3915650763153.0767</v>
      </c>
      <c r="R640" s="28">
        <v>0.62</v>
      </c>
      <c r="S640">
        <f t="shared" si="135"/>
        <v>3915650769051.7734</v>
      </c>
      <c r="U640">
        <f t="shared" si="136"/>
        <v>107419315.56408057</v>
      </c>
      <c r="V640" s="48">
        <v>0.62</v>
      </c>
      <c r="W640">
        <f t="shared" si="137"/>
        <v>107437940.02876881</v>
      </c>
      <c r="Y640">
        <f t="shared" si="138"/>
        <v>6330.1437739221647</v>
      </c>
      <c r="Z640" s="28">
        <v>0.62</v>
      </c>
      <c r="AA640">
        <f t="shared" si="139"/>
        <v>967.7332186747268</v>
      </c>
    </row>
    <row r="641" spans="1:27" x14ac:dyDescent="0.2">
      <c r="A641">
        <f t="shared" si="126"/>
        <v>6490329085506.6426</v>
      </c>
      <c r="B641" s="28">
        <v>0.621</v>
      </c>
      <c r="C641">
        <f t="shared" si="127"/>
        <v>6490329191480.5752</v>
      </c>
      <c r="E641">
        <f t="shared" si="128"/>
        <v>9813.2077974919721</v>
      </c>
      <c r="F641" s="28">
        <v>0.621</v>
      </c>
      <c r="G641">
        <f t="shared" si="129"/>
        <v>966.18357473539595</v>
      </c>
      <c r="I641">
        <f t="shared" si="130"/>
        <v>10520823508117.383</v>
      </c>
      <c r="J641" s="28">
        <v>0.621</v>
      </c>
      <c r="K641">
        <f t="shared" si="131"/>
        <v>10520823619390.012</v>
      </c>
      <c r="M641">
        <f t="shared" si="132"/>
        <v>9752.1773661926618</v>
      </c>
      <c r="N641" s="28">
        <v>0.621</v>
      </c>
      <c r="O641">
        <f t="shared" si="133"/>
        <v>1566.183574646077</v>
      </c>
      <c r="Q641">
        <f t="shared" si="134"/>
        <v>4030494422610.7402</v>
      </c>
      <c r="R641" s="28">
        <v>0.621</v>
      </c>
      <c r="S641">
        <f t="shared" si="135"/>
        <v>4030494428509.437</v>
      </c>
      <c r="U641">
        <f t="shared" si="136"/>
        <v>109275189.08183233</v>
      </c>
      <c r="V641" s="48">
        <v>0.621</v>
      </c>
      <c r="W641">
        <f t="shared" si="137"/>
        <v>109293813.54652058</v>
      </c>
      <c r="Y641">
        <f t="shared" si="138"/>
        <v>6331.7019589371321</v>
      </c>
      <c r="Z641" s="28">
        <v>0.621</v>
      </c>
      <c r="AA641">
        <f t="shared" si="139"/>
        <v>966.17503365975926</v>
      </c>
    </row>
    <row r="642" spans="1:27" x14ac:dyDescent="0.2">
      <c r="A642">
        <f t="shared" si="126"/>
        <v>6669826937730.123</v>
      </c>
      <c r="B642" s="28">
        <v>0.622</v>
      </c>
      <c r="C642">
        <f t="shared" si="127"/>
        <v>6669827043704.0557</v>
      </c>
      <c r="E642">
        <f t="shared" si="128"/>
        <v>9814.7611472864937</v>
      </c>
      <c r="F642" s="28">
        <v>0.622</v>
      </c>
      <c r="G642">
        <f t="shared" si="129"/>
        <v>964.63022494087522</v>
      </c>
      <c r="I642">
        <f t="shared" si="130"/>
        <v>10818459353615.348</v>
      </c>
      <c r="J642" s="28">
        <v>0.622</v>
      </c>
      <c r="K642">
        <f t="shared" si="131"/>
        <v>10818459464887.977</v>
      </c>
      <c r="M642">
        <f t="shared" si="132"/>
        <v>9753.7307159846387</v>
      </c>
      <c r="N642" s="28">
        <v>0.622</v>
      </c>
      <c r="O642">
        <f t="shared" si="133"/>
        <v>1564.6302248540997</v>
      </c>
      <c r="Q642">
        <f t="shared" si="134"/>
        <v>4148632415885.2256</v>
      </c>
      <c r="R642" s="28">
        <v>0.622</v>
      </c>
      <c r="S642">
        <f t="shared" si="135"/>
        <v>4148632421783.9224</v>
      </c>
      <c r="U642">
        <f t="shared" si="136"/>
        <v>111163408.75473429</v>
      </c>
      <c r="V642" s="48">
        <v>0.622</v>
      </c>
      <c r="W642">
        <f t="shared" si="137"/>
        <v>111182033.21942253</v>
      </c>
      <c r="Y642">
        <f t="shared" si="138"/>
        <v>6333.2551367050428</v>
      </c>
      <c r="Z642" s="28">
        <v>0.622</v>
      </c>
      <c r="AA642">
        <f t="shared" si="139"/>
        <v>964.62185589184867</v>
      </c>
    </row>
    <row r="643" spans="1:27" x14ac:dyDescent="0.2">
      <c r="A643">
        <f t="shared" si="126"/>
        <v>6854184691032.373</v>
      </c>
      <c r="B643" s="28">
        <v>0.623</v>
      </c>
      <c r="C643">
        <f t="shared" si="127"/>
        <v>6854184797006.3057</v>
      </c>
      <c r="E643">
        <f t="shared" si="128"/>
        <v>9816.3095104044241</v>
      </c>
      <c r="F643" s="28">
        <v>0.623</v>
      </c>
      <c r="G643">
        <f t="shared" si="129"/>
        <v>963.08186182294378</v>
      </c>
      <c r="I643">
        <f t="shared" si="130"/>
        <v>11124341814268.605</v>
      </c>
      <c r="J643" s="28">
        <v>0.623</v>
      </c>
      <c r="K643">
        <f t="shared" si="131"/>
        <v>11124341925541.234</v>
      </c>
      <c r="M643">
        <f t="shared" si="132"/>
        <v>9755.2790791001007</v>
      </c>
      <c r="N643" s="28">
        <v>0.623</v>
      </c>
      <c r="O643">
        <f t="shared" si="133"/>
        <v>1563.0818617386376</v>
      </c>
      <c r="Q643">
        <f t="shared" si="134"/>
        <v>4270157123236.2319</v>
      </c>
      <c r="R643" s="28">
        <v>0.623</v>
      </c>
      <c r="S643">
        <f t="shared" si="135"/>
        <v>4270157129134.9287</v>
      </c>
      <c r="U643">
        <f t="shared" si="136"/>
        <v>113084542.34230012</v>
      </c>
      <c r="V643" s="48">
        <v>0.623</v>
      </c>
      <c r="W643">
        <f t="shared" si="137"/>
        <v>113103166.80698836</v>
      </c>
      <c r="Y643">
        <f t="shared" si="138"/>
        <v>6334.8033312823482</v>
      </c>
      <c r="Z643" s="28">
        <v>0.623</v>
      </c>
      <c r="AA643">
        <f t="shared" si="139"/>
        <v>963.0736613145433</v>
      </c>
    </row>
    <row r="644" spans="1:27" x14ac:dyDescent="0.2">
      <c r="A644">
        <f t="shared" si="126"/>
        <v>7043531082197.3311</v>
      </c>
      <c r="B644" s="28">
        <v>0.624</v>
      </c>
      <c r="C644">
        <f t="shared" si="127"/>
        <v>7043531188171.2637</v>
      </c>
      <c r="E644">
        <f t="shared" si="128"/>
        <v>9817.8529108201692</v>
      </c>
      <c r="F644" s="28">
        <v>0.624</v>
      </c>
      <c r="G644">
        <f t="shared" si="129"/>
        <v>961.53846140719827</v>
      </c>
      <c r="I644">
        <f t="shared" si="130"/>
        <v>11438694538317.504</v>
      </c>
      <c r="J644" s="28">
        <v>0.624</v>
      </c>
      <c r="K644">
        <f t="shared" si="131"/>
        <v>11438694649590.133</v>
      </c>
      <c r="M644">
        <f t="shared" si="132"/>
        <v>9756.8224795134483</v>
      </c>
      <c r="N644" s="28">
        <v>0.624</v>
      </c>
      <c r="O644">
        <f t="shared" si="133"/>
        <v>1561.5384613252902</v>
      </c>
      <c r="Q644">
        <f t="shared" si="134"/>
        <v>4395163456120.1719</v>
      </c>
      <c r="R644" s="28">
        <v>0.624</v>
      </c>
      <c r="S644">
        <f t="shared" si="135"/>
        <v>4395163462018.8687</v>
      </c>
      <c r="U644">
        <f t="shared" si="136"/>
        <v>115039167.62764117</v>
      </c>
      <c r="V644" s="48">
        <v>0.624</v>
      </c>
      <c r="W644">
        <f t="shared" si="137"/>
        <v>115057792.09232941</v>
      </c>
      <c r="Y644">
        <f t="shared" si="138"/>
        <v>6336.3465665723206</v>
      </c>
      <c r="Z644" s="28">
        <v>0.624</v>
      </c>
      <c r="AA644">
        <f t="shared" si="139"/>
        <v>961.53042602457106</v>
      </c>
    </row>
    <row r="645" spans="1:27" x14ac:dyDescent="0.2">
      <c r="A645">
        <f t="shared" si="126"/>
        <v>7237998182376.5938</v>
      </c>
      <c r="B645" s="28">
        <v>0.625</v>
      </c>
      <c r="C645">
        <f t="shared" si="127"/>
        <v>7237998288350.5264</v>
      </c>
      <c r="E645">
        <f t="shared" si="128"/>
        <v>9819.3913723546957</v>
      </c>
      <c r="F645" s="28">
        <v>0.625</v>
      </c>
      <c r="G645">
        <f t="shared" si="129"/>
        <v>959.99999987267199</v>
      </c>
      <c r="I645">
        <f t="shared" si="130"/>
        <v>11761747107296.977</v>
      </c>
      <c r="J645" s="28">
        <v>0.625</v>
      </c>
      <c r="K645">
        <f t="shared" si="131"/>
        <v>11761747218569.605</v>
      </c>
      <c r="M645">
        <f t="shared" si="132"/>
        <v>9758.3609410456465</v>
      </c>
      <c r="N645" s="28">
        <v>0.625</v>
      </c>
      <c r="O645">
        <f t="shared" si="133"/>
        <v>1559.999999793092</v>
      </c>
      <c r="Q645">
        <f t="shared" si="134"/>
        <v>4523748924920.3828</v>
      </c>
      <c r="R645" s="28">
        <v>0.625</v>
      </c>
      <c r="S645">
        <f t="shared" si="135"/>
        <v>4523748930819.0791</v>
      </c>
      <c r="U645">
        <f t="shared" si="136"/>
        <v>117027872.59529641</v>
      </c>
      <c r="V645" s="48">
        <v>0.625</v>
      </c>
      <c r="W645">
        <f t="shared" si="137"/>
        <v>117046497.05998465</v>
      </c>
      <c r="Y645">
        <f t="shared" si="138"/>
        <v>6337.8848663262588</v>
      </c>
      <c r="Z645" s="28">
        <v>0.625</v>
      </c>
      <c r="AA645">
        <f t="shared" si="139"/>
        <v>959.99212627063275</v>
      </c>
    </row>
    <row r="646" spans="1:27" x14ac:dyDescent="0.2">
      <c r="A646">
        <f t="shared" si="126"/>
        <v>7437721481477.9551</v>
      </c>
      <c r="B646" s="28">
        <v>0.626</v>
      </c>
      <c r="C646">
        <f t="shared" si="127"/>
        <v>7437721587451.8877</v>
      </c>
      <c r="E646">
        <f t="shared" si="128"/>
        <v>9820.9249186767611</v>
      </c>
      <c r="F646" s="28">
        <v>0.626</v>
      </c>
      <c r="G646">
        <f t="shared" si="129"/>
        <v>958.46645355060798</v>
      </c>
      <c r="I646">
        <f t="shared" si="130"/>
        <v>12093735189924.139</v>
      </c>
      <c r="J646" s="28">
        <v>0.626</v>
      </c>
      <c r="K646">
        <f t="shared" si="131"/>
        <v>12093735301196.768</v>
      </c>
      <c r="M646">
        <f t="shared" si="132"/>
        <v>9759.8944873654491</v>
      </c>
      <c r="N646" s="28">
        <v>0.626</v>
      </c>
      <c r="O646">
        <f t="shared" si="133"/>
        <v>1558.4664534732885</v>
      </c>
      <c r="Q646">
        <f t="shared" si="134"/>
        <v>4656013708446.1855</v>
      </c>
      <c r="R646" s="28">
        <v>0.626</v>
      </c>
      <c r="S646">
        <f t="shared" si="135"/>
        <v>4656013714344.8818</v>
      </c>
      <c r="U646">
        <f t="shared" si="136"/>
        <v>119051255.61222686</v>
      </c>
      <c r="V646" s="48">
        <v>0.626</v>
      </c>
      <c r="W646">
        <f t="shared" si="137"/>
        <v>119069880.0769151</v>
      </c>
      <c r="Y646">
        <f t="shared" si="138"/>
        <v>6339.4182541446844</v>
      </c>
      <c r="Z646" s="28">
        <v>0.626</v>
      </c>
      <c r="AA646">
        <f t="shared" si="139"/>
        <v>958.45873845220763</v>
      </c>
    </row>
    <row r="647" spans="1:27" x14ac:dyDescent="0.2">
      <c r="A647">
        <f t="shared" si="126"/>
        <v>7642839974639.5449</v>
      </c>
      <c r="B647" s="28">
        <v>0.627</v>
      </c>
      <c r="C647">
        <f t="shared" si="127"/>
        <v>7642840080613.4775</v>
      </c>
      <c r="E647">
        <f t="shared" si="128"/>
        <v>9822.4535733041212</v>
      </c>
      <c r="F647" s="28">
        <v>0.627</v>
      </c>
      <c r="G647">
        <f t="shared" si="129"/>
        <v>956.93779892324687</v>
      </c>
      <c r="I647">
        <f t="shared" si="130"/>
        <v>12434900699885.5</v>
      </c>
      <c r="J647" s="28">
        <v>0.627</v>
      </c>
      <c r="K647">
        <f t="shared" si="131"/>
        <v>12434900811158.129</v>
      </c>
      <c r="M647">
        <f t="shared" si="132"/>
        <v>9761.4231419906155</v>
      </c>
      <c r="N647" s="28">
        <v>0.627</v>
      </c>
      <c r="O647">
        <f t="shared" si="133"/>
        <v>1556.9377988481226</v>
      </c>
      <c r="Q647">
        <f t="shared" si="134"/>
        <v>4792060725245.9541</v>
      </c>
      <c r="R647" s="28">
        <v>0.627</v>
      </c>
      <c r="S647">
        <f t="shared" si="135"/>
        <v>4792060731144.6504</v>
      </c>
      <c r="U647">
        <f t="shared" si="136"/>
        <v>121109925.61203822</v>
      </c>
      <c r="V647" s="48">
        <v>0.627</v>
      </c>
      <c r="W647">
        <f t="shared" si="137"/>
        <v>121128550.07672647</v>
      </c>
      <c r="Y647">
        <f t="shared" si="138"/>
        <v>6340.9467534785235</v>
      </c>
      <c r="Z647" s="28">
        <v>0.627</v>
      </c>
      <c r="AA647">
        <f t="shared" si="139"/>
        <v>956.93023911836826</v>
      </c>
    </row>
    <row r="648" spans="1:27" x14ac:dyDescent="0.2">
      <c r="A648">
        <f t="shared" si="126"/>
        <v>7853496250839.748</v>
      </c>
      <c r="B648" s="28">
        <v>0.628</v>
      </c>
      <c r="C648">
        <f t="shared" si="127"/>
        <v>7853496356813.6807</v>
      </c>
      <c r="E648">
        <f t="shared" si="128"/>
        <v>9823.9773596047453</v>
      </c>
      <c r="F648" s="28">
        <v>0.628</v>
      </c>
      <c r="G648">
        <f t="shared" si="129"/>
        <v>955.41401262262309</v>
      </c>
      <c r="I648">
        <f t="shared" si="130"/>
        <v>12785491957620.045</v>
      </c>
      <c r="J648" s="28">
        <v>0.628</v>
      </c>
      <c r="K648">
        <f t="shared" si="131"/>
        <v>12785492068892.674</v>
      </c>
      <c r="M648">
        <f t="shared" si="132"/>
        <v>9762.9469282891077</v>
      </c>
      <c r="N648" s="28">
        <v>0.628</v>
      </c>
      <c r="O648">
        <f t="shared" si="133"/>
        <v>1555.4140125496303</v>
      </c>
      <c r="Q648">
        <f t="shared" si="134"/>
        <v>4931995706780.2949</v>
      </c>
      <c r="R648" s="28">
        <v>0.628</v>
      </c>
      <c r="S648">
        <f t="shared" si="135"/>
        <v>4931995712678.9912</v>
      </c>
      <c r="U648">
        <f t="shared" si="136"/>
        <v>123204502.28248253</v>
      </c>
      <c r="V648" s="48">
        <v>0.628</v>
      </c>
      <c r="W648">
        <f t="shared" si="137"/>
        <v>123223126.74717078</v>
      </c>
      <c r="Y648">
        <f t="shared" si="138"/>
        <v>6342.4703876302829</v>
      </c>
      <c r="Z648" s="28">
        <v>0.628</v>
      </c>
      <c r="AA648">
        <f t="shared" si="139"/>
        <v>955.4066049666086</v>
      </c>
    </row>
    <row r="649" spans="1:27" x14ac:dyDescent="0.2">
      <c r="A649">
        <f t="shared" si="126"/>
        <v>8069836583694.7676</v>
      </c>
      <c r="B649" s="28">
        <v>0.629</v>
      </c>
      <c r="C649">
        <f t="shared" si="127"/>
        <v>8069836689668.7002</v>
      </c>
      <c r="E649">
        <f t="shared" si="128"/>
        <v>9825.4963007979932</v>
      </c>
      <c r="F649" s="28">
        <v>0.629</v>
      </c>
      <c r="G649">
        <f t="shared" si="129"/>
        <v>953.89507142937521</v>
      </c>
      <c r="I649">
        <f t="shared" si="130"/>
        <v>13145763856197.684</v>
      </c>
      <c r="J649" s="28">
        <v>0.629</v>
      </c>
      <c r="K649">
        <f t="shared" si="131"/>
        <v>13145763967470.312</v>
      </c>
      <c r="M649">
        <f t="shared" si="132"/>
        <v>9764.4658694802856</v>
      </c>
      <c r="N649" s="28">
        <v>0.629</v>
      </c>
      <c r="O649">
        <f t="shared" si="133"/>
        <v>1553.8950713584522</v>
      </c>
      <c r="Q649">
        <f t="shared" si="134"/>
        <v>5075927272502.916</v>
      </c>
      <c r="R649" s="28">
        <v>0.629</v>
      </c>
      <c r="S649">
        <f t="shared" si="135"/>
        <v>5075927278401.6123</v>
      </c>
      <c r="U649">
        <f t="shared" si="136"/>
        <v>125335616.2563041</v>
      </c>
      <c r="V649" s="48">
        <v>0.629</v>
      </c>
      <c r="W649">
        <f t="shared" si="137"/>
        <v>125354240.72099234</v>
      </c>
      <c r="Y649">
        <f t="shared" si="138"/>
        <v>6343.9891797552109</v>
      </c>
      <c r="Z649" s="28">
        <v>0.629</v>
      </c>
      <c r="AA649">
        <f t="shared" si="139"/>
        <v>953.8878128416809</v>
      </c>
    </row>
    <row r="650" spans="1:27" x14ac:dyDescent="0.2">
      <c r="A650">
        <f t="shared" si="126"/>
        <v>8292011024496.1035</v>
      </c>
      <c r="B650" s="28">
        <v>0.63</v>
      </c>
      <c r="C650">
        <f t="shared" si="127"/>
        <v>8292011130470.0361</v>
      </c>
      <c r="E650">
        <f t="shared" si="128"/>
        <v>9827.0104199558009</v>
      </c>
      <c r="F650" s="28">
        <v>0.63</v>
      </c>
      <c r="G650">
        <f t="shared" si="129"/>
        <v>952.38095227156646</v>
      </c>
      <c r="I650">
        <f t="shared" si="130"/>
        <v>13515978031393.527</v>
      </c>
      <c r="J650" s="28">
        <v>0.63</v>
      </c>
      <c r="K650">
        <f t="shared" si="131"/>
        <v>13515978142666.156</v>
      </c>
      <c r="M650">
        <f t="shared" si="132"/>
        <v>9765.9799886360852</v>
      </c>
      <c r="N650" s="28">
        <v>0.63</v>
      </c>
      <c r="O650">
        <f t="shared" si="133"/>
        <v>1552.3809522026531</v>
      </c>
      <c r="Q650">
        <f t="shared" si="134"/>
        <v>5223967006897.4268</v>
      </c>
      <c r="R650" s="28">
        <v>0.63</v>
      </c>
      <c r="S650">
        <f t="shared" si="135"/>
        <v>5223967012796.123</v>
      </c>
      <c r="U650">
        <f t="shared" si="136"/>
        <v>127503909.30548276</v>
      </c>
      <c r="V650" s="48">
        <v>0.63</v>
      </c>
      <c r="W650">
        <f t="shared" si="137"/>
        <v>127522533.770171</v>
      </c>
      <c r="Y650">
        <f t="shared" si="138"/>
        <v>6345.5031528624477</v>
      </c>
      <c r="Z650" s="28">
        <v>0.63</v>
      </c>
      <c r="AA650">
        <f t="shared" si="139"/>
        <v>952.37383973444446</v>
      </c>
    </row>
    <row r="651" spans="1:27" x14ac:dyDescent="0.2">
      <c r="A651">
        <f t="shared" si="126"/>
        <v>8520173497542.0127</v>
      </c>
      <c r="B651" s="28">
        <v>0.63100000000000001</v>
      </c>
      <c r="C651">
        <f t="shared" si="127"/>
        <v>8520173603515.9453</v>
      </c>
      <c r="E651">
        <f t="shared" si="128"/>
        <v>9828.5197400038523</v>
      </c>
      <c r="F651" s="28">
        <v>0.63100000000000001</v>
      </c>
      <c r="G651">
        <f t="shared" si="129"/>
        <v>950.87163222351603</v>
      </c>
      <c r="I651">
        <f t="shared" si="130"/>
        <v>13896403036061.877</v>
      </c>
      <c r="J651" s="28">
        <v>0.63100000000000001</v>
      </c>
      <c r="K651">
        <f t="shared" si="131"/>
        <v>13896403147334.506</v>
      </c>
      <c r="M651">
        <f t="shared" si="132"/>
        <v>9767.489308682183</v>
      </c>
      <c r="N651" s="28">
        <v>0.63100000000000001</v>
      </c>
      <c r="O651">
        <f t="shared" si="133"/>
        <v>1550.8716321565546</v>
      </c>
      <c r="Q651">
        <f t="shared" si="134"/>
        <v>5376229538519.8652</v>
      </c>
      <c r="R651" s="28">
        <v>0.63100000000000001</v>
      </c>
      <c r="S651">
        <f t="shared" si="135"/>
        <v>5376229544418.5615</v>
      </c>
      <c r="U651">
        <f t="shared" si="136"/>
        <v>129710034.53894264</v>
      </c>
      <c r="V651" s="48">
        <v>0.63100000000000001</v>
      </c>
      <c r="W651">
        <f t="shared" si="137"/>
        <v>129728659.00363088</v>
      </c>
      <c r="Y651">
        <f t="shared" si="138"/>
        <v>6347.012329816167</v>
      </c>
      <c r="Z651" s="28">
        <v>0.63100000000000001</v>
      </c>
      <c r="AA651">
        <f t="shared" si="139"/>
        <v>950.86466278072487</v>
      </c>
    </row>
    <row r="652" spans="1:27" x14ac:dyDescent="0.2">
      <c r="A652">
        <f t="shared" si="126"/>
        <v>8754481897818.043</v>
      </c>
      <c r="B652" s="28">
        <v>0.63200000000000001</v>
      </c>
      <c r="C652">
        <f t="shared" si="127"/>
        <v>8754482003791.9756</v>
      </c>
      <c r="E652">
        <f t="shared" si="128"/>
        <v>9830.024283722727</v>
      </c>
      <c r="F652" s="28">
        <v>0.63200000000000001</v>
      </c>
      <c r="G652">
        <f t="shared" si="129"/>
        <v>949.3670885046422</v>
      </c>
      <c r="I652">
        <f t="shared" si="130"/>
        <v>14287314518915.875</v>
      </c>
      <c r="J652" s="28">
        <v>0.63200000000000001</v>
      </c>
      <c r="K652">
        <f t="shared" si="131"/>
        <v>14287314630188.504</v>
      </c>
      <c r="M652">
        <f t="shared" si="132"/>
        <v>9768.9938523991623</v>
      </c>
      <c r="N652" s="28">
        <v>0.63200000000000001</v>
      </c>
      <c r="O652">
        <f t="shared" si="133"/>
        <v>1549.367088439576</v>
      </c>
      <c r="Q652">
        <f t="shared" si="134"/>
        <v>5532832621097.832</v>
      </c>
      <c r="R652" s="28">
        <v>0.63200000000000001</v>
      </c>
      <c r="S652">
        <f t="shared" si="135"/>
        <v>5532832626996.5283</v>
      </c>
      <c r="U652">
        <f t="shared" si="136"/>
        <v>131954656.60378027</v>
      </c>
      <c r="V652" s="48">
        <v>0.63200000000000001</v>
      </c>
      <c r="W652">
        <f t="shared" si="137"/>
        <v>131973281.06846851</v>
      </c>
      <c r="Y652">
        <f t="shared" si="138"/>
        <v>6348.5167333367081</v>
      </c>
      <c r="Z652" s="28">
        <v>0.63200000000000001</v>
      </c>
      <c r="AA652">
        <f t="shared" si="139"/>
        <v>949.36025926018397</v>
      </c>
    </row>
    <row r="653" spans="1:27" x14ac:dyDescent="0.2">
      <c r="A653">
        <f t="shared" si="126"/>
        <v>8995098191083.4316</v>
      </c>
      <c r="B653" s="28">
        <v>0.63300000000000001</v>
      </c>
      <c r="C653">
        <f t="shared" si="127"/>
        <v>8995098297057.3633</v>
      </c>
      <c r="E653">
        <f t="shared" si="128"/>
        <v>9831.5240737490512</v>
      </c>
      <c r="F653" s="28">
        <v>0.63300000000000001</v>
      </c>
      <c r="G653">
        <f t="shared" si="129"/>
        <v>947.86729847831668</v>
      </c>
      <c r="I653">
        <f t="shared" si="130"/>
        <v>14688995407822.047</v>
      </c>
      <c r="J653" s="28">
        <v>0.63300000000000001</v>
      </c>
      <c r="K653">
        <f t="shared" si="131"/>
        <v>14688995519094.676</v>
      </c>
      <c r="M653">
        <f t="shared" si="132"/>
        <v>9770.4936424236475</v>
      </c>
      <c r="N653" s="28">
        <v>0.63300000000000001</v>
      </c>
      <c r="O653">
        <f t="shared" si="133"/>
        <v>1547.867298415091</v>
      </c>
      <c r="Q653">
        <f t="shared" si="134"/>
        <v>5693897216738.6152</v>
      </c>
      <c r="R653" s="28">
        <v>0.63300000000000001</v>
      </c>
      <c r="S653">
        <f t="shared" si="135"/>
        <v>5693897222637.3115</v>
      </c>
      <c r="U653">
        <f t="shared" si="136"/>
        <v>134238451.89008346</v>
      </c>
      <c r="V653" s="48">
        <v>0.63300000000000001</v>
      </c>
      <c r="W653">
        <f t="shared" si="137"/>
        <v>134257076.3547717</v>
      </c>
      <c r="Y653">
        <f t="shared" si="138"/>
        <v>6350.0163860016928</v>
      </c>
      <c r="Z653" s="28">
        <v>0.63300000000000001</v>
      </c>
      <c r="AA653">
        <f t="shared" si="139"/>
        <v>947.86060659519899</v>
      </c>
    </row>
    <row r="654" spans="1:27" x14ac:dyDescent="0.2">
      <c r="A654">
        <f t="shared" si="126"/>
        <v>9242188516421.291</v>
      </c>
      <c r="B654" s="28">
        <v>0.63400000000000001</v>
      </c>
      <c r="C654">
        <f t="shared" si="127"/>
        <v>9242188622395.2227</v>
      </c>
      <c r="E654">
        <f t="shared" si="128"/>
        <v>9833.0191325766391</v>
      </c>
      <c r="F654" s="28">
        <v>0.63400000000000001</v>
      </c>
      <c r="G654">
        <f t="shared" si="129"/>
        <v>946.37223965072837</v>
      </c>
      <c r="I654">
        <f t="shared" si="130"/>
        <v>15101736097721.164</v>
      </c>
      <c r="J654" s="28">
        <v>0.63400000000000001</v>
      </c>
      <c r="K654">
        <f t="shared" si="131"/>
        <v>15101736208993.793</v>
      </c>
      <c r="M654">
        <f t="shared" si="132"/>
        <v>9771.9887012494473</v>
      </c>
      <c r="N654" s="28">
        <v>0.63400000000000001</v>
      </c>
      <c r="O654">
        <f t="shared" si="133"/>
        <v>1546.3722395892901</v>
      </c>
      <c r="Q654">
        <f t="shared" si="134"/>
        <v>5859547581299.875</v>
      </c>
      <c r="R654" s="28">
        <v>0.63400000000000001</v>
      </c>
      <c r="S654">
        <f t="shared" si="135"/>
        <v>5859547587198.5713</v>
      </c>
      <c r="U654">
        <f t="shared" si="136"/>
        <v>136562108.73939669</v>
      </c>
      <c r="V654" s="48">
        <v>0.63400000000000001</v>
      </c>
      <c r="W654">
        <f t="shared" si="137"/>
        <v>136580733.20408493</v>
      </c>
      <c r="Y654">
        <f t="shared" si="138"/>
        <v>6351.5113102471378</v>
      </c>
      <c r="Z654" s="28">
        <v>0.63400000000000001</v>
      </c>
      <c r="AA654">
        <f t="shared" si="139"/>
        <v>946.36568234975368</v>
      </c>
    </row>
    <row r="655" spans="1:27" x14ac:dyDescent="0.2">
      <c r="A655">
        <f t="shared" si="126"/>
        <v>9495923291310.7695</v>
      </c>
      <c r="B655" s="28">
        <v>0.63500000000000001</v>
      </c>
      <c r="C655">
        <f t="shared" si="127"/>
        <v>9495923397284.7012</v>
      </c>
      <c r="E655">
        <f t="shared" si="128"/>
        <v>9834.5094825576089</v>
      </c>
      <c r="F655" s="28">
        <v>0.63500000000000001</v>
      </c>
      <c r="G655">
        <f t="shared" si="129"/>
        <v>944.88188966975997</v>
      </c>
      <c r="I655">
        <f t="shared" si="130"/>
        <v>15525834643287.855</v>
      </c>
      <c r="J655" s="28">
        <v>0.63500000000000001</v>
      </c>
      <c r="K655">
        <f t="shared" si="131"/>
        <v>15525834754560.484</v>
      </c>
      <c r="M655">
        <f t="shared" si="132"/>
        <v>9773.47905122868</v>
      </c>
      <c r="N655" s="28">
        <v>0.63500000000000001</v>
      </c>
      <c r="O655">
        <f t="shared" si="133"/>
        <v>1544.8818896100577</v>
      </c>
      <c r="Q655">
        <f t="shared" si="134"/>
        <v>6029911351977.0889</v>
      </c>
      <c r="R655" s="28">
        <v>0.63500000000000001</v>
      </c>
      <c r="S655">
        <f t="shared" si="135"/>
        <v>6029911357875.7852</v>
      </c>
      <c r="U655">
        <f t="shared" si="136"/>
        <v>138926327.65690666</v>
      </c>
      <c r="V655" s="48">
        <v>0.63500000000000001</v>
      </c>
      <c r="W655">
        <f t="shared" si="137"/>
        <v>138944952.12159491</v>
      </c>
      <c r="Y655">
        <f t="shared" si="138"/>
        <v>6353.0015283685534</v>
      </c>
      <c r="Z655" s="28">
        <v>0.63500000000000001</v>
      </c>
      <c r="AA655">
        <f t="shared" si="139"/>
        <v>944.87546422833827</v>
      </c>
    </row>
    <row r="656" spans="1:27" x14ac:dyDescent="0.2">
      <c r="A656">
        <f t="shared" si="126"/>
        <v>9756477319282.7812</v>
      </c>
      <c r="B656" s="28">
        <v>0.63600000000000001</v>
      </c>
      <c r="C656">
        <f t="shared" si="127"/>
        <v>9756477425256.7129</v>
      </c>
      <c r="E656">
        <f t="shared" si="128"/>
        <v>9835.9951459034946</v>
      </c>
      <c r="F656" s="28">
        <v>0.63600000000000001</v>
      </c>
      <c r="G656">
        <f t="shared" si="129"/>
        <v>943.39622632387318</v>
      </c>
      <c r="I656">
        <f t="shared" si="130"/>
        <v>15961596956447.352</v>
      </c>
      <c r="J656" s="28">
        <v>0.63600000000000001</v>
      </c>
      <c r="K656">
        <f t="shared" si="131"/>
        <v>15961597067719.98</v>
      </c>
      <c r="M656">
        <f t="shared" si="132"/>
        <v>9774.9647145728813</v>
      </c>
      <c r="N656" s="28">
        <v>0.63600000000000001</v>
      </c>
      <c r="O656">
        <f t="shared" si="133"/>
        <v>1543.3962262658567</v>
      </c>
      <c r="Q656">
        <f t="shared" si="134"/>
        <v>6205119637164.5732</v>
      </c>
      <c r="R656" s="28">
        <v>0.63600000000000001</v>
      </c>
      <c r="S656">
        <f t="shared" si="135"/>
        <v>6205119643063.2695</v>
      </c>
      <c r="U656">
        <f t="shared" si="136"/>
        <v>141331821.52740601</v>
      </c>
      <c r="V656" s="48">
        <v>0.63600000000000001</v>
      </c>
      <c r="W656">
        <f t="shared" si="137"/>
        <v>141350445.99209425</v>
      </c>
      <c r="Y656">
        <f t="shared" si="138"/>
        <v>6354.4870625220301</v>
      </c>
      <c r="Z656" s="28">
        <v>0.63600000000000001</v>
      </c>
      <c r="AA656">
        <f t="shared" si="139"/>
        <v>943.38993007486124</v>
      </c>
    </row>
    <row r="657" spans="1:27" x14ac:dyDescent="0.2">
      <c r="A657">
        <f t="shared" si="126"/>
        <v>10024029900221.238</v>
      </c>
      <c r="B657" s="28">
        <v>0.63700000000000001</v>
      </c>
      <c r="C657">
        <f t="shared" si="127"/>
        <v>10024030006195.17</v>
      </c>
      <c r="E657">
        <f t="shared" si="128"/>
        <v>9837.4761446863631</v>
      </c>
      <c r="F657" s="28">
        <v>0.63700000000000001</v>
      </c>
      <c r="G657">
        <f t="shared" si="129"/>
        <v>941.91522754100549</v>
      </c>
      <c r="I657">
        <f t="shared" si="130"/>
        <v>16409337008868.863</v>
      </c>
      <c r="J657" s="28">
        <v>0.63700000000000001</v>
      </c>
      <c r="K657">
        <f t="shared" si="131"/>
        <v>16409337120141.492</v>
      </c>
      <c r="M657">
        <f t="shared" si="132"/>
        <v>9776.4457133541127</v>
      </c>
      <c r="N657" s="28">
        <v>0.63700000000000001</v>
      </c>
      <c r="O657">
        <f t="shared" si="133"/>
        <v>1541.9152274846263</v>
      </c>
      <c r="Q657">
        <f t="shared" si="134"/>
        <v>6385307108647.627</v>
      </c>
      <c r="R657" s="28">
        <v>0.63700000000000001</v>
      </c>
      <c r="S657">
        <f t="shared" si="135"/>
        <v>6385307114546.3232</v>
      </c>
      <c r="U657">
        <f t="shared" si="136"/>
        <v>143779315.83511177</v>
      </c>
      <c r="V657" s="48">
        <v>0.63700000000000001</v>
      </c>
      <c r="W657">
        <f t="shared" si="137"/>
        <v>143797940.29980001</v>
      </c>
      <c r="Y657">
        <f t="shared" si="138"/>
        <v>6355.9679347253232</v>
      </c>
      <c r="Z657" s="28">
        <v>0.63700000000000001</v>
      </c>
      <c r="AA657">
        <f t="shared" si="139"/>
        <v>941.90905787156839</v>
      </c>
    </row>
    <row r="658" spans="1:27" x14ac:dyDescent="0.2">
      <c r="A658">
        <f t="shared" si="126"/>
        <v>10298764943372.455</v>
      </c>
      <c r="B658" s="28">
        <v>0.63800000000000001</v>
      </c>
      <c r="C658">
        <f t="shared" si="127"/>
        <v>10298765049346.387</v>
      </c>
      <c r="E658">
        <f t="shared" si="128"/>
        <v>9838.9525008398905</v>
      </c>
      <c r="F658" s="28">
        <v>0.63800000000000001</v>
      </c>
      <c r="G658">
        <f t="shared" si="129"/>
        <v>940.43887138747732</v>
      </c>
      <c r="I658">
        <f t="shared" si="130"/>
        <v>16869377039556.75</v>
      </c>
      <c r="J658" s="28">
        <v>0.63800000000000001</v>
      </c>
      <c r="K658">
        <f t="shared" si="131"/>
        <v>16869377150829.379</v>
      </c>
      <c r="M658">
        <f t="shared" si="132"/>
        <v>9777.9220695060503</v>
      </c>
      <c r="N658" s="28">
        <v>0.63800000000000001</v>
      </c>
      <c r="O658">
        <f t="shared" si="133"/>
        <v>1540.4388713326878</v>
      </c>
      <c r="Q658">
        <f t="shared" si="134"/>
        <v>6570612096184.2988</v>
      </c>
      <c r="R658" s="28">
        <v>0.63800000000000001</v>
      </c>
      <c r="S658">
        <f t="shared" si="135"/>
        <v>6570612102082.9951</v>
      </c>
      <c r="U658">
        <f t="shared" si="136"/>
        <v>146269548.88739836</v>
      </c>
      <c r="V658" s="48">
        <v>0.63800000000000001</v>
      </c>
      <c r="W658">
        <f t="shared" si="137"/>
        <v>146288173.3520866</v>
      </c>
      <c r="Y658">
        <f t="shared" si="138"/>
        <v>6357.4441668589179</v>
      </c>
      <c r="Z658" s="28">
        <v>0.63800000000000001</v>
      </c>
      <c r="AA658">
        <f t="shared" si="139"/>
        <v>940.4328257379741</v>
      </c>
    </row>
    <row r="659" spans="1:27" x14ac:dyDescent="0.2">
      <c r="A659">
        <f t="shared" si="126"/>
        <v>10580871083128.52</v>
      </c>
      <c r="B659" s="28">
        <v>0.63900000000000001</v>
      </c>
      <c r="C659">
        <f t="shared" si="127"/>
        <v>10580871189102.451</v>
      </c>
      <c r="E659">
        <f t="shared" si="128"/>
        <v>9840.4242361604593</v>
      </c>
      <c r="F659" s="28">
        <v>0.63900000000000001</v>
      </c>
      <c r="G659">
        <f t="shared" si="129"/>
        <v>938.96713606690901</v>
      </c>
      <c r="I659">
        <f t="shared" si="130"/>
        <v>17342047767666.285</v>
      </c>
      <c r="J659" s="28">
        <v>0.63900000000000001</v>
      </c>
      <c r="K659">
        <f t="shared" si="131"/>
        <v>17342047878938.914</v>
      </c>
      <c r="M659">
        <f t="shared" si="132"/>
        <v>9779.3938048250748</v>
      </c>
      <c r="N659" s="28">
        <v>0.63900000000000001</v>
      </c>
      <c r="O659">
        <f t="shared" si="133"/>
        <v>1538.9671360136638</v>
      </c>
      <c r="Q659">
        <f t="shared" si="134"/>
        <v>6761176684537.7695</v>
      </c>
      <c r="R659" s="28">
        <v>0.63900000000000001</v>
      </c>
      <c r="S659">
        <f t="shared" si="135"/>
        <v>6761176690436.4658</v>
      </c>
      <c r="U659">
        <f t="shared" si="136"/>
        <v>148803272.04252276</v>
      </c>
      <c r="V659" s="48">
        <v>0.63900000000000001</v>
      </c>
      <c r="W659">
        <f t="shared" si="137"/>
        <v>148821896.507211</v>
      </c>
      <c r="Y659">
        <f t="shared" si="138"/>
        <v>6358.9157806670901</v>
      </c>
      <c r="Z659" s="28">
        <v>0.63900000000000001</v>
      </c>
      <c r="AA659">
        <f t="shared" si="139"/>
        <v>938.96121192980195</v>
      </c>
    </row>
    <row r="660" spans="1:27" x14ac:dyDescent="0.2">
      <c r="A660">
        <f t="shared" si="126"/>
        <v>10870541797649.836</v>
      </c>
      <c r="B660" s="28">
        <v>0.64</v>
      </c>
      <c r="C660">
        <f t="shared" si="127"/>
        <v>10870541903623.768</v>
      </c>
      <c r="E660">
        <f t="shared" si="128"/>
        <v>9841.8913723082205</v>
      </c>
      <c r="F660" s="28">
        <v>0.64</v>
      </c>
      <c r="G660">
        <f t="shared" si="129"/>
        <v>937.49999991914785</v>
      </c>
      <c r="I660">
        <f t="shared" si="130"/>
        <v>17827688610670.352</v>
      </c>
      <c r="J660" s="28">
        <v>0.64</v>
      </c>
      <c r="K660">
        <f t="shared" si="131"/>
        <v>17827688721942.98</v>
      </c>
      <c r="M660">
        <f t="shared" si="132"/>
        <v>9780.8609409713354</v>
      </c>
      <c r="N660" s="28">
        <v>0.64</v>
      </c>
      <c r="O660">
        <f t="shared" si="133"/>
        <v>1537.4999998674027</v>
      </c>
      <c r="Q660">
        <f t="shared" si="134"/>
        <v>6957146813020.5146</v>
      </c>
      <c r="R660" s="28">
        <v>0.64</v>
      </c>
      <c r="S660">
        <f t="shared" si="135"/>
        <v>6957146818919.2109</v>
      </c>
      <c r="U660">
        <f t="shared" si="136"/>
        <v>151381249.94141006</v>
      </c>
      <c r="V660" s="48">
        <v>0.64</v>
      </c>
      <c r="W660">
        <f t="shared" si="137"/>
        <v>151399874.40609831</v>
      </c>
      <c r="Y660">
        <f t="shared" si="138"/>
        <v>6360.3827977589572</v>
      </c>
      <c r="Z660" s="28">
        <v>0.64</v>
      </c>
      <c r="AA660">
        <f t="shared" si="139"/>
        <v>937.49419483793429</v>
      </c>
    </row>
    <row r="661" spans="1:27" x14ac:dyDescent="0.2">
      <c r="A661">
        <f t="shared" si="126"/>
        <v>11167975530396.76</v>
      </c>
      <c r="B661" s="28">
        <v>0.64100000000000001</v>
      </c>
      <c r="C661">
        <f t="shared" si="127"/>
        <v>11167975636370.691</v>
      </c>
      <c r="E661">
        <f t="shared" si="128"/>
        <v>9843.3539308081617</v>
      </c>
      <c r="F661" s="28">
        <v>0.64100000000000001</v>
      </c>
      <c r="G661">
        <f t="shared" si="129"/>
        <v>936.03744141920652</v>
      </c>
      <c r="I661">
        <f t="shared" si="130"/>
        <v>18326647908011.676</v>
      </c>
      <c r="J661" s="28">
        <v>0.64100000000000001</v>
      </c>
      <c r="K661">
        <f t="shared" si="131"/>
        <v>18326648019284.305</v>
      </c>
      <c r="M661">
        <f t="shared" si="132"/>
        <v>9782.3234994698214</v>
      </c>
      <c r="N661" s="28">
        <v>0.64100000000000001</v>
      </c>
      <c r="O661">
        <f t="shared" si="133"/>
        <v>1536.0374413689178</v>
      </c>
      <c r="Q661">
        <f t="shared" si="134"/>
        <v>7158672377614.917</v>
      </c>
      <c r="R661" s="28">
        <v>0.64100000000000001</v>
      </c>
      <c r="S661">
        <f t="shared" si="135"/>
        <v>7158672383513.6133</v>
      </c>
      <c r="U661">
        <f t="shared" si="136"/>
        <v>154004260.74356955</v>
      </c>
      <c r="V661" s="48">
        <v>0.64100000000000001</v>
      </c>
      <c r="W661">
        <f t="shared" si="137"/>
        <v>154022885.20825779</v>
      </c>
      <c r="Y661">
        <f t="shared" si="138"/>
        <v>6361.8452396095208</v>
      </c>
      <c r="Z661" s="28">
        <v>0.64100000000000001</v>
      </c>
      <c r="AA661">
        <f t="shared" si="139"/>
        <v>936.03175298737108</v>
      </c>
    </row>
    <row r="662" spans="1:27" x14ac:dyDescent="0.2">
      <c r="A662">
        <f t="shared" ref="A662:A725" si="140">ABS($D$11-C662)</f>
        <v>11473375814637.67</v>
      </c>
      <c r="B662" s="28">
        <v>0.64200000000000002</v>
      </c>
      <c r="C662">
        <f t="shared" ref="C662:C725" si="141">($B$4)*(((1+B662)^($B$6*$B$5))-1)/B662</f>
        <v>11473375920611.602</v>
      </c>
      <c r="E662">
        <f t="shared" ref="E662:E725" si="142">ABS($E$12-G662)</f>
        <v>9844.8119330511599</v>
      </c>
      <c r="F662" s="28">
        <v>0.64200000000000002</v>
      </c>
      <c r="G662">
        <f t="shared" ref="G662:G725" si="143">$B$4*(((1-(1+F662)^(-$B$5*$B$6)))/F662)</f>
        <v>934.57943917620889</v>
      </c>
      <c r="I662">
        <f t="shared" ref="I662:I725" si="144">ABS($F$11-K662)</f>
        <v>18839283150371.621</v>
      </c>
      <c r="J662" s="28">
        <v>0.64200000000000002</v>
      </c>
      <c r="K662">
        <f t="shared" ref="K662:K725" si="145">($B$4*(1+J662)*(((1+J662)^($B$6*$B$5))-1))/J662</f>
        <v>18839283261644.25</v>
      </c>
      <c r="M662">
        <f t="shared" ref="M662:M725" si="146">ABS($G$12-O662)</f>
        <v>9783.7815017114026</v>
      </c>
      <c r="N662" s="28">
        <v>0.64200000000000002</v>
      </c>
      <c r="O662">
        <f t="shared" ref="O662:O725" si="147">($B$4*(1+N662)*(1-((1+N662)^(-$B$6*$B$5))))/N662</f>
        <v>1534.579439127335</v>
      </c>
      <c r="Q662">
        <f t="shared" ref="Q662:Q725" si="148">ABS($H$11-S662)</f>
        <v>7365907335733.9521</v>
      </c>
      <c r="R662" s="28">
        <v>0.64200000000000002</v>
      </c>
      <c r="S662">
        <f t="shared" ref="S662:S725" si="149">$B$3*((1+R662)^($B$6*$B$5))</f>
        <v>7365907341632.6484</v>
      </c>
      <c r="U662">
        <f t="shared" ref="U662:U725" si="150">ABS($I$11-W662)</f>
        <v>156673096.36722192</v>
      </c>
      <c r="V662" s="48">
        <v>0.64200000000000002</v>
      </c>
      <c r="W662">
        <f t="shared" ref="W662:W725" si="151">($B$4*(EXP(V662*$B$6)-1))/V662</f>
        <v>156691720.83191016</v>
      </c>
      <c r="Y662">
        <f t="shared" ref="Y662:Y725" si="152">ABS($I$12-AA662)</f>
        <v>6363.3031275606918</v>
      </c>
      <c r="Z662" s="28">
        <v>0.64200000000000002</v>
      </c>
      <c r="AA662">
        <f t="shared" ref="AA662:AA725" si="153">$B$4*(1-EXP(-Z662*$B$6))/Z662</f>
        <v>934.57386503619978</v>
      </c>
    </row>
    <row r="663" spans="1:27" x14ac:dyDescent="0.2">
      <c r="A663">
        <f t="shared" si="140"/>
        <v>11786951401006.518</v>
      </c>
      <c r="B663" s="28">
        <v>0.64300000000000002</v>
      </c>
      <c r="C663">
        <f t="shared" si="141"/>
        <v>11786951506980.449</v>
      </c>
      <c r="E663">
        <f t="shared" si="142"/>
        <v>9846.2654002950185</v>
      </c>
      <c r="F663" s="28">
        <v>0.64300000000000002</v>
      </c>
      <c r="G663">
        <f t="shared" si="143"/>
        <v>933.12597193234899</v>
      </c>
      <c r="I663">
        <f t="shared" si="144"/>
        <v>19365961214696.25</v>
      </c>
      <c r="J663" s="28">
        <v>0.64300000000000002</v>
      </c>
      <c r="K663">
        <f t="shared" si="145"/>
        <v>19365961325968.879</v>
      </c>
      <c r="M663">
        <f t="shared" si="146"/>
        <v>9785.2349689538896</v>
      </c>
      <c r="N663" s="28">
        <v>0.64300000000000002</v>
      </c>
      <c r="O663">
        <f t="shared" si="147"/>
        <v>1533.1259718848494</v>
      </c>
      <c r="Q663">
        <f t="shared" si="148"/>
        <v>7579009813689.7324</v>
      </c>
      <c r="R663" s="28">
        <v>0.64300000000000002</v>
      </c>
      <c r="S663">
        <f t="shared" si="149"/>
        <v>7579009819588.4287</v>
      </c>
      <c r="U663">
        <f t="shared" si="150"/>
        <v>159388562.73370457</v>
      </c>
      <c r="V663" s="48">
        <v>0.64300000000000002</v>
      </c>
      <c r="W663">
        <f t="shared" si="151"/>
        <v>159407187.19839281</v>
      </c>
      <c r="Y663">
        <f t="shared" si="152"/>
        <v>6364.7564828223185</v>
      </c>
      <c r="Z663" s="28">
        <v>0.64300000000000002</v>
      </c>
      <c r="AA663">
        <f t="shared" si="153"/>
        <v>933.12050977457375</v>
      </c>
    </row>
    <row r="664" spans="1:27" x14ac:dyDescent="0.2">
      <c r="A664">
        <f t="shared" si="140"/>
        <v>12108916388181.256</v>
      </c>
      <c r="B664" s="28">
        <v>0.64400000000000002</v>
      </c>
      <c r="C664">
        <f t="shared" si="141"/>
        <v>12108916494155.188</v>
      </c>
      <c r="E664">
        <f t="shared" si="142"/>
        <v>9847.714353665513</v>
      </c>
      <c r="F664" s="28">
        <v>0.64400000000000002</v>
      </c>
      <c r="G664">
        <f t="shared" si="143"/>
        <v>931.67701856185579</v>
      </c>
      <c r="I664">
        <f t="shared" si="144"/>
        <v>19907058605118.504</v>
      </c>
      <c r="J664" s="28">
        <v>0.64400000000000002</v>
      </c>
      <c r="K664">
        <f t="shared" si="145"/>
        <v>19907058716391.133</v>
      </c>
      <c r="M664">
        <f t="shared" si="146"/>
        <v>9786.6839223230472</v>
      </c>
      <c r="N664" s="28">
        <v>0.64400000000000002</v>
      </c>
      <c r="O664">
        <f t="shared" si="147"/>
        <v>1531.6770185156911</v>
      </c>
      <c r="Q664">
        <f t="shared" si="148"/>
        <v>7798142216937.2451</v>
      </c>
      <c r="R664" s="28">
        <v>0.64400000000000002</v>
      </c>
      <c r="S664">
        <f t="shared" si="149"/>
        <v>7798142222835.9414</v>
      </c>
      <c r="U664">
        <f t="shared" si="150"/>
        <v>162151480.01624048</v>
      </c>
      <c r="V664" s="48">
        <v>0.64400000000000002</v>
      </c>
      <c r="W664">
        <f t="shared" si="151"/>
        <v>162170104.48092872</v>
      </c>
      <c r="Y664">
        <f t="shared" si="152"/>
        <v>6366.2053264731931</v>
      </c>
      <c r="Z664" s="28">
        <v>0.64400000000000002</v>
      </c>
      <c r="AA664">
        <f t="shared" si="153"/>
        <v>931.67166612369874</v>
      </c>
    </row>
    <row r="665" spans="1:27" x14ac:dyDescent="0.2">
      <c r="A665">
        <f t="shared" si="140"/>
        <v>12439490356758.684</v>
      </c>
      <c r="B665" s="28">
        <v>0.64500000000000002</v>
      </c>
      <c r="C665">
        <f t="shared" si="141"/>
        <v>12439490462732.615</v>
      </c>
      <c r="E665">
        <f t="shared" si="142"/>
        <v>9849.1588141573975</v>
      </c>
      <c r="F665" s="28">
        <v>0.64500000000000002</v>
      </c>
      <c r="G665">
        <f t="shared" si="143"/>
        <v>930.23255806997156</v>
      </c>
      <c r="I665">
        <f t="shared" si="144"/>
        <v>20462961699922.523</v>
      </c>
      <c r="J665" s="28">
        <v>0.64500000000000002</v>
      </c>
      <c r="K665">
        <f t="shared" si="145"/>
        <v>20462961811195.152</v>
      </c>
      <c r="M665">
        <f t="shared" si="146"/>
        <v>9788.1283828136347</v>
      </c>
      <c r="N665" s="28">
        <v>0.64500000000000002</v>
      </c>
      <c r="O665">
        <f t="shared" si="147"/>
        <v>1530.2325580251031</v>
      </c>
      <c r="Q665">
        <f t="shared" si="148"/>
        <v>8023471343163.8408</v>
      </c>
      <c r="R665" s="28">
        <v>0.64500000000000002</v>
      </c>
      <c r="S665">
        <f t="shared" si="149"/>
        <v>8023471349062.5371</v>
      </c>
      <c r="U665">
        <f t="shared" si="150"/>
        <v>164962682.89313954</v>
      </c>
      <c r="V665" s="48">
        <v>0.64500000000000002</v>
      </c>
      <c r="W665">
        <f t="shared" si="151"/>
        <v>164981307.35782778</v>
      </c>
      <c r="Y665">
        <f t="shared" si="152"/>
        <v>6367.6496794620607</v>
      </c>
      <c r="Z665" s="28">
        <v>0.64500000000000002</v>
      </c>
      <c r="AA665">
        <f t="shared" si="153"/>
        <v>930.22731313483098</v>
      </c>
    </row>
    <row r="666" spans="1:27" x14ac:dyDescent="0.2">
      <c r="A666">
        <f t="shared" si="140"/>
        <v>12778898506401.627</v>
      </c>
      <c r="B666" s="28">
        <v>0.64600000000000002</v>
      </c>
      <c r="C666">
        <f t="shared" si="141"/>
        <v>12778898612375.559</v>
      </c>
      <c r="E666">
        <f t="shared" si="142"/>
        <v>9850.5988026354316</v>
      </c>
      <c r="F666" s="28">
        <v>0.64600000000000002</v>
      </c>
      <c r="G666">
        <f t="shared" si="143"/>
        <v>928.7925695919364</v>
      </c>
      <c r="I666">
        <f t="shared" si="144"/>
        <v>21034067004697.543</v>
      </c>
      <c r="J666" s="28">
        <v>0.64600000000000002</v>
      </c>
      <c r="K666">
        <f t="shared" si="145"/>
        <v>21034067115970.172</v>
      </c>
      <c r="M666">
        <f t="shared" si="146"/>
        <v>9789.5683712904101</v>
      </c>
      <c r="N666" s="28">
        <v>0.64600000000000002</v>
      </c>
      <c r="O666">
        <f t="shared" si="147"/>
        <v>1528.7925695483273</v>
      </c>
      <c r="Q666">
        <f t="shared" si="148"/>
        <v>8255168498295.915</v>
      </c>
      <c r="R666" s="28">
        <v>0.64600000000000002</v>
      </c>
      <c r="S666">
        <f t="shared" si="149"/>
        <v>8255168504194.6113</v>
      </c>
      <c r="U666">
        <f t="shared" si="150"/>
        <v>167823020.8055211</v>
      </c>
      <c r="V666" s="48">
        <v>0.64600000000000002</v>
      </c>
      <c r="W666">
        <f t="shared" si="151"/>
        <v>167841645.27020934</v>
      </c>
      <c r="Y666">
        <f t="shared" si="152"/>
        <v>6369.0895626086094</v>
      </c>
      <c r="Z666" s="28">
        <v>0.64600000000000002</v>
      </c>
      <c r="AA666">
        <f t="shared" si="153"/>
        <v>928.78742998828204</v>
      </c>
    </row>
    <row r="667" spans="1:27" x14ac:dyDescent="0.2">
      <c r="A667">
        <f t="shared" si="140"/>
        <v>13127371796336.703</v>
      </c>
      <c r="B667" s="28">
        <v>0.64700000000000002</v>
      </c>
      <c r="C667">
        <f t="shared" si="141"/>
        <v>13127371902310.635</v>
      </c>
      <c r="E667">
        <f t="shared" si="142"/>
        <v>9852.0343398353834</v>
      </c>
      <c r="F667" s="28">
        <v>0.64700000000000002</v>
      </c>
      <c r="G667">
        <f t="shared" si="143"/>
        <v>927.35703239198472</v>
      </c>
      <c r="I667">
        <f t="shared" si="144"/>
        <v>21620781411832.988</v>
      </c>
      <c r="J667" s="28">
        <v>0.64700000000000002</v>
      </c>
      <c r="K667">
        <f t="shared" si="145"/>
        <v>21620781523105.617</v>
      </c>
      <c r="M667">
        <f t="shared" si="146"/>
        <v>9791.0039084891396</v>
      </c>
      <c r="N667" s="28">
        <v>0.64700000000000002</v>
      </c>
      <c r="O667">
        <f t="shared" si="147"/>
        <v>1527.3570323495992</v>
      </c>
      <c r="Q667">
        <f t="shared" si="148"/>
        <v>8493409615496.2852</v>
      </c>
      <c r="R667" s="28">
        <v>0.64700000000000002</v>
      </c>
      <c r="S667">
        <f t="shared" si="149"/>
        <v>8493409621394.9814</v>
      </c>
      <c r="U667">
        <f t="shared" si="150"/>
        <v>170733358.21962926</v>
      </c>
      <c r="V667" s="48">
        <v>0.64700000000000002</v>
      </c>
      <c r="W667">
        <f t="shared" si="151"/>
        <v>170751982.6843175</v>
      </c>
      <c r="Y667">
        <f t="shared" si="152"/>
        <v>6370.5249966044576</v>
      </c>
      <c r="Z667" s="28">
        <v>0.64700000000000002</v>
      </c>
      <c r="AA667">
        <f t="shared" si="153"/>
        <v>927.35199599243424</v>
      </c>
    </row>
    <row r="668" spans="1:27" x14ac:dyDescent="0.2">
      <c r="A668">
        <f t="shared" si="140"/>
        <v>13485147089281.541</v>
      </c>
      <c r="B668" s="28">
        <v>0.64800000000000002</v>
      </c>
      <c r="C668">
        <f t="shared" si="141"/>
        <v>13485147195255.473</v>
      </c>
      <c r="E668">
        <f t="shared" si="142"/>
        <v>9853.4654463650186</v>
      </c>
      <c r="F668" s="28">
        <v>0.64800000000000002</v>
      </c>
      <c r="G668">
        <f t="shared" si="143"/>
        <v>925.92592586234946</v>
      </c>
      <c r="I668">
        <f t="shared" si="144"/>
        <v>22223522466508.391</v>
      </c>
      <c r="J668" s="28">
        <v>0.64800000000000002</v>
      </c>
      <c r="K668">
        <f t="shared" si="145"/>
        <v>22223522577781.02</v>
      </c>
      <c r="M668">
        <f t="shared" si="146"/>
        <v>9792.4350150175869</v>
      </c>
      <c r="N668" s="28">
        <v>0.64800000000000002</v>
      </c>
      <c r="O668">
        <f t="shared" si="147"/>
        <v>1525.9259258211518</v>
      </c>
      <c r="Q668">
        <f t="shared" si="148"/>
        <v>8738375377226.8506</v>
      </c>
      <c r="R668" s="28">
        <v>0.64800000000000002</v>
      </c>
      <c r="S668">
        <f t="shared" si="149"/>
        <v>8738375383125.5469</v>
      </c>
      <c r="U668">
        <f t="shared" si="150"/>
        <v>173694574.89383209</v>
      </c>
      <c r="V668" s="48">
        <v>0.64800000000000002</v>
      </c>
      <c r="W668">
        <f t="shared" si="151"/>
        <v>173713199.35852033</v>
      </c>
      <c r="Y668">
        <f t="shared" si="152"/>
        <v>6371.9560020141271</v>
      </c>
      <c r="Z668" s="28">
        <v>0.64800000000000002</v>
      </c>
      <c r="AA668">
        <f t="shared" si="153"/>
        <v>925.92099058276426</v>
      </c>
    </row>
    <row r="669" spans="1:27" x14ac:dyDescent="0.2">
      <c r="A669">
        <f t="shared" si="140"/>
        <v>13852467298884.955</v>
      </c>
      <c r="B669" s="28">
        <v>0.64900000000000002</v>
      </c>
      <c r="C669">
        <f t="shared" si="141"/>
        <v>13852467404858.887</v>
      </c>
      <c r="E669">
        <f t="shared" si="142"/>
        <v>9854.8921427050936</v>
      </c>
      <c r="F669" s="28">
        <v>0.64900000000000002</v>
      </c>
      <c r="G669">
        <f t="shared" si="143"/>
        <v>924.49922952227519</v>
      </c>
      <c r="I669">
        <f t="shared" si="144"/>
        <v>22842718639339.676</v>
      </c>
      <c r="J669" s="28">
        <v>0.64900000000000002</v>
      </c>
      <c r="K669">
        <f t="shared" si="145"/>
        <v>22842718750612.305</v>
      </c>
      <c r="M669">
        <f t="shared" si="146"/>
        <v>9793.8617113565069</v>
      </c>
      <c r="N669" s="28">
        <v>0.64900000000000002</v>
      </c>
      <c r="O669">
        <f t="shared" si="147"/>
        <v>1524.4992294822318</v>
      </c>
      <c r="Q669">
        <f t="shared" si="148"/>
        <v>8990251340454.7207</v>
      </c>
      <c r="R669" s="28">
        <v>0.64900000000000002</v>
      </c>
      <c r="S669">
        <f t="shared" si="149"/>
        <v>8990251346353.418</v>
      </c>
      <c r="U669">
        <f t="shared" si="150"/>
        <v>176707566.15038016</v>
      </c>
      <c r="V669" s="48">
        <v>0.64900000000000002</v>
      </c>
      <c r="W669">
        <f t="shared" si="151"/>
        <v>176726190.61506841</v>
      </c>
      <c r="Y669">
        <f t="shared" si="152"/>
        <v>6373.3825992760158</v>
      </c>
      <c r="Z669" s="28">
        <v>0.64900000000000002</v>
      </c>
      <c r="AA669">
        <f t="shared" si="153"/>
        <v>924.49439332087582</v>
      </c>
    </row>
    <row r="670" spans="1:27" x14ac:dyDescent="0.2">
      <c r="A670">
        <f t="shared" si="140"/>
        <v>14229581540762.447</v>
      </c>
      <c r="B670" s="28">
        <v>0.65</v>
      </c>
      <c r="C670">
        <f t="shared" si="141"/>
        <v>14229581646736.379</v>
      </c>
      <c r="E670">
        <f t="shared" si="142"/>
        <v>9856.3144492103256</v>
      </c>
      <c r="F670" s="28">
        <v>0.65</v>
      </c>
      <c r="G670">
        <f t="shared" si="143"/>
        <v>923.07692301704276</v>
      </c>
      <c r="I670">
        <f t="shared" si="144"/>
        <v>23478809605842.395</v>
      </c>
      <c r="J670" s="28">
        <v>0.65</v>
      </c>
      <c r="K670">
        <f t="shared" si="145"/>
        <v>23478809717115.023</v>
      </c>
      <c r="M670">
        <f t="shared" si="146"/>
        <v>9795.2840178606184</v>
      </c>
      <c r="N670" s="28">
        <v>0.65</v>
      </c>
      <c r="O670">
        <f t="shared" si="147"/>
        <v>1523.0769229781206</v>
      </c>
      <c r="Q670">
        <f t="shared" si="148"/>
        <v>9249228065079.9492</v>
      </c>
      <c r="R670" s="28">
        <v>0.65</v>
      </c>
      <c r="S670">
        <f t="shared" si="149"/>
        <v>9249228070978.6465</v>
      </c>
      <c r="U670">
        <f t="shared" si="150"/>
        <v>179773243.15201813</v>
      </c>
      <c r="V670" s="48">
        <v>0.65</v>
      </c>
      <c r="W670">
        <f t="shared" si="151"/>
        <v>179791867.61670637</v>
      </c>
      <c r="Y670">
        <f t="shared" si="152"/>
        <v>6374.8048087033512</v>
      </c>
      <c r="Z670" s="28">
        <v>0.65</v>
      </c>
      <c r="AA670">
        <f t="shared" si="153"/>
        <v>923.0721838935408</v>
      </c>
    </row>
    <row r="671" spans="1:27" x14ac:dyDescent="0.2">
      <c r="A671">
        <f t="shared" si="140"/>
        <v>14616745287212.574</v>
      </c>
      <c r="B671" s="28">
        <v>0.65100000000000002</v>
      </c>
      <c r="C671">
        <f t="shared" si="141"/>
        <v>14616745393186.506</v>
      </c>
      <c r="E671">
        <f t="shared" si="142"/>
        <v>9857.7323861103687</v>
      </c>
      <c r="F671" s="28">
        <v>0.65100000000000002</v>
      </c>
      <c r="G671">
        <f t="shared" si="143"/>
        <v>921.65898611699993</v>
      </c>
      <c r="I671">
        <f t="shared" si="144"/>
        <v>24132246532878.293</v>
      </c>
      <c r="J671" s="28">
        <v>0.65100000000000002</v>
      </c>
      <c r="K671">
        <f t="shared" si="145"/>
        <v>24132246644150.922</v>
      </c>
      <c r="M671">
        <f t="shared" si="146"/>
        <v>9796.7019547595719</v>
      </c>
      <c r="N671" s="28">
        <v>0.65100000000000002</v>
      </c>
      <c r="O671">
        <f t="shared" si="147"/>
        <v>1521.6589860791669</v>
      </c>
      <c r="Q671">
        <f t="shared" si="148"/>
        <v>9515501245665.7188</v>
      </c>
      <c r="R671" s="28">
        <v>0.65100000000000002</v>
      </c>
      <c r="S671">
        <f t="shared" si="149"/>
        <v>9515501251564.416</v>
      </c>
      <c r="U671">
        <f t="shared" si="150"/>
        <v>182892533.18352702</v>
      </c>
      <c r="V671" s="48">
        <v>0.65100000000000002</v>
      </c>
      <c r="W671">
        <f t="shared" si="151"/>
        <v>182911157.64821526</v>
      </c>
      <c r="Y671">
        <f t="shared" si="152"/>
        <v>6376.2226504851433</v>
      </c>
      <c r="Z671" s="28">
        <v>0.65100000000000002</v>
      </c>
      <c r="AA671">
        <f t="shared" si="153"/>
        <v>921.65434211174875</v>
      </c>
    </row>
    <row r="672" spans="1:27" x14ac:dyDescent="0.2">
      <c r="A672">
        <f t="shared" si="140"/>
        <v>15014220525701.947</v>
      </c>
      <c r="B672" s="28">
        <v>0.65200000000000002</v>
      </c>
      <c r="C672">
        <f t="shared" si="141"/>
        <v>15014220631675.879</v>
      </c>
      <c r="E672">
        <f t="shared" si="142"/>
        <v>9859.1459735107655</v>
      </c>
      <c r="F672" s="28">
        <v>0.65200000000000002</v>
      </c>
      <c r="G672">
        <f t="shared" si="143"/>
        <v>920.24539871660272</v>
      </c>
      <c r="I672">
        <f t="shared" si="144"/>
        <v>24803492372255.926</v>
      </c>
      <c r="J672" s="28">
        <v>0.65200000000000002</v>
      </c>
      <c r="K672">
        <f t="shared" si="145"/>
        <v>24803492483528.555</v>
      </c>
      <c r="M672">
        <f t="shared" si="146"/>
        <v>9798.1155421589101</v>
      </c>
      <c r="N672" s="28">
        <v>0.65200000000000002</v>
      </c>
      <c r="O672">
        <f t="shared" si="147"/>
        <v>1520.2453986798278</v>
      </c>
      <c r="Q672">
        <f t="shared" si="148"/>
        <v>9789271846553.9766</v>
      </c>
      <c r="R672" s="28">
        <v>0.65200000000000002</v>
      </c>
      <c r="S672">
        <f t="shared" si="149"/>
        <v>9789271852452.6738</v>
      </c>
      <c r="U672">
        <f t="shared" si="150"/>
        <v>186066379.93829551</v>
      </c>
      <c r="V672" s="48">
        <v>0.65200000000000002</v>
      </c>
      <c r="W672">
        <f t="shared" si="151"/>
        <v>186085004.40298375</v>
      </c>
      <c r="Y672">
        <f t="shared" si="152"/>
        <v>6377.636144687126</v>
      </c>
      <c r="Z672" s="28">
        <v>0.65200000000000002</v>
      </c>
      <c r="AA672">
        <f t="shared" si="153"/>
        <v>920.24084790976599</v>
      </c>
    </row>
    <row r="673" spans="1:27" x14ac:dyDescent="0.2">
      <c r="A673">
        <f t="shared" si="140"/>
        <v>15422275921209.545</v>
      </c>
      <c r="B673" s="28">
        <v>0.65300000000000002</v>
      </c>
      <c r="C673">
        <f t="shared" si="141"/>
        <v>15422276027183.477</v>
      </c>
      <c r="E673">
        <f t="shared" si="142"/>
        <v>9860.5552313939024</v>
      </c>
      <c r="F673" s="28">
        <v>0.65300000000000002</v>
      </c>
      <c r="G673">
        <f t="shared" si="143"/>
        <v>918.83614083346549</v>
      </c>
      <c r="I673">
        <f t="shared" si="144"/>
        <v>25493022161661.656</v>
      </c>
      <c r="J673" s="28">
        <v>0.65300000000000002</v>
      </c>
      <c r="K673">
        <f t="shared" si="145"/>
        <v>25493022272934.285</v>
      </c>
      <c r="M673">
        <f t="shared" si="146"/>
        <v>9799.5248000410193</v>
      </c>
      <c r="N673" s="28">
        <v>0.65300000000000002</v>
      </c>
      <c r="O673">
        <f t="shared" si="147"/>
        <v>1518.8361407977184</v>
      </c>
      <c r="Q673">
        <f t="shared" si="148"/>
        <v>10070746240452.113</v>
      </c>
      <c r="R673" s="28">
        <v>0.65300000000000002</v>
      </c>
      <c r="S673">
        <f t="shared" si="149"/>
        <v>10070746246350.811</v>
      </c>
      <c r="U673">
        <f t="shared" si="150"/>
        <v>189295743.80999973</v>
      </c>
      <c r="V673" s="48">
        <v>0.65300000000000002</v>
      </c>
      <c r="W673">
        <f t="shared" si="151"/>
        <v>189314368.27468798</v>
      </c>
      <c r="Y673">
        <f t="shared" si="152"/>
        <v>6379.0453112526893</v>
      </c>
      <c r="Z673" s="28">
        <v>0.65300000000000002</v>
      </c>
      <c r="AA673">
        <f t="shared" si="153"/>
        <v>918.83168134420271</v>
      </c>
    </row>
    <row r="674" spans="1:27" x14ac:dyDescent="0.2">
      <c r="A674">
        <f t="shared" si="140"/>
        <v>15841186982519.494</v>
      </c>
      <c r="B674" s="28">
        <v>0.65400000000000003</v>
      </c>
      <c r="C674">
        <f t="shared" si="141"/>
        <v>15841187088493.426</v>
      </c>
      <c r="E674">
        <f t="shared" si="142"/>
        <v>9861.9601796199495</v>
      </c>
      <c r="F674" s="28">
        <v>0.65400000000000003</v>
      </c>
      <c r="G674">
        <f t="shared" si="143"/>
        <v>917.43119260741798</v>
      </c>
      <c r="I674">
        <f t="shared" si="144"/>
        <v>26201323333095.5</v>
      </c>
      <c r="J674" s="28">
        <v>0.65400000000000003</v>
      </c>
      <c r="K674">
        <f t="shared" si="145"/>
        <v>26201323444368.129</v>
      </c>
      <c r="M674">
        <f t="shared" si="146"/>
        <v>9800.9297482660695</v>
      </c>
      <c r="N674" s="28">
        <v>0.65400000000000003</v>
      </c>
      <c r="O674">
        <f t="shared" si="147"/>
        <v>1517.4311925726695</v>
      </c>
      <c r="Q674">
        <f t="shared" si="148"/>
        <v>10360136350576.004</v>
      </c>
      <c r="R674" s="28">
        <v>0.65400000000000003</v>
      </c>
      <c r="S674">
        <f t="shared" si="149"/>
        <v>10360136356474.701</v>
      </c>
      <c r="U674">
        <f t="shared" si="150"/>
        <v>192581602.18949389</v>
      </c>
      <c r="V674" s="48">
        <v>0.65400000000000003</v>
      </c>
      <c r="W674">
        <f t="shared" si="151"/>
        <v>192600226.65418214</v>
      </c>
      <c r="Y674">
        <f t="shared" si="152"/>
        <v>6380.4501700038054</v>
      </c>
      <c r="Z674" s="28">
        <v>0.65400000000000003</v>
      </c>
      <c r="AA674">
        <f t="shared" si="153"/>
        <v>917.42682259308663</v>
      </c>
    </row>
    <row r="675" spans="1:27" x14ac:dyDescent="0.2">
      <c r="A675">
        <f t="shared" si="140"/>
        <v>16271236232559.182</v>
      </c>
      <c r="B675" s="28">
        <v>0.65500000000000003</v>
      </c>
      <c r="C675">
        <f t="shared" si="141"/>
        <v>16271236338533.113</v>
      </c>
      <c r="E675">
        <f t="shared" si="142"/>
        <v>9863.3608379277939</v>
      </c>
      <c r="F675" s="28">
        <v>0.65500000000000003</v>
      </c>
      <c r="G675">
        <f t="shared" si="143"/>
        <v>916.0305342995747</v>
      </c>
      <c r="I675">
        <f t="shared" si="144"/>
        <v>26928896028999.676</v>
      </c>
      <c r="J675" s="28">
        <v>0.65500000000000003</v>
      </c>
      <c r="K675">
        <f t="shared" si="145"/>
        <v>26928896140272.305</v>
      </c>
      <c r="M675">
        <f t="shared" si="146"/>
        <v>9802.3304065729426</v>
      </c>
      <c r="N675" s="28">
        <v>0.65500000000000003</v>
      </c>
      <c r="O675">
        <f t="shared" si="147"/>
        <v>1516.0305342657962</v>
      </c>
      <c r="Q675">
        <f t="shared" si="148"/>
        <v>10657659796440.492</v>
      </c>
      <c r="R675" s="28">
        <v>0.65500000000000003</v>
      </c>
      <c r="S675">
        <f t="shared" si="149"/>
        <v>10657659802339.189</v>
      </c>
      <c r="U675">
        <f t="shared" si="150"/>
        <v>195924949.76699415</v>
      </c>
      <c r="V675" s="48">
        <v>0.65500000000000003</v>
      </c>
      <c r="W675">
        <f t="shared" si="151"/>
        <v>195943574.23168239</v>
      </c>
      <c r="Y675">
        <f t="shared" si="152"/>
        <v>6381.850740641943</v>
      </c>
      <c r="Z675" s="28">
        <v>0.65500000000000003</v>
      </c>
      <c r="AA675">
        <f t="shared" si="153"/>
        <v>916.02625195494829</v>
      </c>
    </row>
    <row r="676" spans="1:27" x14ac:dyDescent="0.2">
      <c r="A676">
        <f t="shared" si="140"/>
        <v>16712713382875.541</v>
      </c>
      <c r="B676" s="28">
        <v>0.65600000000000003</v>
      </c>
      <c r="C676">
        <f t="shared" si="141"/>
        <v>16712713488849.473</v>
      </c>
      <c r="E676">
        <f t="shared" si="142"/>
        <v>9864.7572259359604</v>
      </c>
      <c r="F676" s="28">
        <v>0.65600000000000003</v>
      </c>
      <c r="G676">
        <f t="shared" si="143"/>
        <v>914.63414629140823</v>
      </c>
      <c r="I676">
        <f t="shared" si="144"/>
        <v>27676253426262.102</v>
      </c>
      <c r="J676" s="28">
        <v>0.65600000000000003</v>
      </c>
      <c r="K676">
        <f t="shared" si="145"/>
        <v>27676253537534.73</v>
      </c>
      <c r="M676">
        <f t="shared" si="146"/>
        <v>9803.726794580165</v>
      </c>
      <c r="N676" s="28">
        <v>0.65600000000000003</v>
      </c>
      <c r="O676">
        <f t="shared" si="147"/>
        <v>1514.6341462585724</v>
      </c>
      <c r="Q676">
        <f t="shared" si="148"/>
        <v>10963540043386.557</v>
      </c>
      <c r="R676" s="28">
        <v>0.65600000000000003</v>
      </c>
      <c r="S676">
        <f t="shared" si="149"/>
        <v>10963540049285.254</v>
      </c>
      <c r="U676">
        <f t="shared" si="150"/>
        <v>199326798.83966097</v>
      </c>
      <c r="V676" s="48">
        <v>0.65600000000000003</v>
      </c>
      <c r="W676">
        <f t="shared" si="151"/>
        <v>199345423.30434921</v>
      </c>
      <c r="Y676">
        <f t="shared" si="152"/>
        <v>6383.2470427489798</v>
      </c>
      <c r="Z676" s="28">
        <v>0.65600000000000003</v>
      </c>
      <c r="AA676">
        <f t="shared" si="153"/>
        <v>914.62994984791203</v>
      </c>
    </row>
    <row r="677" spans="1:27" x14ac:dyDescent="0.2">
      <c r="A677">
        <f t="shared" si="140"/>
        <v>17165915512349.988</v>
      </c>
      <c r="B677" s="28">
        <v>0.65700000000000003</v>
      </c>
      <c r="C677">
        <f t="shared" si="141"/>
        <v>17165915618323.92</v>
      </c>
      <c r="E677">
        <f t="shared" si="142"/>
        <v>9866.1493631435333</v>
      </c>
      <c r="F677" s="28">
        <v>0.65700000000000003</v>
      </c>
      <c r="G677">
        <f t="shared" si="143"/>
        <v>913.24200908383477</v>
      </c>
      <c r="I677">
        <f t="shared" si="144"/>
        <v>28443922068290.109</v>
      </c>
      <c r="J677" s="28">
        <v>0.65700000000000003</v>
      </c>
      <c r="K677">
        <f t="shared" si="145"/>
        <v>28443922179562.738</v>
      </c>
      <c r="M677">
        <f t="shared" si="146"/>
        <v>9805.1189317868248</v>
      </c>
      <c r="N677" s="28">
        <v>0.65700000000000003</v>
      </c>
      <c r="O677">
        <f t="shared" si="147"/>
        <v>1513.2420090519142</v>
      </c>
      <c r="Q677">
        <f t="shared" si="148"/>
        <v>11278006555940.119</v>
      </c>
      <c r="R677" s="28">
        <v>0.65700000000000003</v>
      </c>
      <c r="S677">
        <f t="shared" si="149"/>
        <v>11278006561838.816</v>
      </c>
      <c r="U677">
        <f t="shared" si="150"/>
        <v>202788179.62466708</v>
      </c>
      <c r="V677" s="48">
        <v>0.65700000000000003</v>
      </c>
      <c r="W677">
        <f t="shared" si="151"/>
        <v>202806804.08935532</v>
      </c>
      <c r="Y677">
        <f t="shared" si="152"/>
        <v>6384.6390957880967</v>
      </c>
      <c r="Z677" s="28">
        <v>0.65700000000000003</v>
      </c>
      <c r="AA677">
        <f t="shared" si="153"/>
        <v>913.23789680879543</v>
      </c>
    </row>
    <row r="678" spans="1:27" x14ac:dyDescent="0.2">
      <c r="A678">
        <f t="shared" si="140"/>
        <v>17631147250252.465</v>
      </c>
      <c r="B678" s="28">
        <v>0.65800000000000003</v>
      </c>
      <c r="C678">
        <f t="shared" si="141"/>
        <v>17631147356226.398</v>
      </c>
      <c r="E678">
        <f t="shared" si="142"/>
        <v>9867.5372689310625</v>
      </c>
      <c r="F678" s="28">
        <v>0.65800000000000003</v>
      </c>
      <c r="G678">
        <f t="shared" si="143"/>
        <v>911.85410329630531</v>
      </c>
      <c r="I678">
        <f t="shared" si="144"/>
        <v>29232442205350.738</v>
      </c>
      <c r="J678" s="28">
        <v>0.65800000000000003</v>
      </c>
      <c r="K678">
        <f t="shared" si="145"/>
        <v>29232442316623.367</v>
      </c>
      <c r="M678">
        <f t="shared" si="146"/>
        <v>9806.5068375734645</v>
      </c>
      <c r="N678" s="28">
        <v>0.65800000000000003</v>
      </c>
      <c r="O678">
        <f t="shared" si="147"/>
        <v>1511.8541032652743</v>
      </c>
      <c r="Q678">
        <f t="shared" si="148"/>
        <v>11601294955098.273</v>
      </c>
      <c r="R678" s="28">
        <v>0.65800000000000003</v>
      </c>
      <c r="S678">
        <f t="shared" si="149"/>
        <v>11601294960996.971</v>
      </c>
      <c r="U678">
        <f t="shared" si="150"/>
        <v>206310140.57785809</v>
      </c>
      <c r="V678" s="48">
        <v>0.65800000000000003</v>
      </c>
      <c r="W678">
        <f t="shared" si="151"/>
        <v>206328765.04254633</v>
      </c>
      <c r="Y678">
        <f t="shared" si="152"/>
        <v>6386.0269191046737</v>
      </c>
      <c r="Z678" s="28">
        <v>0.65800000000000003</v>
      </c>
      <c r="AA678">
        <f t="shared" si="153"/>
        <v>911.8500734922178</v>
      </c>
    </row>
    <row r="679" spans="1:27" x14ac:dyDescent="0.2">
      <c r="A679">
        <f t="shared" si="140"/>
        <v>18108720963734.691</v>
      </c>
      <c r="B679" s="28">
        <v>0.65900000000000003</v>
      </c>
      <c r="C679">
        <f t="shared" si="141"/>
        <v>18108721069708.625</v>
      </c>
      <c r="E679">
        <f t="shared" si="142"/>
        <v>9868.9209625614603</v>
      </c>
      <c r="F679" s="28">
        <v>0.65900000000000003</v>
      </c>
      <c r="G679">
        <f t="shared" si="143"/>
        <v>910.47040966590771</v>
      </c>
      <c r="I679">
        <f t="shared" si="144"/>
        <v>30042368143373.98</v>
      </c>
      <c r="J679" s="28">
        <v>0.65900000000000003</v>
      </c>
      <c r="K679">
        <f t="shared" si="145"/>
        <v>30042368254646.609</v>
      </c>
      <c r="M679">
        <f t="shared" si="146"/>
        <v>9807.8905312029983</v>
      </c>
      <c r="N679" s="28">
        <v>0.65900000000000003</v>
      </c>
      <c r="O679">
        <f t="shared" si="147"/>
        <v>1510.4704096357407</v>
      </c>
      <c r="Q679">
        <f t="shared" si="148"/>
        <v>11933647179639.287</v>
      </c>
      <c r="R679" s="28">
        <v>0.65900000000000003</v>
      </c>
      <c r="S679">
        <f t="shared" si="149"/>
        <v>11933647185537.984</v>
      </c>
      <c r="U679">
        <f t="shared" si="150"/>
        <v>209893748.71809733</v>
      </c>
      <c r="V679" s="48">
        <v>0.65900000000000003</v>
      </c>
      <c r="W679">
        <f t="shared" si="151"/>
        <v>209912373.18278557</v>
      </c>
      <c r="Y679">
        <f t="shared" si="152"/>
        <v>6387.4105319271766</v>
      </c>
      <c r="Z679" s="28">
        <v>0.65900000000000003</v>
      </c>
      <c r="AA679">
        <f t="shared" si="153"/>
        <v>910.4664606697155</v>
      </c>
    </row>
    <row r="680" spans="1:27" x14ac:dyDescent="0.2">
      <c r="A680">
        <f t="shared" si="140"/>
        <v>18598956949870.855</v>
      </c>
      <c r="B680" s="28">
        <v>0.66</v>
      </c>
      <c r="C680">
        <f t="shared" si="141"/>
        <v>18598957055844.789</v>
      </c>
      <c r="E680">
        <f t="shared" si="142"/>
        <v>9870.3004631808944</v>
      </c>
      <c r="F680" s="28">
        <v>0.66</v>
      </c>
      <c r="G680">
        <f t="shared" si="143"/>
        <v>909.09090904647394</v>
      </c>
      <c r="I680">
        <f t="shared" si="144"/>
        <v>30874268601429.727</v>
      </c>
      <c r="J680" s="28">
        <v>0.66</v>
      </c>
      <c r="K680">
        <f t="shared" si="145"/>
        <v>30874268712702.355</v>
      </c>
      <c r="M680">
        <f t="shared" si="146"/>
        <v>9809.2700318215921</v>
      </c>
      <c r="N680" s="28">
        <v>0.66</v>
      </c>
      <c r="O680">
        <f t="shared" si="147"/>
        <v>1509.0909090171469</v>
      </c>
      <c r="Q680">
        <f t="shared" si="148"/>
        <v>12275311651558.863</v>
      </c>
      <c r="R680" s="28">
        <v>0.66</v>
      </c>
      <c r="S680">
        <f t="shared" si="149"/>
        <v>12275311657457.561</v>
      </c>
      <c r="U680">
        <f t="shared" si="150"/>
        <v>213540089.95740566</v>
      </c>
      <c r="V680" s="48">
        <v>0.66</v>
      </c>
      <c r="W680">
        <f t="shared" si="151"/>
        <v>213558714.4220939</v>
      </c>
      <c r="Y680">
        <f t="shared" si="152"/>
        <v>6388.7899533680256</v>
      </c>
      <c r="Z680" s="28">
        <v>0.66</v>
      </c>
      <c r="AA680">
        <f t="shared" si="153"/>
        <v>909.08703922886582</v>
      </c>
    </row>
    <row r="681" spans="1:27" x14ac:dyDescent="0.2">
      <c r="A681">
        <f t="shared" si="140"/>
        <v>19102183632352.031</v>
      </c>
      <c r="B681" s="28">
        <v>0.66100000000000003</v>
      </c>
      <c r="C681">
        <f t="shared" si="141"/>
        <v>19102183738325.965</v>
      </c>
      <c r="E681">
        <f t="shared" si="142"/>
        <v>9871.6757898196702</v>
      </c>
      <c r="F681" s="28">
        <v>0.66100000000000003</v>
      </c>
      <c r="G681">
        <f t="shared" si="143"/>
        <v>907.71558240769821</v>
      </c>
      <c r="I681">
        <f t="shared" si="144"/>
        <v>31728727078086.797</v>
      </c>
      <c r="J681" s="28">
        <v>0.66100000000000003</v>
      </c>
      <c r="K681">
        <f t="shared" si="145"/>
        <v>31728727189359.426</v>
      </c>
      <c r="M681">
        <f t="shared" si="146"/>
        <v>9810.6453584595511</v>
      </c>
      <c r="N681" s="28">
        <v>0.66100000000000003</v>
      </c>
      <c r="O681">
        <f t="shared" si="147"/>
        <v>1507.715582379187</v>
      </c>
      <c r="Q681">
        <f t="shared" si="148"/>
        <v>12626543445734.766</v>
      </c>
      <c r="R681" s="28">
        <v>0.66100000000000003</v>
      </c>
      <c r="S681">
        <f t="shared" si="149"/>
        <v>12626543451633.463</v>
      </c>
      <c r="U681">
        <f t="shared" si="150"/>
        <v>217250269.43699038</v>
      </c>
      <c r="V681" s="48">
        <v>0.66100000000000003</v>
      </c>
      <c r="W681">
        <f t="shared" si="151"/>
        <v>217268893.90167862</v>
      </c>
      <c r="Y681">
        <f t="shared" si="152"/>
        <v>6390.1652024244731</v>
      </c>
      <c r="Z681" s="28">
        <v>0.66100000000000003</v>
      </c>
      <c r="AA681">
        <f t="shared" si="153"/>
        <v>907.71179017241832</v>
      </c>
    </row>
    <row r="682" spans="1:27" x14ac:dyDescent="0.2">
      <c r="A682">
        <f t="shared" si="140"/>
        <v>19618737762944.5</v>
      </c>
      <c r="B682" s="28">
        <v>0.66200000000000003</v>
      </c>
      <c r="C682">
        <f t="shared" si="141"/>
        <v>19618737868918.434</v>
      </c>
      <c r="E682">
        <f t="shared" si="142"/>
        <v>9873.0469613931073</v>
      </c>
      <c r="F682" s="28">
        <v>0.66200000000000003</v>
      </c>
      <c r="G682">
        <f t="shared" si="143"/>
        <v>906.34441083426168</v>
      </c>
      <c r="I682">
        <f t="shared" si="144"/>
        <v>32606342226869.805</v>
      </c>
      <c r="J682" s="28">
        <v>0.66200000000000003</v>
      </c>
      <c r="K682">
        <f t="shared" si="145"/>
        <v>32606342338142.434</v>
      </c>
      <c r="M682">
        <f t="shared" si="146"/>
        <v>9812.0165300321951</v>
      </c>
      <c r="N682" s="28">
        <v>0.66200000000000003</v>
      </c>
      <c r="O682">
        <f t="shared" si="147"/>
        <v>1506.3444108065428</v>
      </c>
      <c r="Q682">
        <f t="shared" si="148"/>
        <v>12987604463925.307</v>
      </c>
      <c r="R682" s="28">
        <v>0.66200000000000003</v>
      </c>
      <c r="S682">
        <f t="shared" si="149"/>
        <v>12987604469824.004</v>
      </c>
      <c r="U682">
        <f t="shared" si="150"/>
        <v>221025411.86927947</v>
      </c>
      <c r="V682" s="48">
        <v>0.66200000000000003</v>
      </c>
      <c r="W682">
        <f t="shared" si="151"/>
        <v>221044036.33396772</v>
      </c>
      <c r="Y682">
        <f t="shared" si="152"/>
        <v>6391.5362979794581</v>
      </c>
      <c r="Z682" s="28">
        <v>0.66200000000000003</v>
      </c>
      <c r="AA682">
        <f t="shared" si="153"/>
        <v>906.34069461743366</v>
      </c>
    </row>
    <row r="683" spans="1:27" x14ac:dyDescent="0.2">
      <c r="A683">
        <f t="shared" si="140"/>
        <v>20148964627823.543</v>
      </c>
      <c r="B683" s="28">
        <v>0.66300000000000003</v>
      </c>
      <c r="C683">
        <f t="shared" si="141"/>
        <v>20148964733797.477</v>
      </c>
      <c r="E683">
        <f t="shared" si="142"/>
        <v>9874.4139967024039</v>
      </c>
      <c r="F683" s="28">
        <v>0.66300000000000003</v>
      </c>
      <c r="G683">
        <f t="shared" si="143"/>
        <v>904.97737552496437</v>
      </c>
      <c r="I683">
        <f t="shared" si="144"/>
        <v>33507728241032.574</v>
      </c>
      <c r="J683" s="28">
        <v>0.66300000000000003</v>
      </c>
      <c r="K683">
        <f t="shared" si="145"/>
        <v>33507728352305.203</v>
      </c>
      <c r="M683">
        <f t="shared" si="146"/>
        <v>9813.3835653407223</v>
      </c>
      <c r="N683" s="28">
        <v>0.66300000000000003</v>
      </c>
      <c r="O683">
        <f t="shared" si="147"/>
        <v>1504.9773754980158</v>
      </c>
      <c r="Q683">
        <f t="shared" si="148"/>
        <v>13358763613209.029</v>
      </c>
      <c r="R683" s="28">
        <v>0.66300000000000003</v>
      </c>
      <c r="S683">
        <f t="shared" si="149"/>
        <v>13358763619107.727</v>
      </c>
      <c r="U683">
        <f t="shared" si="150"/>
        <v>224866661.88605702</v>
      </c>
      <c r="V683" s="48">
        <v>0.66300000000000003</v>
      </c>
      <c r="W683">
        <f t="shared" si="151"/>
        <v>224885286.35074526</v>
      </c>
      <c r="Y683">
        <f t="shared" si="152"/>
        <v>6392.9032588024602</v>
      </c>
      <c r="Z683" s="28">
        <v>0.66300000000000003</v>
      </c>
      <c r="AA683">
        <f t="shared" si="153"/>
        <v>904.97373379443115</v>
      </c>
    </row>
    <row r="684" spans="1:27" x14ac:dyDescent="0.2">
      <c r="A684">
        <f t="shared" si="140"/>
        <v>20693218258899.922</v>
      </c>
      <c r="B684" s="28">
        <v>0.66400000000000003</v>
      </c>
      <c r="C684">
        <f t="shared" si="141"/>
        <v>20693218364873.855</v>
      </c>
      <c r="E684">
        <f t="shared" si="142"/>
        <v>9875.7769144355007</v>
      </c>
      <c r="F684" s="28">
        <v>0.66400000000000003</v>
      </c>
      <c r="G684">
        <f t="shared" si="143"/>
        <v>903.61445779186693</v>
      </c>
      <c r="I684">
        <f t="shared" si="144"/>
        <v>34433515247877.465</v>
      </c>
      <c r="J684" s="28">
        <v>0.66400000000000003</v>
      </c>
      <c r="K684">
        <f t="shared" si="145"/>
        <v>34433515359150.094</v>
      </c>
      <c r="M684">
        <f t="shared" si="146"/>
        <v>9814.7464830730714</v>
      </c>
      <c r="N684" s="28">
        <v>0.66400000000000003</v>
      </c>
      <c r="O684">
        <f t="shared" si="147"/>
        <v>1503.6144577656667</v>
      </c>
      <c r="Q684">
        <f t="shared" si="148"/>
        <v>13740296988977.543</v>
      </c>
      <c r="R684" s="28">
        <v>0.66400000000000003</v>
      </c>
      <c r="S684">
        <f t="shared" si="149"/>
        <v>13740296994876.24</v>
      </c>
      <c r="U684">
        <f t="shared" si="150"/>
        <v>228775184.39282155</v>
      </c>
      <c r="V684" s="48">
        <v>0.66400000000000003</v>
      </c>
      <c r="W684">
        <f t="shared" si="151"/>
        <v>228793808.85750979</v>
      </c>
      <c r="Y684">
        <f t="shared" si="152"/>
        <v>6394.2661035503497</v>
      </c>
      <c r="Z684" s="28">
        <v>0.66400000000000003</v>
      </c>
      <c r="AA684">
        <f t="shared" si="153"/>
        <v>903.61088904654173</v>
      </c>
    </row>
    <row r="685" spans="1:27" x14ac:dyDescent="0.2">
      <c r="A685">
        <f t="shared" si="140"/>
        <v>21251861650255.117</v>
      </c>
      <c r="B685" s="28">
        <v>0.66500000000000004</v>
      </c>
      <c r="C685">
        <f t="shared" si="141"/>
        <v>21251861756229.051</v>
      </c>
      <c r="E685">
        <f t="shared" si="142"/>
        <v>9877.1357331679301</v>
      </c>
      <c r="F685" s="28">
        <v>0.66500000000000004</v>
      </c>
      <c r="G685">
        <f t="shared" si="143"/>
        <v>902.25563905943864</v>
      </c>
      <c r="I685">
        <f t="shared" si="144"/>
        <v>35384349712848.734</v>
      </c>
      <c r="J685" s="28">
        <v>0.66500000000000004</v>
      </c>
      <c r="K685">
        <f t="shared" si="145"/>
        <v>35384349824121.367</v>
      </c>
      <c r="M685">
        <f t="shared" si="146"/>
        <v>9816.1053018047733</v>
      </c>
      <c r="N685" s="28">
        <v>0.66500000000000004</v>
      </c>
      <c r="O685">
        <f t="shared" si="147"/>
        <v>1502.2556390339655</v>
      </c>
      <c r="Q685">
        <f t="shared" si="148"/>
        <v>14132488062593.621</v>
      </c>
      <c r="R685" s="28">
        <v>0.66500000000000004</v>
      </c>
      <c r="S685">
        <f t="shared" si="149"/>
        <v>14132488068492.318</v>
      </c>
      <c r="U685">
        <f t="shared" si="150"/>
        <v>232752164.9294661</v>
      </c>
      <c r="V685" s="48">
        <v>0.66500000000000004</v>
      </c>
      <c r="W685">
        <f t="shared" si="151"/>
        <v>232770789.39415434</v>
      </c>
      <c r="Y685">
        <f t="shared" si="152"/>
        <v>6395.6248507682203</v>
      </c>
      <c r="Z685" s="28">
        <v>0.66500000000000004</v>
      </c>
      <c r="AA685">
        <f t="shared" si="153"/>
        <v>902.25214182867126</v>
      </c>
    </row>
    <row r="686" spans="1:27" x14ac:dyDescent="0.2">
      <c r="A686">
        <f t="shared" si="140"/>
        <v>21825266979806.961</v>
      </c>
      <c r="B686" s="28">
        <v>0.66600000000000004</v>
      </c>
      <c r="C686">
        <f t="shared" si="141"/>
        <v>21825267085780.895</v>
      </c>
      <c r="E686">
        <f t="shared" si="142"/>
        <v>9878.4904713636552</v>
      </c>
      <c r="F686" s="28">
        <v>0.66600000000000004</v>
      </c>
      <c r="G686">
        <f t="shared" si="143"/>
        <v>900.90090086371356</v>
      </c>
      <c r="I686">
        <f t="shared" si="144"/>
        <v>36360894853638.328</v>
      </c>
      <c r="J686" s="28">
        <v>0.66600000000000004</v>
      </c>
      <c r="K686">
        <f t="shared" si="145"/>
        <v>36360894964910.961</v>
      </c>
      <c r="M686">
        <f t="shared" si="146"/>
        <v>9817.4600399997908</v>
      </c>
      <c r="N686" s="28">
        <v>0.66600000000000004</v>
      </c>
      <c r="O686">
        <f t="shared" si="147"/>
        <v>1500.9009008389467</v>
      </c>
      <c r="Q686">
        <f t="shared" si="148"/>
        <v>14535627873831.379</v>
      </c>
      <c r="R686" s="28">
        <v>0.66600000000000004</v>
      </c>
      <c r="S686">
        <f t="shared" si="149"/>
        <v>14535627879730.076</v>
      </c>
      <c r="U686">
        <f t="shared" si="150"/>
        <v>236798810.03740421</v>
      </c>
      <c r="V686" s="48">
        <v>0.66600000000000004</v>
      </c>
      <c r="W686">
        <f t="shared" si="151"/>
        <v>236817434.50209245</v>
      </c>
      <c r="Y686">
        <f t="shared" si="152"/>
        <v>6396.9795188902235</v>
      </c>
      <c r="Z686" s="28">
        <v>0.66600000000000004</v>
      </c>
      <c r="AA686">
        <f t="shared" si="153"/>
        <v>900.89747370666828</v>
      </c>
    </row>
    <row r="687" spans="1:27" x14ac:dyDescent="0.2">
      <c r="A687">
        <f t="shared" si="140"/>
        <v>22413815836328.316</v>
      </c>
      <c r="B687" s="28">
        <v>0.66700000000000004</v>
      </c>
      <c r="C687">
        <f t="shared" si="141"/>
        <v>22413815942302.25</v>
      </c>
      <c r="E687">
        <f t="shared" si="142"/>
        <v>9879.8411473759152</v>
      </c>
      <c r="F687" s="28">
        <v>0.66700000000000004</v>
      </c>
      <c r="G687">
        <f t="shared" si="143"/>
        <v>899.55022485145389</v>
      </c>
      <c r="I687">
        <f t="shared" si="144"/>
        <v>37363831064545.227</v>
      </c>
      <c r="J687" s="28">
        <v>0.66700000000000004</v>
      </c>
      <c r="K687">
        <f t="shared" si="145"/>
        <v>37363831175817.859</v>
      </c>
      <c r="M687">
        <f t="shared" si="146"/>
        <v>9818.810716011365</v>
      </c>
      <c r="N687" s="28">
        <v>0.66700000000000004</v>
      </c>
      <c r="O687">
        <f t="shared" si="147"/>
        <v>1499.5502248273735</v>
      </c>
      <c r="Q687">
        <f t="shared" si="148"/>
        <v>14950015228216.904</v>
      </c>
      <c r="R687" s="28">
        <v>0.66700000000000004</v>
      </c>
      <c r="S687">
        <f t="shared" si="149"/>
        <v>14950015234115.602</v>
      </c>
      <c r="U687">
        <f t="shared" si="150"/>
        <v>240916347.63325241</v>
      </c>
      <c r="V687" s="48">
        <v>0.66700000000000004</v>
      </c>
      <c r="W687">
        <f t="shared" si="151"/>
        <v>240934972.09794065</v>
      </c>
      <c r="Y687">
        <f t="shared" si="152"/>
        <v>6398.3301262403902</v>
      </c>
      <c r="Z687" s="28">
        <v>0.66700000000000004</v>
      </c>
      <c r="AA687">
        <f t="shared" si="153"/>
        <v>899.5468663565016</v>
      </c>
    </row>
    <row r="688" spans="1:27" x14ac:dyDescent="0.2">
      <c r="A688">
        <f t="shared" si="140"/>
        <v>23017899451944.406</v>
      </c>
      <c r="B688" s="28">
        <v>0.66800000000000004</v>
      </c>
      <c r="C688">
        <f t="shared" si="141"/>
        <v>23017899557918.34</v>
      </c>
      <c r="E688">
        <f t="shared" si="142"/>
        <v>9881.1877794480461</v>
      </c>
      <c r="F688" s="28">
        <v>0.66800000000000004</v>
      </c>
      <c r="G688">
        <f t="shared" si="143"/>
        <v>898.20359277932141</v>
      </c>
      <c r="I688">
        <f t="shared" si="144"/>
        <v>38393856351335.164</v>
      </c>
      <c r="J688" s="28">
        <v>0.66800000000000004</v>
      </c>
      <c r="K688">
        <f t="shared" si="145"/>
        <v>38393856462607.797</v>
      </c>
      <c r="M688">
        <f t="shared" si="146"/>
        <v>9820.1573480828301</v>
      </c>
      <c r="N688" s="28">
        <v>0.66800000000000004</v>
      </c>
      <c r="O688">
        <f t="shared" si="147"/>
        <v>1498.2035927559084</v>
      </c>
      <c r="Q688">
        <f t="shared" si="148"/>
        <v>15375956899390.754</v>
      </c>
      <c r="R688" s="28">
        <v>0.66800000000000004</v>
      </c>
      <c r="S688">
        <f t="shared" si="149"/>
        <v>15375956905289.451</v>
      </c>
      <c r="U688">
        <f t="shared" si="150"/>
        <v>245106027.38918287</v>
      </c>
      <c r="V688" s="48">
        <v>0.66800000000000004</v>
      </c>
      <c r="W688">
        <f t="shared" si="151"/>
        <v>245124651.85387111</v>
      </c>
      <c r="Y688">
        <f t="shared" si="152"/>
        <v>6399.6766910334491</v>
      </c>
      <c r="Z688" s="28">
        <v>0.66800000000000004</v>
      </c>
      <c r="AA688">
        <f t="shared" si="153"/>
        <v>898.20030156344308</v>
      </c>
    </row>
    <row r="689" spans="1:27" x14ac:dyDescent="0.2">
      <c r="A689">
        <f t="shared" si="140"/>
        <v>23637918940240.184</v>
      </c>
      <c r="B689" s="28">
        <v>0.66900000000000004</v>
      </c>
      <c r="C689">
        <f t="shared" si="141"/>
        <v>23637919046214.117</v>
      </c>
      <c r="E689">
        <f t="shared" si="142"/>
        <v>9882.5303857143117</v>
      </c>
      <c r="F689" s="28">
        <v>0.66900000000000004</v>
      </c>
      <c r="G689">
        <f t="shared" si="143"/>
        <v>896.86098651305679</v>
      </c>
      <c r="I689">
        <f t="shared" si="144"/>
        <v>39451686776858.727</v>
      </c>
      <c r="J689" s="28">
        <v>0.66900000000000004</v>
      </c>
      <c r="K689">
        <f t="shared" si="145"/>
        <v>39451686888131.359</v>
      </c>
      <c r="M689">
        <f t="shared" si="146"/>
        <v>9821.4999543484464</v>
      </c>
      <c r="N689" s="28">
        <v>0.66900000000000004</v>
      </c>
      <c r="O689">
        <f t="shared" si="147"/>
        <v>1496.8609864902917</v>
      </c>
      <c r="Q689">
        <f t="shared" si="148"/>
        <v>15813767836618.549</v>
      </c>
      <c r="R689" s="28">
        <v>0.66900000000000004</v>
      </c>
      <c r="S689">
        <f t="shared" si="149"/>
        <v>15813767842517.246</v>
      </c>
      <c r="U689">
        <f t="shared" si="150"/>
        <v>249369121.12007636</v>
      </c>
      <c r="V689" s="48">
        <v>0.66900000000000004</v>
      </c>
      <c r="W689">
        <f t="shared" si="151"/>
        <v>249387745.5847646</v>
      </c>
      <c r="Y689">
        <f t="shared" si="152"/>
        <v>6401.0192313756324</v>
      </c>
      <c r="Z689" s="28">
        <v>0.66900000000000004</v>
      </c>
      <c r="AA689">
        <f t="shared" si="153"/>
        <v>896.85776122125912</v>
      </c>
    </row>
    <row r="690" spans="1:27" x14ac:dyDescent="0.2">
      <c r="A690">
        <f t="shared" si="140"/>
        <v>24274285540107.316</v>
      </c>
      <c r="B690" s="28">
        <v>0.67</v>
      </c>
      <c r="C690">
        <f t="shared" si="141"/>
        <v>24274285646081.25</v>
      </c>
      <c r="E690">
        <f t="shared" si="142"/>
        <v>9883.8689842007043</v>
      </c>
      <c r="F690" s="28">
        <v>0.67</v>
      </c>
      <c r="G690">
        <f t="shared" si="143"/>
        <v>895.52238802666398</v>
      </c>
      <c r="I690">
        <f t="shared" si="144"/>
        <v>40538056917683.047</v>
      </c>
      <c r="J690" s="28">
        <v>0.67</v>
      </c>
      <c r="K690">
        <f t="shared" si="145"/>
        <v>40538057028955.68</v>
      </c>
      <c r="M690">
        <f t="shared" si="146"/>
        <v>9822.8385528342096</v>
      </c>
      <c r="N690" s="28">
        <v>0.67</v>
      </c>
      <c r="O690">
        <f t="shared" si="147"/>
        <v>1495.5223880045289</v>
      </c>
      <c r="Q690">
        <f t="shared" si="148"/>
        <v>16263771377575.74</v>
      </c>
      <c r="R690" s="28">
        <v>0.67</v>
      </c>
      <c r="S690">
        <f t="shared" si="149"/>
        <v>16263771383474.438</v>
      </c>
      <c r="U690">
        <f t="shared" si="150"/>
        <v>253706923.17758378</v>
      </c>
      <c r="V690" s="48">
        <v>0.67</v>
      </c>
      <c r="W690">
        <f t="shared" si="151"/>
        <v>253725547.64227203</v>
      </c>
      <c r="Y690">
        <f t="shared" si="152"/>
        <v>6402.3577652654831</v>
      </c>
      <c r="Z690" s="28">
        <v>0.67</v>
      </c>
      <c r="AA690">
        <f t="shared" si="153"/>
        <v>895.51922733140873</v>
      </c>
    </row>
    <row r="691" spans="1:27" x14ac:dyDescent="0.2">
      <c r="A691">
        <f t="shared" si="140"/>
        <v>24927420865466.297</v>
      </c>
      <c r="B691" s="28">
        <v>0.67100000000000004</v>
      </c>
      <c r="C691">
        <f t="shared" si="141"/>
        <v>24927420971440.23</v>
      </c>
      <c r="E691">
        <f t="shared" si="142"/>
        <v>9885.2035928257628</v>
      </c>
      <c r="F691" s="28">
        <v>0.67100000000000004</v>
      </c>
      <c r="G691">
        <f t="shared" si="143"/>
        <v>894.18777940160498</v>
      </c>
      <c r="I691">
        <f t="shared" si="144"/>
        <v>41653720332003.984</v>
      </c>
      <c r="J691" s="28">
        <v>0.67100000000000004</v>
      </c>
      <c r="K691">
        <f t="shared" si="145"/>
        <v>41653720443276.617</v>
      </c>
      <c r="M691">
        <f t="shared" si="146"/>
        <v>9824.173161458657</v>
      </c>
      <c r="N691" s="28">
        <v>0.67100000000000004</v>
      </c>
      <c r="O691">
        <f t="shared" si="147"/>
        <v>1494.187779380082</v>
      </c>
      <c r="Q691">
        <f t="shared" si="148"/>
        <v>16726299466537.697</v>
      </c>
      <c r="R691" s="28">
        <v>0.67100000000000004</v>
      </c>
      <c r="S691">
        <f t="shared" si="149"/>
        <v>16726299472436.395</v>
      </c>
      <c r="U691">
        <f t="shared" si="150"/>
        <v>258120750.85123488</v>
      </c>
      <c r="V691" s="48">
        <v>0.67100000000000004</v>
      </c>
      <c r="W691">
        <f t="shared" si="151"/>
        <v>258139375.31592312</v>
      </c>
      <c r="Y691">
        <f t="shared" si="152"/>
        <v>6403.6923105946435</v>
      </c>
      <c r="Z691" s="28">
        <v>0.67100000000000004</v>
      </c>
      <c r="AA691">
        <f t="shared" si="153"/>
        <v>894.184682002248</v>
      </c>
    </row>
    <row r="692" spans="1:27" x14ac:dyDescent="0.2">
      <c r="A692">
        <f t="shared" si="140"/>
        <v>25597757161002.98</v>
      </c>
      <c r="B692" s="28">
        <v>0.67200000000000004</v>
      </c>
      <c r="C692">
        <f t="shared" si="141"/>
        <v>25597757266976.914</v>
      </c>
      <c r="E692">
        <f t="shared" si="142"/>
        <v>9886.5342294013681</v>
      </c>
      <c r="F692" s="28">
        <v>0.67200000000000004</v>
      </c>
      <c r="G692">
        <f t="shared" si="143"/>
        <v>892.85714282599963</v>
      </c>
      <c r="I692">
        <f t="shared" si="144"/>
        <v>42799450039112.773</v>
      </c>
      <c r="J692" s="28">
        <v>0.67200000000000004</v>
      </c>
      <c r="K692">
        <f t="shared" si="145"/>
        <v>42799450150385.406</v>
      </c>
      <c r="M692">
        <f t="shared" si="146"/>
        <v>9825.5037980336674</v>
      </c>
      <c r="N692" s="28">
        <v>0.67200000000000004</v>
      </c>
      <c r="O692">
        <f t="shared" si="147"/>
        <v>1492.8571428050716</v>
      </c>
      <c r="Q692">
        <f t="shared" si="148"/>
        <v>17201692878109.791</v>
      </c>
      <c r="R692" s="28">
        <v>0.67200000000000004</v>
      </c>
      <c r="S692">
        <f t="shared" si="149"/>
        <v>17201692884008.488</v>
      </c>
      <c r="U692">
        <f t="shared" si="150"/>
        <v>262611944.776705</v>
      </c>
      <c r="V692" s="48">
        <v>0.67200000000000004</v>
      </c>
      <c r="W692">
        <f t="shared" si="151"/>
        <v>262630569.24139324</v>
      </c>
      <c r="Y692">
        <f t="shared" si="152"/>
        <v>6405.022885148649</v>
      </c>
      <c r="Z692" s="28">
        <v>0.67200000000000004</v>
      </c>
      <c r="AA692">
        <f t="shared" si="153"/>
        <v>892.85410744824253</v>
      </c>
    </row>
    <row r="693" spans="1:27" x14ac:dyDescent="0.2">
      <c r="A693">
        <f t="shared" si="140"/>
        <v>26285737564059.109</v>
      </c>
      <c r="B693" s="28">
        <v>0.67300000000000004</v>
      </c>
      <c r="C693">
        <f t="shared" si="141"/>
        <v>26285737670033.043</v>
      </c>
      <c r="E693">
        <f t="shared" si="142"/>
        <v>9887.8609116335356</v>
      </c>
      <c r="F693" s="28">
        <v>0.67300000000000004</v>
      </c>
      <c r="G693">
        <f t="shared" si="143"/>
        <v>891.53046059383337</v>
      </c>
      <c r="I693">
        <f t="shared" si="144"/>
        <v>43976039010692.648</v>
      </c>
      <c r="J693" s="28">
        <v>0.67300000000000004</v>
      </c>
      <c r="K693">
        <f t="shared" si="145"/>
        <v>43976039121965.281</v>
      </c>
      <c r="M693">
        <f t="shared" si="146"/>
        <v>9826.8304802652547</v>
      </c>
      <c r="N693" s="28">
        <v>0.67300000000000004</v>
      </c>
      <c r="O693">
        <f t="shared" si="147"/>
        <v>1491.5304605734832</v>
      </c>
      <c r="Q693">
        <f t="shared" si="148"/>
        <v>17690301446633.543</v>
      </c>
      <c r="R693" s="28">
        <v>0.67300000000000004</v>
      </c>
      <c r="S693">
        <f t="shared" si="149"/>
        <v>17690301452532.238</v>
      </c>
      <c r="U693">
        <f t="shared" si="150"/>
        <v>267181869.35138342</v>
      </c>
      <c r="V693" s="48">
        <v>0.67300000000000004</v>
      </c>
      <c r="W693">
        <f t="shared" si="151"/>
        <v>267200493.81607166</v>
      </c>
      <c r="Y693">
        <f t="shared" si="152"/>
        <v>6406.3495066077057</v>
      </c>
      <c r="Z693" s="28">
        <v>0.67300000000000004</v>
      </c>
      <c r="AA693">
        <f t="shared" si="153"/>
        <v>891.52748598918606</v>
      </c>
    </row>
    <row r="694" spans="1:27" x14ac:dyDescent="0.2">
      <c r="A694">
        <f t="shared" si="140"/>
        <v>26991816372824</v>
      </c>
      <c r="B694" s="28">
        <v>0.67400000000000004</v>
      </c>
      <c r="C694">
        <f t="shared" si="141"/>
        <v>26991816478797.934</v>
      </c>
      <c r="E694">
        <f t="shared" si="142"/>
        <v>9889.1836571231961</v>
      </c>
      <c r="F694" s="28">
        <v>0.67400000000000004</v>
      </c>
      <c r="G694">
        <f t="shared" si="143"/>
        <v>890.20771510417148</v>
      </c>
      <c r="I694">
        <f t="shared" si="144"/>
        <v>45184300674235.109</v>
      </c>
      <c r="J694" s="28">
        <v>0.67400000000000004</v>
      </c>
      <c r="K694">
        <f t="shared" si="145"/>
        <v>45184300785507.742</v>
      </c>
      <c r="M694">
        <f t="shared" si="146"/>
        <v>9828.1532257543549</v>
      </c>
      <c r="N694" s="28">
        <v>0.67400000000000004</v>
      </c>
      <c r="O694">
        <f t="shared" si="147"/>
        <v>1490.2077150843832</v>
      </c>
      <c r="Q694">
        <f t="shared" si="148"/>
        <v>18192484301411.113</v>
      </c>
      <c r="R694" s="28">
        <v>0.67400000000000004</v>
      </c>
      <c r="S694">
        <f t="shared" si="149"/>
        <v>18192484307309.809</v>
      </c>
      <c r="U694">
        <f t="shared" si="150"/>
        <v>271831913.1573596</v>
      </c>
      <c r="V694" s="48">
        <v>0.67400000000000004</v>
      </c>
      <c r="W694">
        <f t="shared" si="151"/>
        <v>271850537.62204784</v>
      </c>
      <c r="Y694">
        <f t="shared" si="152"/>
        <v>6407.6721925474649</v>
      </c>
      <c r="Z694" s="28">
        <v>0.67400000000000004</v>
      </c>
      <c r="AA694">
        <f t="shared" si="153"/>
        <v>890.20480004942658</v>
      </c>
    </row>
    <row r="695" spans="1:27" x14ac:dyDescent="0.2">
      <c r="A695">
        <f t="shared" si="140"/>
        <v>27716459320972.418</v>
      </c>
      <c r="B695" s="28">
        <v>0.67500000000000004</v>
      </c>
      <c r="C695">
        <f t="shared" si="141"/>
        <v>27716459426946.352</v>
      </c>
      <c r="E695">
        <f t="shared" si="142"/>
        <v>9890.5024833669868</v>
      </c>
      <c r="F695" s="28">
        <v>0.67500000000000004</v>
      </c>
      <c r="G695">
        <f t="shared" si="143"/>
        <v>888.88888886038148</v>
      </c>
      <c r="I695">
        <f t="shared" si="144"/>
        <v>46425069428862.508</v>
      </c>
      <c r="J695" s="28">
        <v>0.67500000000000004</v>
      </c>
      <c r="K695">
        <f t="shared" si="145"/>
        <v>46425069540135.141</v>
      </c>
      <c r="M695">
        <f t="shared" si="146"/>
        <v>9829.4720519975999</v>
      </c>
      <c r="N695" s="28">
        <v>0.67500000000000004</v>
      </c>
      <c r="O695">
        <f t="shared" si="147"/>
        <v>1488.8888888411391</v>
      </c>
      <c r="Q695">
        <f t="shared" si="148"/>
        <v>18708610107890.094</v>
      </c>
      <c r="R695" s="28">
        <v>0.67500000000000004</v>
      </c>
      <c r="S695">
        <f t="shared" si="149"/>
        <v>18708610113788.789</v>
      </c>
      <c r="U695">
        <f t="shared" si="150"/>
        <v>276563489.39197487</v>
      </c>
      <c r="V695" s="48">
        <v>0.67500000000000004</v>
      </c>
      <c r="W695">
        <f t="shared" si="151"/>
        <v>276582113.85666311</v>
      </c>
      <c r="Y695">
        <f t="shared" si="152"/>
        <v>6408.9909604397944</v>
      </c>
      <c r="Z695" s="28">
        <v>0.67500000000000004</v>
      </c>
      <c r="AA695">
        <f t="shared" si="153"/>
        <v>888.88603215709782</v>
      </c>
    </row>
    <row r="696" spans="1:27" x14ac:dyDescent="0.2">
      <c r="A696">
        <f t="shared" si="140"/>
        <v>28460143858900.121</v>
      </c>
      <c r="B696" s="28">
        <v>0.67600000000000005</v>
      </c>
      <c r="C696">
        <f t="shared" si="141"/>
        <v>28460143964874.055</v>
      </c>
      <c r="E696">
        <f t="shared" si="142"/>
        <v>9891.8174077580079</v>
      </c>
      <c r="F696" s="28">
        <v>0.67600000000000005</v>
      </c>
      <c r="G696">
        <f t="shared" si="143"/>
        <v>887.57396446936093</v>
      </c>
      <c r="I696">
        <f t="shared" si="144"/>
        <v>47699201173856.297</v>
      </c>
      <c r="J696" s="28">
        <v>0.67600000000000005</v>
      </c>
      <c r="K696">
        <f t="shared" si="145"/>
        <v>47699201285128.93</v>
      </c>
      <c r="M696">
        <f t="shared" si="146"/>
        <v>9830.7869763880899</v>
      </c>
      <c r="N696" s="28">
        <v>0.67600000000000005</v>
      </c>
      <c r="O696">
        <f t="shared" si="147"/>
        <v>1487.5739644506491</v>
      </c>
      <c r="Q696">
        <f t="shared" si="148"/>
        <v>19239057314956.168</v>
      </c>
      <c r="R696" s="28">
        <v>0.67600000000000005</v>
      </c>
      <c r="S696">
        <f t="shared" si="149"/>
        <v>19239057320854.863</v>
      </c>
      <c r="U696">
        <f t="shared" si="150"/>
        <v>281378036.30605984</v>
      </c>
      <c r="V696" s="48">
        <v>0.67600000000000005</v>
      </c>
      <c r="W696">
        <f t="shared" si="151"/>
        <v>281396660.77074808</v>
      </c>
      <c r="Y696">
        <f t="shared" si="152"/>
        <v>6410.3058276535321</v>
      </c>
      <c r="Z696" s="28">
        <v>0.67600000000000005</v>
      </c>
      <c r="AA696">
        <f t="shared" si="153"/>
        <v>887.5711649433598</v>
      </c>
    </row>
    <row r="697" spans="1:27" x14ac:dyDescent="0.2">
      <c r="A697">
        <f t="shared" si="140"/>
        <v>29223359441715</v>
      </c>
      <c r="B697" s="28">
        <v>0.67700000000000005</v>
      </c>
      <c r="C697">
        <f t="shared" si="141"/>
        <v>29223359547688.934</v>
      </c>
      <c r="E697">
        <f t="shared" si="142"/>
        <v>9893.1284475865941</v>
      </c>
      <c r="F697" s="28">
        <v>0.67700000000000005</v>
      </c>
      <c r="G697">
        <f t="shared" si="143"/>
        <v>886.26292464077346</v>
      </c>
      <c r="I697">
        <f t="shared" si="144"/>
        <v>49007573850201.719</v>
      </c>
      <c r="J697" s="28">
        <v>0.67700000000000005</v>
      </c>
      <c r="K697">
        <f t="shared" si="145"/>
        <v>49007573961474.352</v>
      </c>
      <c r="M697">
        <f t="shared" si="146"/>
        <v>9832.0980162161613</v>
      </c>
      <c r="N697" s="28">
        <v>0.67700000000000005</v>
      </c>
      <c r="O697">
        <f t="shared" si="147"/>
        <v>1486.2629246225772</v>
      </c>
      <c r="Q697">
        <f t="shared" si="148"/>
        <v>19784214408486.715</v>
      </c>
      <c r="R697" s="28">
        <v>0.67700000000000005</v>
      </c>
      <c r="S697">
        <f t="shared" si="149"/>
        <v>19784214414385.41</v>
      </c>
      <c r="U697">
        <f t="shared" si="150"/>
        <v>286277017.65001118</v>
      </c>
      <c r="V697" s="48">
        <v>0.67700000000000005</v>
      </c>
      <c r="W697">
        <f t="shared" si="151"/>
        <v>286295642.11469942</v>
      </c>
      <c r="Y697">
        <f t="shared" si="152"/>
        <v>6411.6168114552484</v>
      </c>
      <c r="Z697" s="28">
        <v>0.67700000000000005</v>
      </c>
      <c r="AA697">
        <f t="shared" si="153"/>
        <v>886.26018114164322</v>
      </c>
    </row>
    <row r="698" spans="1:27" x14ac:dyDescent="0.2">
      <c r="A698">
        <f t="shared" si="140"/>
        <v>30006607824138.203</v>
      </c>
      <c r="B698" s="28">
        <v>0.67800000000000005</v>
      </c>
      <c r="C698">
        <f t="shared" si="141"/>
        <v>30006607930112.137</v>
      </c>
      <c r="E698">
        <f t="shared" si="142"/>
        <v>9894.4356200410784</v>
      </c>
      <c r="F698" s="28">
        <v>0.67800000000000005</v>
      </c>
      <c r="G698">
        <f t="shared" si="143"/>
        <v>884.95575218629006</v>
      </c>
      <c r="I698">
        <f t="shared" si="144"/>
        <v>50351087995455.531</v>
      </c>
      <c r="J698" s="28">
        <v>0.67800000000000005</v>
      </c>
      <c r="K698">
        <f t="shared" si="145"/>
        <v>50351088106728.164</v>
      </c>
      <c r="M698">
        <f t="shared" si="146"/>
        <v>9833.4051886701436</v>
      </c>
      <c r="N698" s="28">
        <v>0.67800000000000005</v>
      </c>
      <c r="O698">
        <f t="shared" si="147"/>
        <v>1484.9557521685947</v>
      </c>
      <c r="Q698">
        <f t="shared" si="148"/>
        <v>20344480171317.336</v>
      </c>
      <c r="R698" s="28">
        <v>0.67800000000000005</v>
      </c>
      <c r="S698">
        <f t="shared" si="149"/>
        <v>20344480177216.031</v>
      </c>
      <c r="U698">
        <f t="shared" si="150"/>
        <v>291261923.12783277</v>
      </c>
      <c r="V698" s="48">
        <v>0.67800000000000005</v>
      </c>
      <c r="W698">
        <f t="shared" si="151"/>
        <v>291280547.59252101</v>
      </c>
      <c r="Y698">
        <f t="shared" si="152"/>
        <v>6412.9239290099895</v>
      </c>
      <c r="Z698" s="28">
        <v>0.67800000000000005</v>
      </c>
      <c r="AA698">
        <f t="shared" si="153"/>
        <v>884.95306358690254</v>
      </c>
    </row>
    <row r="699" spans="1:27" x14ac:dyDescent="0.2">
      <c r="A699">
        <f t="shared" si="140"/>
        <v>30810403362479.73</v>
      </c>
      <c r="B699" s="28">
        <v>0.67900000000000005</v>
      </c>
      <c r="C699">
        <f t="shared" si="141"/>
        <v>30810403468453.664</v>
      </c>
      <c r="E699">
        <f t="shared" si="142"/>
        <v>9895.7389422085289</v>
      </c>
      <c r="F699" s="28">
        <v>0.67900000000000005</v>
      </c>
      <c r="G699">
        <f t="shared" si="143"/>
        <v>883.65243001883925</v>
      </c>
      <c r="I699">
        <f t="shared" si="144"/>
        <v>51730667312261.062</v>
      </c>
      <c r="J699" s="28">
        <v>0.67900000000000005</v>
      </c>
      <c r="K699">
        <f t="shared" si="145"/>
        <v>51730667423533.695</v>
      </c>
      <c r="M699">
        <f t="shared" si="146"/>
        <v>9834.7085108371066</v>
      </c>
      <c r="N699" s="28">
        <v>0.67900000000000005</v>
      </c>
      <c r="O699">
        <f t="shared" si="147"/>
        <v>1483.652430001631</v>
      </c>
      <c r="Q699">
        <f t="shared" si="148"/>
        <v>20920263949781.344</v>
      </c>
      <c r="R699" s="28">
        <v>0.67900000000000005</v>
      </c>
      <c r="S699">
        <f t="shared" si="149"/>
        <v>20920263955680.039</v>
      </c>
      <c r="U699">
        <f t="shared" si="150"/>
        <v>296334268.859299</v>
      </c>
      <c r="V699" s="48">
        <v>0.67900000000000005</v>
      </c>
      <c r="W699">
        <f t="shared" si="151"/>
        <v>296352893.32398725</v>
      </c>
      <c r="Y699">
        <f t="shared" si="152"/>
        <v>6414.227197382017</v>
      </c>
      <c r="Z699" s="28">
        <v>0.67900000000000005</v>
      </c>
      <c r="AA699">
        <f t="shared" si="153"/>
        <v>883.64979521487453</v>
      </c>
    </row>
    <row r="700" spans="1:27" x14ac:dyDescent="0.2">
      <c r="A700">
        <f t="shared" si="140"/>
        <v>31635273323850.816</v>
      </c>
      <c r="B700" s="28">
        <v>0.68</v>
      </c>
      <c r="C700">
        <f t="shared" si="141"/>
        <v>31635273429824.75</v>
      </c>
      <c r="E700">
        <f t="shared" si="142"/>
        <v>9897.0384310755071</v>
      </c>
      <c r="F700" s="28">
        <v>0.68</v>
      </c>
      <c r="G700">
        <f t="shared" si="143"/>
        <v>882.35294115186048</v>
      </c>
      <c r="I700">
        <f t="shared" si="144"/>
        <v>53147259250832.961</v>
      </c>
      <c r="J700" s="28">
        <v>0.68</v>
      </c>
      <c r="K700">
        <f t="shared" si="145"/>
        <v>53147259362105.594</v>
      </c>
      <c r="M700">
        <f t="shared" si="146"/>
        <v>9836.0079997036119</v>
      </c>
      <c r="N700" s="28">
        <v>0.68</v>
      </c>
      <c r="O700">
        <f t="shared" si="147"/>
        <v>1482.3529411351255</v>
      </c>
      <c r="Q700">
        <f t="shared" si="148"/>
        <v>21511985926982.137</v>
      </c>
      <c r="R700" s="28">
        <v>0.68</v>
      </c>
      <c r="S700">
        <f t="shared" si="149"/>
        <v>21511985932880.832</v>
      </c>
      <c r="U700">
        <f t="shared" si="150"/>
        <v>301495597.850371</v>
      </c>
      <c r="V700" s="48">
        <v>0.68</v>
      </c>
      <c r="W700">
        <f t="shared" si="151"/>
        <v>301514222.31505924</v>
      </c>
      <c r="Y700">
        <f t="shared" si="152"/>
        <v>6415.5266335355482</v>
      </c>
      <c r="Z700" s="28">
        <v>0.68</v>
      </c>
      <c r="AA700">
        <f t="shared" si="153"/>
        <v>882.35035906134351</v>
      </c>
    </row>
    <row r="701" spans="1:27" x14ac:dyDescent="0.2">
      <c r="A701">
        <f t="shared" si="140"/>
        <v>32481758202787.016</v>
      </c>
      <c r="B701" s="28">
        <v>0.68100000000000005</v>
      </c>
      <c r="C701">
        <f t="shared" si="141"/>
        <v>32481758308760.949</v>
      </c>
      <c r="E701">
        <f t="shared" si="142"/>
        <v>9898.3341035287995</v>
      </c>
      <c r="F701" s="28">
        <v>0.68100000000000005</v>
      </c>
      <c r="G701">
        <f t="shared" si="143"/>
        <v>881.05726869856858</v>
      </c>
      <c r="I701">
        <f t="shared" si="144"/>
        <v>54601835605754.531</v>
      </c>
      <c r="J701" s="28">
        <v>0.68100000000000005</v>
      </c>
      <c r="K701">
        <f t="shared" si="145"/>
        <v>54601835717027.164</v>
      </c>
      <c r="M701">
        <f t="shared" si="146"/>
        <v>9837.303672156444</v>
      </c>
      <c r="N701" s="28">
        <v>0.68100000000000005</v>
      </c>
      <c r="O701">
        <f t="shared" si="147"/>
        <v>1481.0572686822936</v>
      </c>
      <c r="Q701">
        <f t="shared" si="148"/>
        <v>22120077402967.512</v>
      </c>
      <c r="R701" s="28">
        <v>0.68100000000000005</v>
      </c>
      <c r="S701">
        <f t="shared" si="149"/>
        <v>22120077408866.207</v>
      </c>
      <c r="U701">
        <f t="shared" si="150"/>
        <v>306747480.47202903</v>
      </c>
      <c r="V701" s="48">
        <v>0.68100000000000005</v>
      </c>
      <c r="W701">
        <f t="shared" si="151"/>
        <v>306766104.93671727</v>
      </c>
      <c r="Y701">
        <f t="shared" si="152"/>
        <v>6416.8222543354786</v>
      </c>
      <c r="Z701" s="28">
        <v>0.68100000000000005</v>
      </c>
      <c r="AA701">
        <f t="shared" si="153"/>
        <v>881.05473826141269</v>
      </c>
    </row>
    <row r="702" spans="1:27" x14ac:dyDescent="0.2">
      <c r="A702">
        <f t="shared" si="140"/>
        <v>33350412045452.285</v>
      </c>
      <c r="B702" s="28">
        <v>0.68200000000000005</v>
      </c>
      <c r="C702">
        <f t="shared" si="141"/>
        <v>33350412151426.219</v>
      </c>
      <c r="E702">
        <f t="shared" si="142"/>
        <v>9899.6259763561484</v>
      </c>
      <c r="F702" s="28">
        <v>0.68200000000000005</v>
      </c>
      <c r="G702">
        <f t="shared" si="143"/>
        <v>879.76539587122033</v>
      </c>
      <c r="I702">
        <f t="shared" si="144"/>
        <v>56095393127426.258</v>
      </c>
      <c r="J702" s="28">
        <v>0.68200000000000005</v>
      </c>
      <c r="K702">
        <f t="shared" si="145"/>
        <v>56095393238698.891</v>
      </c>
      <c r="M702">
        <f t="shared" si="146"/>
        <v>9838.5955449833455</v>
      </c>
      <c r="N702" s="28">
        <v>0.68200000000000005</v>
      </c>
      <c r="O702">
        <f t="shared" si="147"/>
        <v>1479.7653958553926</v>
      </c>
      <c r="Q702">
        <f t="shared" si="148"/>
        <v>22744981081973.988</v>
      </c>
      <c r="R702" s="28">
        <v>0.68200000000000005</v>
      </c>
      <c r="S702">
        <f t="shared" si="149"/>
        <v>22744981087872.684</v>
      </c>
      <c r="U702">
        <f t="shared" si="150"/>
        <v>312091514.94765633</v>
      </c>
      <c r="V702" s="48">
        <v>0.68200000000000005</v>
      </c>
      <c r="W702">
        <f t="shared" si="151"/>
        <v>312110139.41234457</v>
      </c>
      <c r="Y702">
        <f t="shared" si="152"/>
        <v>6418.1140765481086</v>
      </c>
      <c r="Z702" s="28">
        <v>0.68200000000000005</v>
      </c>
      <c r="AA702">
        <f t="shared" si="153"/>
        <v>879.7629160487827</v>
      </c>
    </row>
    <row r="703" spans="1:27" x14ac:dyDescent="0.2">
      <c r="A703">
        <f t="shared" si="140"/>
        <v>34241802781600.07</v>
      </c>
      <c r="B703" s="28">
        <v>0.68300000000000005</v>
      </c>
      <c r="C703">
        <f t="shared" si="141"/>
        <v>34241802887574.004</v>
      </c>
      <c r="E703">
        <f t="shared" si="142"/>
        <v>9900.9140662469781</v>
      </c>
      <c r="F703" s="28">
        <v>0.68300000000000005</v>
      </c>
      <c r="G703">
        <f t="shared" si="143"/>
        <v>878.47730598039072</v>
      </c>
      <c r="I703">
        <f t="shared" si="144"/>
        <v>57628954148514.422</v>
      </c>
      <c r="J703" s="28">
        <v>0.68300000000000005</v>
      </c>
      <c r="K703">
        <f t="shared" si="145"/>
        <v>57628954259787.055</v>
      </c>
      <c r="M703">
        <f t="shared" si="146"/>
        <v>9839.8836348737404</v>
      </c>
      <c r="N703" s="28">
        <v>0.68300000000000005</v>
      </c>
      <c r="O703">
        <f t="shared" si="147"/>
        <v>1478.4773059649976</v>
      </c>
      <c r="Q703">
        <f t="shared" si="148"/>
        <v>23387151366914.352</v>
      </c>
      <c r="R703" s="28">
        <v>0.68300000000000005</v>
      </c>
      <c r="S703">
        <f t="shared" si="149"/>
        <v>23387151372813.047</v>
      </c>
      <c r="U703">
        <f t="shared" si="150"/>
        <v>317529327.84914333</v>
      </c>
      <c r="V703" s="48">
        <v>0.68300000000000005</v>
      </c>
      <c r="W703">
        <f t="shared" si="151"/>
        <v>317547952.31383157</v>
      </c>
      <c r="Y703">
        <f t="shared" si="152"/>
        <v>6419.4021168418576</v>
      </c>
      <c r="Z703" s="28">
        <v>0.68300000000000005</v>
      </c>
      <c r="AA703">
        <f t="shared" si="153"/>
        <v>878.47487575503442</v>
      </c>
    </row>
    <row r="704" spans="1:27" x14ac:dyDescent="0.2">
      <c r="A704">
        <f t="shared" si="140"/>
        <v>35156512564475.602</v>
      </c>
      <c r="B704" s="28">
        <v>0.68400000000000005</v>
      </c>
      <c r="C704">
        <f t="shared" si="141"/>
        <v>35156512670449.535</v>
      </c>
      <c r="E704">
        <f t="shared" si="142"/>
        <v>9902.198389793115</v>
      </c>
      <c r="F704" s="28">
        <v>0.68400000000000005</v>
      </c>
      <c r="G704">
        <f t="shared" si="143"/>
        <v>877.19298243425339</v>
      </c>
      <c r="I704">
        <f t="shared" si="144"/>
        <v>59203567225764.391</v>
      </c>
      <c r="J704" s="28">
        <v>0.68400000000000005</v>
      </c>
      <c r="K704">
        <f t="shared" si="145"/>
        <v>59203567337037.023</v>
      </c>
      <c r="M704">
        <f t="shared" si="146"/>
        <v>9841.1679584194553</v>
      </c>
      <c r="N704" s="28">
        <v>0.68400000000000005</v>
      </c>
      <c r="O704">
        <f t="shared" si="147"/>
        <v>1477.192982419283</v>
      </c>
      <c r="Q704">
        <f t="shared" si="148"/>
        <v>24047054661288.789</v>
      </c>
      <c r="R704" s="28">
        <v>0.68400000000000005</v>
      </c>
      <c r="S704">
        <f t="shared" si="149"/>
        <v>24047054667187.484</v>
      </c>
      <c r="U704">
        <f t="shared" si="150"/>
        <v>323062574.60185313</v>
      </c>
      <c r="V704" s="48">
        <v>0.68400000000000005</v>
      </c>
      <c r="W704">
        <f t="shared" si="151"/>
        <v>323081199.06654137</v>
      </c>
      <c r="Y704">
        <f t="shared" si="152"/>
        <v>6420.6863917879709</v>
      </c>
      <c r="Z704" s="28">
        <v>0.68400000000000005</v>
      </c>
      <c r="AA704">
        <f t="shared" si="153"/>
        <v>877.1906008089212</v>
      </c>
    </row>
    <row r="705" spans="1:27" x14ac:dyDescent="0.2">
      <c r="A705">
        <f t="shared" si="140"/>
        <v>36095138118842.898</v>
      </c>
      <c r="B705" s="28">
        <v>0.68500000000000005</v>
      </c>
      <c r="C705">
        <f t="shared" si="141"/>
        <v>36095138224816.828</v>
      </c>
      <c r="E705">
        <f t="shared" si="142"/>
        <v>9903.4789634895005</v>
      </c>
      <c r="F705" s="28">
        <v>0.68500000000000005</v>
      </c>
      <c r="G705">
        <f t="shared" si="143"/>
        <v>875.91240873786842</v>
      </c>
      <c r="I705">
        <f t="shared" si="144"/>
        <v>60820307797543.719</v>
      </c>
      <c r="J705" s="28">
        <v>0.68500000000000005</v>
      </c>
      <c r="K705">
        <f t="shared" si="145"/>
        <v>60820307908816.352</v>
      </c>
      <c r="M705">
        <f t="shared" si="146"/>
        <v>9842.4485321154298</v>
      </c>
      <c r="N705" s="28">
        <v>0.68500000000000005</v>
      </c>
      <c r="O705">
        <f t="shared" si="147"/>
        <v>1475.9124087233083</v>
      </c>
      <c r="Q705">
        <f t="shared" si="148"/>
        <v>24725169678700.832</v>
      </c>
      <c r="R705" s="28">
        <v>0.68500000000000005</v>
      </c>
      <c r="S705">
        <f t="shared" si="149"/>
        <v>24725169684599.527</v>
      </c>
      <c r="U705">
        <f t="shared" si="150"/>
        <v>328692939.99862349</v>
      </c>
      <c r="V705" s="48">
        <v>0.68500000000000005</v>
      </c>
      <c r="W705">
        <f t="shared" si="151"/>
        <v>328711564.46331173</v>
      </c>
      <c r="Y705">
        <f t="shared" si="152"/>
        <v>6421.9669178612294</v>
      </c>
      <c r="Z705" s="28">
        <v>0.68500000000000005</v>
      </c>
      <c r="AA705">
        <f t="shared" si="153"/>
        <v>875.91007473566287</v>
      </c>
    </row>
    <row r="706" spans="1:27" x14ac:dyDescent="0.2">
      <c r="A706">
        <f t="shared" si="140"/>
        <v>37058291097326.734</v>
      </c>
      <c r="B706" s="28">
        <v>0.68600000000000005</v>
      </c>
      <c r="C706">
        <f t="shared" si="141"/>
        <v>37058291203300.664</v>
      </c>
      <c r="E706">
        <f t="shared" si="142"/>
        <v>9904.7558037348917</v>
      </c>
      <c r="F706" s="28">
        <v>0.68600000000000005</v>
      </c>
      <c r="G706">
        <f t="shared" si="143"/>
        <v>874.63556849247664</v>
      </c>
      <c r="I706">
        <f t="shared" si="144"/>
        <v>62480278857492.281</v>
      </c>
      <c r="J706" s="28">
        <v>0.68600000000000005</v>
      </c>
      <c r="K706">
        <f t="shared" si="145"/>
        <v>62480278968764.914</v>
      </c>
      <c r="M706">
        <f t="shared" si="146"/>
        <v>9843.7253723604226</v>
      </c>
      <c r="N706" s="28">
        <v>0.68600000000000005</v>
      </c>
      <c r="O706">
        <f t="shared" si="147"/>
        <v>1474.6355684783155</v>
      </c>
      <c r="Q706">
        <f t="shared" si="148"/>
        <v>25421987760165.562</v>
      </c>
      <c r="R706" s="28">
        <v>0.68600000000000005</v>
      </c>
      <c r="S706">
        <f t="shared" si="149"/>
        <v>25421987766064.258</v>
      </c>
      <c r="U706">
        <f t="shared" si="150"/>
        <v>334422138.72294956</v>
      </c>
      <c r="V706" s="48">
        <v>0.68600000000000005</v>
      </c>
      <c r="W706">
        <f t="shared" si="151"/>
        <v>334440763.18763781</v>
      </c>
      <c r="Y706">
        <f t="shared" si="152"/>
        <v>6423.2437114406421</v>
      </c>
      <c r="Z706" s="28">
        <v>0.68600000000000005</v>
      </c>
      <c r="AA706">
        <f t="shared" si="153"/>
        <v>874.63328115624995</v>
      </c>
    </row>
    <row r="707" spans="1:27" x14ac:dyDescent="0.2">
      <c r="A707">
        <f t="shared" si="140"/>
        <v>38046598445262.328</v>
      </c>
      <c r="B707" s="28">
        <v>0.68700000000000006</v>
      </c>
      <c r="C707">
        <f t="shared" si="141"/>
        <v>38046598551236.258</v>
      </c>
      <c r="E707">
        <f t="shared" si="142"/>
        <v>9906.0289268325687</v>
      </c>
      <c r="F707" s="28">
        <v>0.68700000000000006</v>
      </c>
      <c r="G707">
        <f t="shared" si="143"/>
        <v>873.3624453947989</v>
      </c>
      <c r="I707">
        <f t="shared" si="144"/>
        <v>64184611644662.93</v>
      </c>
      <c r="J707" s="28">
        <v>0.68700000000000006</v>
      </c>
      <c r="K707">
        <f t="shared" si="145"/>
        <v>64184611755935.562</v>
      </c>
      <c r="M707">
        <f t="shared" si="146"/>
        <v>9844.9984954577121</v>
      </c>
      <c r="N707" s="28">
        <v>0.68700000000000006</v>
      </c>
      <c r="O707">
        <f t="shared" si="147"/>
        <v>1473.362445381026</v>
      </c>
      <c r="Q707">
        <f t="shared" si="148"/>
        <v>26138013199400.613</v>
      </c>
      <c r="R707" s="28">
        <v>0.68700000000000006</v>
      </c>
      <c r="S707">
        <f t="shared" si="149"/>
        <v>26138013205299.309</v>
      </c>
      <c r="U707">
        <f t="shared" si="150"/>
        <v>340251915.88153124</v>
      </c>
      <c r="V707" s="48">
        <v>0.68700000000000006</v>
      </c>
      <c r="W707">
        <f t="shared" si="151"/>
        <v>340270540.34621948</v>
      </c>
      <c r="Y707">
        <f t="shared" si="152"/>
        <v>6424.5167888101405</v>
      </c>
      <c r="Z707" s="28">
        <v>0.68700000000000006</v>
      </c>
      <c r="AA707">
        <f t="shared" si="153"/>
        <v>873.36020378675164</v>
      </c>
    </row>
    <row r="708" spans="1:27" x14ac:dyDescent="0.2">
      <c r="A708">
        <f t="shared" si="140"/>
        <v>39060702774250.266</v>
      </c>
      <c r="B708" s="28">
        <v>0.68799999999999994</v>
      </c>
      <c r="C708">
        <f t="shared" si="141"/>
        <v>39060702880224.195</v>
      </c>
      <c r="E708">
        <f t="shared" si="142"/>
        <v>9907.2983489910257</v>
      </c>
      <c r="F708" s="28">
        <v>0.68799999999999994</v>
      </c>
      <c r="G708">
        <f t="shared" si="143"/>
        <v>872.09302323634324</v>
      </c>
      <c r="I708">
        <f t="shared" si="144"/>
        <v>65934466350545.812</v>
      </c>
      <c r="J708" s="28">
        <v>0.68799999999999994</v>
      </c>
      <c r="K708">
        <f t="shared" si="145"/>
        <v>65934466461818.445</v>
      </c>
      <c r="M708">
        <f t="shared" si="146"/>
        <v>9846.2679176157908</v>
      </c>
      <c r="N708" s="28">
        <v>0.68799999999999994</v>
      </c>
      <c r="O708">
        <f t="shared" si="147"/>
        <v>1472.0930232229473</v>
      </c>
      <c r="Q708">
        <f t="shared" si="148"/>
        <v>26873763576295.551</v>
      </c>
      <c r="R708" s="28">
        <v>0.68799999999999994</v>
      </c>
      <c r="S708">
        <f t="shared" si="149"/>
        <v>26873763582194.246</v>
      </c>
      <c r="U708">
        <f t="shared" si="150"/>
        <v>346184047.54633242</v>
      </c>
      <c r="V708" s="48">
        <v>0.68799999999999994</v>
      </c>
      <c r="W708">
        <f t="shared" si="151"/>
        <v>346202672.01102066</v>
      </c>
      <c r="Y708">
        <f t="shared" si="152"/>
        <v>6425.7861661592624</v>
      </c>
      <c r="Z708" s="28">
        <v>0.68799999999999994</v>
      </c>
      <c r="AA708">
        <f t="shared" si="153"/>
        <v>872.09082643762963</v>
      </c>
    </row>
    <row r="709" spans="1:27" x14ac:dyDescent="0.2">
      <c r="A709">
        <f t="shared" si="140"/>
        <v>40101262744625.594</v>
      </c>
      <c r="B709" s="28">
        <v>0.68899999999999995</v>
      </c>
      <c r="C709">
        <f t="shared" si="141"/>
        <v>40101262850599.523</v>
      </c>
      <c r="E709">
        <f t="shared" si="142"/>
        <v>9908.5640863246535</v>
      </c>
      <c r="F709" s="28">
        <v>0.68899999999999995</v>
      </c>
      <c r="G709">
        <f t="shared" si="143"/>
        <v>870.82728590271495</v>
      </c>
      <c r="I709">
        <f t="shared" si="144"/>
        <v>67731032843389.969</v>
      </c>
      <c r="J709" s="28">
        <v>0.68899999999999995</v>
      </c>
      <c r="K709">
        <f t="shared" si="145"/>
        <v>67731032954662.602</v>
      </c>
      <c r="M709">
        <f t="shared" si="146"/>
        <v>9847.533654949053</v>
      </c>
      <c r="N709" s="28">
        <v>0.68899999999999995</v>
      </c>
      <c r="O709">
        <f t="shared" si="147"/>
        <v>1470.8272858896858</v>
      </c>
      <c r="Q709">
        <f t="shared" si="148"/>
        <v>27629770098764.375</v>
      </c>
      <c r="R709" s="28">
        <v>0.68899999999999995</v>
      </c>
      <c r="S709">
        <f t="shared" si="149"/>
        <v>27629770104663.07</v>
      </c>
      <c r="U709">
        <f t="shared" si="150"/>
        <v>352220341.30634713</v>
      </c>
      <c r="V709" s="48">
        <v>0.68899999999999995</v>
      </c>
      <c r="W709">
        <f t="shared" si="151"/>
        <v>352238965.77103537</v>
      </c>
      <c r="Y709">
        <f t="shared" si="152"/>
        <v>6427.051859583833</v>
      </c>
      <c r="Z709" s="28">
        <v>0.68899999999999995</v>
      </c>
      <c r="AA709">
        <f t="shared" si="153"/>
        <v>870.82513301305846</v>
      </c>
    </row>
    <row r="710" spans="1:27" x14ac:dyDescent="0.2">
      <c r="A710">
        <f t="shared" si="140"/>
        <v>41168953457036.719</v>
      </c>
      <c r="B710" s="28">
        <v>0.69</v>
      </c>
      <c r="C710">
        <f t="shared" si="141"/>
        <v>41168953563010.648</v>
      </c>
      <c r="E710">
        <f t="shared" si="142"/>
        <v>9909.8261548544306</v>
      </c>
      <c r="F710" s="28">
        <v>0.69</v>
      </c>
      <c r="G710">
        <f t="shared" si="143"/>
        <v>869.56521737293758</v>
      </c>
      <c r="I710">
        <f t="shared" si="144"/>
        <v>69575531410215.359</v>
      </c>
      <c r="J710" s="28">
        <v>0.69</v>
      </c>
      <c r="K710">
        <f t="shared" si="145"/>
        <v>69575531521487.992</v>
      </c>
      <c r="M710">
        <f t="shared" si="146"/>
        <v>9848.7957234784735</v>
      </c>
      <c r="N710" s="28">
        <v>0.69</v>
      </c>
      <c r="O710">
        <f t="shared" si="147"/>
        <v>1469.5652173602646</v>
      </c>
      <c r="Q710">
        <f t="shared" si="148"/>
        <v>28406577953178.648</v>
      </c>
      <c r="R710" s="28">
        <v>0.69</v>
      </c>
      <c r="S710">
        <f t="shared" si="149"/>
        <v>28406577959077.344</v>
      </c>
      <c r="U710">
        <f t="shared" si="150"/>
        <v>358362636.82921636</v>
      </c>
      <c r="V710" s="48">
        <v>0.69</v>
      </c>
      <c r="W710">
        <f t="shared" si="151"/>
        <v>358381261.2939046</v>
      </c>
      <c r="Y710">
        <f t="shared" si="152"/>
        <v>6428.3138850866399</v>
      </c>
      <c r="Z710" s="28">
        <v>0.69</v>
      </c>
      <c r="AA710">
        <f t="shared" si="153"/>
        <v>869.56310751025228</v>
      </c>
    </row>
    <row r="711" spans="1:27" x14ac:dyDescent="0.2">
      <c r="A711">
        <f t="shared" si="140"/>
        <v>42264466853359.547</v>
      </c>
      <c r="B711" s="28">
        <v>0.69099999999999995</v>
      </c>
      <c r="C711">
        <f t="shared" si="141"/>
        <v>42264466959333.477</v>
      </c>
      <c r="E711">
        <f t="shared" si="142"/>
        <v>9911.084570508594</v>
      </c>
      <c r="F711" s="28">
        <v>0.69099999999999995</v>
      </c>
      <c r="G711">
        <f t="shared" si="143"/>
        <v>868.30680171877464</v>
      </c>
      <c r="I711">
        <f t="shared" si="144"/>
        <v>71469213516960.281</v>
      </c>
      <c r="J711" s="28">
        <v>0.69099999999999995</v>
      </c>
      <c r="K711">
        <f t="shared" si="145"/>
        <v>71469213628232.906</v>
      </c>
      <c r="M711">
        <f t="shared" si="146"/>
        <v>9850.0541391322913</v>
      </c>
      <c r="N711" s="28">
        <v>0.69099999999999995</v>
      </c>
      <c r="O711">
        <f t="shared" si="147"/>
        <v>1468.3068017064479</v>
      </c>
      <c r="Q711">
        <f t="shared" si="148"/>
        <v>29204746663600.734</v>
      </c>
      <c r="R711" s="28">
        <v>0.69099999999999995</v>
      </c>
      <c r="S711">
        <f t="shared" si="149"/>
        <v>29204746669499.43</v>
      </c>
      <c r="U711">
        <f t="shared" si="150"/>
        <v>364612806.43290621</v>
      </c>
      <c r="V711" s="48">
        <v>0.69099999999999995</v>
      </c>
      <c r="W711">
        <f t="shared" si="151"/>
        <v>364631430.89759445</v>
      </c>
      <c r="Y711">
        <f t="shared" si="152"/>
        <v>6429.5722585780959</v>
      </c>
      <c r="Z711" s="28">
        <v>0.69099999999999995</v>
      </c>
      <c r="AA711">
        <f t="shared" si="153"/>
        <v>868.30473401879601</v>
      </c>
    </row>
    <row r="712" spans="1:27" x14ac:dyDescent="0.2">
      <c r="A712">
        <f t="shared" si="140"/>
        <v>43388512127152.852</v>
      </c>
      <c r="B712" s="28">
        <v>0.69199999999999995</v>
      </c>
      <c r="C712">
        <f t="shared" si="141"/>
        <v>43388512233126.781</v>
      </c>
      <c r="E712">
        <f t="shared" si="142"/>
        <v>9912.3393491233073</v>
      </c>
      <c r="F712" s="28">
        <v>0.69199999999999995</v>
      </c>
      <c r="G712">
        <f t="shared" si="143"/>
        <v>867.05202310406059</v>
      </c>
      <c r="I712">
        <f t="shared" si="144"/>
        <v>73413362587177.875</v>
      </c>
      <c r="J712" s="28">
        <v>0.69199999999999995</v>
      </c>
      <c r="K712">
        <f t="shared" si="145"/>
        <v>73413362698450.5</v>
      </c>
      <c r="M712">
        <f t="shared" si="146"/>
        <v>9851.3089177466682</v>
      </c>
      <c r="N712" s="28">
        <v>0.69199999999999995</v>
      </c>
      <c r="O712">
        <f t="shared" si="147"/>
        <v>1467.0520230920706</v>
      </c>
      <c r="Q712">
        <f t="shared" si="148"/>
        <v>30024850460025.035</v>
      </c>
      <c r="R712" s="28">
        <v>0.69199999999999995</v>
      </c>
      <c r="S712">
        <f t="shared" si="149"/>
        <v>30024850465923.73</v>
      </c>
      <c r="U712">
        <f t="shared" si="150"/>
        <v>370972755.66759664</v>
      </c>
      <c r="V712" s="48">
        <v>0.69199999999999995</v>
      </c>
      <c r="W712">
        <f t="shared" si="151"/>
        <v>370991380.13228488</v>
      </c>
      <c r="Y712">
        <f t="shared" si="152"/>
        <v>6430.8269958769088</v>
      </c>
      <c r="Z712" s="28">
        <v>0.69199999999999995</v>
      </c>
      <c r="AA712">
        <f t="shared" si="153"/>
        <v>867.04999671998269</v>
      </c>
    </row>
    <row r="713" spans="1:27" x14ac:dyDescent="0.2">
      <c r="A713">
        <f t="shared" si="140"/>
        <v>44541816143882.211</v>
      </c>
      <c r="B713" s="28">
        <v>0.69299999999999995</v>
      </c>
      <c r="C713">
        <f t="shared" si="141"/>
        <v>44541816249856.141</v>
      </c>
      <c r="E713">
        <f t="shared" si="142"/>
        <v>9913.5905064433318</v>
      </c>
      <c r="F713" s="28">
        <v>0.69299999999999995</v>
      </c>
      <c r="G713">
        <f t="shared" si="143"/>
        <v>865.80086578403655</v>
      </c>
      <c r="I713">
        <f t="shared" si="144"/>
        <v>75409294799733.812</v>
      </c>
      <c r="J713" s="28">
        <v>0.69299999999999995</v>
      </c>
      <c r="K713">
        <f t="shared" si="145"/>
        <v>75409294911006.438</v>
      </c>
      <c r="M713">
        <f t="shared" si="146"/>
        <v>9852.5600750663652</v>
      </c>
      <c r="N713" s="28">
        <v>0.69299999999999995</v>
      </c>
      <c r="O713">
        <f t="shared" si="147"/>
        <v>1465.800865772374</v>
      </c>
      <c r="Q713">
        <f t="shared" si="148"/>
        <v>30867478655851.605</v>
      </c>
      <c r="R713" s="28">
        <v>0.69299999999999995</v>
      </c>
      <c r="S713">
        <f t="shared" si="149"/>
        <v>30867478661750.301</v>
      </c>
      <c r="U713">
        <f t="shared" si="150"/>
        <v>377444423.9079898</v>
      </c>
      <c r="V713" s="48">
        <v>0.69299999999999995</v>
      </c>
      <c r="W713">
        <f t="shared" si="151"/>
        <v>377463048.37267804</v>
      </c>
      <c r="Y713">
        <f t="shared" si="152"/>
        <v>6432.0781127107348</v>
      </c>
      <c r="Z713" s="28">
        <v>0.69299999999999995</v>
      </c>
      <c r="AA713">
        <f t="shared" si="153"/>
        <v>865.79887988615701</v>
      </c>
    </row>
    <row r="714" spans="1:27" x14ac:dyDescent="0.2">
      <c r="A714">
        <f t="shared" si="140"/>
        <v>45725123871138.258</v>
      </c>
      <c r="B714" s="28">
        <v>0.69399999999999995</v>
      </c>
      <c r="C714">
        <f t="shared" si="141"/>
        <v>45725123977112.188</v>
      </c>
      <c r="E714">
        <f t="shared" si="142"/>
        <v>9914.8380581226775</v>
      </c>
      <c r="F714" s="28">
        <v>0.69399999999999995</v>
      </c>
      <c r="G714">
        <f t="shared" si="143"/>
        <v>864.55331410469091</v>
      </c>
      <c r="I714">
        <f t="shared" si="144"/>
        <v>77458359905955.422</v>
      </c>
      <c r="J714" s="28">
        <v>0.69399999999999995</v>
      </c>
      <c r="K714">
        <f t="shared" si="145"/>
        <v>77458360017228.047</v>
      </c>
      <c r="M714">
        <f t="shared" si="146"/>
        <v>9853.8076267453926</v>
      </c>
      <c r="N714" s="28">
        <v>0.69399999999999995</v>
      </c>
      <c r="O714">
        <f t="shared" si="147"/>
        <v>1464.5533140933462</v>
      </c>
      <c r="Q714">
        <f t="shared" si="148"/>
        <v>31733236034817.16</v>
      </c>
      <c r="R714" s="28">
        <v>0.69399999999999995</v>
      </c>
      <c r="S714">
        <f t="shared" si="149"/>
        <v>31733236040715.855</v>
      </c>
      <c r="U714">
        <f t="shared" si="150"/>
        <v>384029784.95620227</v>
      </c>
      <c r="V714" s="48">
        <v>0.69399999999999995</v>
      </c>
      <c r="W714">
        <f t="shared" si="151"/>
        <v>384048409.42089051</v>
      </c>
      <c r="Y714">
        <f t="shared" si="152"/>
        <v>6433.3256247168283</v>
      </c>
      <c r="Z714" s="28">
        <v>0.69399999999999995</v>
      </c>
      <c r="AA714">
        <f t="shared" si="153"/>
        <v>864.55136788006382</v>
      </c>
    </row>
    <row r="715" spans="1:27" x14ac:dyDescent="0.2">
      <c r="A715">
        <f t="shared" si="140"/>
        <v>46939198819082.109</v>
      </c>
      <c r="B715" s="28">
        <v>0.69499999999999995</v>
      </c>
      <c r="C715">
        <f t="shared" si="141"/>
        <v>46939198925056.039</v>
      </c>
      <c r="E715">
        <f t="shared" si="142"/>
        <v>9916.0820197252615</v>
      </c>
      <c r="F715" s="28">
        <v>0.69499999999999995</v>
      </c>
      <c r="G715">
        <f t="shared" si="143"/>
        <v>863.30935250210757</v>
      </c>
      <c r="I715">
        <f t="shared" si="144"/>
        <v>79561942066697.359</v>
      </c>
      <c r="J715" s="28">
        <v>0.69499999999999995</v>
      </c>
      <c r="K715">
        <f t="shared" si="145"/>
        <v>79561942177969.984</v>
      </c>
      <c r="M715">
        <f t="shared" si="146"/>
        <v>9855.0515883476655</v>
      </c>
      <c r="N715" s="28">
        <v>0.69499999999999995</v>
      </c>
      <c r="O715">
        <f t="shared" si="147"/>
        <v>1463.3093524910721</v>
      </c>
      <c r="Q715">
        <f t="shared" si="148"/>
        <v>32622743247615.25</v>
      </c>
      <c r="R715" s="28">
        <v>0.69499999999999995</v>
      </c>
      <c r="S715">
        <f t="shared" si="149"/>
        <v>32622743253513.945</v>
      </c>
      <c r="U715">
        <f t="shared" si="150"/>
        <v>390730847.65545309</v>
      </c>
      <c r="V715" s="48">
        <v>0.69499999999999995</v>
      </c>
      <c r="W715">
        <f t="shared" si="151"/>
        <v>390749472.12014133</v>
      </c>
      <c r="Y715">
        <f t="shared" si="152"/>
        <v>6434.5695474426893</v>
      </c>
      <c r="Z715" s="28">
        <v>0.69499999999999995</v>
      </c>
      <c r="AA715">
        <f t="shared" si="153"/>
        <v>863.30744515420224</v>
      </c>
    </row>
    <row r="716" spans="1:27" x14ac:dyDescent="0.2">
      <c r="A716">
        <f t="shared" si="140"/>
        <v>48184823491351.086</v>
      </c>
      <c r="B716" s="28">
        <v>0.69599999999999995</v>
      </c>
      <c r="C716">
        <f t="shared" si="141"/>
        <v>48184823597325.016</v>
      </c>
      <c r="E716">
        <f t="shared" si="142"/>
        <v>9917.3224067255505</v>
      </c>
      <c r="F716" s="28">
        <v>0.69599999999999995</v>
      </c>
      <c r="G716">
        <f t="shared" si="143"/>
        <v>862.06896550181818</v>
      </c>
      <c r="I716">
        <f t="shared" si="144"/>
        <v>81721460709790.609</v>
      </c>
      <c r="J716" s="28">
        <v>0.69599999999999995</v>
      </c>
      <c r="K716">
        <f t="shared" si="145"/>
        <v>81721460821063.234</v>
      </c>
      <c r="M716">
        <f t="shared" si="146"/>
        <v>9856.2919753476544</v>
      </c>
      <c r="N716" s="28">
        <v>0.69599999999999995</v>
      </c>
      <c r="O716">
        <f t="shared" si="147"/>
        <v>1462.0689654910836</v>
      </c>
      <c r="Q716">
        <f t="shared" si="148"/>
        <v>33536637218439.516</v>
      </c>
      <c r="R716" s="28">
        <v>0.69599999999999995</v>
      </c>
      <c r="S716">
        <f t="shared" si="149"/>
        <v>33536637224338.211</v>
      </c>
      <c r="U716">
        <f t="shared" si="150"/>
        <v>397549656.51471931</v>
      </c>
      <c r="V716" s="48">
        <v>0.69599999999999995</v>
      </c>
      <c r="W716">
        <f t="shared" si="151"/>
        <v>397568280.97940755</v>
      </c>
      <c r="Y716">
        <f t="shared" si="152"/>
        <v>6435.8098963467055</v>
      </c>
      <c r="Z716" s="28">
        <v>0.69599999999999995</v>
      </c>
      <c r="AA716">
        <f t="shared" si="153"/>
        <v>862.06709625018607</v>
      </c>
    </row>
    <row r="717" spans="1:27" x14ac:dyDescent="0.2">
      <c r="A717">
        <f t="shared" si="140"/>
        <v>49462799846672.578</v>
      </c>
      <c r="B717" s="28">
        <v>0.69699999999999995</v>
      </c>
      <c r="C717">
        <f t="shared" si="141"/>
        <v>49462799952646.508</v>
      </c>
      <c r="E717">
        <f t="shared" si="142"/>
        <v>9918.5592345092082</v>
      </c>
      <c r="F717" s="28">
        <v>0.69699999999999995</v>
      </c>
      <c r="G717">
        <f t="shared" si="143"/>
        <v>860.83213771816042</v>
      </c>
      <c r="I717">
        <f t="shared" si="144"/>
        <v>83938371408368.5</v>
      </c>
      <c r="J717" s="28">
        <v>0.69699999999999995</v>
      </c>
      <c r="K717">
        <f t="shared" si="145"/>
        <v>83938371519641.125</v>
      </c>
      <c r="M717">
        <f t="shared" si="146"/>
        <v>9857.5288031310192</v>
      </c>
      <c r="N717" s="28">
        <v>0.69699999999999995</v>
      </c>
      <c r="O717">
        <f t="shared" si="147"/>
        <v>1460.8321377077184</v>
      </c>
      <c r="Q717">
        <f t="shared" si="148"/>
        <v>34475571561695.918</v>
      </c>
      <c r="R717" s="28">
        <v>0.69699999999999995</v>
      </c>
      <c r="S717">
        <f t="shared" si="149"/>
        <v>34475571567594.613</v>
      </c>
      <c r="U717">
        <f t="shared" si="150"/>
        <v>404488292.34457827</v>
      </c>
      <c r="V717" s="48">
        <v>0.69699999999999995</v>
      </c>
      <c r="W717">
        <f t="shared" si="151"/>
        <v>404506916.80926651</v>
      </c>
      <c r="Y717">
        <f t="shared" si="152"/>
        <v>6437.0466867987834</v>
      </c>
      <c r="Z717" s="28">
        <v>0.69699999999999995</v>
      </c>
      <c r="AA717">
        <f t="shared" si="153"/>
        <v>860.83030579810827</v>
      </c>
    </row>
    <row r="718" spans="1:27" x14ac:dyDescent="0.2">
      <c r="A718">
        <f t="shared" si="140"/>
        <v>50773949771429.703</v>
      </c>
      <c r="B718" s="28">
        <v>0.69799999999999995</v>
      </c>
      <c r="C718">
        <f t="shared" si="141"/>
        <v>50773949877403.633</v>
      </c>
      <c r="E718">
        <f t="shared" si="142"/>
        <v>9919.7925183737261</v>
      </c>
      <c r="F718" s="28">
        <v>0.69799999999999995</v>
      </c>
      <c r="G718">
        <f t="shared" si="143"/>
        <v>859.59885385364191</v>
      </c>
      <c r="I718">
        <f t="shared" si="144"/>
        <v>86214166780558.75</v>
      </c>
      <c r="J718" s="28">
        <v>0.69799999999999995</v>
      </c>
      <c r="K718">
        <f t="shared" si="145"/>
        <v>86214166891831.375</v>
      </c>
      <c r="M718">
        <f t="shared" si="146"/>
        <v>9858.7620869952552</v>
      </c>
      <c r="N718" s="28">
        <v>0.69799999999999995</v>
      </c>
      <c r="O718">
        <f t="shared" si="147"/>
        <v>1459.598853843484</v>
      </c>
      <c r="Q718">
        <f t="shared" si="148"/>
        <v>35440217009129.039</v>
      </c>
      <c r="R718" s="28">
        <v>0.69799999999999995</v>
      </c>
      <c r="S718">
        <f t="shared" si="149"/>
        <v>35440217015027.734</v>
      </c>
      <c r="U718">
        <f t="shared" si="150"/>
        <v>411548872.90441442</v>
      </c>
      <c r="V718" s="48">
        <v>0.69799999999999995</v>
      </c>
      <c r="W718">
        <f t="shared" si="151"/>
        <v>411567497.36910266</v>
      </c>
      <c r="Y718">
        <f t="shared" si="152"/>
        <v>6438.2799340809806</v>
      </c>
      <c r="Z718" s="28">
        <v>0.69799999999999995</v>
      </c>
      <c r="AA718">
        <f t="shared" si="153"/>
        <v>859.59705851591127</v>
      </c>
    </row>
    <row r="719" spans="1:27" x14ac:dyDescent="0.2">
      <c r="A719">
        <f t="shared" si="140"/>
        <v>52119115563438.312</v>
      </c>
      <c r="B719" s="28">
        <v>0.69899999999999995</v>
      </c>
      <c r="C719">
        <f t="shared" si="141"/>
        <v>52119115669412.242</v>
      </c>
      <c r="E719">
        <f t="shared" si="142"/>
        <v>9921.022273529059</v>
      </c>
      <c r="F719" s="28">
        <v>0.69899999999999995</v>
      </c>
      <c r="G719">
        <f t="shared" si="143"/>
        <v>858.36909869830959</v>
      </c>
      <c r="I719">
        <f t="shared" si="144"/>
        <v>88550377411058.766</v>
      </c>
      <c r="J719" s="28">
        <v>0.69899999999999995</v>
      </c>
      <c r="K719">
        <f t="shared" si="145"/>
        <v>88550377522331.391</v>
      </c>
      <c r="M719">
        <f t="shared" si="146"/>
        <v>9859.9918421503098</v>
      </c>
      <c r="N719" s="28">
        <v>0.69899999999999995</v>
      </c>
      <c r="O719">
        <f t="shared" si="147"/>
        <v>1458.3690986884278</v>
      </c>
      <c r="Q719">
        <f t="shared" si="148"/>
        <v>36431261847620.461</v>
      </c>
      <c r="R719" s="28">
        <v>0.69899999999999995</v>
      </c>
      <c r="S719">
        <f t="shared" si="149"/>
        <v>36431261853519.156</v>
      </c>
      <c r="U719">
        <f t="shared" si="150"/>
        <v>418733553.5612179</v>
      </c>
      <c r="V719" s="48">
        <v>0.69899999999999995</v>
      </c>
      <c r="W719">
        <f t="shared" si="151"/>
        <v>418752178.02590615</v>
      </c>
      <c r="Y719">
        <f t="shared" si="152"/>
        <v>6439.5096533881278</v>
      </c>
      <c r="Z719" s="28">
        <v>0.69899999999999995</v>
      </c>
      <c r="AA719">
        <f t="shared" si="153"/>
        <v>858.36733920876384</v>
      </c>
    </row>
    <row r="720" spans="1:27" x14ac:dyDescent="0.2">
      <c r="A720">
        <f t="shared" si="140"/>
        <v>53499160427184.586</v>
      </c>
      <c r="B720" s="28">
        <v>0.7</v>
      </c>
      <c r="C720">
        <f t="shared" si="141"/>
        <v>53499160533158.516</v>
      </c>
      <c r="E720">
        <f t="shared" si="142"/>
        <v>9922.2485150982429</v>
      </c>
      <c r="F720" s="28">
        <v>0.7</v>
      </c>
      <c r="G720">
        <f t="shared" si="143"/>
        <v>857.14285712912442</v>
      </c>
      <c r="I720">
        <f t="shared" si="144"/>
        <v>90948572795096.859</v>
      </c>
      <c r="J720" s="28">
        <v>0.7</v>
      </c>
      <c r="K720">
        <f t="shared" si="145"/>
        <v>90948572906369.484</v>
      </c>
      <c r="M720">
        <f t="shared" si="146"/>
        <v>9861.2180837192263</v>
      </c>
      <c r="N720" s="28">
        <v>0.7</v>
      </c>
      <c r="O720">
        <f t="shared" si="147"/>
        <v>1457.1428571195115</v>
      </c>
      <c r="Q720">
        <f t="shared" si="148"/>
        <v>37449412367912.266</v>
      </c>
      <c r="R720" s="28">
        <v>0.7</v>
      </c>
      <c r="S720">
        <f t="shared" si="149"/>
        <v>37449412373810.961</v>
      </c>
      <c r="U720">
        <f t="shared" si="150"/>
        <v>426044527.9601602</v>
      </c>
      <c r="V720" s="48">
        <v>0.7</v>
      </c>
      <c r="W720">
        <f t="shared" si="151"/>
        <v>426063152.42484844</v>
      </c>
      <c r="Y720">
        <f t="shared" si="152"/>
        <v>6440.73585982845</v>
      </c>
      <c r="Z720" s="28">
        <v>0.7</v>
      </c>
      <c r="AA720">
        <f t="shared" si="153"/>
        <v>857.14113276844148</v>
      </c>
    </row>
    <row r="721" spans="1:27" x14ac:dyDescent="0.2">
      <c r="A721">
        <f t="shared" si="140"/>
        <v>54914968980799.062</v>
      </c>
      <c r="B721" s="28">
        <v>0.70099999999999996</v>
      </c>
      <c r="C721">
        <f t="shared" si="141"/>
        <v>54914969086772.992</v>
      </c>
      <c r="E721">
        <f t="shared" si="142"/>
        <v>9923.4712581180265</v>
      </c>
      <c r="F721" s="28">
        <v>0.70099999999999996</v>
      </c>
      <c r="G721">
        <f t="shared" si="143"/>
        <v>855.92011410934128</v>
      </c>
      <c r="I721">
        <f t="shared" si="144"/>
        <v>93410362305328.234</v>
      </c>
      <c r="J721" s="28">
        <v>0.70099999999999996</v>
      </c>
      <c r="K721">
        <f t="shared" si="145"/>
        <v>93410362416600.859</v>
      </c>
      <c r="M721">
        <f t="shared" si="146"/>
        <v>9862.440826738748</v>
      </c>
      <c r="N721" s="28">
        <v>0.70099999999999996</v>
      </c>
      <c r="O721">
        <f t="shared" si="147"/>
        <v>1455.9201140999896</v>
      </c>
      <c r="Q721">
        <f t="shared" si="148"/>
        <v>38495393324529.172</v>
      </c>
      <c r="R721" s="28">
        <v>0.70099999999999996</v>
      </c>
      <c r="S721">
        <f t="shared" si="149"/>
        <v>38495393330427.867</v>
      </c>
      <c r="U721">
        <f t="shared" si="150"/>
        <v>433484028.70717698</v>
      </c>
      <c r="V721" s="48">
        <v>0.70099999999999996</v>
      </c>
      <c r="W721">
        <f t="shared" si="151"/>
        <v>433502653.17186522</v>
      </c>
      <c r="Y721">
        <f t="shared" si="152"/>
        <v>6441.9585684241792</v>
      </c>
      <c r="Z721" s="28">
        <v>0.70099999999999996</v>
      </c>
      <c r="AA721">
        <f t="shared" si="153"/>
        <v>855.918424172713</v>
      </c>
    </row>
    <row r="722" spans="1:27" x14ac:dyDescent="0.2">
      <c r="A722">
        <f t="shared" si="140"/>
        <v>56367447775031.805</v>
      </c>
      <c r="B722" s="28">
        <v>0.70199999999999996</v>
      </c>
      <c r="C722">
        <f t="shared" si="141"/>
        <v>56367447881005.734</v>
      </c>
      <c r="E722">
        <f t="shared" si="142"/>
        <v>9924.6905175394731</v>
      </c>
      <c r="F722" s="28">
        <v>0.70199999999999996</v>
      </c>
      <c r="G722">
        <f t="shared" si="143"/>
        <v>854.70085468789489</v>
      </c>
      <c r="I722">
        <f t="shared" si="144"/>
        <v>95937396182199.141</v>
      </c>
      <c r="J722" s="28">
        <v>0.70199999999999996</v>
      </c>
      <c r="K722">
        <f t="shared" si="145"/>
        <v>95937396293471.766</v>
      </c>
      <c r="M722">
        <f t="shared" si="146"/>
        <v>9863.6600861599418</v>
      </c>
      <c r="N722" s="28">
        <v>0.70199999999999996</v>
      </c>
      <c r="O722">
        <f t="shared" si="147"/>
        <v>1454.700854678797</v>
      </c>
      <c r="Q722">
        <f t="shared" si="148"/>
        <v>39569948407167.328</v>
      </c>
      <c r="R722" s="28">
        <v>0.70199999999999996</v>
      </c>
      <c r="S722">
        <f t="shared" si="149"/>
        <v>39569948413066.023</v>
      </c>
      <c r="U722">
        <f t="shared" si="150"/>
        <v>441054328.063766</v>
      </c>
      <c r="V722" s="48">
        <v>0.70199999999999996</v>
      </c>
      <c r="W722">
        <f t="shared" si="151"/>
        <v>441072952.52845424</v>
      </c>
      <c r="Y722">
        <f t="shared" si="152"/>
        <v>6443.17779411216</v>
      </c>
      <c r="Z722" s="28">
        <v>0.70199999999999996</v>
      </c>
      <c r="AA722">
        <f t="shared" si="153"/>
        <v>854.6991984847316</v>
      </c>
    </row>
    <row r="723" spans="1:27" x14ac:dyDescent="0.2">
      <c r="A723">
        <f t="shared" si="140"/>
        <v>57857525824509.594</v>
      </c>
      <c r="B723" s="28">
        <v>0.70299999999999996</v>
      </c>
      <c r="C723">
        <f t="shared" si="141"/>
        <v>57857525930483.523</v>
      </c>
      <c r="E723">
        <f t="shared" si="142"/>
        <v>9925.9063082285793</v>
      </c>
      <c r="F723" s="28">
        <v>0.70299999999999996</v>
      </c>
      <c r="G723">
        <f t="shared" si="143"/>
        <v>853.48506399878966</v>
      </c>
      <c r="I723">
        <f t="shared" si="144"/>
        <v>98531366548340.812</v>
      </c>
      <c r="J723" s="28">
        <v>0.70299999999999996</v>
      </c>
      <c r="K723">
        <f t="shared" si="145"/>
        <v>98531366659613.438</v>
      </c>
      <c r="M723">
        <f t="shared" si="146"/>
        <v>9864.8758768488005</v>
      </c>
      <c r="N723" s="28">
        <v>0.70299999999999996</v>
      </c>
      <c r="O723">
        <f t="shared" si="147"/>
        <v>1453.4850639899387</v>
      </c>
      <c r="Q723">
        <f t="shared" si="148"/>
        <v>40673840723831.219</v>
      </c>
      <c r="R723" s="28">
        <v>0.70299999999999996</v>
      </c>
      <c r="S723">
        <f t="shared" si="149"/>
        <v>40673840729729.914</v>
      </c>
      <c r="U723">
        <f t="shared" si="150"/>
        <v>448757738.65421146</v>
      </c>
      <c r="V723" s="48">
        <v>0.70299999999999996</v>
      </c>
      <c r="W723">
        <f t="shared" si="151"/>
        <v>448776363.1188997</v>
      </c>
      <c r="Y723">
        <f t="shared" si="152"/>
        <v>6444.3935517444597</v>
      </c>
      <c r="Z723" s="28">
        <v>0.70299999999999996</v>
      </c>
      <c r="AA723">
        <f t="shared" si="153"/>
        <v>853.48344085243241</v>
      </c>
    </row>
    <row r="724" spans="1:27" x14ac:dyDescent="0.2">
      <c r="A724">
        <f t="shared" si="140"/>
        <v>59386155151555.312</v>
      </c>
      <c r="B724" s="28">
        <v>0.70399999999999996</v>
      </c>
      <c r="C724">
        <f t="shared" si="141"/>
        <v>59386155257529.242</v>
      </c>
      <c r="E724">
        <f t="shared" si="142"/>
        <v>9927.118644966873</v>
      </c>
      <c r="F724" s="28">
        <v>0.70399999999999996</v>
      </c>
      <c r="G724">
        <f t="shared" si="143"/>
        <v>852.27272726049591</v>
      </c>
      <c r="I724">
        <f t="shared" si="144"/>
        <v>101194008447557.22</v>
      </c>
      <c r="J724" s="28">
        <v>0.70399999999999996</v>
      </c>
      <c r="K724">
        <f t="shared" si="145"/>
        <v>101194008558829.84</v>
      </c>
      <c r="M724">
        <f t="shared" si="146"/>
        <v>9866.0882135868524</v>
      </c>
      <c r="N724" s="28">
        <v>0.70399999999999996</v>
      </c>
      <c r="O724">
        <f t="shared" si="147"/>
        <v>1452.2727272518853</v>
      </c>
      <c r="Q724">
        <f t="shared" si="148"/>
        <v>41807853296001.891</v>
      </c>
      <c r="R724" s="28">
        <v>0.70399999999999996</v>
      </c>
      <c r="S724">
        <f t="shared" si="149"/>
        <v>41807853301900.586</v>
      </c>
      <c r="U724">
        <f t="shared" si="150"/>
        <v>456596614.18547779</v>
      </c>
      <c r="V724" s="48">
        <v>0.70399999999999996</v>
      </c>
      <c r="W724">
        <f t="shared" si="151"/>
        <v>456615238.65016603</v>
      </c>
      <c r="Y724">
        <f t="shared" si="152"/>
        <v>6445.6058560889578</v>
      </c>
      <c r="Z724" s="28">
        <v>0.70399999999999996</v>
      </c>
      <c r="AA724">
        <f t="shared" si="153"/>
        <v>852.27113650793376</v>
      </c>
    </row>
    <row r="725" spans="1:27" x14ac:dyDescent="0.2">
      <c r="A725">
        <f t="shared" si="140"/>
        <v>60954311342859.859</v>
      </c>
      <c r="B725" s="28">
        <v>0.70499999999999996</v>
      </c>
      <c r="C725">
        <f t="shared" si="141"/>
        <v>60954311448833.789</v>
      </c>
      <c r="E725">
        <f t="shared" si="142"/>
        <v>9928.3275424520161</v>
      </c>
      <c r="F725" s="28">
        <v>0.70499999999999996</v>
      </c>
      <c r="G725">
        <f t="shared" si="143"/>
        <v>851.06382977535134</v>
      </c>
      <c r="I725">
        <f t="shared" si="144"/>
        <v>103927100908989</v>
      </c>
      <c r="J725" s="28">
        <v>0.70499999999999996</v>
      </c>
      <c r="K725">
        <f t="shared" si="145"/>
        <v>103927101020261.62</v>
      </c>
      <c r="M725">
        <f t="shared" si="146"/>
        <v>9867.2971110717644</v>
      </c>
      <c r="N725" s="28">
        <v>0.70499999999999996</v>
      </c>
      <c r="O725">
        <f t="shared" si="147"/>
        <v>1451.0638297669741</v>
      </c>
      <c r="Q725">
        <f t="shared" si="148"/>
        <v>42972789566129.125</v>
      </c>
      <c r="R725" s="28">
        <v>0.70499999999999996</v>
      </c>
      <c r="S725">
        <f t="shared" si="149"/>
        <v>42972789572027.82</v>
      </c>
      <c r="U725">
        <f t="shared" si="150"/>
        <v>464573350.17997545</v>
      </c>
      <c r="V725" s="48">
        <v>0.70499999999999996</v>
      </c>
      <c r="W725">
        <f t="shared" si="151"/>
        <v>464591974.64466369</v>
      </c>
      <c r="Y725">
        <f t="shared" si="152"/>
        <v>6446.8147218299491</v>
      </c>
      <c r="Z725" s="28">
        <v>0.70499999999999996</v>
      </c>
      <c r="AA725">
        <f t="shared" si="153"/>
        <v>851.06227076694302</v>
      </c>
    </row>
    <row r="726" spans="1:27" x14ac:dyDescent="0.2">
      <c r="A726">
        <f t="shared" ref="A726:A789" si="154">ABS($D$11-C726)</f>
        <v>62562994119306.562</v>
      </c>
      <c r="B726" s="28">
        <v>0.70599999999999996</v>
      </c>
      <c r="C726">
        <f t="shared" ref="C726:C789" si="155">($B$4)*(((1+B726)^($B$6*$B$5))-1)/B726</f>
        <v>62562994225280.492</v>
      </c>
      <c r="E726">
        <f t="shared" ref="E726:E789" si="156">ABS($E$12-G726)</f>
        <v>9929.5330152984025</v>
      </c>
      <c r="F726" s="28">
        <v>0.70599999999999996</v>
      </c>
      <c r="G726">
        <f t="shared" ref="G726:G789" si="157">$B$4*(((1-(1+F726)^(-$B$5*$B$6)))/F726)</f>
        <v>849.85835692896546</v>
      </c>
      <c r="I726">
        <f t="shared" ref="I726:I789" si="158">ABS($F$11-K726)</f>
        <v>106732468037055.88</v>
      </c>
      <c r="J726" s="28">
        <v>0.70599999999999996</v>
      </c>
      <c r="K726">
        <f t="shared" ref="K726:K789" si="159">($B$4*(1+J726)*(((1+J726)^($B$6*$B$5))-1))/J726</f>
        <v>106732468148328.5</v>
      </c>
      <c r="M726">
        <f t="shared" ref="M726:M789" si="160">ABS($G$12-O726)</f>
        <v>9868.5025839179234</v>
      </c>
      <c r="N726" s="28">
        <v>0.70599999999999996</v>
      </c>
      <c r="O726">
        <f t="shared" ref="O726:O789" si="161">($B$4*(1+N726)*(1-((1+N726)^(-$B$6*$B$5))))/N726</f>
        <v>1449.8583569208151</v>
      </c>
      <c r="Q726">
        <f t="shared" ref="Q726:Q789" si="162">ABS($H$11-S726)</f>
        <v>44169473917749.328</v>
      </c>
      <c r="R726" s="28">
        <v>0.70599999999999996</v>
      </c>
      <c r="S726">
        <f t="shared" ref="S726:S789" si="163">$B$3*((1+R726)^($B$6*$B$5))</f>
        <v>44169473923648.023</v>
      </c>
      <c r="U726">
        <f t="shared" ref="U726:U789" si="164">ABS($I$11-W726)</f>
        <v>472690384.72145563</v>
      </c>
      <c r="V726" s="48">
        <v>0.70599999999999996</v>
      </c>
      <c r="W726">
        <f t="shared" ref="W726:W789" si="165">($B$4*(EXP(V726*$B$6)-1))/V726</f>
        <v>472709009.18614388</v>
      </c>
      <c r="Y726">
        <f t="shared" ref="Y726:Y789" si="166">ABS($I$12-AA726)</f>
        <v>6448.0201635687217</v>
      </c>
      <c r="Z726" s="28">
        <v>0.70599999999999996</v>
      </c>
      <c r="AA726">
        <f t="shared" ref="AA726:AA789" si="167">$B$4*(1-EXP(-Z726*$B$6))/Z726</f>
        <v>849.85682902816995</v>
      </c>
    </row>
    <row r="727" spans="1:27" x14ac:dyDescent="0.2">
      <c r="A727">
        <f t="shared" si="154"/>
        <v>64213227919251.531</v>
      </c>
      <c r="B727" s="28">
        <v>0.70699999999999996</v>
      </c>
      <c r="C727">
        <f t="shared" si="155"/>
        <v>64213228025225.461</v>
      </c>
      <c r="E727">
        <f t="shared" si="156"/>
        <v>9930.7350780377346</v>
      </c>
      <c r="F727" s="28">
        <v>0.70699999999999996</v>
      </c>
      <c r="G727">
        <f t="shared" si="157"/>
        <v>848.65629418963272</v>
      </c>
      <c r="I727">
        <f t="shared" si="158"/>
        <v>109611980127787.2</v>
      </c>
      <c r="J727" s="28">
        <v>0.70699999999999996</v>
      </c>
      <c r="K727">
        <f t="shared" si="159"/>
        <v>109611980239059.83</v>
      </c>
      <c r="M727">
        <f t="shared" si="160"/>
        <v>9869.7046466570355</v>
      </c>
      <c r="N727" s="28">
        <v>0.70699999999999996</v>
      </c>
      <c r="O727">
        <f t="shared" si="161"/>
        <v>1448.6562941817028</v>
      </c>
      <c r="Q727">
        <f t="shared" si="162"/>
        <v>45398752208535.703</v>
      </c>
      <c r="R727" s="28">
        <v>0.70699999999999996</v>
      </c>
      <c r="S727">
        <f t="shared" si="163"/>
        <v>45398752214434.398</v>
      </c>
      <c r="U727">
        <f t="shared" si="164"/>
        <v>480950199.21424395</v>
      </c>
      <c r="V727" s="48">
        <v>0.70699999999999996</v>
      </c>
      <c r="W727">
        <f t="shared" si="165"/>
        <v>480968823.67893219</v>
      </c>
      <c r="Y727">
        <f t="shared" si="166"/>
        <v>6449.2221958241498</v>
      </c>
      <c r="Z727" s="28">
        <v>0.70699999999999996</v>
      </c>
      <c r="AA727">
        <f t="shared" si="167"/>
        <v>848.65479677274232</v>
      </c>
    </row>
    <row r="728" spans="1:27" x14ac:dyDescent="0.2">
      <c r="A728">
        <f t="shared" si="154"/>
        <v>65906062495558.945</v>
      </c>
      <c r="B728" s="28">
        <v>0.70799999999999996</v>
      </c>
      <c r="C728">
        <f t="shared" si="155"/>
        <v>65906062601532.875</v>
      </c>
      <c r="E728">
        <f t="shared" si="156"/>
        <v>9931.9337451196207</v>
      </c>
      <c r="F728" s="28">
        <v>0.70799999999999996</v>
      </c>
      <c r="G728">
        <f t="shared" si="157"/>
        <v>847.45762710774693</v>
      </c>
      <c r="I728">
        <f t="shared" si="158"/>
        <v>112567554812145.53</v>
      </c>
      <c r="J728" s="28">
        <v>0.70799999999999996</v>
      </c>
      <c r="K728">
        <f t="shared" si="159"/>
        <v>112567554923418.16</v>
      </c>
      <c r="M728">
        <f t="shared" si="160"/>
        <v>9870.9033137387069</v>
      </c>
      <c r="N728" s="28">
        <v>0.70799999999999996</v>
      </c>
      <c r="O728">
        <f t="shared" si="161"/>
        <v>1447.4576271000319</v>
      </c>
      <c r="Q728">
        <f t="shared" si="162"/>
        <v>46661492316586.578</v>
      </c>
      <c r="R728" s="28">
        <v>0.70799999999999996</v>
      </c>
      <c r="S728">
        <f t="shared" si="163"/>
        <v>46661492322485.273</v>
      </c>
      <c r="U728">
        <f t="shared" si="164"/>
        <v>489355319.1560781</v>
      </c>
      <c r="V728" s="48">
        <v>0.70799999999999996</v>
      </c>
      <c r="W728">
        <f t="shared" si="165"/>
        <v>489373943.62076634</v>
      </c>
      <c r="Y728">
        <f t="shared" si="166"/>
        <v>6450.4208330332649</v>
      </c>
      <c r="Z728" s="28">
        <v>0.70799999999999996</v>
      </c>
      <c r="AA728">
        <f t="shared" si="167"/>
        <v>847.45615956362724</v>
      </c>
    </row>
    <row r="729" spans="1:27" x14ac:dyDescent="0.2">
      <c r="A729">
        <f t="shared" si="154"/>
        <v>67642573526723.875</v>
      </c>
      <c r="B729" s="28">
        <v>0.70899999999999996</v>
      </c>
      <c r="C729">
        <f t="shared" si="155"/>
        <v>67642573632697.805</v>
      </c>
      <c r="E729">
        <f t="shared" si="156"/>
        <v>9933.129030912145</v>
      </c>
      <c r="F729" s="28">
        <v>0.70899999999999996</v>
      </c>
      <c r="G729">
        <f t="shared" si="157"/>
        <v>846.26234131522358</v>
      </c>
      <c r="I729">
        <f t="shared" si="158"/>
        <v>115601158227007.92</v>
      </c>
      <c r="J729" s="28">
        <v>0.70899999999999996</v>
      </c>
      <c r="K729">
        <f t="shared" si="159"/>
        <v>115601158338280.55</v>
      </c>
      <c r="M729">
        <f t="shared" si="160"/>
        <v>9872.098599531022</v>
      </c>
      <c r="N729" s="28">
        <v>0.70899999999999996</v>
      </c>
      <c r="O729">
        <f t="shared" si="161"/>
        <v>1446.2623413077172</v>
      </c>
      <c r="Q729">
        <f t="shared" si="162"/>
        <v>47958584700284.047</v>
      </c>
      <c r="R729" s="28">
        <v>0.70899999999999996</v>
      </c>
      <c r="S729">
        <f t="shared" si="163"/>
        <v>47958584706182.742</v>
      </c>
      <c r="U729">
        <f t="shared" si="164"/>
        <v>497908314.92476767</v>
      </c>
      <c r="V729" s="48">
        <v>0.70899999999999996</v>
      </c>
      <c r="W729">
        <f t="shared" si="165"/>
        <v>497926939.38945591</v>
      </c>
      <c r="Y729">
        <f t="shared" si="166"/>
        <v>6451.6160895518333</v>
      </c>
      <c r="Z729" s="28">
        <v>0.70899999999999996</v>
      </c>
      <c r="AA729">
        <f t="shared" si="167"/>
        <v>846.26090304505828</v>
      </c>
    </row>
    <row r="730" spans="1:27" x14ac:dyDescent="0.2">
      <c r="A730">
        <f t="shared" si="154"/>
        <v>69423863242396.406</v>
      </c>
      <c r="B730" s="28">
        <v>0.71</v>
      </c>
      <c r="C730">
        <f t="shared" si="155"/>
        <v>69423863348370.336</v>
      </c>
      <c r="E730">
        <f t="shared" si="156"/>
        <v>9934.3209497024436</v>
      </c>
      <c r="F730" s="28">
        <v>0.71</v>
      </c>
      <c r="G730">
        <f t="shared" si="157"/>
        <v>845.07042252492465</v>
      </c>
      <c r="I730">
        <f t="shared" si="158"/>
        <v>118714806214440.66</v>
      </c>
      <c r="J730" s="28">
        <v>0.71</v>
      </c>
      <c r="K730">
        <f t="shared" si="159"/>
        <v>118714806325713.28</v>
      </c>
      <c r="M730">
        <f t="shared" si="160"/>
        <v>9873.2905183211169</v>
      </c>
      <c r="N730" s="28">
        <v>0.71</v>
      </c>
      <c r="O730">
        <f t="shared" si="161"/>
        <v>1445.070422517621</v>
      </c>
      <c r="Q730">
        <f t="shared" si="162"/>
        <v>49290942972044.242</v>
      </c>
      <c r="R730" s="28">
        <v>0.71</v>
      </c>
      <c r="S730">
        <f t="shared" si="163"/>
        <v>49290942977942.938</v>
      </c>
      <c r="U730">
        <f t="shared" si="164"/>
        <v>506611802.57895207</v>
      </c>
      <c r="V730" s="48">
        <v>0.71</v>
      </c>
      <c r="W730">
        <f t="shared" si="165"/>
        <v>506630427.04364032</v>
      </c>
      <c r="Y730">
        <f t="shared" si="166"/>
        <v>6452.8079796549255</v>
      </c>
      <c r="Z730" s="28">
        <v>0.71</v>
      </c>
      <c r="AA730">
        <f t="shared" si="167"/>
        <v>845.06901294196598</v>
      </c>
    </row>
    <row r="731" spans="1:27" x14ac:dyDescent="0.2">
      <c r="A731">
        <f t="shared" si="154"/>
        <v>71251061063640.641</v>
      </c>
      <c r="B731" s="28">
        <v>0.71099999999999997</v>
      </c>
      <c r="C731">
        <f t="shared" si="155"/>
        <v>71251061169614.578</v>
      </c>
      <c r="E731">
        <f t="shared" si="156"/>
        <v>9935.5095156972784</v>
      </c>
      <c r="F731" s="28">
        <v>0.71099999999999997</v>
      </c>
      <c r="G731">
        <f t="shared" si="157"/>
        <v>843.88185653008975</v>
      </c>
      <c r="I731">
        <f t="shared" si="158"/>
        <v>121910565549937.91</v>
      </c>
      <c r="J731" s="28">
        <v>0.71099999999999997</v>
      </c>
      <c r="K731">
        <f t="shared" si="159"/>
        <v>121910565661210.53</v>
      </c>
      <c r="M731">
        <f t="shared" si="160"/>
        <v>9874.4790843157552</v>
      </c>
      <c r="N731" s="28">
        <v>0.71099999999999997</v>
      </c>
      <c r="O731">
        <f t="shared" si="161"/>
        <v>1443.8818565229833</v>
      </c>
      <c r="Q731">
        <f t="shared" si="162"/>
        <v>50659504486297.266</v>
      </c>
      <c r="R731" s="28">
        <v>0.71099999999999997</v>
      </c>
      <c r="S731">
        <f t="shared" si="163"/>
        <v>50659504492195.961</v>
      </c>
      <c r="U731">
        <f t="shared" si="164"/>
        <v>515468444.6731801</v>
      </c>
      <c r="V731" s="48">
        <v>0.71099999999999997</v>
      </c>
      <c r="W731">
        <f t="shared" si="165"/>
        <v>515487069.13786834</v>
      </c>
      <c r="Y731">
        <f t="shared" si="166"/>
        <v>6453.9965175374782</v>
      </c>
      <c r="Z731" s="28">
        <v>0.71099999999999997</v>
      </c>
      <c r="AA731">
        <f t="shared" si="167"/>
        <v>843.8804750594137</v>
      </c>
    </row>
    <row r="732" spans="1:27" x14ac:dyDescent="0.2">
      <c r="A732">
        <f t="shared" si="154"/>
        <v>73125324258269.641</v>
      </c>
      <c r="B732" s="28">
        <v>0.71199999999999997</v>
      </c>
      <c r="C732">
        <f t="shared" si="155"/>
        <v>73125324364243.578</v>
      </c>
      <c r="E732">
        <f t="shared" si="156"/>
        <v>9936.6947430235959</v>
      </c>
      <c r="F732" s="28">
        <v>0.71199999999999997</v>
      </c>
      <c r="G732">
        <f t="shared" si="157"/>
        <v>842.69662920377186</v>
      </c>
      <c r="I732">
        <f t="shared" si="158"/>
        <v>125190555200312.38</v>
      </c>
      <c r="J732" s="28">
        <v>0.71199999999999997</v>
      </c>
      <c r="K732">
        <f t="shared" si="159"/>
        <v>125190555311585</v>
      </c>
      <c r="M732">
        <f t="shared" si="160"/>
        <v>9875.6643116418818</v>
      </c>
      <c r="N732" s="28">
        <v>0.71199999999999997</v>
      </c>
      <c r="O732">
        <f t="shared" si="161"/>
        <v>1442.6966291968574</v>
      </c>
      <c r="Q732">
        <f t="shared" si="162"/>
        <v>52065230942042.727</v>
      </c>
      <c r="R732" s="28">
        <v>0.71199999999999997</v>
      </c>
      <c r="S732">
        <f t="shared" si="163"/>
        <v>52065230947941.422</v>
      </c>
      <c r="U732">
        <f t="shared" si="164"/>
        <v>524480951.0875991</v>
      </c>
      <c r="V732" s="48">
        <v>0.71199999999999997</v>
      </c>
      <c r="W732">
        <f t="shared" si="165"/>
        <v>524499575.55228734</v>
      </c>
      <c r="Y732">
        <f t="shared" si="166"/>
        <v>6455.1817173148529</v>
      </c>
      <c r="Z732" s="28">
        <v>0.71199999999999997</v>
      </c>
      <c r="AA732">
        <f t="shared" si="167"/>
        <v>842.69527528203878</v>
      </c>
    </row>
    <row r="733" spans="1:27" x14ac:dyDescent="0.2">
      <c r="A733">
        <f t="shared" si="154"/>
        <v>75047838611597.5</v>
      </c>
      <c r="B733" s="28">
        <v>0.71299999999999997</v>
      </c>
      <c r="C733">
        <f t="shared" si="155"/>
        <v>75047838717571.438</v>
      </c>
      <c r="E733">
        <f t="shared" si="156"/>
        <v>9937.8766457290913</v>
      </c>
      <c r="F733" s="28">
        <v>0.71299999999999997</v>
      </c>
      <c r="G733">
        <f t="shared" si="157"/>
        <v>841.51472649827792</v>
      </c>
      <c r="I733">
        <f t="shared" si="158"/>
        <v>128556947611927.23</v>
      </c>
      <c r="J733" s="28">
        <v>0.71299999999999997</v>
      </c>
      <c r="K733">
        <f t="shared" si="159"/>
        <v>128556947723199.86</v>
      </c>
      <c r="M733">
        <f t="shared" si="160"/>
        <v>9876.8462143471879</v>
      </c>
      <c r="N733" s="28">
        <v>0.71299999999999997</v>
      </c>
      <c r="O733">
        <f t="shared" si="161"/>
        <v>1441.5147264915502</v>
      </c>
      <c r="Q733">
        <f t="shared" si="162"/>
        <v>53509109000329.734</v>
      </c>
      <c r="R733" s="28">
        <v>0.71299999999999997</v>
      </c>
      <c r="S733">
        <f t="shared" si="163"/>
        <v>53509109006228.43</v>
      </c>
      <c r="U733">
        <f t="shared" si="164"/>
        <v>533652079.87248558</v>
      </c>
      <c r="V733" s="48">
        <v>0.71299999999999997</v>
      </c>
      <c r="W733">
        <f t="shared" si="165"/>
        <v>533670704.33717382</v>
      </c>
      <c r="Y733">
        <f t="shared" si="166"/>
        <v>6456.363593023395</v>
      </c>
      <c r="Z733" s="28">
        <v>0.71299999999999997</v>
      </c>
      <c r="AA733">
        <f t="shared" si="167"/>
        <v>841.51339957349671</v>
      </c>
    </row>
    <row r="734" spans="1:27" x14ac:dyDescent="0.2">
      <c r="A734">
        <f t="shared" si="154"/>
        <v>77019819112967.516</v>
      </c>
      <c r="B734" s="28">
        <v>0.71399999999999997</v>
      </c>
      <c r="C734">
        <f t="shared" si="155"/>
        <v>77019819218941.453</v>
      </c>
      <c r="E734">
        <f t="shared" si="156"/>
        <v>9939.0552377827553</v>
      </c>
      <c r="F734" s="28">
        <v>0.71399999999999997</v>
      </c>
      <c r="G734">
        <f t="shared" si="157"/>
        <v>840.33613444461298</v>
      </c>
      <c r="I734">
        <f t="shared" si="158"/>
        <v>132011970029993.05</v>
      </c>
      <c r="J734" s="28">
        <v>0.71399999999999997</v>
      </c>
      <c r="K734">
        <f t="shared" si="159"/>
        <v>132011970141265.67</v>
      </c>
      <c r="M734">
        <f t="shared" si="160"/>
        <v>9878.0248064006719</v>
      </c>
      <c r="N734" s="28">
        <v>0.71399999999999997</v>
      </c>
      <c r="O734">
        <f t="shared" si="161"/>
        <v>1440.3361344380669</v>
      </c>
      <c r="Q734">
        <f t="shared" si="162"/>
        <v>54992150917025.5</v>
      </c>
      <c r="R734" s="28">
        <v>0.71399999999999997</v>
      </c>
      <c r="S734">
        <f t="shared" si="163"/>
        <v>54992150922924.195</v>
      </c>
      <c r="U734">
        <f t="shared" si="164"/>
        <v>542984638.10791302</v>
      </c>
      <c r="V734" s="48">
        <v>0.71399999999999997</v>
      </c>
      <c r="W734">
        <f t="shared" si="165"/>
        <v>543003262.57260132</v>
      </c>
      <c r="Y734">
        <f t="shared" si="166"/>
        <v>6457.5421586209795</v>
      </c>
      <c r="Z734" s="28">
        <v>0.71399999999999997</v>
      </c>
      <c r="AA734">
        <f t="shared" si="167"/>
        <v>840.33483397591203</v>
      </c>
    </row>
    <row r="735" spans="1:27" x14ac:dyDescent="0.2">
      <c r="A735">
        <f t="shared" si="154"/>
        <v>79042510658419.156</v>
      </c>
      <c r="B735" s="28">
        <v>0.71499999999999997</v>
      </c>
      <c r="C735">
        <f t="shared" si="155"/>
        <v>79042510764393.094</v>
      </c>
      <c r="E735">
        <f t="shared" si="156"/>
        <v>9940.2305330754389</v>
      </c>
      <c r="F735" s="28">
        <v>0.71499999999999997</v>
      </c>
      <c r="G735">
        <f t="shared" si="157"/>
        <v>839.16083915193008</v>
      </c>
      <c r="I735">
        <f t="shared" si="158"/>
        <v>135557905849661.52</v>
      </c>
      <c r="J735" s="28">
        <v>0.71499999999999997</v>
      </c>
      <c r="K735">
        <f t="shared" si="159"/>
        <v>135557905960934.14</v>
      </c>
      <c r="M735">
        <f t="shared" si="160"/>
        <v>9879.2001016931772</v>
      </c>
      <c r="N735" s="28">
        <v>0.71499999999999997</v>
      </c>
      <c r="O735">
        <f t="shared" si="161"/>
        <v>1439.1608391455604</v>
      </c>
      <c r="Q735">
        <f t="shared" si="162"/>
        <v>56515395191242.359</v>
      </c>
      <c r="R735" s="28">
        <v>0.71499999999999997</v>
      </c>
      <c r="S735">
        <f t="shared" si="163"/>
        <v>56515395197141.055</v>
      </c>
      <c r="U735">
        <f t="shared" si="164"/>
        <v>552481482.7788012</v>
      </c>
      <c r="V735" s="48">
        <v>0.71499999999999997</v>
      </c>
      <c r="W735">
        <f t="shared" si="165"/>
        <v>552500107.2434895</v>
      </c>
      <c r="Y735">
        <f t="shared" si="166"/>
        <v>6458.7174279875599</v>
      </c>
      <c r="Z735" s="28">
        <v>0.71499999999999997</v>
      </c>
      <c r="AA735">
        <f t="shared" si="167"/>
        <v>839.15956460933194</v>
      </c>
    </row>
    <row r="736" spans="1:27" x14ac:dyDescent="0.2">
      <c r="A736">
        <f t="shared" si="154"/>
        <v>81117188769855.5</v>
      </c>
      <c r="B736" s="28">
        <v>0.71599999999999997</v>
      </c>
      <c r="C736">
        <f t="shared" si="155"/>
        <v>81117188875829.438</v>
      </c>
      <c r="E736">
        <f t="shared" si="156"/>
        <v>9941.402545420382</v>
      </c>
      <c r="F736" s="28">
        <v>0.71599999999999997</v>
      </c>
      <c r="G736">
        <f t="shared" si="157"/>
        <v>837.98882680698546</v>
      </c>
      <c r="I736">
        <f t="shared" si="158"/>
        <v>139197095999650.67</v>
      </c>
      <c r="J736" s="28">
        <v>0.71599999999999997</v>
      </c>
      <c r="K736">
        <f t="shared" si="159"/>
        <v>139197096110923.3</v>
      </c>
      <c r="M736">
        <f t="shared" si="160"/>
        <v>9880.3721140379512</v>
      </c>
      <c r="N736" s="28">
        <v>0.71599999999999997</v>
      </c>
      <c r="O736">
        <f t="shared" si="161"/>
        <v>1437.9888268007871</v>
      </c>
      <c r="Q736">
        <f t="shared" si="162"/>
        <v>58079907229795.18</v>
      </c>
      <c r="R736" s="28">
        <v>0.71599999999999997</v>
      </c>
      <c r="S736">
        <f t="shared" si="163"/>
        <v>58079907235693.875</v>
      </c>
      <c r="U736">
        <f t="shared" si="164"/>
        <v>562145521.66565025</v>
      </c>
      <c r="V736" s="48">
        <v>0.71599999999999997</v>
      </c>
      <c r="W736">
        <f t="shared" si="165"/>
        <v>562164146.13033855</v>
      </c>
      <c r="Y736">
        <f t="shared" si="166"/>
        <v>6459.8894149257067</v>
      </c>
      <c r="Z736" s="28">
        <v>0.71599999999999997</v>
      </c>
      <c r="AA736">
        <f t="shared" si="167"/>
        <v>837.98757767118548</v>
      </c>
    </row>
    <row r="737" spans="1:27" x14ac:dyDescent="0.2">
      <c r="A737">
        <f t="shared" si="154"/>
        <v>83245160331099.156</v>
      </c>
      <c r="B737" s="28">
        <v>0.71699999999999997</v>
      </c>
      <c r="C737">
        <f t="shared" si="155"/>
        <v>83245160437073.094</v>
      </c>
      <c r="E737">
        <f t="shared" si="156"/>
        <v>9942.5712885537723</v>
      </c>
      <c r="F737" s="28">
        <v>0.71699999999999997</v>
      </c>
      <c r="G737">
        <f t="shared" si="157"/>
        <v>836.82008367359617</v>
      </c>
      <c r="I737">
        <f t="shared" si="158"/>
        <v>142931940359181.88</v>
      </c>
      <c r="J737" s="28">
        <v>0.71699999999999997</v>
      </c>
      <c r="K737">
        <f t="shared" si="159"/>
        <v>142931940470454.5</v>
      </c>
      <c r="M737">
        <f t="shared" si="160"/>
        <v>9881.5408571711741</v>
      </c>
      <c r="N737" s="28">
        <v>0.71699999999999997</v>
      </c>
      <c r="O737">
        <f t="shared" si="161"/>
        <v>1436.8200836675646</v>
      </c>
      <c r="Q737">
        <f t="shared" si="162"/>
        <v>59686780028082.711</v>
      </c>
      <c r="R737" s="28">
        <v>0.71699999999999997</v>
      </c>
      <c r="S737">
        <f t="shared" si="163"/>
        <v>59686780033981.406</v>
      </c>
      <c r="U737">
        <f t="shared" si="164"/>
        <v>571979714.25121295</v>
      </c>
      <c r="V737" s="48">
        <v>0.71699999999999997</v>
      </c>
      <c r="W737">
        <f t="shared" si="165"/>
        <v>571998338.71590126</v>
      </c>
      <c r="Y737">
        <f t="shared" si="166"/>
        <v>6461.0581331611456</v>
      </c>
      <c r="Z737" s="28">
        <v>0.71699999999999997</v>
      </c>
      <c r="AA737">
        <f t="shared" si="167"/>
        <v>836.8188594357465</v>
      </c>
    </row>
    <row r="738" spans="1:27" x14ac:dyDescent="0.2">
      <c r="A738">
        <f t="shared" si="154"/>
        <v>85427764341220.453</v>
      </c>
      <c r="B738" s="28">
        <v>0.71799999999999997</v>
      </c>
      <c r="C738">
        <f t="shared" si="155"/>
        <v>85427764447194.391</v>
      </c>
      <c r="E738">
        <f t="shared" si="156"/>
        <v>9943.7367761352634</v>
      </c>
      <c r="F738" s="28">
        <v>0.71799999999999997</v>
      </c>
      <c r="G738">
        <f t="shared" si="157"/>
        <v>835.65459609210416</v>
      </c>
      <c r="I738">
        <f t="shared" si="158"/>
        <v>146764899209007.31</v>
      </c>
      <c r="J738" s="28">
        <v>0.71799999999999997</v>
      </c>
      <c r="K738">
        <f t="shared" si="159"/>
        <v>146764899320279.94</v>
      </c>
      <c r="M738">
        <f t="shared" si="160"/>
        <v>9882.7063447525034</v>
      </c>
      <c r="N738" s="28">
        <v>0.71799999999999997</v>
      </c>
      <c r="O738">
        <f t="shared" si="161"/>
        <v>1435.654596086235</v>
      </c>
      <c r="Q738">
        <f t="shared" si="162"/>
        <v>61337134867786.875</v>
      </c>
      <c r="R738" s="28">
        <v>0.71799999999999997</v>
      </c>
      <c r="S738">
        <f t="shared" si="163"/>
        <v>61337134873685.57</v>
      </c>
      <c r="U738">
        <f t="shared" si="164"/>
        <v>581987072.64342272</v>
      </c>
      <c r="V738" s="48">
        <v>0.71799999999999997</v>
      </c>
      <c r="W738">
        <f t="shared" si="165"/>
        <v>582005697.10811102</v>
      </c>
      <c r="Y738">
        <f t="shared" si="166"/>
        <v>6462.2235963432895</v>
      </c>
      <c r="Z738" s="28">
        <v>0.71799999999999997</v>
      </c>
      <c r="AA738">
        <f t="shared" si="167"/>
        <v>835.65339625360218</v>
      </c>
    </row>
    <row r="739" spans="1:27" x14ac:dyDescent="0.2">
      <c r="A739">
        <f t="shared" si="154"/>
        <v>87666372685528.703</v>
      </c>
      <c r="B739" s="28">
        <v>0.71899999999999997</v>
      </c>
      <c r="C739">
        <f t="shared" si="155"/>
        <v>87666372791502.641</v>
      </c>
      <c r="E739">
        <f t="shared" si="156"/>
        <v>9944.8990217485243</v>
      </c>
      <c r="F739" s="28">
        <v>0.71899999999999997</v>
      </c>
      <c r="G739">
        <f t="shared" si="157"/>
        <v>834.49235047884383</v>
      </c>
      <c r="I739">
        <f t="shared" si="158"/>
        <v>150698494717320.38</v>
      </c>
      <c r="J739" s="28">
        <v>0.71899999999999997</v>
      </c>
      <c r="K739">
        <f t="shared" si="159"/>
        <v>150698494828593</v>
      </c>
      <c r="M739">
        <f t="shared" si="160"/>
        <v>9883.868590365606</v>
      </c>
      <c r="N739" s="28">
        <v>0.71899999999999997</v>
      </c>
      <c r="O739">
        <f t="shared" si="161"/>
        <v>1434.4923504731323</v>
      </c>
      <c r="Q739">
        <f t="shared" si="162"/>
        <v>63032122031791.695</v>
      </c>
      <c r="R739" s="28">
        <v>0.71899999999999997</v>
      </c>
      <c r="S739">
        <f t="shared" si="163"/>
        <v>63032122037690.391</v>
      </c>
      <c r="U739">
        <f t="shared" si="164"/>
        <v>592170662.5148356</v>
      </c>
      <c r="V739" s="48">
        <v>0.71899999999999997</v>
      </c>
      <c r="W739">
        <f t="shared" si="165"/>
        <v>592189286.9795239</v>
      </c>
      <c r="Y739">
        <f t="shared" si="166"/>
        <v>6463.3858180457673</v>
      </c>
      <c r="Z739" s="28">
        <v>0.71899999999999997</v>
      </c>
      <c r="AA739">
        <f t="shared" si="167"/>
        <v>834.49117455112435</v>
      </c>
    </row>
    <row r="740" spans="1:27" x14ac:dyDescent="0.2">
      <c r="A740">
        <f t="shared" si="154"/>
        <v>89962390924639.266</v>
      </c>
      <c r="B740" s="28">
        <v>0.72</v>
      </c>
      <c r="C740">
        <f t="shared" si="155"/>
        <v>89962391030613.203</v>
      </c>
      <c r="E740">
        <f t="shared" si="156"/>
        <v>9946.0580389017541</v>
      </c>
      <c r="F740" s="28">
        <v>0.72</v>
      </c>
      <c r="G740">
        <f t="shared" si="157"/>
        <v>833.33333332561403</v>
      </c>
      <c r="I740">
        <f t="shared" si="158"/>
        <v>154735312461382.09</v>
      </c>
      <c r="J740" s="28">
        <v>0.72</v>
      </c>
      <c r="K740">
        <f t="shared" si="159"/>
        <v>154735312572654.72</v>
      </c>
      <c r="M740">
        <f t="shared" si="160"/>
        <v>9885.0276075186812</v>
      </c>
      <c r="N740" s="28">
        <v>0.72</v>
      </c>
      <c r="O740">
        <f t="shared" si="161"/>
        <v>1433.3333333200565</v>
      </c>
      <c r="Q740">
        <f t="shared" si="162"/>
        <v>64772921536742.805</v>
      </c>
      <c r="R740" s="28">
        <v>0.72</v>
      </c>
      <c r="S740">
        <f t="shared" si="163"/>
        <v>64772921542641.5</v>
      </c>
      <c r="U740">
        <f t="shared" si="164"/>
        <v>602533604.0589174</v>
      </c>
      <c r="V740" s="48">
        <v>0.72</v>
      </c>
      <c r="W740">
        <f t="shared" si="165"/>
        <v>602552228.5236057</v>
      </c>
      <c r="Y740">
        <f t="shared" si="166"/>
        <v>6464.5448117669448</v>
      </c>
      <c r="Z740" s="28">
        <v>0.72</v>
      </c>
      <c r="AA740">
        <f t="shared" si="167"/>
        <v>833.33218082994676</v>
      </c>
    </row>
    <row r="741" spans="1:27" x14ac:dyDescent="0.2">
      <c r="A741">
        <f t="shared" si="154"/>
        <v>92317259102018</v>
      </c>
      <c r="B741" s="28">
        <v>0.72099999999999997</v>
      </c>
      <c r="C741">
        <f t="shared" si="155"/>
        <v>92317259207991.938</v>
      </c>
      <c r="E741">
        <f t="shared" si="156"/>
        <v>9947.2138410282132</v>
      </c>
      <c r="F741" s="28">
        <v>0.72099999999999997</v>
      </c>
      <c r="G741">
        <f t="shared" si="157"/>
        <v>832.17753119915585</v>
      </c>
      <c r="I741">
        <f t="shared" si="158"/>
        <v>158878002985681.53</v>
      </c>
      <c r="J741" s="28">
        <v>0.72099999999999997</v>
      </c>
      <c r="K741">
        <f t="shared" si="159"/>
        <v>158878003096954.16</v>
      </c>
      <c r="M741">
        <f t="shared" si="160"/>
        <v>9886.1834096449911</v>
      </c>
      <c r="N741" s="28">
        <v>0.72099999999999997</v>
      </c>
      <c r="O741">
        <f t="shared" si="161"/>
        <v>1432.1775311937474</v>
      </c>
      <c r="Q741">
        <f t="shared" si="162"/>
        <v>66560743883663.492</v>
      </c>
      <c r="R741" s="28">
        <v>0.72099999999999997</v>
      </c>
      <c r="S741">
        <f t="shared" si="163"/>
        <v>66560743889562.188</v>
      </c>
      <c r="U741">
        <f t="shared" si="164"/>
        <v>613079072.96344507</v>
      </c>
      <c r="V741" s="48">
        <v>0.72099999999999997</v>
      </c>
      <c r="W741">
        <f t="shared" si="165"/>
        <v>613097697.42813337</v>
      </c>
      <c r="Y741">
        <f t="shared" si="166"/>
        <v>6465.7005909304471</v>
      </c>
      <c r="Z741" s="28">
        <v>0.72099999999999997</v>
      </c>
      <c r="AA741">
        <f t="shared" si="167"/>
        <v>832.17640166644492</v>
      </c>
    </row>
    <row r="742" spans="1:27" x14ac:dyDescent="0.2">
      <c r="A742">
        <f t="shared" si="154"/>
        <v>94732452570440.938</v>
      </c>
      <c r="B742" s="28">
        <v>0.72199999999999998</v>
      </c>
      <c r="C742">
        <f t="shared" si="155"/>
        <v>94732452676414.875</v>
      </c>
      <c r="E742">
        <f t="shared" si="156"/>
        <v>9948.3664414867362</v>
      </c>
      <c r="F742" s="28">
        <v>0.72199999999999998</v>
      </c>
      <c r="G742">
        <f t="shared" si="157"/>
        <v>831.0249307406325</v>
      </c>
      <c r="I742">
        <f t="shared" si="158"/>
        <v>163129283397513.81</v>
      </c>
      <c r="J742" s="28">
        <v>0.72199999999999998</v>
      </c>
      <c r="K742">
        <f t="shared" si="159"/>
        <v>163129283508786.44</v>
      </c>
      <c r="M742">
        <f t="shared" si="160"/>
        <v>9887.3360101033686</v>
      </c>
      <c r="N742" s="28">
        <v>0.72199999999999998</v>
      </c>
      <c r="O742">
        <f t="shared" si="161"/>
        <v>1431.024930735369</v>
      </c>
      <c r="Q742">
        <f t="shared" si="162"/>
        <v>68396830827072.844</v>
      </c>
      <c r="R742" s="28">
        <v>0.72199999999999998</v>
      </c>
      <c r="S742">
        <f t="shared" si="163"/>
        <v>68396830832971.539</v>
      </c>
      <c r="U742">
        <f t="shared" si="164"/>
        <v>623810301.40136182</v>
      </c>
      <c r="V742" s="48">
        <v>0.72199999999999998</v>
      </c>
      <c r="W742">
        <f t="shared" si="165"/>
        <v>623828925.86605012</v>
      </c>
      <c r="Y742">
        <f t="shared" si="166"/>
        <v>6466.8531688856692</v>
      </c>
      <c r="Z742" s="28">
        <v>0.72199999999999998</v>
      </c>
      <c r="AA742">
        <f t="shared" si="167"/>
        <v>831.02382371122235</v>
      </c>
    </row>
    <row r="743" spans="1:27" x14ac:dyDescent="0.2">
      <c r="A743">
        <f t="shared" si="154"/>
        <v>97209482837787.344</v>
      </c>
      <c r="B743" s="28">
        <v>0.72299999999999998</v>
      </c>
      <c r="C743">
        <f t="shared" si="155"/>
        <v>97209482943761.281</v>
      </c>
      <c r="E743">
        <f t="shared" si="156"/>
        <v>9949.5158535622541</v>
      </c>
      <c r="F743" s="28">
        <v>0.72299999999999998</v>
      </c>
      <c r="G743">
        <f t="shared" si="157"/>
        <v>829.87551866511456</v>
      </c>
      <c r="I743">
        <f t="shared" si="158"/>
        <v>167491939000828.06</v>
      </c>
      <c r="J743" s="28">
        <v>0.72299999999999998</v>
      </c>
      <c r="K743">
        <f t="shared" si="159"/>
        <v>167491939112100.69</v>
      </c>
      <c r="M743">
        <f t="shared" si="160"/>
        <v>9888.4854221787464</v>
      </c>
      <c r="N743" s="28">
        <v>0.72299999999999998</v>
      </c>
      <c r="O743">
        <f t="shared" si="161"/>
        <v>1429.8755186599924</v>
      </c>
      <c r="Q743">
        <f t="shared" si="162"/>
        <v>70282456163040.711</v>
      </c>
      <c r="R743" s="28">
        <v>0.72299999999999998</v>
      </c>
      <c r="S743">
        <f t="shared" si="163"/>
        <v>70282456168939.406</v>
      </c>
      <c r="U743">
        <f t="shared" si="164"/>
        <v>634730579.03936911</v>
      </c>
      <c r="V743" s="48">
        <v>0.72299999999999998</v>
      </c>
      <c r="W743">
        <f t="shared" si="165"/>
        <v>634749203.50405741</v>
      </c>
      <c r="Y743">
        <f t="shared" si="166"/>
        <v>6468.0025589082925</v>
      </c>
      <c r="Z743" s="28">
        <v>0.72299999999999998</v>
      </c>
      <c r="AA743">
        <f t="shared" si="167"/>
        <v>829.87443368859897</v>
      </c>
    </row>
    <row r="744" spans="1:27" x14ac:dyDescent="0.2">
      <c r="A744">
        <f t="shared" si="154"/>
        <v>99749898432613.172</v>
      </c>
      <c r="B744" s="28">
        <v>0.72399999999999998</v>
      </c>
      <c r="C744">
        <f t="shared" si="155"/>
        <v>99749898538587.109</v>
      </c>
      <c r="E744">
        <f t="shared" si="156"/>
        <v>9950.6620904662977</v>
      </c>
      <c r="F744" s="28">
        <v>0.72399999999999998</v>
      </c>
      <c r="G744">
        <f t="shared" si="157"/>
        <v>828.72928176107075</v>
      </c>
      <c r="I744">
        <f t="shared" si="158"/>
        <v>171968824969251.56</v>
      </c>
      <c r="J744" s="28">
        <v>0.72399999999999998</v>
      </c>
      <c r="K744">
        <f t="shared" si="159"/>
        <v>171968825080524.19</v>
      </c>
      <c r="M744">
        <f t="shared" si="160"/>
        <v>9889.6316590826518</v>
      </c>
      <c r="N744" s="28">
        <v>0.72399999999999998</v>
      </c>
      <c r="O744">
        <f t="shared" si="161"/>
        <v>1428.729281756086</v>
      </c>
      <c r="Q744">
        <f t="shared" si="162"/>
        <v>72218926536638.359</v>
      </c>
      <c r="R744" s="28">
        <v>0.72399999999999998</v>
      </c>
      <c r="S744">
        <f t="shared" si="163"/>
        <v>72218926542537.062</v>
      </c>
      <c r="U744">
        <f t="shared" si="164"/>
        <v>645843254.06460416</v>
      </c>
      <c r="V744" s="48">
        <v>0.72399999999999998</v>
      </c>
      <c r="W744">
        <f t="shared" si="165"/>
        <v>645861878.52929246</v>
      </c>
      <c r="Y744">
        <f t="shared" si="166"/>
        <v>6469.1487742007866</v>
      </c>
      <c r="Z744" s="28">
        <v>0.72399999999999998</v>
      </c>
      <c r="AA744">
        <f t="shared" si="167"/>
        <v>828.72821839610492</v>
      </c>
    </row>
    <row r="745" spans="1:27" x14ac:dyDescent="0.2">
      <c r="A745">
        <f t="shared" si="154"/>
        <v>102355285789956.11</v>
      </c>
      <c r="B745" s="28">
        <v>0.72499999999999998</v>
      </c>
      <c r="C745">
        <f t="shared" si="155"/>
        <v>102355285895930.05</v>
      </c>
      <c r="E745">
        <f t="shared" si="156"/>
        <v>9951.8051653375078</v>
      </c>
      <c r="F745" s="28">
        <v>0.72499999999999998</v>
      </c>
      <c r="G745">
        <f t="shared" si="157"/>
        <v>827.58620688986036</v>
      </c>
      <c r="I745">
        <f t="shared" si="158"/>
        <v>176562868059206.72</v>
      </c>
      <c r="J745" s="28">
        <v>0.72499999999999998</v>
      </c>
      <c r="K745">
        <f t="shared" si="159"/>
        <v>176562868170479.34</v>
      </c>
      <c r="M745">
        <f t="shared" si="160"/>
        <v>9890.7747339537291</v>
      </c>
      <c r="N745" s="28">
        <v>0.72499999999999998</v>
      </c>
      <c r="O745">
        <f t="shared" si="161"/>
        <v>1427.586206885009</v>
      </c>
      <c r="Q745">
        <f t="shared" si="162"/>
        <v>74207582269250.578</v>
      </c>
      <c r="R745" s="28">
        <v>0.72499999999999998</v>
      </c>
      <c r="S745">
        <f t="shared" si="163"/>
        <v>74207582275149.281</v>
      </c>
      <c r="U745">
        <f t="shared" si="164"/>
        <v>657151734.22969806</v>
      </c>
      <c r="V745" s="48">
        <v>0.72499999999999998</v>
      </c>
      <c r="W745">
        <f t="shared" si="165"/>
        <v>657170358.69438636</v>
      </c>
      <c r="Y745">
        <f t="shared" si="166"/>
        <v>6470.2918278929137</v>
      </c>
      <c r="Z745" s="28">
        <v>0.72499999999999998</v>
      </c>
      <c r="AA745">
        <f t="shared" si="167"/>
        <v>827.58516470397831</v>
      </c>
    </row>
    <row r="746" spans="1:27" x14ac:dyDescent="0.2">
      <c r="A746">
        <f t="shared" si="154"/>
        <v>105027270157837.36</v>
      </c>
      <c r="B746" s="28">
        <v>0.72599999999999998</v>
      </c>
      <c r="C746">
        <f t="shared" si="155"/>
        <v>105027270263811.3</v>
      </c>
      <c r="E746">
        <f t="shared" si="156"/>
        <v>9952.9450912421362</v>
      </c>
      <c r="F746" s="28">
        <v>0.72599999999999998</v>
      </c>
      <c r="G746">
        <f t="shared" si="157"/>
        <v>826.44628098523231</v>
      </c>
      <c r="I746">
        <f t="shared" si="158"/>
        <v>181277068364065.66</v>
      </c>
      <c r="J746" s="28">
        <v>0.72599999999999998</v>
      </c>
      <c r="K746">
        <f t="shared" si="159"/>
        <v>181277068475338.28</v>
      </c>
      <c r="M746">
        <f t="shared" si="160"/>
        <v>9891.9146598582265</v>
      </c>
      <c r="N746" s="28">
        <v>0.72599999999999998</v>
      </c>
      <c r="O746">
        <f t="shared" si="161"/>
        <v>1426.4462809805109</v>
      </c>
      <c r="Q746">
        <f t="shared" si="162"/>
        <v>76249798206228.297</v>
      </c>
      <c r="R746" s="28">
        <v>0.72599999999999998</v>
      </c>
      <c r="S746">
        <f t="shared" si="163"/>
        <v>76249798212127</v>
      </c>
      <c r="U746">
        <f t="shared" si="164"/>
        <v>668659487.91657007</v>
      </c>
      <c r="V746" s="48">
        <v>0.72599999999999998</v>
      </c>
      <c r="W746">
        <f t="shared" si="165"/>
        <v>668678112.38125837</v>
      </c>
      <c r="Y746">
        <f t="shared" si="166"/>
        <v>6471.4317330422255</v>
      </c>
      <c r="Z746" s="28">
        <v>0.72599999999999998</v>
      </c>
      <c r="AA746">
        <f t="shared" si="167"/>
        <v>826.44525955466656</v>
      </c>
    </row>
    <row r="747" spans="1:27" x14ac:dyDescent="0.2">
      <c r="A747">
        <f t="shared" si="154"/>
        <v>107767516524921.72</v>
      </c>
      <c r="B747" s="28">
        <v>0.72699999999999998</v>
      </c>
      <c r="C747">
        <f t="shared" si="155"/>
        <v>107767516630895.66</v>
      </c>
      <c r="E747">
        <f t="shared" si="156"/>
        <v>9954.0818811745412</v>
      </c>
      <c r="F747" s="28">
        <v>0.72699999999999998</v>
      </c>
      <c r="G747">
        <f t="shared" si="157"/>
        <v>825.30949105282684</v>
      </c>
      <c r="I747">
        <f t="shared" si="158"/>
        <v>186114501110284.16</v>
      </c>
      <c r="J747" s="28">
        <v>0.72699999999999998</v>
      </c>
      <c r="K747">
        <f t="shared" si="159"/>
        <v>186114501221556.78</v>
      </c>
      <c r="M747">
        <f t="shared" si="160"/>
        <v>9893.051449790506</v>
      </c>
      <c r="N747" s="28">
        <v>0.72699999999999998</v>
      </c>
      <c r="O747">
        <f t="shared" si="161"/>
        <v>1425.3094910482318</v>
      </c>
      <c r="Q747">
        <f t="shared" si="162"/>
        <v>78346984585362.438</v>
      </c>
      <c r="R747" s="28">
        <v>0.72699999999999998</v>
      </c>
      <c r="S747">
        <f t="shared" si="163"/>
        <v>78346984591261.141</v>
      </c>
      <c r="U747">
        <f t="shared" si="164"/>
        <v>680370045.21928453</v>
      </c>
      <c r="V747" s="48">
        <v>0.72699999999999998</v>
      </c>
      <c r="W747">
        <f t="shared" si="165"/>
        <v>680388669.68397284</v>
      </c>
      <c r="Y747">
        <f t="shared" si="166"/>
        <v>6472.5685026345591</v>
      </c>
      <c r="Z747" s="28">
        <v>0.72699999999999998</v>
      </c>
      <c r="AA747">
        <f t="shared" si="167"/>
        <v>825.30848996233271</v>
      </c>
    </row>
    <row r="748" spans="1:27" x14ac:dyDescent="0.2">
      <c r="A748">
        <f t="shared" si="154"/>
        <v>110577730569832.52</v>
      </c>
      <c r="B748" s="28">
        <v>0.72799999999999998</v>
      </c>
      <c r="C748">
        <f t="shared" si="155"/>
        <v>110577730675806.45</v>
      </c>
      <c r="E748">
        <f t="shared" si="156"/>
        <v>9955.2155480576876</v>
      </c>
      <c r="F748" s="28">
        <v>0.72799999999999998</v>
      </c>
      <c r="G748">
        <f t="shared" si="157"/>
        <v>824.17582416968139</v>
      </c>
      <c r="I748">
        <f t="shared" si="158"/>
        <v>191078318496520.91</v>
      </c>
      <c r="J748" s="28">
        <v>0.72799999999999998</v>
      </c>
      <c r="K748">
        <f t="shared" si="159"/>
        <v>191078318607793.53</v>
      </c>
      <c r="M748">
        <f t="shared" si="160"/>
        <v>9894.1851166735287</v>
      </c>
      <c r="N748" s="28">
        <v>0.72799999999999998</v>
      </c>
      <c r="O748">
        <f t="shared" si="161"/>
        <v>1424.1758241652092</v>
      </c>
      <c r="Q748">
        <f t="shared" si="162"/>
        <v>80500587926688.391</v>
      </c>
      <c r="R748" s="28">
        <v>0.72799999999999998</v>
      </c>
      <c r="S748">
        <f t="shared" si="163"/>
        <v>80500587932587.094</v>
      </c>
      <c r="U748">
        <f t="shared" si="164"/>
        <v>692286999.0463022</v>
      </c>
      <c r="V748" s="48">
        <v>0.72799999999999998</v>
      </c>
      <c r="W748">
        <f t="shared" si="165"/>
        <v>692305623.5109905</v>
      </c>
      <c r="Y748">
        <f t="shared" si="166"/>
        <v>6473.7021495845274</v>
      </c>
      <c r="Z748" s="28">
        <v>0.72799999999999998</v>
      </c>
      <c r="AA748">
        <f t="shared" si="167"/>
        <v>824.17484301236482</v>
      </c>
    </row>
    <row r="749" spans="1:27" x14ac:dyDescent="0.2">
      <c r="A749">
        <f t="shared" si="154"/>
        <v>113459659632592.89</v>
      </c>
      <c r="B749" s="28">
        <v>0.72899999999999998</v>
      </c>
      <c r="C749">
        <f t="shared" si="155"/>
        <v>113459659738566.83</v>
      </c>
      <c r="E749">
        <f t="shared" si="156"/>
        <v>9956.3461047436267</v>
      </c>
      <c r="F749" s="28">
        <v>0.72899999999999998</v>
      </c>
      <c r="G749">
        <f t="shared" si="157"/>
        <v>823.04526748374155</v>
      </c>
      <c r="I749">
        <f t="shared" si="158"/>
        <v>196171751576709.47</v>
      </c>
      <c r="J749" s="28">
        <v>0.72899999999999998</v>
      </c>
      <c r="K749">
        <f t="shared" si="159"/>
        <v>196171751687982.09</v>
      </c>
      <c r="M749">
        <f t="shared" si="160"/>
        <v>9895.3156733593496</v>
      </c>
      <c r="N749" s="28">
        <v>0.72899999999999998</v>
      </c>
      <c r="O749">
        <f t="shared" si="161"/>
        <v>1423.0452674793892</v>
      </c>
      <c r="Q749">
        <f t="shared" si="162"/>
        <v>82712091944116.516</v>
      </c>
      <c r="R749" s="28">
        <v>0.72899999999999998</v>
      </c>
      <c r="S749">
        <f t="shared" si="163"/>
        <v>82712091950015.219</v>
      </c>
      <c r="U749">
        <f t="shared" si="164"/>
        <v>704414006.24250138</v>
      </c>
      <c r="V749" s="48">
        <v>0.72899999999999998</v>
      </c>
      <c r="W749">
        <f t="shared" si="165"/>
        <v>704432630.70718968</v>
      </c>
      <c r="Y749">
        <f t="shared" si="166"/>
        <v>6474.832686736002</v>
      </c>
      <c r="Z749" s="28">
        <v>0.72899999999999998</v>
      </c>
      <c r="AA749">
        <f t="shared" si="167"/>
        <v>823.04430586088984</v>
      </c>
    </row>
    <row r="750" spans="1:27" x14ac:dyDescent="0.2">
      <c r="A750">
        <f t="shared" si="154"/>
        <v>116415093708725.98</v>
      </c>
      <c r="B750" s="28">
        <v>0.73</v>
      </c>
      <c r="C750">
        <f t="shared" si="155"/>
        <v>116415093814699.92</v>
      </c>
      <c r="E750">
        <f t="shared" si="156"/>
        <v>9957.4735640139934</v>
      </c>
      <c r="F750" s="28">
        <v>0.73</v>
      </c>
      <c r="G750">
        <f t="shared" si="157"/>
        <v>821.91780821337522</v>
      </c>
      <c r="I750">
        <f t="shared" si="158"/>
        <v>201398112188158.25</v>
      </c>
      <c r="J750" s="28">
        <v>0.73</v>
      </c>
      <c r="K750">
        <f t="shared" si="159"/>
        <v>201398112299430.88</v>
      </c>
      <c r="M750">
        <f t="shared" si="160"/>
        <v>9896.4431326295999</v>
      </c>
      <c r="N750" s="28">
        <v>0.73</v>
      </c>
      <c r="O750">
        <f t="shared" si="161"/>
        <v>1421.9178082091391</v>
      </c>
      <c r="Q750">
        <f t="shared" si="162"/>
        <v>84983018479432.234</v>
      </c>
      <c r="R750" s="28">
        <v>0.73</v>
      </c>
      <c r="S750">
        <f t="shared" si="163"/>
        <v>84983018485330.938</v>
      </c>
      <c r="U750">
        <f t="shared" si="164"/>
        <v>716754788.73129046</v>
      </c>
      <c r="V750" s="48">
        <v>0.73</v>
      </c>
      <c r="W750">
        <f t="shared" si="165"/>
        <v>716773413.19597876</v>
      </c>
      <c r="Y750">
        <f t="shared" si="166"/>
        <v>6475.9601268626002</v>
      </c>
      <c r="Z750" s="28">
        <v>0.73</v>
      </c>
      <c r="AA750">
        <f t="shared" si="167"/>
        <v>821.91686573429183</v>
      </c>
    </row>
    <row r="751" spans="1:27" x14ac:dyDescent="0.2">
      <c r="A751">
        <f t="shared" si="154"/>
        <v>119445866466504.08</v>
      </c>
      <c r="B751" s="28">
        <v>0.73099999999999998</v>
      </c>
      <c r="C751">
        <f t="shared" si="155"/>
        <v>119445866572478.02</v>
      </c>
      <c r="E751">
        <f t="shared" si="156"/>
        <v>9958.5979385804785</v>
      </c>
      <c r="F751" s="28">
        <v>0.73099999999999998</v>
      </c>
      <c r="G751">
        <f t="shared" si="157"/>
        <v>820.79343364689055</v>
      </c>
      <c r="I751">
        <f t="shared" si="158"/>
        <v>206760794925686.81</v>
      </c>
      <c r="J751" s="28">
        <v>0.73099999999999998</v>
      </c>
      <c r="K751">
        <f t="shared" si="159"/>
        <v>206760795036959.44</v>
      </c>
      <c r="M751">
        <f t="shared" si="160"/>
        <v>9897.5675071959704</v>
      </c>
      <c r="N751" s="28">
        <v>0.73099999999999998</v>
      </c>
      <c r="O751">
        <f t="shared" si="161"/>
        <v>1420.7934336427672</v>
      </c>
      <c r="Q751">
        <f t="shared" si="162"/>
        <v>87314928459182.719</v>
      </c>
      <c r="R751" s="28">
        <v>0.73099999999999998</v>
      </c>
      <c r="S751">
        <f t="shared" si="163"/>
        <v>87314928465081.422</v>
      </c>
      <c r="U751">
        <f t="shared" si="164"/>
        <v>729313134.67720938</v>
      </c>
      <c r="V751" s="48">
        <v>0.73099999999999998</v>
      </c>
      <c r="W751">
        <f t="shared" si="165"/>
        <v>729331759.14189768</v>
      </c>
      <c r="Y751">
        <f t="shared" si="166"/>
        <v>6477.0844826681587</v>
      </c>
      <c r="Z751" s="28">
        <v>0.73099999999999998</v>
      </c>
      <c r="AA751">
        <f t="shared" si="167"/>
        <v>820.79250992873278</v>
      </c>
    </row>
    <row r="752" spans="1:27" x14ac:dyDescent="0.2">
      <c r="A752">
        <f t="shared" si="154"/>
        <v>122553856287884.67</v>
      </c>
      <c r="B752" s="28">
        <v>0.73199999999999998</v>
      </c>
      <c r="C752">
        <f t="shared" si="155"/>
        <v>122553856393858.61</v>
      </c>
      <c r="E752">
        <f t="shared" si="156"/>
        <v>9959.7192410853095</v>
      </c>
      <c r="F752" s="28">
        <v>0.73199999999999998</v>
      </c>
      <c r="G752">
        <f t="shared" si="157"/>
        <v>819.67213114205879</v>
      </c>
      <c r="I752">
        <f t="shared" si="158"/>
        <v>212263279162890.5</v>
      </c>
      <c r="J752" s="28">
        <v>0.73199999999999998</v>
      </c>
      <c r="K752">
        <f t="shared" si="159"/>
        <v>212263279274163.12</v>
      </c>
      <c r="M752">
        <f t="shared" si="160"/>
        <v>9898.6888097006922</v>
      </c>
      <c r="N752" s="28">
        <v>0.73199999999999998</v>
      </c>
      <c r="O752">
        <f t="shared" si="161"/>
        <v>1419.6721311380461</v>
      </c>
      <c r="Q752">
        <f t="shared" si="162"/>
        <v>89709422875005.797</v>
      </c>
      <c r="R752" s="28">
        <v>0.73199999999999998</v>
      </c>
      <c r="S752">
        <f t="shared" si="163"/>
        <v>89709422880904.5</v>
      </c>
      <c r="U752">
        <f t="shared" si="164"/>
        <v>742092899.66934967</v>
      </c>
      <c r="V752" s="48">
        <v>0.73199999999999998</v>
      </c>
      <c r="W752">
        <f t="shared" si="165"/>
        <v>742111524.13403797</v>
      </c>
      <c r="Y752">
        <f t="shared" si="166"/>
        <v>6478.2057667872123</v>
      </c>
      <c r="Z752" s="28">
        <v>0.73199999999999998</v>
      </c>
      <c r="AA752">
        <f t="shared" si="167"/>
        <v>819.67122580967919</v>
      </c>
    </row>
    <row r="753" spans="1:27" x14ac:dyDescent="0.2">
      <c r="A753">
        <f t="shared" si="154"/>
        <v>125740987333664.27</v>
      </c>
      <c r="B753" s="28">
        <v>0.73299999999999998</v>
      </c>
      <c r="C753">
        <f t="shared" si="155"/>
        <v>125740987439638.2</v>
      </c>
      <c r="E753">
        <f t="shared" si="156"/>
        <v>9960.8374841017285</v>
      </c>
      <c r="F753" s="28">
        <v>0.73299999999999998</v>
      </c>
      <c r="G753">
        <f t="shared" si="157"/>
        <v>818.55388812564001</v>
      </c>
      <c r="I753">
        <f t="shared" si="158"/>
        <v>217909131121620.38</v>
      </c>
      <c r="J753" s="28">
        <v>0.73299999999999998</v>
      </c>
      <c r="K753">
        <f t="shared" si="159"/>
        <v>217909131232893</v>
      </c>
      <c r="M753">
        <f t="shared" si="160"/>
        <v>9899.8070527170039</v>
      </c>
      <c r="N753" s="28">
        <v>0.73299999999999998</v>
      </c>
      <c r="O753">
        <f t="shared" si="161"/>
        <v>1418.553888121734</v>
      </c>
      <c r="Q753">
        <f t="shared" si="162"/>
        <v>92168143787956.094</v>
      </c>
      <c r="R753" s="28">
        <v>0.73299999999999998</v>
      </c>
      <c r="S753">
        <f t="shared" si="163"/>
        <v>92168143793854.797</v>
      </c>
      <c r="U753">
        <f t="shared" si="164"/>
        <v>755098007.92600811</v>
      </c>
      <c r="V753" s="48">
        <v>0.73299999999999998</v>
      </c>
      <c r="W753">
        <f t="shared" si="165"/>
        <v>755116632.39069641</v>
      </c>
      <c r="Y753">
        <f t="shared" si="166"/>
        <v>6479.3239917854617</v>
      </c>
      <c r="Z753" s="28">
        <v>0.73299999999999998</v>
      </c>
      <c r="AA753">
        <f t="shared" si="167"/>
        <v>818.55300081143048</v>
      </c>
    </row>
    <row r="754" spans="1:27" x14ac:dyDescent="0.2">
      <c r="A754">
        <f t="shared" si="154"/>
        <v>129009230633414.45</v>
      </c>
      <c r="B754" s="28">
        <v>0.73399999999999999</v>
      </c>
      <c r="C754">
        <f t="shared" si="155"/>
        <v>129009230739388.39</v>
      </c>
      <c r="E754">
        <f t="shared" si="156"/>
        <v>9961.9526801344546</v>
      </c>
      <c r="F754" s="28">
        <v>0.73399999999999999</v>
      </c>
      <c r="G754">
        <f t="shared" si="157"/>
        <v>817.43869209291313</v>
      </c>
      <c r="I754">
        <f t="shared" si="158"/>
        <v>223702005990826.84</v>
      </c>
      <c r="J754" s="28">
        <v>0.73399999999999999</v>
      </c>
      <c r="K754">
        <f t="shared" si="159"/>
        <v>223702006102099.47</v>
      </c>
      <c r="M754">
        <f t="shared" si="160"/>
        <v>9900.9222487496263</v>
      </c>
      <c r="N754" s="28">
        <v>0.73399999999999999</v>
      </c>
      <c r="O754">
        <f t="shared" si="161"/>
        <v>1417.4386920891116</v>
      </c>
      <c r="Q754">
        <f t="shared" si="162"/>
        <v>94692775357412.375</v>
      </c>
      <c r="R754" s="28">
        <v>0.73399999999999999</v>
      </c>
      <c r="S754">
        <f t="shared" si="163"/>
        <v>94692775363311.078</v>
      </c>
      <c r="U754">
        <f t="shared" si="164"/>
        <v>768332453.52091384</v>
      </c>
      <c r="V754" s="48">
        <v>0.73399999999999999</v>
      </c>
      <c r="W754">
        <f t="shared" si="165"/>
        <v>768351077.98560214</v>
      </c>
      <c r="Y754">
        <f t="shared" si="166"/>
        <v>6480.4391701602381</v>
      </c>
      <c r="Z754" s="28">
        <v>0.73399999999999999</v>
      </c>
      <c r="AA754">
        <f t="shared" si="167"/>
        <v>817.43782243665328</v>
      </c>
    </row>
    <row r="755" spans="1:27" x14ac:dyDescent="0.2">
      <c r="A755">
        <f t="shared" si="154"/>
        <v>132360605200745.7</v>
      </c>
      <c r="B755" s="28">
        <v>0.73499999999999999</v>
      </c>
      <c r="C755">
        <f t="shared" si="155"/>
        <v>132360605306719.64</v>
      </c>
      <c r="E755">
        <f t="shared" si="156"/>
        <v>9963.0648416201584</v>
      </c>
      <c r="F755" s="28">
        <v>0.73499999999999999</v>
      </c>
      <c r="G755">
        <f t="shared" si="157"/>
        <v>816.32653060721032</v>
      </c>
      <c r="I755">
        <f t="shared" si="158"/>
        <v>229645650095885.97</v>
      </c>
      <c r="J755" s="28">
        <v>0.73499999999999999</v>
      </c>
      <c r="K755">
        <f t="shared" si="159"/>
        <v>229645650207158.59</v>
      </c>
      <c r="M755">
        <f t="shared" si="160"/>
        <v>9902.0344102352283</v>
      </c>
      <c r="N755" s="28">
        <v>0.73499999999999999</v>
      </c>
      <c r="O755">
        <f t="shared" si="161"/>
        <v>1416.3265306035098</v>
      </c>
      <c r="Q755">
        <f t="shared" si="162"/>
        <v>97285044895140.234</v>
      </c>
      <c r="R755" s="28">
        <v>0.73499999999999999</v>
      </c>
      <c r="S755">
        <f t="shared" si="163"/>
        <v>97285044901038.938</v>
      </c>
      <c r="U755">
        <f t="shared" si="164"/>
        <v>781800301.63145912</v>
      </c>
      <c r="V755" s="48">
        <v>0.73499999999999999</v>
      </c>
      <c r="W755">
        <f t="shared" si="165"/>
        <v>781818926.09614742</v>
      </c>
      <c r="Y755">
        <f t="shared" si="166"/>
        <v>6481.5513143409744</v>
      </c>
      <c r="Z755" s="28">
        <v>0.73499999999999999</v>
      </c>
      <c r="AA755">
        <f t="shared" si="167"/>
        <v>816.32567825591718</v>
      </c>
    </row>
    <row r="756" spans="1:27" x14ac:dyDescent="0.2">
      <c r="A756">
        <f t="shared" si="154"/>
        <v>135797179174484.05</v>
      </c>
      <c r="B756" s="28">
        <v>0.73599999999999999</v>
      </c>
      <c r="C756">
        <f t="shared" si="155"/>
        <v>135797179280457.98</v>
      </c>
      <c r="E756">
        <f t="shared" si="156"/>
        <v>9964.1739809279152</v>
      </c>
      <c r="F756" s="28">
        <v>0.73599999999999999</v>
      </c>
      <c r="G756">
        <f t="shared" si="157"/>
        <v>815.21739129945388</v>
      </c>
      <c r="I756">
        <f t="shared" si="158"/>
        <v>235743903119602.41</v>
      </c>
      <c r="J756" s="28">
        <v>0.73599999999999999</v>
      </c>
      <c r="K756">
        <f t="shared" si="159"/>
        <v>235743903230875.03</v>
      </c>
      <c r="M756">
        <f t="shared" si="160"/>
        <v>9903.1435495428868</v>
      </c>
      <c r="N756" s="28">
        <v>0.73599999999999999</v>
      </c>
      <c r="O756">
        <f t="shared" si="161"/>
        <v>1415.2173912958517</v>
      </c>
      <c r="Q756">
        <f t="shared" si="162"/>
        <v>99946723945118.375</v>
      </c>
      <c r="R756" s="28">
        <v>0.73599999999999999</v>
      </c>
      <c r="S756">
        <f t="shared" si="163"/>
        <v>99946723951017.078</v>
      </c>
      <c r="U756">
        <f t="shared" si="164"/>
        <v>795505689.80928552</v>
      </c>
      <c r="V756" s="48">
        <v>0.73599999999999999</v>
      </c>
      <c r="W756">
        <f t="shared" si="165"/>
        <v>795524314.27397382</v>
      </c>
      <c r="Y756">
        <f t="shared" si="166"/>
        <v>6482.6604366896554</v>
      </c>
      <c r="Z756" s="28">
        <v>0.73599999999999999</v>
      </c>
      <c r="AA756">
        <f t="shared" si="167"/>
        <v>815.21655590723662</v>
      </c>
    </row>
    <row r="757" spans="1:27" x14ac:dyDescent="0.2">
      <c r="A757">
        <f t="shared" si="154"/>
        <v>139321070986336.38</v>
      </c>
      <c r="B757" s="28">
        <v>0.73699999999999999</v>
      </c>
      <c r="C757">
        <f t="shared" si="155"/>
        <v>139321071092310.31</v>
      </c>
      <c r="E757">
        <f t="shared" si="156"/>
        <v>9965.2801103596703</v>
      </c>
      <c r="F757" s="28">
        <v>0.73699999999999999</v>
      </c>
      <c r="G757">
        <f t="shared" si="157"/>
        <v>814.11126186769866</v>
      </c>
      <c r="I757">
        <f t="shared" si="158"/>
        <v>242000700376070.41</v>
      </c>
      <c r="J757" s="28">
        <v>0.73699999999999999</v>
      </c>
      <c r="K757">
        <f t="shared" si="159"/>
        <v>242000700487343.03</v>
      </c>
      <c r="M757">
        <f t="shared" si="160"/>
        <v>9904.2496789745455</v>
      </c>
      <c r="N757" s="28">
        <v>0.73699999999999999</v>
      </c>
      <c r="O757">
        <f t="shared" si="161"/>
        <v>1414.1112618641928</v>
      </c>
      <c r="Q757">
        <f t="shared" si="162"/>
        <v>102679629389734</v>
      </c>
      <c r="R757" s="28">
        <v>0.73699999999999999</v>
      </c>
      <c r="S757">
        <f t="shared" si="163"/>
        <v>102679629395632.7</v>
      </c>
      <c r="U757">
        <f t="shared" si="164"/>
        <v>809452829.27367413</v>
      </c>
      <c r="V757" s="48">
        <v>0.73699999999999999</v>
      </c>
      <c r="W757">
        <f t="shared" si="165"/>
        <v>809471453.73836243</v>
      </c>
      <c r="Y757">
        <f t="shared" si="166"/>
        <v>6483.766549501277</v>
      </c>
      <c r="Z757" s="28">
        <v>0.73699999999999999</v>
      </c>
      <c r="AA757">
        <f t="shared" si="167"/>
        <v>814.11044309561441</v>
      </c>
    </row>
    <row r="758" spans="1:27" x14ac:dyDescent="0.2">
      <c r="A758">
        <f t="shared" si="154"/>
        <v>142934450555665.38</v>
      </c>
      <c r="B758" s="28">
        <v>0.73799999999999999</v>
      </c>
      <c r="C758">
        <f t="shared" si="155"/>
        <v>142934450661639.31</v>
      </c>
      <c r="E758">
        <f t="shared" si="156"/>
        <v>9966.3832421506922</v>
      </c>
      <c r="F758" s="28">
        <v>0.73799999999999999</v>
      </c>
      <c r="G758">
        <f t="shared" si="157"/>
        <v>813.00813007667637</v>
      </c>
      <c r="I758">
        <f t="shared" si="158"/>
        <v>248420075138656.5</v>
      </c>
      <c r="J758" s="28">
        <v>0.73799999999999999</v>
      </c>
      <c r="K758">
        <f t="shared" si="159"/>
        <v>248420075249929.12</v>
      </c>
      <c r="M758">
        <f t="shared" si="160"/>
        <v>9905.3528107654747</v>
      </c>
      <c r="N758" s="28">
        <v>0.73799999999999999</v>
      </c>
      <c r="O758">
        <f t="shared" si="161"/>
        <v>1413.0081300732636</v>
      </c>
      <c r="Q758">
        <f t="shared" si="162"/>
        <v>105485624582991.11</v>
      </c>
      <c r="R758" s="28">
        <v>0.73799999999999999</v>
      </c>
      <c r="S758">
        <f t="shared" si="163"/>
        <v>105485624588889.81</v>
      </c>
      <c r="U758">
        <f t="shared" si="164"/>
        <v>823646006.22810113</v>
      </c>
      <c r="V758" s="48">
        <v>0.73799999999999999</v>
      </c>
      <c r="W758">
        <f t="shared" si="165"/>
        <v>823664630.69278944</v>
      </c>
      <c r="Y758">
        <f t="shared" si="166"/>
        <v>6484.8696650043012</v>
      </c>
      <c r="Z758" s="28">
        <v>0.73799999999999999</v>
      </c>
      <c r="AA758">
        <f t="shared" si="167"/>
        <v>813.00732759259063</v>
      </c>
    </row>
    <row r="759" spans="1:27" x14ac:dyDescent="0.2">
      <c r="A759">
        <f t="shared" si="154"/>
        <v>146639540511963.12</v>
      </c>
      <c r="B759" s="28">
        <v>0.73899999999999999</v>
      </c>
      <c r="C759">
        <f t="shared" si="155"/>
        <v>146639540617937.06</v>
      </c>
      <c r="E759">
        <f t="shared" si="156"/>
        <v>9967.4833884700238</v>
      </c>
      <c r="F759" s="28">
        <v>0.73899999999999999</v>
      </c>
      <c r="G759">
        <f t="shared" si="157"/>
        <v>811.90798375734494</v>
      </c>
      <c r="I759">
        <f t="shared" si="158"/>
        <v>255006161023319.91</v>
      </c>
      <c r="J759" s="28">
        <v>0.73899999999999999</v>
      </c>
      <c r="K759">
        <f t="shared" si="159"/>
        <v>255006161134592.53</v>
      </c>
      <c r="M759">
        <f t="shared" si="160"/>
        <v>9906.4529570847153</v>
      </c>
      <c r="N759" s="28">
        <v>0.73899999999999999</v>
      </c>
      <c r="O759">
        <f t="shared" si="161"/>
        <v>1411.9079837540228</v>
      </c>
      <c r="Q759">
        <f t="shared" si="162"/>
        <v>108366620511356.78</v>
      </c>
      <c r="R759" s="28">
        <v>0.73899999999999999</v>
      </c>
      <c r="S759">
        <f t="shared" si="163"/>
        <v>108366620517255.48</v>
      </c>
      <c r="U759">
        <f t="shared" si="164"/>
        <v>838089583.2004236</v>
      </c>
      <c r="V759" s="48">
        <v>0.73899999999999999</v>
      </c>
      <c r="W759">
        <f t="shared" si="165"/>
        <v>838108207.6651119</v>
      </c>
      <c r="Y759">
        <f t="shared" si="166"/>
        <v>6485.9697953610985</v>
      </c>
      <c r="Z759" s="28">
        <v>0.73899999999999999</v>
      </c>
      <c r="AA759">
        <f t="shared" si="167"/>
        <v>811.90719723579343</v>
      </c>
    </row>
    <row r="760" spans="1:27" x14ac:dyDescent="0.2">
      <c r="A760">
        <f t="shared" si="154"/>
        <v>150438617445670.97</v>
      </c>
      <c r="B760" s="28">
        <v>0.74</v>
      </c>
      <c r="C760">
        <f t="shared" si="155"/>
        <v>150438617551644.91</v>
      </c>
      <c r="E760">
        <f t="shared" si="156"/>
        <v>9968.5805614209276</v>
      </c>
      <c r="F760" s="28">
        <v>0.74</v>
      </c>
      <c r="G760">
        <f t="shared" si="157"/>
        <v>810.81081080644083</v>
      </c>
      <c r="I760">
        <f t="shared" si="158"/>
        <v>261763194428589.5</v>
      </c>
      <c r="J760" s="28">
        <v>0.74</v>
      </c>
      <c r="K760">
        <f t="shared" si="159"/>
        <v>261763194539862.12</v>
      </c>
      <c r="M760">
        <f t="shared" si="160"/>
        <v>9907.5501300355318</v>
      </c>
      <c r="N760" s="28">
        <v>0.74</v>
      </c>
      <c r="O760">
        <f t="shared" si="161"/>
        <v>1410.810810803207</v>
      </c>
      <c r="Q760">
        <f t="shared" si="162"/>
        <v>111324576982918.53</v>
      </c>
      <c r="R760" s="28">
        <v>0.74</v>
      </c>
      <c r="S760">
        <f t="shared" si="163"/>
        <v>111324576988817.23</v>
      </c>
      <c r="U760">
        <f t="shared" si="164"/>
        <v>852788000.40707457</v>
      </c>
      <c r="V760" s="48">
        <v>0.74</v>
      </c>
      <c r="W760">
        <f t="shared" si="165"/>
        <v>852806624.87176287</v>
      </c>
      <c r="Y760">
        <f t="shared" si="166"/>
        <v>6487.0669526683969</v>
      </c>
      <c r="Z760" s="28">
        <v>0.74</v>
      </c>
      <c r="AA760">
        <f t="shared" si="167"/>
        <v>810.81003992849514</v>
      </c>
    </row>
    <row r="761" spans="1:27" x14ac:dyDescent="0.2">
      <c r="A761">
        <f t="shared" si="154"/>
        <v>154334013187969.25</v>
      </c>
      <c r="B761" s="28">
        <v>0.74099999999999999</v>
      </c>
      <c r="C761">
        <f t="shared" si="155"/>
        <v>154334013293943.19</v>
      </c>
      <c r="E761">
        <f t="shared" si="156"/>
        <v>9969.6747730413335</v>
      </c>
      <c r="F761" s="28">
        <v>0.74099999999999999</v>
      </c>
      <c r="G761">
        <f t="shared" si="157"/>
        <v>809.7165991860353</v>
      </c>
      <c r="I761">
        <f t="shared" si="158"/>
        <v>268695517033482.44</v>
      </c>
      <c r="J761" s="28">
        <v>0.74099999999999999</v>
      </c>
      <c r="K761">
        <f t="shared" si="159"/>
        <v>268695517144755.06</v>
      </c>
      <c r="M761">
        <f t="shared" si="160"/>
        <v>9908.6443416558504</v>
      </c>
      <c r="N761" s="28">
        <v>0.74099999999999999</v>
      </c>
      <c r="O761">
        <f t="shared" si="161"/>
        <v>1409.7165991828876</v>
      </c>
      <c r="Q761">
        <f t="shared" si="162"/>
        <v>114361503845513.19</v>
      </c>
      <c r="R761" s="28">
        <v>0.74099999999999999</v>
      </c>
      <c r="S761">
        <f t="shared" si="163"/>
        <v>114361503851411.89</v>
      </c>
      <c r="U761">
        <f t="shared" si="164"/>
        <v>867745777.14174247</v>
      </c>
      <c r="V761" s="48">
        <v>0.74099999999999999</v>
      </c>
      <c r="W761">
        <f t="shared" si="165"/>
        <v>867764401.60643077</v>
      </c>
      <c r="Y761">
        <f t="shared" si="166"/>
        <v>6488.1611489577208</v>
      </c>
      <c r="Z761" s="28">
        <v>0.74099999999999999</v>
      </c>
      <c r="AA761">
        <f t="shared" si="167"/>
        <v>809.71584363917066</v>
      </c>
    </row>
    <row r="762" spans="1:27" x14ac:dyDescent="0.2">
      <c r="A762">
        <f t="shared" si="154"/>
        <v>158328116120205.06</v>
      </c>
      <c r="B762" s="28">
        <v>0.74199999999999999</v>
      </c>
      <c r="C762">
        <f t="shared" si="155"/>
        <v>158328116226179</v>
      </c>
      <c r="E762">
        <f t="shared" si="156"/>
        <v>9970.7660353042738</v>
      </c>
      <c r="F762" s="28">
        <v>0.74199999999999999</v>
      </c>
      <c r="G762">
        <f t="shared" si="157"/>
        <v>808.62533692309398</v>
      </c>
      <c r="I762">
        <f t="shared" si="158"/>
        <v>275807578354731.25</v>
      </c>
      <c r="J762" s="28">
        <v>0.74199999999999999</v>
      </c>
      <c r="K762">
        <f t="shared" si="159"/>
        <v>275807578466003.88</v>
      </c>
      <c r="M762">
        <f t="shared" si="160"/>
        <v>9909.7356039187089</v>
      </c>
      <c r="N762" s="28">
        <v>0.74199999999999999</v>
      </c>
      <c r="O762">
        <f t="shared" si="161"/>
        <v>1408.6253369200297</v>
      </c>
      <c r="Q762">
        <f t="shared" si="162"/>
        <v>117479462234526.12</v>
      </c>
      <c r="R762" s="28">
        <v>0.74199999999999999</v>
      </c>
      <c r="S762">
        <f t="shared" si="163"/>
        <v>117479462240424.83</v>
      </c>
      <c r="U762">
        <f t="shared" si="164"/>
        <v>882967513.18893278</v>
      </c>
      <c r="V762" s="48">
        <v>0.74199999999999999</v>
      </c>
      <c r="W762">
        <f t="shared" si="165"/>
        <v>882986137.65362108</v>
      </c>
      <c r="Y762">
        <f t="shared" si="166"/>
        <v>6489.2523961958314</v>
      </c>
      <c r="Z762" s="28">
        <v>0.74199999999999999</v>
      </c>
      <c r="AA762">
        <f t="shared" si="167"/>
        <v>808.62459640106044</v>
      </c>
    </row>
    <row r="763" spans="1:27" x14ac:dyDescent="0.2">
      <c r="A763">
        <f t="shared" si="154"/>
        <v>162423372513623.41</v>
      </c>
      <c r="B763" s="28">
        <v>0.74299999999999999</v>
      </c>
      <c r="C763">
        <f t="shared" si="155"/>
        <v>162423372619597.34</v>
      </c>
      <c r="E763">
        <f t="shared" si="156"/>
        <v>9971.8543601183283</v>
      </c>
      <c r="F763" s="28">
        <v>0.74299999999999999</v>
      </c>
      <c r="G763">
        <f t="shared" si="157"/>
        <v>807.53701210904035</v>
      </c>
      <c r="I763">
        <f t="shared" si="158"/>
        <v>283103938364685.5</v>
      </c>
      <c r="J763" s="28">
        <v>0.74299999999999999</v>
      </c>
      <c r="K763">
        <f t="shared" si="159"/>
        <v>283103938475958.12</v>
      </c>
      <c r="M763">
        <f t="shared" si="160"/>
        <v>9910.8239287326815</v>
      </c>
      <c r="N763" s="28">
        <v>0.74299999999999999</v>
      </c>
      <c r="O763">
        <f t="shared" si="161"/>
        <v>1407.5370121060571</v>
      </c>
      <c r="Q763">
        <f t="shared" si="162"/>
        <v>120680565851062.12</v>
      </c>
      <c r="R763" s="28">
        <v>0.74299999999999999</v>
      </c>
      <c r="S763">
        <f t="shared" si="163"/>
        <v>120680565856960.83</v>
      </c>
      <c r="U763">
        <f t="shared" si="164"/>
        <v>898457890.26290274</v>
      </c>
      <c r="V763" s="48">
        <v>0.74299999999999999</v>
      </c>
      <c r="W763">
        <f t="shared" si="165"/>
        <v>898476514.72759104</v>
      </c>
      <c r="Y763">
        <f t="shared" si="166"/>
        <v>6490.3407062851556</v>
      </c>
      <c r="Z763" s="28">
        <v>0.74299999999999999</v>
      </c>
      <c r="AA763">
        <f t="shared" si="167"/>
        <v>807.53628631173581</v>
      </c>
    </row>
    <row r="764" spans="1:27" x14ac:dyDescent="0.2">
      <c r="A764">
        <f t="shared" si="154"/>
        <v>166622287900085.06</v>
      </c>
      <c r="B764" s="28">
        <v>0.74399999999999999</v>
      </c>
      <c r="C764">
        <f t="shared" si="155"/>
        <v>166622288006059</v>
      </c>
      <c r="E764">
        <f t="shared" si="156"/>
        <v>9972.9397593280464</v>
      </c>
      <c r="F764" s="28">
        <v>0.74399999999999999</v>
      </c>
      <c r="G764">
        <f t="shared" si="157"/>
        <v>806.45161289932264</v>
      </c>
      <c r="I764">
        <f t="shared" si="158"/>
        <v>290589270171294.31</v>
      </c>
      <c r="J764" s="28">
        <v>0.74399999999999999</v>
      </c>
      <c r="K764">
        <f t="shared" si="159"/>
        <v>290589270282566.94</v>
      </c>
      <c r="M764">
        <f t="shared" si="160"/>
        <v>9911.9093279423196</v>
      </c>
      <c r="N764" s="28">
        <v>0.74399999999999999</v>
      </c>
      <c r="O764">
        <f t="shared" si="161"/>
        <v>1406.4516128964187</v>
      </c>
      <c r="Q764">
        <f t="shared" si="162"/>
        <v>123966982271209.2</v>
      </c>
      <c r="R764" s="28">
        <v>0.74399999999999999</v>
      </c>
      <c r="S764">
        <f t="shared" si="163"/>
        <v>123966982277107.91</v>
      </c>
      <c r="U764">
        <f t="shared" si="164"/>
        <v>914221673.47238076</v>
      </c>
      <c r="V764" s="48">
        <v>0.74399999999999999</v>
      </c>
      <c r="W764">
        <f t="shared" si="165"/>
        <v>914240297.93706906</v>
      </c>
      <c r="Y764">
        <f t="shared" si="166"/>
        <v>6491.4260910642233</v>
      </c>
      <c r="Z764" s="28">
        <v>0.74399999999999999</v>
      </c>
      <c r="AA764">
        <f t="shared" si="167"/>
        <v>806.45090153266847</v>
      </c>
    </row>
    <row r="765" spans="1:27" x14ac:dyDescent="0.2">
      <c r="A765">
        <f t="shared" si="154"/>
        <v>170927428474463.34</v>
      </c>
      <c r="B765" s="28">
        <v>0.745</v>
      </c>
      <c r="C765">
        <f t="shared" si="155"/>
        <v>170927428580437.28</v>
      </c>
      <c r="E765">
        <f t="shared" si="156"/>
        <v>9974.0222447143842</v>
      </c>
      <c r="F765" s="28">
        <v>0.745</v>
      </c>
      <c r="G765">
        <f t="shared" si="157"/>
        <v>805.36912751298382</v>
      </c>
      <c r="I765">
        <f t="shared" si="158"/>
        <v>298268362761590.44</v>
      </c>
      <c r="J765" s="28">
        <v>0.745</v>
      </c>
      <c r="K765">
        <f t="shared" si="159"/>
        <v>298268362872863.06</v>
      </c>
      <c r="M765">
        <f t="shared" si="160"/>
        <v>9912.991813328581</v>
      </c>
      <c r="N765" s="28">
        <v>0.745</v>
      </c>
      <c r="O765">
        <f t="shared" si="161"/>
        <v>1405.3691275101567</v>
      </c>
      <c r="Q765">
        <f t="shared" si="162"/>
        <v>127340934287127.08</v>
      </c>
      <c r="R765" s="28">
        <v>0.745</v>
      </c>
      <c r="S765">
        <f t="shared" si="163"/>
        <v>127340934293025.78</v>
      </c>
      <c r="U765">
        <f t="shared" si="164"/>
        <v>930263712.81158125</v>
      </c>
      <c r="V765" s="48">
        <v>0.745</v>
      </c>
      <c r="W765">
        <f t="shared" si="165"/>
        <v>930282337.27626956</v>
      </c>
      <c r="Y765">
        <f t="shared" si="166"/>
        <v>6492.5085623080886</v>
      </c>
      <c r="Z765" s="28">
        <v>0.745</v>
      </c>
      <c r="AA765">
        <f t="shared" si="167"/>
        <v>805.36843028880367</v>
      </c>
    </row>
    <row r="766" spans="1:27" x14ac:dyDescent="0.2">
      <c r="A766">
        <f t="shared" si="154"/>
        <v>175341422529450.53</v>
      </c>
      <c r="B766" s="28">
        <v>0.746</v>
      </c>
      <c r="C766">
        <f t="shared" si="155"/>
        <v>175341422635424.47</v>
      </c>
      <c r="E766">
        <f t="shared" si="156"/>
        <v>9975.1018279951331</v>
      </c>
      <c r="F766" s="28">
        <v>0.746</v>
      </c>
      <c r="G766">
        <f t="shared" si="157"/>
        <v>804.28954423223558</v>
      </c>
      <c r="I766">
        <f t="shared" si="158"/>
        <v>306146123810178.5</v>
      </c>
      <c r="J766" s="28">
        <v>0.746</v>
      </c>
      <c r="K766">
        <f t="shared" si="159"/>
        <v>306146123921451.12</v>
      </c>
      <c r="M766">
        <f t="shared" si="160"/>
        <v>9914.0713966092553</v>
      </c>
      <c r="N766" s="28">
        <v>0.746</v>
      </c>
      <c r="O766">
        <f t="shared" si="161"/>
        <v>1404.2895442294835</v>
      </c>
      <c r="Q766">
        <f t="shared" si="162"/>
        <v>130804701280727.95</v>
      </c>
      <c r="R766" s="28">
        <v>0.746</v>
      </c>
      <c r="S766">
        <f t="shared" si="163"/>
        <v>130804701286626.66</v>
      </c>
      <c r="U766">
        <f t="shared" si="164"/>
        <v>946588944.67793679</v>
      </c>
      <c r="V766" s="48">
        <v>0.746</v>
      </c>
      <c r="W766">
        <f t="shared" si="165"/>
        <v>946607569.14262509</v>
      </c>
      <c r="Y766">
        <f t="shared" si="166"/>
        <v>6493.5881317287558</v>
      </c>
      <c r="Z766" s="28">
        <v>0.746</v>
      </c>
      <c r="AA766">
        <f t="shared" si="167"/>
        <v>804.28886086813623</v>
      </c>
    </row>
    <row r="767" spans="1:27" x14ac:dyDescent="0.2">
      <c r="A767">
        <f t="shared" si="154"/>
        <v>179866961923496.75</v>
      </c>
      <c r="B767" s="28">
        <v>0.747</v>
      </c>
      <c r="C767">
        <f t="shared" si="155"/>
        <v>179866962029470.69</v>
      </c>
      <c r="E767">
        <f t="shared" si="156"/>
        <v>9976.1785208253332</v>
      </c>
      <c r="F767" s="28">
        <v>0.747</v>
      </c>
      <c r="G767">
        <f t="shared" si="157"/>
        <v>803.21285140203577</v>
      </c>
      <c r="I767">
        <f t="shared" si="158"/>
        <v>314227582554212.62</v>
      </c>
      <c r="J767" s="28">
        <v>0.747</v>
      </c>
      <c r="K767">
        <f t="shared" si="159"/>
        <v>314227582665485.25</v>
      </c>
      <c r="M767">
        <f t="shared" si="160"/>
        <v>9915.1480894393826</v>
      </c>
      <c r="N767" s="28">
        <v>0.747</v>
      </c>
      <c r="O767">
        <f t="shared" si="161"/>
        <v>1403.2128513993562</v>
      </c>
      <c r="Q767">
        <f t="shared" si="162"/>
        <v>134360620630715.91</v>
      </c>
      <c r="R767" s="28">
        <v>0.747</v>
      </c>
      <c r="S767">
        <f t="shared" si="163"/>
        <v>134360620636614.61</v>
      </c>
      <c r="U767">
        <f t="shared" si="164"/>
        <v>963202393.41708398</v>
      </c>
      <c r="V767" s="48">
        <v>0.747</v>
      </c>
      <c r="W767">
        <f t="shared" si="165"/>
        <v>963221017.88177228</v>
      </c>
      <c r="Y767">
        <f t="shared" si="166"/>
        <v>6494.6648109756015</v>
      </c>
      <c r="Z767" s="28">
        <v>0.747</v>
      </c>
      <c r="AA767">
        <f t="shared" si="167"/>
        <v>803.21218162128991</v>
      </c>
    </row>
    <row r="768" spans="1:27" x14ac:dyDescent="0.2">
      <c r="A768">
        <f t="shared" si="154"/>
        <v>184506803582613.66</v>
      </c>
      <c r="B768" s="28">
        <v>0.748</v>
      </c>
      <c r="C768">
        <f t="shared" si="155"/>
        <v>184506803688587.59</v>
      </c>
      <c r="E768">
        <f t="shared" si="156"/>
        <v>9977.2523347977003</v>
      </c>
      <c r="F768" s="28">
        <v>0.748</v>
      </c>
      <c r="G768">
        <f t="shared" si="157"/>
        <v>802.13903742966772</v>
      </c>
      <c r="I768">
        <f t="shared" si="158"/>
        <v>322517892736378.44</v>
      </c>
      <c r="J768" s="28">
        <v>0.748</v>
      </c>
      <c r="K768">
        <f t="shared" si="159"/>
        <v>322517892847651.06</v>
      </c>
      <c r="M768">
        <f t="shared" si="160"/>
        <v>9916.2219034116788</v>
      </c>
      <c r="N768" s="28">
        <v>0.748</v>
      </c>
      <c r="O768">
        <f t="shared" si="161"/>
        <v>1402.1390374270591</v>
      </c>
      <c r="Q768">
        <f t="shared" si="162"/>
        <v>138011089153764.81</v>
      </c>
      <c r="R768" s="28">
        <v>0.748</v>
      </c>
      <c r="S768">
        <f t="shared" si="163"/>
        <v>138011089159663.52</v>
      </c>
      <c r="U768">
        <f t="shared" si="164"/>
        <v>980109172.89553499</v>
      </c>
      <c r="V768" s="48">
        <v>0.748</v>
      </c>
      <c r="W768">
        <f t="shared" si="165"/>
        <v>980127797.36022329</v>
      </c>
      <c r="Y768">
        <f t="shared" si="166"/>
        <v>6495.7386116357911</v>
      </c>
      <c r="Z768" s="28">
        <v>0.748</v>
      </c>
      <c r="AA768">
        <f t="shared" si="167"/>
        <v>802.13838096110055</v>
      </c>
    </row>
    <row r="769" spans="1:27" x14ac:dyDescent="0.2">
      <c r="A769">
        <f t="shared" si="154"/>
        <v>189263771036831.34</v>
      </c>
      <c r="B769" s="28">
        <v>0.749</v>
      </c>
      <c r="C769">
        <f t="shared" si="155"/>
        <v>189263771142805.28</v>
      </c>
      <c r="E769">
        <f t="shared" si="156"/>
        <v>9978.3232814430412</v>
      </c>
      <c r="F769" s="28">
        <v>0.749</v>
      </c>
      <c r="G769">
        <f t="shared" si="157"/>
        <v>801.0680907843265</v>
      </c>
      <c r="I769">
        <f t="shared" si="158"/>
        <v>331022335617493.81</v>
      </c>
      <c r="J769" s="28">
        <v>0.749</v>
      </c>
      <c r="K769">
        <f t="shared" si="159"/>
        <v>331022335728766.44</v>
      </c>
      <c r="M769">
        <f t="shared" si="160"/>
        <v>9917.2928500569506</v>
      </c>
      <c r="N769" s="28">
        <v>0.749</v>
      </c>
      <c r="O769">
        <f t="shared" si="161"/>
        <v>1401.0680907817871</v>
      </c>
      <c r="Q769">
        <f t="shared" si="162"/>
        <v>141758564580662.47</v>
      </c>
      <c r="R769" s="28">
        <v>0.749</v>
      </c>
      <c r="S769">
        <f t="shared" si="163"/>
        <v>141758564586561.16</v>
      </c>
      <c r="U769">
        <f t="shared" si="164"/>
        <v>997314488.10159087</v>
      </c>
      <c r="V769" s="48">
        <v>0.749</v>
      </c>
      <c r="W769">
        <f t="shared" si="165"/>
        <v>997333112.56627917</v>
      </c>
      <c r="Y769">
        <f t="shared" si="166"/>
        <v>6496.8095452346888</v>
      </c>
      <c r="Z769" s="28">
        <v>0.749</v>
      </c>
      <c r="AA769">
        <f t="shared" si="167"/>
        <v>801.06744736220298</v>
      </c>
    </row>
    <row r="770" spans="1:27" x14ac:dyDescent="0.2">
      <c r="A770">
        <f t="shared" si="154"/>
        <v>194140755992065.31</v>
      </c>
      <c r="B770" s="28">
        <v>0.75</v>
      </c>
      <c r="C770">
        <f t="shared" si="155"/>
        <v>194140756098039.25</v>
      </c>
      <c r="E770">
        <f t="shared" si="156"/>
        <v>9979.3913722306643</v>
      </c>
      <c r="F770" s="28">
        <v>0.75</v>
      </c>
      <c r="G770">
        <f t="shared" si="157"/>
        <v>799.99999999670342</v>
      </c>
      <c r="I770">
        <f t="shared" si="158"/>
        <v>339746323060296.06</v>
      </c>
      <c r="J770" s="28">
        <v>0.75</v>
      </c>
      <c r="K770">
        <f t="shared" si="159"/>
        <v>339746323171568.69</v>
      </c>
      <c r="M770">
        <f t="shared" si="160"/>
        <v>9918.3609408445081</v>
      </c>
      <c r="N770" s="28">
        <v>0.75</v>
      </c>
      <c r="O770">
        <f t="shared" si="161"/>
        <v>1399.9999999942311</v>
      </c>
      <c r="Q770">
        <f t="shared" si="162"/>
        <v>145605567068230.75</v>
      </c>
      <c r="R770" s="28">
        <v>0.75</v>
      </c>
      <c r="S770">
        <f t="shared" si="163"/>
        <v>145605567074129.44</v>
      </c>
      <c r="U770">
        <f t="shared" si="164"/>
        <v>1014823636.7749485</v>
      </c>
      <c r="V770" s="48">
        <v>0.75</v>
      </c>
      <c r="W770">
        <f t="shared" si="165"/>
        <v>1014842261.2396368</v>
      </c>
      <c r="Y770">
        <f t="shared" si="166"/>
        <v>6497.8776232362725</v>
      </c>
      <c r="Z770" s="28">
        <v>0.75</v>
      </c>
      <c r="AA770">
        <f t="shared" si="167"/>
        <v>799.99936936061886</v>
      </c>
    </row>
    <row r="771" spans="1:27" x14ac:dyDescent="0.2">
      <c r="A771">
        <f t="shared" si="154"/>
        <v>199140719938213.91</v>
      </c>
      <c r="B771" s="28">
        <v>0.751</v>
      </c>
      <c r="C771">
        <f t="shared" si="155"/>
        <v>199140720044187.84</v>
      </c>
      <c r="E771">
        <f t="shared" si="156"/>
        <v>9980.4566185687891</v>
      </c>
      <c r="F771" s="28">
        <v>0.751</v>
      </c>
      <c r="G771">
        <f t="shared" si="157"/>
        <v>798.9347536585791</v>
      </c>
      <c r="I771">
        <f t="shared" si="158"/>
        <v>348695400686100.25</v>
      </c>
      <c r="J771" s="28">
        <v>0.751</v>
      </c>
      <c r="K771">
        <f t="shared" si="159"/>
        <v>348695400797372.88</v>
      </c>
      <c r="M771">
        <f t="shared" si="160"/>
        <v>9919.4261871825656</v>
      </c>
      <c r="N771" s="28">
        <v>0.751</v>
      </c>
      <c r="O771">
        <f t="shared" si="161"/>
        <v>1398.9347536561718</v>
      </c>
      <c r="Q771">
        <f t="shared" si="162"/>
        <v>149554680747886.38</v>
      </c>
      <c r="R771" s="28">
        <v>0.751</v>
      </c>
      <c r="S771">
        <f t="shared" si="163"/>
        <v>149554680753785.06</v>
      </c>
      <c r="U771">
        <f t="shared" si="164"/>
        <v>1032642011.0655713</v>
      </c>
      <c r="V771" s="48">
        <v>0.751</v>
      </c>
      <c r="W771">
        <f t="shared" si="165"/>
        <v>1032660635.5302596</v>
      </c>
      <c r="Y771">
        <f t="shared" si="166"/>
        <v>6498.9428570435402</v>
      </c>
      <c r="Z771" s="28">
        <v>0.751</v>
      </c>
      <c r="AA771">
        <f t="shared" si="167"/>
        <v>798.93413555335178</v>
      </c>
    </row>
    <row r="772" spans="1:27" x14ac:dyDescent="0.2">
      <c r="A772">
        <f t="shared" si="154"/>
        <v>204266695794267.25</v>
      </c>
      <c r="B772" s="28">
        <v>0.752</v>
      </c>
      <c r="C772">
        <f t="shared" si="155"/>
        <v>204266695900241.19</v>
      </c>
      <c r="E772">
        <f t="shared" si="156"/>
        <v>9981.5190318049536</v>
      </c>
      <c r="F772" s="28">
        <v>0.752</v>
      </c>
      <c r="G772">
        <f t="shared" si="157"/>
        <v>797.8723404224155</v>
      </c>
      <c r="I772">
        <f t="shared" si="158"/>
        <v>357875251105950</v>
      </c>
      <c r="J772" s="28">
        <v>0.752</v>
      </c>
      <c r="K772">
        <f t="shared" si="159"/>
        <v>357875251217222.62</v>
      </c>
      <c r="M772">
        <f t="shared" si="160"/>
        <v>9920.4886004186665</v>
      </c>
      <c r="N772" s="28">
        <v>0.752</v>
      </c>
      <c r="O772">
        <f t="shared" si="161"/>
        <v>1397.8723404200721</v>
      </c>
      <c r="Q772">
        <f t="shared" si="162"/>
        <v>153608555311682.69</v>
      </c>
      <c r="R772" s="28">
        <v>0.752</v>
      </c>
      <c r="S772">
        <f t="shared" si="163"/>
        <v>153608555317581.38</v>
      </c>
      <c r="U772">
        <f t="shared" si="164"/>
        <v>1050775099.2223002</v>
      </c>
      <c r="V772" s="48">
        <v>0.752</v>
      </c>
      <c r="W772">
        <f t="shared" si="165"/>
        <v>1050793723.6869885</v>
      </c>
      <c r="Y772">
        <f t="shared" si="166"/>
        <v>6500.0052579989106</v>
      </c>
      <c r="Z772" s="28">
        <v>0.752</v>
      </c>
      <c r="AA772">
        <f t="shared" si="167"/>
        <v>797.871734597981</v>
      </c>
    </row>
    <row r="773" spans="1:27" x14ac:dyDescent="0.2">
      <c r="A773">
        <f t="shared" si="154"/>
        <v>209521789591294.88</v>
      </c>
      <c r="B773" s="28">
        <v>0.753</v>
      </c>
      <c r="C773">
        <f t="shared" si="155"/>
        <v>209521789697268.81</v>
      </c>
      <c r="E773">
        <f t="shared" si="156"/>
        <v>9982.5786232264145</v>
      </c>
      <c r="F773" s="28">
        <v>0.753</v>
      </c>
      <c r="G773">
        <f t="shared" si="157"/>
        <v>796.81274900095377</v>
      </c>
      <c r="I773">
        <f t="shared" si="158"/>
        <v>367291697228039.62</v>
      </c>
      <c r="J773" s="28">
        <v>0.753</v>
      </c>
      <c r="K773">
        <f t="shared" si="159"/>
        <v>367291697339312.25</v>
      </c>
      <c r="M773">
        <f t="shared" si="160"/>
        <v>9921.5481918400656</v>
      </c>
      <c r="N773" s="28">
        <v>0.753</v>
      </c>
      <c r="O773">
        <f t="shared" si="161"/>
        <v>1396.8127489986723</v>
      </c>
      <c r="Q773">
        <f t="shared" si="162"/>
        <v>157769907636744.72</v>
      </c>
      <c r="R773" s="28">
        <v>0.753</v>
      </c>
      <c r="S773">
        <f t="shared" si="163"/>
        <v>157769907642643.41</v>
      </c>
      <c r="U773">
        <f t="shared" si="164"/>
        <v>1069228487.3117785</v>
      </c>
      <c r="V773" s="48">
        <v>0.753</v>
      </c>
      <c r="W773">
        <f t="shared" si="165"/>
        <v>1069247111.7764668</v>
      </c>
      <c r="Y773">
        <f t="shared" si="166"/>
        <v>6501.0648373846298</v>
      </c>
      <c r="Z773" s="28">
        <v>0.753</v>
      </c>
      <c r="AA773">
        <f t="shared" si="167"/>
        <v>796.81215521226204</v>
      </c>
    </row>
    <row r="774" spans="1:27" x14ac:dyDescent="0.2">
      <c r="A774">
        <f t="shared" si="154"/>
        <v>214909182194131.59</v>
      </c>
      <c r="B774" s="28">
        <v>0.754</v>
      </c>
      <c r="C774">
        <f t="shared" si="155"/>
        <v>214909182300105.53</v>
      </c>
      <c r="E774">
        <f t="shared" si="156"/>
        <v>9983.6354040605529</v>
      </c>
      <c r="F774" s="28">
        <v>0.754</v>
      </c>
      <c r="G774">
        <f t="shared" si="157"/>
        <v>795.7559681668148</v>
      </c>
      <c r="I774">
        <f t="shared" si="158"/>
        <v>376950705643112.5</v>
      </c>
      <c r="J774" s="28">
        <v>0.754</v>
      </c>
      <c r="K774">
        <f t="shared" si="159"/>
        <v>376950705754385.12</v>
      </c>
      <c r="M774">
        <f t="shared" si="160"/>
        <v>9922.6049726741458</v>
      </c>
      <c r="N774" s="28">
        <v>0.754</v>
      </c>
      <c r="O774">
        <f t="shared" si="161"/>
        <v>1395.7559681645932</v>
      </c>
      <c r="Q774">
        <f t="shared" si="162"/>
        <v>162041523448980.88</v>
      </c>
      <c r="R774" s="28">
        <v>0.754</v>
      </c>
      <c r="S774">
        <f t="shared" si="163"/>
        <v>162041523454879.56</v>
      </c>
      <c r="U774">
        <f t="shared" si="164"/>
        <v>1088007860.9682238</v>
      </c>
      <c r="V774" s="48">
        <v>0.754</v>
      </c>
      <c r="W774">
        <f t="shared" si="165"/>
        <v>1088026485.4329121</v>
      </c>
      <c r="Y774">
        <f t="shared" si="166"/>
        <v>6502.121606423163</v>
      </c>
      <c r="Z774" s="28">
        <v>0.754</v>
      </c>
      <c r="AA774">
        <f t="shared" si="167"/>
        <v>795.75538617372877</v>
      </c>
    </row>
    <row r="775" spans="1:27" x14ac:dyDescent="0.2">
      <c r="A775">
        <f t="shared" si="154"/>
        <v>220432131062667.91</v>
      </c>
      <c r="B775" s="28">
        <v>0.755</v>
      </c>
      <c r="C775">
        <f t="shared" si="155"/>
        <v>220432131168641.84</v>
      </c>
      <c r="E775">
        <f t="shared" si="156"/>
        <v>9984.689385475267</v>
      </c>
      <c r="F775" s="28">
        <v>0.755</v>
      </c>
      <c r="G775">
        <f t="shared" si="157"/>
        <v>794.70198675210179</v>
      </c>
      <c r="I775">
        <f t="shared" si="158"/>
        <v>386858390089693.75</v>
      </c>
      <c r="J775" s="28">
        <v>0.755</v>
      </c>
      <c r="K775">
        <f t="shared" si="159"/>
        <v>386858390200966.38</v>
      </c>
      <c r="M775">
        <f t="shared" si="160"/>
        <v>9923.6589540887999</v>
      </c>
      <c r="N775" s="28">
        <v>0.755</v>
      </c>
      <c r="O775">
        <f t="shared" si="161"/>
        <v>1394.7019867499387</v>
      </c>
      <c r="Q775">
        <f t="shared" si="162"/>
        <v>166426259027025.91</v>
      </c>
      <c r="R775" s="28">
        <v>0.755</v>
      </c>
      <c r="S775">
        <f t="shared" si="163"/>
        <v>166426259032924.59</v>
      </c>
      <c r="U775">
        <f t="shared" si="164"/>
        <v>1107119007.1745789</v>
      </c>
      <c r="V775" s="48">
        <v>0.755</v>
      </c>
      <c r="W775">
        <f t="shared" si="165"/>
        <v>1107137631.6392672</v>
      </c>
      <c r="Y775">
        <f t="shared" si="166"/>
        <v>6503.1755762775929</v>
      </c>
      <c r="Z775" s="28">
        <v>0.755</v>
      </c>
      <c r="AA775">
        <f t="shared" si="167"/>
        <v>794.70141631929891</v>
      </c>
    </row>
    <row r="776" spans="1:27" x14ac:dyDescent="0.2">
      <c r="A776">
        <f t="shared" si="154"/>
        <v>226093972053578.16</v>
      </c>
      <c r="B776" s="28">
        <v>0.75600000000000001</v>
      </c>
      <c r="C776">
        <f t="shared" si="155"/>
        <v>226093972159552.09</v>
      </c>
      <c r="E776">
        <f t="shared" si="156"/>
        <v>9985.7405785793599</v>
      </c>
      <c r="F776" s="28">
        <v>0.75600000000000001</v>
      </c>
      <c r="G776">
        <f t="shared" si="157"/>
        <v>793.65079364800761</v>
      </c>
      <c r="I776">
        <f t="shared" si="158"/>
        <v>397021015000900.81</v>
      </c>
      <c r="J776" s="28">
        <v>0.75600000000000001</v>
      </c>
      <c r="K776">
        <f t="shared" si="159"/>
        <v>397021015112173.44</v>
      </c>
      <c r="M776">
        <f t="shared" si="160"/>
        <v>9924.7101471928363</v>
      </c>
      <c r="N776" s="28">
        <v>0.75600000000000001</v>
      </c>
      <c r="O776">
        <f t="shared" si="161"/>
        <v>1393.6507936459013</v>
      </c>
      <c r="Q776">
        <f t="shared" si="162"/>
        <v>170927042947322.69</v>
      </c>
      <c r="R776" s="28">
        <v>0.75600000000000001</v>
      </c>
      <c r="S776">
        <f t="shared" si="163"/>
        <v>170927042953221.38</v>
      </c>
      <c r="U776">
        <f t="shared" si="164"/>
        <v>1126567816.0756576</v>
      </c>
      <c r="V776" s="48">
        <v>0.75600000000000001</v>
      </c>
      <c r="W776">
        <f t="shared" si="165"/>
        <v>1126586440.5403459</v>
      </c>
      <c r="Y776">
        <f t="shared" si="166"/>
        <v>6504.2267580520092</v>
      </c>
      <c r="Z776" s="28">
        <v>0.75600000000000001</v>
      </c>
      <c r="AA776">
        <f t="shared" si="167"/>
        <v>793.65023454488244</v>
      </c>
    </row>
    <row r="777" spans="1:27" x14ac:dyDescent="0.2">
      <c r="A777">
        <f t="shared" si="154"/>
        <v>231898121263454.03</v>
      </c>
      <c r="B777" s="28">
        <v>0.75700000000000001</v>
      </c>
      <c r="C777">
        <f t="shared" si="155"/>
        <v>231898121369427.97</v>
      </c>
      <c r="E777">
        <f t="shared" si="156"/>
        <v>9986.7889944229446</v>
      </c>
      <c r="F777" s="28">
        <v>0.75700000000000001</v>
      </c>
      <c r="G777">
        <f t="shared" si="157"/>
        <v>792.60237780442435</v>
      </c>
      <c r="I777">
        <f t="shared" si="158"/>
        <v>407444999134812.31</v>
      </c>
      <c r="J777" s="28">
        <v>0.75700000000000001</v>
      </c>
      <c r="K777">
        <f t="shared" si="159"/>
        <v>407444999246084.94</v>
      </c>
      <c r="M777">
        <f t="shared" si="160"/>
        <v>9925.7585630363646</v>
      </c>
      <c r="N777" s="28">
        <v>0.75700000000000001</v>
      </c>
      <c r="O777">
        <f t="shared" si="161"/>
        <v>1392.6023778023737</v>
      </c>
      <c r="Q777">
        <f t="shared" si="162"/>
        <v>175546877871358.28</v>
      </c>
      <c r="R777" s="28">
        <v>0.75700000000000001</v>
      </c>
      <c r="S777">
        <f t="shared" si="163"/>
        <v>175546877877256.97</v>
      </c>
      <c r="U777">
        <f t="shared" si="164"/>
        <v>1146360282.8237979</v>
      </c>
      <c r="V777" s="48">
        <v>0.75700000000000001</v>
      </c>
      <c r="W777">
        <f t="shared" si="165"/>
        <v>1146378907.2884862</v>
      </c>
      <c r="Y777">
        <f t="shared" si="166"/>
        <v>6505.2751627918988</v>
      </c>
      <c r="Z777" s="28">
        <v>0.75700000000000001</v>
      </c>
      <c r="AA777">
        <f t="shared" si="167"/>
        <v>792.60182980499303</v>
      </c>
    </row>
    <row r="778" spans="1:27" x14ac:dyDescent="0.2">
      <c r="A778">
        <f t="shared" si="154"/>
        <v>237848076914218.5</v>
      </c>
      <c r="B778" s="28">
        <v>0.75800000000000001</v>
      </c>
      <c r="C778">
        <f t="shared" si="155"/>
        <v>237848077020192.44</v>
      </c>
      <c r="E778">
        <f t="shared" si="156"/>
        <v>9987.8346439978122</v>
      </c>
      <c r="F778" s="28">
        <v>0.75800000000000001</v>
      </c>
      <c r="G778">
        <f t="shared" si="157"/>
        <v>791.55672822955569</v>
      </c>
      <c r="I778">
        <f t="shared" si="158"/>
        <v>418136919290225.75</v>
      </c>
      <c r="J778" s="28">
        <v>0.75800000000000001</v>
      </c>
      <c r="K778">
        <f t="shared" si="159"/>
        <v>418136919401498.38</v>
      </c>
      <c r="M778">
        <f t="shared" si="160"/>
        <v>9926.8042126111795</v>
      </c>
      <c r="N778" s="28">
        <v>0.75800000000000001</v>
      </c>
      <c r="O778">
        <f t="shared" si="161"/>
        <v>1391.5567282275588</v>
      </c>
      <c r="Q778">
        <f t="shared" si="162"/>
        <v>180288842376007.19</v>
      </c>
      <c r="R778" s="28">
        <v>0.75800000000000001</v>
      </c>
      <c r="S778">
        <f t="shared" si="163"/>
        <v>180288842381905.88</v>
      </c>
      <c r="U778">
        <f t="shared" si="164"/>
        <v>1166502509.4576728</v>
      </c>
      <c r="V778" s="48">
        <v>0.75800000000000001</v>
      </c>
      <c r="W778">
        <f t="shared" si="165"/>
        <v>1166521133.9223611</v>
      </c>
      <c r="Y778">
        <f t="shared" si="166"/>
        <v>6506.3208014845277</v>
      </c>
      <c r="Z778" s="28">
        <v>0.75800000000000001</v>
      </c>
      <c r="AA778">
        <f t="shared" si="167"/>
        <v>791.55619111236365</v>
      </c>
    </row>
    <row r="779" spans="1:27" x14ac:dyDescent="0.2">
      <c r="A779">
        <f t="shared" si="154"/>
        <v>243947421281816.03</v>
      </c>
      <c r="B779" s="28">
        <v>0.75900000000000001</v>
      </c>
      <c r="C779">
        <f t="shared" si="155"/>
        <v>243947421387789.97</v>
      </c>
      <c r="E779">
        <f t="shared" si="156"/>
        <v>9988.8775382378353</v>
      </c>
      <c r="F779" s="28">
        <v>0.75900000000000001</v>
      </c>
      <c r="G779">
        <f t="shared" si="157"/>
        <v>790.51383398953317</v>
      </c>
      <c r="I779">
        <f t="shared" si="158"/>
        <v>429103514109849.88</v>
      </c>
      <c r="J779" s="28">
        <v>0.75900000000000001</v>
      </c>
      <c r="K779">
        <f t="shared" si="159"/>
        <v>429103514221122.5</v>
      </c>
      <c r="M779">
        <f t="shared" si="160"/>
        <v>9927.8471068511499</v>
      </c>
      <c r="N779" s="28">
        <v>0.75900000000000001</v>
      </c>
      <c r="O779">
        <f t="shared" si="161"/>
        <v>1390.5138339875884</v>
      </c>
      <c r="Q779">
        <f t="shared" si="162"/>
        <v>185156092828033.91</v>
      </c>
      <c r="R779" s="28">
        <v>0.75900000000000001</v>
      </c>
      <c r="S779">
        <f t="shared" si="163"/>
        <v>185156092833932.59</v>
      </c>
      <c r="U779">
        <f t="shared" si="164"/>
        <v>1187000706.8147905</v>
      </c>
      <c r="V779" s="48">
        <v>0.75900000000000001</v>
      </c>
      <c r="W779">
        <f t="shared" si="165"/>
        <v>1187019331.2794788</v>
      </c>
      <c r="Y779">
        <f t="shared" si="166"/>
        <v>6507.3636850593284</v>
      </c>
      <c r="Z779" s="28">
        <v>0.75900000000000001</v>
      </c>
      <c r="AA779">
        <f t="shared" si="167"/>
        <v>790.51330753756372</v>
      </c>
    </row>
    <row r="780" spans="1:27" x14ac:dyDescent="0.2">
      <c r="A780">
        <f t="shared" si="154"/>
        <v>250199822669095.75</v>
      </c>
      <c r="B780" s="28">
        <v>0.76</v>
      </c>
      <c r="C780">
        <f t="shared" si="155"/>
        <v>250199822775069.69</v>
      </c>
      <c r="E780">
        <f t="shared" si="156"/>
        <v>9989.9176880193336</v>
      </c>
      <c r="F780" s="28">
        <v>0.76</v>
      </c>
      <c r="G780">
        <f t="shared" si="157"/>
        <v>789.47368420803514</v>
      </c>
      <c r="I780">
        <f t="shared" si="158"/>
        <v>440351687972850</v>
      </c>
      <c r="J780" s="28">
        <v>0.76</v>
      </c>
      <c r="K780">
        <f t="shared" si="159"/>
        <v>440351688084122.62</v>
      </c>
      <c r="M780">
        <f t="shared" si="160"/>
        <v>9928.8872566325972</v>
      </c>
      <c r="N780" s="28">
        <v>0.76</v>
      </c>
      <c r="O780">
        <f t="shared" si="161"/>
        <v>1389.4736842061418</v>
      </c>
      <c r="Q780">
        <f t="shared" si="162"/>
        <v>190151865303754.28</v>
      </c>
      <c r="R780" s="28">
        <v>0.76</v>
      </c>
      <c r="S780">
        <f t="shared" si="163"/>
        <v>190151865309652.97</v>
      </c>
      <c r="U780">
        <f t="shared" si="164"/>
        <v>1207861196.4783547</v>
      </c>
      <c r="V780" s="48">
        <v>0.76</v>
      </c>
      <c r="W780">
        <f t="shared" si="165"/>
        <v>1207879820.943043</v>
      </c>
      <c r="Y780">
        <f t="shared" si="166"/>
        <v>6508.4038243882724</v>
      </c>
      <c r="Z780" s="28">
        <v>0.76</v>
      </c>
      <c r="AA780">
        <f t="shared" si="167"/>
        <v>789.47316820861954</v>
      </c>
    </row>
    <row r="781" spans="1:27" x14ac:dyDescent="0.2">
      <c r="A781">
        <f t="shared" si="154"/>
        <v>256609037423915.88</v>
      </c>
      <c r="B781" s="28">
        <v>0.76100000000000001</v>
      </c>
      <c r="C781">
        <f t="shared" si="155"/>
        <v>256609037529889.81</v>
      </c>
      <c r="E781">
        <f t="shared" si="156"/>
        <v>9990.9551041614595</v>
      </c>
      <c r="F781" s="28">
        <v>0.76100000000000001</v>
      </c>
      <c r="G781">
        <f t="shared" si="157"/>
        <v>788.43626806590862</v>
      </c>
      <c r="I781">
        <f t="shared" si="158"/>
        <v>451888514978863.38</v>
      </c>
      <c r="J781" s="28">
        <v>0.76100000000000001</v>
      </c>
      <c r="K781">
        <f t="shared" si="159"/>
        <v>451888515090136</v>
      </c>
      <c r="M781">
        <f t="shared" si="160"/>
        <v>9929.9246727746722</v>
      </c>
      <c r="N781" s="28">
        <v>0.76100000000000001</v>
      </c>
      <c r="O781">
        <f t="shared" si="161"/>
        <v>1388.4362680640652</v>
      </c>
      <c r="Q781">
        <f t="shared" si="162"/>
        <v>195279477554947.47</v>
      </c>
      <c r="R781" s="28">
        <v>0.76100000000000001</v>
      </c>
      <c r="S781">
        <f t="shared" si="163"/>
        <v>195279477560846.16</v>
      </c>
      <c r="U781">
        <f t="shared" si="164"/>
        <v>1229090412.7590413</v>
      </c>
      <c r="V781" s="48">
        <v>0.76100000000000001</v>
      </c>
      <c r="W781">
        <f t="shared" si="165"/>
        <v>1229109037.2237296</v>
      </c>
      <c r="Y781">
        <f t="shared" si="166"/>
        <v>6509.4412302862529</v>
      </c>
      <c r="Z781" s="28">
        <v>0.76100000000000001</v>
      </c>
      <c r="AA781">
        <f t="shared" si="167"/>
        <v>788.43576231063901</v>
      </c>
    </row>
    <row r="782" spans="1:27" x14ac:dyDescent="0.2">
      <c r="A782">
        <f t="shared" si="154"/>
        <v>263178912003467.78</v>
      </c>
      <c r="B782" s="28">
        <v>0.76200000000000001</v>
      </c>
      <c r="C782">
        <f t="shared" si="155"/>
        <v>263178912109441.72</v>
      </c>
      <c r="E782">
        <f t="shared" si="156"/>
        <v>9991.989797426575</v>
      </c>
      <c r="F782" s="28">
        <v>0.76200000000000001</v>
      </c>
      <c r="G782">
        <f t="shared" si="157"/>
        <v>787.40157480079381</v>
      </c>
      <c r="I782">
        <f t="shared" si="158"/>
        <v>463721243025563.62</v>
      </c>
      <c r="J782" s="28">
        <v>0.76200000000000001</v>
      </c>
      <c r="K782">
        <f t="shared" si="159"/>
        <v>463721243136836.25</v>
      </c>
      <c r="M782">
        <f t="shared" si="160"/>
        <v>9930.9593660397404</v>
      </c>
      <c r="N782" s="28">
        <v>0.76200000000000001</v>
      </c>
      <c r="O782">
        <f t="shared" si="161"/>
        <v>1387.4015747989988</v>
      </c>
      <c r="Q782">
        <f t="shared" si="162"/>
        <v>200542331022095.91</v>
      </c>
      <c r="R782" s="28">
        <v>0.76200000000000001</v>
      </c>
      <c r="S782">
        <f t="shared" si="163"/>
        <v>200542331027994.59</v>
      </c>
      <c r="U782">
        <f t="shared" si="164"/>
        <v>1250694904.7123806</v>
      </c>
      <c r="V782" s="48">
        <v>0.76200000000000001</v>
      </c>
      <c r="W782">
        <f t="shared" si="165"/>
        <v>1250713529.1770689</v>
      </c>
      <c r="Y782">
        <f t="shared" si="166"/>
        <v>6510.4759135114546</v>
      </c>
      <c r="Z782" s="28">
        <v>0.76200000000000001</v>
      </c>
      <c r="AA782">
        <f t="shared" si="167"/>
        <v>787.40107908543712</v>
      </c>
    </row>
    <row r="783" spans="1:27" x14ac:dyDescent="0.2">
      <c r="A783">
        <f t="shared" si="154"/>
        <v>269913385085847.16</v>
      </c>
      <c r="B783" s="28">
        <v>0.76300000000000001</v>
      </c>
      <c r="C783">
        <f t="shared" si="155"/>
        <v>269913385191821.09</v>
      </c>
      <c r="E783">
        <f t="shared" si="156"/>
        <v>9993.0217785206169</v>
      </c>
      <c r="F783" s="28">
        <v>0.76300000000000001</v>
      </c>
      <c r="G783">
        <f t="shared" si="157"/>
        <v>786.3695937067522</v>
      </c>
      <c r="I783">
        <f t="shared" si="158"/>
        <v>475857297981908</v>
      </c>
      <c r="J783" s="28">
        <v>0.76300000000000001</v>
      </c>
      <c r="K783">
        <f t="shared" si="159"/>
        <v>475857298093180.62</v>
      </c>
      <c r="M783">
        <f t="shared" si="160"/>
        <v>9931.991347133735</v>
      </c>
      <c r="N783" s="28">
        <v>0.76300000000000001</v>
      </c>
      <c r="O783">
        <f t="shared" si="161"/>
        <v>1386.369593705004</v>
      </c>
      <c r="Q783">
        <f t="shared" si="162"/>
        <v>205943912896060.81</v>
      </c>
      <c r="R783" s="28">
        <v>0.76300000000000001</v>
      </c>
      <c r="S783">
        <f t="shared" si="163"/>
        <v>205943912901959.5</v>
      </c>
      <c r="U783">
        <f t="shared" si="164"/>
        <v>1272681338.1923239</v>
      </c>
      <c r="V783" s="48">
        <v>0.76300000000000001</v>
      </c>
      <c r="W783">
        <f t="shared" si="165"/>
        <v>1272699962.6570122</v>
      </c>
      <c r="Y783">
        <f t="shared" si="166"/>
        <v>6511.5078847657251</v>
      </c>
      <c r="Z783" s="28">
        <v>0.76300000000000001</v>
      </c>
      <c r="AA783">
        <f t="shared" si="167"/>
        <v>786.36910783116639</v>
      </c>
    </row>
    <row r="784" spans="1:27" x14ac:dyDescent="0.2">
      <c r="A784">
        <f t="shared" si="154"/>
        <v>276816489729939.62</v>
      </c>
      <c r="B784" s="28">
        <v>0.76400000000000001</v>
      </c>
      <c r="C784">
        <f t="shared" si="155"/>
        <v>276816489835913.56</v>
      </c>
      <c r="E784">
        <f t="shared" si="156"/>
        <v>9994.0510580934715</v>
      </c>
      <c r="F784" s="28">
        <v>0.76400000000000001</v>
      </c>
      <c r="G784">
        <f t="shared" si="157"/>
        <v>785.34031413389755</v>
      </c>
      <c r="I784">
        <f t="shared" si="158"/>
        <v>488304287959278.88</v>
      </c>
      <c r="J784" s="28">
        <v>0.76400000000000001</v>
      </c>
      <c r="K784">
        <f t="shared" si="159"/>
        <v>488304288070551.5</v>
      </c>
      <c r="M784">
        <f t="shared" si="160"/>
        <v>9933.0206267065423</v>
      </c>
      <c r="N784" s="28">
        <v>0.76400000000000001</v>
      </c>
      <c r="O784">
        <f t="shared" si="161"/>
        <v>1385.3403141321955</v>
      </c>
      <c r="Q784">
        <f t="shared" si="162"/>
        <v>211487798229339.28</v>
      </c>
      <c r="R784" s="28">
        <v>0.76400000000000001</v>
      </c>
      <c r="S784">
        <f t="shared" si="163"/>
        <v>211487798235237.97</v>
      </c>
      <c r="U784">
        <f t="shared" si="164"/>
        <v>1295056497.9417102</v>
      </c>
      <c r="V784" s="48">
        <v>0.76400000000000001</v>
      </c>
      <c r="W784">
        <f t="shared" si="165"/>
        <v>1295075122.4063985</v>
      </c>
      <c r="Y784">
        <f t="shared" si="166"/>
        <v>6512.5371546949427</v>
      </c>
      <c r="Z784" s="28">
        <v>0.76400000000000001</v>
      </c>
      <c r="AA784">
        <f t="shared" si="167"/>
        <v>785.33983790194873</v>
      </c>
    </row>
    <row r="785" spans="1:27" x14ac:dyDescent="0.2">
      <c r="A785">
        <f t="shared" si="154"/>
        <v>283892355584670.62</v>
      </c>
      <c r="B785" s="28">
        <v>0.76500000000000001</v>
      </c>
      <c r="C785">
        <f t="shared" si="155"/>
        <v>283892355690644.56</v>
      </c>
      <c r="E785">
        <f t="shared" si="156"/>
        <v>9995.0776467393389</v>
      </c>
      <c r="F785" s="28">
        <v>0.76500000000000001</v>
      </c>
      <c r="G785">
        <f t="shared" si="157"/>
        <v>784.31372548802926</v>
      </c>
      <c r="I785">
        <f t="shared" si="158"/>
        <v>501070007682715</v>
      </c>
      <c r="J785" s="28">
        <v>0.76500000000000001</v>
      </c>
      <c r="K785">
        <f t="shared" si="159"/>
        <v>501070007793987.62</v>
      </c>
      <c r="M785">
        <f t="shared" si="160"/>
        <v>9934.047215352366</v>
      </c>
      <c r="N785" s="28">
        <v>0.76500000000000001</v>
      </c>
      <c r="O785">
        <f t="shared" si="161"/>
        <v>1384.3137254863718</v>
      </c>
      <c r="Q785">
        <f t="shared" si="162"/>
        <v>217177652098044.41</v>
      </c>
      <c r="R785" s="28">
        <v>0.76500000000000001</v>
      </c>
      <c r="S785">
        <f t="shared" si="163"/>
        <v>217177652103943.09</v>
      </c>
      <c r="U785">
        <f t="shared" si="164"/>
        <v>1317827289.7202322</v>
      </c>
      <c r="V785" s="48">
        <v>0.76500000000000001</v>
      </c>
      <c r="W785">
        <f t="shared" si="165"/>
        <v>1317845914.1849205</v>
      </c>
      <c r="Y785">
        <f t="shared" si="166"/>
        <v>6513.5637338893803</v>
      </c>
      <c r="Z785" s="28">
        <v>0.76500000000000001</v>
      </c>
      <c r="AA785">
        <f t="shared" si="167"/>
        <v>784.3132587075113</v>
      </c>
    </row>
    <row r="786" spans="1:27" x14ac:dyDescent="0.2">
      <c r="A786">
        <f t="shared" si="154"/>
        <v>291145211148769.94</v>
      </c>
      <c r="B786" s="28">
        <v>0.76600000000000001</v>
      </c>
      <c r="C786">
        <f t="shared" si="155"/>
        <v>291145211254743.88</v>
      </c>
      <c r="E786">
        <f t="shared" si="156"/>
        <v>9996.1015549970998</v>
      </c>
      <c r="F786" s="28">
        <v>0.76600000000000001</v>
      </c>
      <c r="G786">
        <f t="shared" si="157"/>
        <v>783.28981723026868</v>
      </c>
      <c r="I786">
        <f t="shared" si="158"/>
        <v>514162442964605</v>
      </c>
      <c r="J786" s="28">
        <v>0.76600000000000001</v>
      </c>
      <c r="K786">
        <f t="shared" si="159"/>
        <v>514162443075877.62</v>
      </c>
      <c r="M786">
        <f t="shared" si="160"/>
        <v>9935.0711236100833</v>
      </c>
      <c r="N786" s="28">
        <v>0.76600000000000001</v>
      </c>
      <c r="O786">
        <f t="shared" si="161"/>
        <v>1383.2898172286541</v>
      </c>
      <c r="Q786">
        <f t="shared" si="162"/>
        <v>223017231815835.12</v>
      </c>
      <c r="R786" s="28">
        <v>0.76600000000000001</v>
      </c>
      <c r="S786">
        <f t="shared" si="163"/>
        <v>223017231821733.81</v>
      </c>
      <c r="U786">
        <f t="shared" si="164"/>
        <v>1341000742.4706435</v>
      </c>
      <c r="V786" s="48">
        <v>0.76600000000000001</v>
      </c>
      <c r="W786">
        <f t="shared" si="165"/>
        <v>1341019366.9353318</v>
      </c>
      <c r="Y786">
        <f t="shared" si="166"/>
        <v>6514.5876328840677</v>
      </c>
      <c r="Z786" s="28">
        <v>0.76600000000000001</v>
      </c>
      <c r="AA786">
        <f t="shared" si="167"/>
        <v>783.28935971282442</v>
      </c>
    </row>
    <row r="787" spans="1:27" x14ac:dyDescent="0.2">
      <c r="A787">
        <f t="shared" si="154"/>
        <v>298579386082123.5</v>
      </c>
      <c r="B787" s="28">
        <v>0.76700000000000002</v>
      </c>
      <c r="C787">
        <f t="shared" si="155"/>
        <v>298579386188097.44</v>
      </c>
      <c r="E787">
        <f t="shared" si="156"/>
        <v>9997.1227933506689</v>
      </c>
      <c r="F787" s="28">
        <v>0.76700000000000002</v>
      </c>
      <c r="G787">
        <f t="shared" si="157"/>
        <v>782.26857887669883</v>
      </c>
      <c r="I787">
        <f t="shared" si="158"/>
        <v>527589775283095.62</v>
      </c>
      <c r="J787" s="28">
        <v>0.76700000000000002</v>
      </c>
      <c r="K787">
        <f t="shared" si="159"/>
        <v>527589775394368.25</v>
      </c>
      <c r="M787">
        <f t="shared" si="160"/>
        <v>9936.0923619636123</v>
      </c>
      <c r="N787" s="28">
        <v>0.76700000000000002</v>
      </c>
      <c r="O787">
        <f t="shared" si="161"/>
        <v>1382.2685788751267</v>
      </c>
      <c r="Q787">
        <f t="shared" si="162"/>
        <v>229010389200972.06</v>
      </c>
      <c r="R787" s="28">
        <v>0.76700000000000002</v>
      </c>
      <c r="S787">
        <f t="shared" si="163"/>
        <v>229010389206870.75</v>
      </c>
      <c r="U787">
        <f t="shared" si="164"/>
        <v>1364584010.5238242</v>
      </c>
      <c r="V787" s="48">
        <v>0.76700000000000002</v>
      </c>
      <c r="W787">
        <f t="shared" si="165"/>
        <v>1364602634.9885125</v>
      </c>
      <c r="Y787">
        <f t="shared" si="166"/>
        <v>6515.6088621591498</v>
      </c>
      <c r="Z787" s="28">
        <v>0.76700000000000002</v>
      </c>
      <c r="AA787">
        <f t="shared" si="167"/>
        <v>782.26813043774212</v>
      </c>
    </row>
    <row r="788" spans="1:27" x14ac:dyDescent="0.2">
      <c r="A788">
        <f t="shared" si="154"/>
        <v>306199313569913.5</v>
      </c>
      <c r="B788" s="28">
        <v>0.76800000000000002</v>
      </c>
      <c r="C788">
        <f t="shared" si="155"/>
        <v>306199313675887.44</v>
      </c>
      <c r="E788">
        <f t="shared" si="156"/>
        <v>9998.1413722293619</v>
      </c>
      <c r="F788" s="28">
        <v>0.76800000000000002</v>
      </c>
      <c r="G788">
        <f t="shared" si="157"/>
        <v>781.24999999800673</v>
      </c>
      <c r="I788">
        <f t="shared" si="158"/>
        <v>541360386467696.38</v>
      </c>
      <c r="J788" s="28">
        <v>0.76800000000000002</v>
      </c>
      <c r="K788">
        <f t="shared" si="159"/>
        <v>541360386578969</v>
      </c>
      <c r="M788">
        <f t="shared" si="160"/>
        <v>9937.1109408422617</v>
      </c>
      <c r="N788" s="28">
        <v>0.76800000000000002</v>
      </c>
      <c r="O788">
        <f t="shared" si="161"/>
        <v>1381.2499999964759</v>
      </c>
      <c r="Q788">
        <f t="shared" si="162"/>
        <v>235161072897782.88</v>
      </c>
      <c r="R788" s="28">
        <v>0.76800000000000002</v>
      </c>
      <c r="S788">
        <f t="shared" si="163"/>
        <v>235161072903681.56</v>
      </c>
      <c r="U788">
        <f t="shared" si="164"/>
        <v>1388584375.8434806</v>
      </c>
      <c r="V788" s="48">
        <v>0.76800000000000002</v>
      </c>
      <c r="W788">
        <f t="shared" si="165"/>
        <v>1388603000.3081689</v>
      </c>
      <c r="Y788">
        <f t="shared" si="166"/>
        <v>6516.6274321402452</v>
      </c>
      <c r="Z788" s="28">
        <v>0.76800000000000002</v>
      </c>
      <c r="AA788">
        <f t="shared" si="167"/>
        <v>781.24956045664669</v>
      </c>
    </row>
    <row r="789" spans="1:27" x14ac:dyDescent="0.2">
      <c r="A789">
        <f t="shared" si="154"/>
        <v>314009532740657.12</v>
      </c>
      <c r="B789" s="28">
        <v>0.76900000000000002</v>
      </c>
      <c r="C789">
        <f t="shared" si="155"/>
        <v>314009532846631.06</v>
      </c>
      <c r="E789">
        <f t="shared" si="156"/>
        <v>9999.1573020082415</v>
      </c>
      <c r="F789" s="28">
        <v>0.76900000000000002</v>
      </c>
      <c r="G789">
        <f t="shared" si="157"/>
        <v>780.23407021912749</v>
      </c>
      <c r="I789">
        <f t="shared" si="158"/>
        <v>555482863494417.81</v>
      </c>
      <c r="J789" s="28">
        <v>0.76900000000000002</v>
      </c>
      <c r="K789">
        <f t="shared" si="159"/>
        <v>555482863605690.44</v>
      </c>
      <c r="M789">
        <f t="shared" si="160"/>
        <v>9938.1268706211013</v>
      </c>
      <c r="N789" s="28">
        <v>0.76900000000000002</v>
      </c>
      <c r="O789">
        <f t="shared" si="161"/>
        <v>1380.2340702176368</v>
      </c>
      <c r="Q789">
        <f t="shared" si="162"/>
        <v>241473330753760.59</v>
      </c>
      <c r="R789" s="28">
        <v>0.76900000000000002</v>
      </c>
      <c r="S789">
        <f t="shared" si="163"/>
        <v>241473330759659.28</v>
      </c>
      <c r="U789">
        <f t="shared" si="164"/>
        <v>1413009250.3111136</v>
      </c>
      <c r="V789" s="48">
        <v>0.76900000000000002</v>
      </c>
      <c r="W789">
        <f t="shared" si="165"/>
        <v>1413027874.7758019</v>
      </c>
      <c r="Y789">
        <f t="shared" si="166"/>
        <v>6517.6433531987968</v>
      </c>
      <c r="Z789" s="28">
        <v>0.76900000000000002</v>
      </c>
      <c r="AA789">
        <f t="shared" si="167"/>
        <v>780.23363939809462</v>
      </c>
    </row>
    <row r="790" spans="1:27" x14ac:dyDescent="0.2">
      <c r="A790">
        <f t="shared" ref="A790:A853" si="168">ABS($D$11-C790)</f>
        <v>322014691139423.88</v>
      </c>
      <c r="B790" s="28">
        <v>0.77</v>
      </c>
      <c r="C790">
        <f t="shared" ref="C790:C853" si="169">($B$4)*(((1+B790)^($B$6*$B$5))-1)/B790</f>
        <v>322014691245397.81</v>
      </c>
      <c r="E790">
        <f t="shared" ref="E790:E853" si="170">ABS($E$12-G790)</f>
        <v>10000.170593008475</v>
      </c>
      <c r="F790" s="28">
        <v>0.77</v>
      </c>
      <c r="G790">
        <f t="shared" ref="G790:G853" si="171">$B$4*(((1-(1+F790)^(-$B$5*$B$6)))/F790)</f>
        <v>779.22077921889365</v>
      </c>
      <c r="I790">
        <f t="shared" ref="I790:I853" si="172">ABS($F$11-K790)</f>
        <v>569966003393081.38</v>
      </c>
      <c r="J790" s="28">
        <v>0.77</v>
      </c>
      <c r="K790">
        <f t="shared" ref="K790:K853" si="173">($B$4*(1+J790)*(((1+J790)^($B$6*$B$5))-1))/J790</f>
        <v>569966003504354</v>
      </c>
      <c r="M790">
        <f t="shared" ref="M790:M853" si="174">ABS($G$12-O790)</f>
        <v>9939.140161621297</v>
      </c>
      <c r="N790" s="28">
        <v>0.77</v>
      </c>
      <c r="O790">
        <f t="shared" ref="O790:O853" si="175">($B$4*(1+N790)*(1-((1+N790)^(-$B$6*$B$5))))/N790</f>
        <v>1379.2207792174418</v>
      </c>
      <c r="Q790">
        <f t="shared" ref="Q790:Q853" si="176">ABS($H$11-S790)</f>
        <v>247951312253657.62</v>
      </c>
      <c r="R790" s="28">
        <v>0.77</v>
      </c>
      <c r="S790">
        <f t="shared" ref="S790:S853" si="177">$B$3*((1+R790)^($B$6*$B$5))</f>
        <v>247951312259556.31</v>
      </c>
      <c r="U790">
        <f t="shared" ref="U790:U853" si="178">ABS($I$11-W790)</f>
        <v>1437866178.0520627</v>
      </c>
      <c r="V790" s="48">
        <v>0.77</v>
      </c>
      <c r="W790">
        <f t="shared" ref="W790:W853" si="179">($B$4*(EXP(V790*$B$6)-1))/V790</f>
        <v>1437884802.5167511</v>
      </c>
      <c r="Y790">
        <f t="shared" ref="Y790:Y853" si="180">ABS($I$12-AA790)</f>
        <v>6518.6566356524263</v>
      </c>
      <c r="Z790" s="28">
        <v>0.77</v>
      </c>
      <c r="AA790">
        <f t="shared" ref="AA790:AA853" si="181">$B$4*(1-EXP(-Z790*$B$6))/Z790</f>
        <v>779.22035694446561</v>
      </c>
    </row>
    <row r="791" spans="1:27" x14ac:dyDescent="0.2">
      <c r="A791">
        <f t="shared" si="168"/>
        <v>330219547257395.62</v>
      </c>
      <c r="B791" s="28">
        <v>0.77100000000000002</v>
      </c>
      <c r="C791">
        <f t="shared" si="169"/>
        <v>330219547363369.56</v>
      </c>
      <c r="E791">
        <f t="shared" si="170"/>
        <v>10001.181255497684</v>
      </c>
      <c r="F791" s="28">
        <v>0.77100000000000002</v>
      </c>
      <c r="G791">
        <f t="shared" si="171"/>
        <v>778.21011672968359</v>
      </c>
      <c r="I791">
        <f t="shared" si="172"/>
        <v>584818818269254.75</v>
      </c>
      <c r="J791" s="28">
        <v>0.77100000000000002</v>
      </c>
      <c r="K791">
        <f t="shared" si="173"/>
        <v>584818818380527.38</v>
      </c>
      <c r="M791">
        <f t="shared" si="174"/>
        <v>9940.1508241104693</v>
      </c>
      <c r="N791" s="28">
        <v>0.77100000000000002</v>
      </c>
      <c r="O791">
        <f t="shared" si="175"/>
        <v>1378.2101167282692</v>
      </c>
      <c r="Q791">
        <f t="shared" si="176"/>
        <v>254599271011859.25</v>
      </c>
      <c r="R791" s="28">
        <v>0.77100000000000002</v>
      </c>
      <c r="S791">
        <f t="shared" si="177"/>
        <v>254599271017757.94</v>
      </c>
      <c r="U791">
        <f t="shared" si="178"/>
        <v>1463162837.8032808</v>
      </c>
      <c r="V791" s="48">
        <v>0.77100000000000002</v>
      </c>
      <c r="W791">
        <f t="shared" si="179"/>
        <v>1463181462.2679691</v>
      </c>
      <c r="Y791">
        <f t="shared" si="180"/>
        <v>6519.6672897652761</v>
      </c>
      <c r="Z791" s="28">
        <v>0.77100000000000002</v>
      </c>
      <c r="AA791">
        <f t="shared" si="181"/>
        <v>778.20970283161557</v>
      </c>
    </row>
    <row r="792" spans="1:27" x14ac:dyDescent="0.2">
      <c r="A792">
        <f t="shared" si="168"/>
        <v>338628973119047.12</v>
      </c>
      <c r="B792" s="28">
        <v>0.77200000000000002</v>
      </c>
      <c r="C792">
        <f t="shared" si="169"/>
        <v>338628973225021.06</v>
      </c>
      <c r="E792">
        <f t="shared" si="170"/>
        <v>10002.189299690292</v>
      </c>
      <c r="F792" s="28">
        <v>0.77200000000000002</v>
      </c>
      <c r="G792">
        <f t="shared" si="171"/>
        <v>777.20207253707633</v>
      </c>
      <c r="I792">
        <f t="shared" si="172"/>
        <v>600050540443464.62</v>
      </c>
      <c r="J792" s="28">
        <v>0.77200000000000002</v>
      </c>
      <c r="K792">
        <f t="shared" si="173"/>
        <v>600050540554737.25</v>
      </c>
      <c r="M792">
        <f t="shared" si="174"/>
        <v>9941.1588683030386</v>
      </c>
      <c r="N792" s="28">
        <v>0.77200000000000002</v>
      </c>
      <c r="O792">
        <f t="shared" si="175"/>
        <v>1377.2020725356992</v>
      </c>
      <c r="Q792">
        <f t="shared" si="176"/>
        <v>261421567324417.56</v>
      </c>
      <c r="R792" s="28">
        <v>0.77200000000000002</v>
      </c>
      <c r="S792">
        <f t="shared" si="177"/>
        <v>261421567330316.25</v>
      </c>
      <c r="U792">
        <f t="shared" si="178"/>
        <v>1488907045.3236749</v>
      </c>
      <c r="V792" s="48">
        <v>0.77200000000000002</v>
      </c>
      <c r="W792">
        <f t="shared" si="179"/>
        <v>1488925669.7883632</v>
      </c>
      <c r="Y792">
        <f t="shared" si="180"/>
        <v>6520.6753257483615</v>
      </c>
      <c r="Z792" s="28">
        <v>0.77200000000000002</v>
      </c>
      <c r="AA792">
        <f t="shared" si="181"/>
        <v>777.20166684853007</v>
      </c>
    </row>
    <row r="793" spans="1:27" x14ac:dyDescent="0.2">
      <c r="A793">
        <f t="shared" si="168"/>
        <v>347247956928219.81</v>
      </c>
      <c r="B793" s="28">
        <v>0.77300000000000002</v>
      </c>
      <c r="C793">
        <f t="shared" si="169"/>
        <v>347247957034193.75</v>
      </c>
      <c r="E793">
        <f t="shared" si="170"/>
        <v>10003.194735747862</v>
      </c>
      <c r="F793" s="28">
        <v>0.77300000000000002</v>
      </c>
      <c r="G793">
        <f t="shared" si="171"/>
        <v>776.19663647950688</v>
      </c>
      <c r="I793">
        <f t="shared" si="172"/>
        <v>615670627710353</v>
      </c>
      <c r="J793" s="28">
        <v>0.77300000000000002</v>
      </c>
      <c r="K793">
        <f t="shared" si="173"/>
        <v>615670627821625.62</v>
      </c>
      <c r="M793">
        <f t="shared" si="174"/>
        <v>9942.1643043605727</v>
      </c>
      <c r="N793" s="28">
        <v>0.77300000000000002</v>
      </c>
      <c r="O793">
        <f t="shared" si="175"/>
        <v>1376.1966364781661</v>
      </c>
      <c r="Q793">
        <f t="shared" si="176"/>
        <v>268422670782133.09</v>
      </c>
      <c r="R793" s="28">
        <v>0.77300000000000002</v>
      </c>
      <c r="S793">
        <f t="shared" si="177"/>
        <v>268422670788031.78</v>
      </c>
      <c r="U793">
        <f t="shared" si="178"/>
        <v>1515106755.8477018</v>
      </c>
      <c r="V793" s="48">
        <v>0.77300000000000002</v>
      </c>
      <c r="W793">
        <f t="shared" si="179"/>
        <v>1515125380.3123901</v>
      </c>
      <c r="Y793">
        <f t="shared" si="180"/>
        <v>6521.6807537599097</v>
      </c>
      <c r="Z793" s="28">
        <v>0.77300000000000002</v>
      </c>
      <c r="AA793">
        <f t="shared" si="181"/>
        <v>776.19623883698239</v>
      </c>
    </row>
    <row r="794" spans="1:27" x14ac:dyDescent="0.2">
      <c r="A794">
        <f t="shared" si="168"/>
        <v>356081605774413.31</v>
      </c>
      <c r="B794" s="28">
        <v>0.77400000000000002</v>
      </c>
      <c r="C794">
        <f t="shared" si="169"/>
        <v>356081605880387.25</v>
      </c>
      <c r="E794">
        <f t="shared" si="170"/>
        <v>10004.197573779444</v>
      </c>
      <c r="F794" s="28">
        <v>0.77400000000000002</v>
      </c>
      <c r="G794">
        <f t="shared" si="171"/>
        <v>775.19379844792479</v>
      </c>
      <c r="I794">
        <f t="shared" si="172"/>
        <v>631688768720534.5</v>
      </c>
      <c r="J794" s="28">
        <v>0.77400000000000002</v>
      </c>
      <c r="K794">
        <f t="shared" si="173"/>
        <v>631688768831807.12</v>
      </c>
      <c r="M794">
        <f t="shared" si="174"/>
        <v>9943.1671423921198</v>
      </c>
      <c r="N794" s="28">
        <v>0.77400000000000002</v>
      </c>
      <c r="O794">
        <f t="shared" si="175"/>
        <v>1375.1937984466188</v>
      </c>
      <c r="Q794">
        <f t="shared" si="176"/>
        <v>275607162946121.06</v>
      </c>
      <c r="R794" s="28">
        <v>0.77400000000000002</v>
      </c>
      <c r="S794">
        <f t="shared" si="177"/>
        <v>275607162952019.75</v>
      </c>
      <c r="U794">
        <f t="shared" si="178"/>
        <v>1541770066.5830679</v>
      </c>
      <c r="V794" s="48">
        <v>0.77400000000000002</v>
      </c>
      <c r="W794">
        <f t="shared" si="179"/>
        <v>1541788691.0477562</v>
      </c>
      <c r="Y794">
        <f t="shared" si="180"/>
        <v>6522.6835839056985</v>
      </c>
      <c r="Z794" s="28">
        <v>0.77400000000000002</v>
      </c>
      <c r="AA794">
        <f t="shared" si="181"/>
        <v>775.19340869119321</v>
      </c>
    </row>
    <row r="795" spans="1:27" x14ac:dyDescent="0.2">
      <c r="A795">
        <f t="shared" si="168"/>
        <v>365135148400612.75</v>
      </c>
      <c r="B795" s="28">
        <v>0.77500000000000002</v>
      </c>
      <c r="C795">
        <f t="shared" si="169"/>
        <v>365135148506586.69</v>
      </c>
      <c r="E795">
        <f t="shared" si="170"/>
        <v>10005.197823841912</v>
      </c>
      <c r="F795" s="28">
        <v>0.77500000000000002</v>
      </c>
      <c r="G795">
        <f t="shared" si="171"/>
        <v>774.1935483854553</v>
      </c>
      <c r="I795">
        <f t="shared" si="172"/>
        <v>648114888487918.75</v>
      </c>
      <c r="J795" s="28">
        <v>0.77500000000000002</v>
      </c>
      <c r="K795">
        <f t="shared" si="173"/>
        <v>648114888599191.38</v>
      </c>
      <c r="M795">
        <f t="shared" si="174"/>
        <v>9944.1673924545557</v>
      </c>
      <c r="N795" s="28">
        <v>0.77500000000000002</v>
      </c>
      <c r="O795">
        <f t="shared" si="175"/>
        <v>1374.193548384183</v>
      </c>
      <c r="Q795">
        <f t="shared" si="176"/>
        <v>282979740087306</v>
      </c>
      <c r="R795" s="28">
        <v>0.77500000000000002</v>
      </c>
      <c r="S795">
        <f t="shared" si="177"/>
        <v>282979740093204.69</v>
      </c>
      <c r="U795">
        <f t="shared" si="178"/>
        <v>1568905219.2532606</v>
      </c>
      <c r="V795" s="48">
        <v>0.77500000000000002</v>
      </c>
      <c r="W795">
        <f t="shared" si="179"/>
        <v>1568923843.7179489</v>
      </c>
      <c r="Y795">
        <f t="shared" si="180"/>
        <v>6523.6838262393994</v>
      </c>
      <c r="Z795" s="28">
        <v>0.77500000000000002</v>
      </c>
      <c r="AA795">
        <f t="shared" si="181"/>
        <v>774.19316635749283</v>
      </c>
    </row>
    <row r="796" spans="1:27" x14ac:dyDescent="0.2">
      <c r="A796">
        <f t="shared" si="168"/>
        <v>374413938034026.44</v>
      </c>
      <c r="B796" s="28">
        <v>0.77600000000000002</v>
      </c>
      <c r="C796">
        <f t="shared" si="169"/>
        <v>374413938140000.38</v>
      </c>
      <c r="E796">
        <f t="shared" si="170"/>
        <v>10006.195495940305</v>
      </c>
      <c r="F796" s="28">
        <v>0.77600000000000002</v>
      </c>
      <c r="G796">
        <f t="shared" si="171"/>
        <v>773.19587628706302</v>
      </c>
      <c r="I796">
        <f t="shared" si="172"/>
        <v>664959154025368</v>
      </c>
      <c r="J796" s="28">
        <v>0.77600000000000002</v>
      </c>
      <c r="K796">
        <f t="shared" si="173"/>
        <v>664959154136640.62</v>
      </c>
      <c r="M796">
        <f t="shared" si="174"/>
        <v>9945.1650645529153</v>
      </c>
      <c r="N796" s="28">
        <v>0.77600000000000002</v>
      </c>
      <c r="O796">
        <f t="shared" si="175"/>
        <v>1373.1958762858239</v>
      </c>
      <c r="Q796">
        <f t="shared" si="176"/>
        <v>290545215991341.62</v>
      </c>
      <c r="R796" s="28">
        <v>0.77600000000000002</v>
      </c>
      <c r="S796">
        <f t="shared" si="177"/>
        <v>290545215997240.31</v>
      </c>
      <c r="U796">
        <f t="shared" si="178"/>
        <v>1596520602.6857872</v>
      </c>
      <c r="V796" s="48">
        <v>0.77600000000000002</v>
      </c>
      <c r="W796">
        <f t="shared" si="179"/>
        <v>1596539227.1504755</v>
      </c>
      <c r="Y796">
        <f t="shared" si="180"/>
        <v>6524.681490762905</v>
      </c>
      <c r="Z796" s="28">
        <v>0.77600000000000002</v>
      </c>
      <c r="AA796">
        <f t="shared" si="181"/>
        <v>773.19550183398712</v>
      </c>
    </row>
    <row r="797" spans="1:27" x14ac:dyDescent="0.2">
      <c r="A797">
        <f t="shared" si="168"/>
        <v>383923455281117</v>
      </c>
      <c r="B797" s="28">
        <v>0.77700000000000002</v>
      </c>
      <c r="C797">
        <f t="shared" si="169"/>
        <v>383923455387090.94</v>
      </c>
      <c r="E797">
        <f t="shared" si="170"/>
        <v>10007.190600028149</v>
      </c>
      <c r="F797" s="28">
        <v>0.77700000000000002</v>
      </c>
      <c r="G797">
        <f t="shared" si="171"/>
        <v>772.20077219921893</v>
      </c>
      <c r="I797">
        <f t="shared" si="172"/>
        <v>682231980111588.12</v>
      </c>
      <c r="J797" s="28">
        <v>0.77700000000000002</v>
      </c>
      <c r="K797">
        <f t="shared" si="173"/>
        <v>682231980222860.75</v>
      </c>
      <c r="M797">
        <f t="shared" si="174"/>
        <v>9946.1601686407266</v>
      </c>
      <c r="N797" s="28">
        <v>0.77700000000000002</v>
      </c>
      <c r="O797">
        <f t="shared" si="175"/>
        <v>1372.2007721980121</v>
      </c>
      <c r="Q797">
        <f t="shared" si="176"/>
        <v>298308524830471</v>
      </c>
      <c r="R797" s="28">
        <v>0.77700000000000002</v>
      </c>
      <c r="S797">
        <f t="shared" si="177"/>
        <v>298308524836369.69</v>
      </c>
      <c r="U797">
        <f t="shared" si="178"/>
        <v>1624624755.4468749</v>
      </c>
      <c r="V797" s="48">
        <v>0.77700000000000002</v>
      </c>
      <c r="W797">
        <f t="shared" si="179"/>
        <v>1624643379.9115632</v>
      </c>
      <c r="Y797">
        <f t="shared" si="180"/>
        <v>6525.6765874266675</v>
      </c>
      <c r="Z797" s="28">
        <v>0.77700000000000002</v>
      </c>
      <c r="AA797">
        <f t="shared" si="181"/>
        <v>772.20040517022471</v>
      </c>
    </row>
    <row r="798" spans="1:27" x14ac:dyDescent="0.2">
      <c r="A798">
        <f t="shared" si="168"/>
        <v>393669311088374.44</v>
      </c>
      <c r="B798" s="28">
        <v>0.77800000000000002</v>
      </c>
      <c r="C798">
        <f t="shared" si="169"/>
        <v>393669311194348.38</v>
      </c>
      <c r="E798">
        <f t="shared" si="170"/>
        <v>10008.183146007799</v>
      </c>
      <c r="F798" s="28">
        <v>0.77800000000000002</v>
      </c>
      <c r="G798">
        <f t="shared" si="171"/>
        <v>771.20822621956893</v>
      </c>
      <c r="I798">
        <f t="shared" si="172"/>
        <v>699944035192278.75</v>
      </c>
      <c r="J798" s="28">
        <v>0.77800000000000002</v>
      </c>
      <c r="K798">
        <f t="shared" si="173"/>
        <v>699944035303551.38</v>
      </c>
      <c r="M798">
        <f t="shared" si="174"/>
        <v>9947.1527146203443</v>
      </c>
      <c r="N798" s="28">
        <v>0.77800000000000002</v>
      </c>
      <c r="O798">
        <f t="shared" si="175"/>
        <v>1371.2082262183935</v>
      </c>
      <c r="Q798">
        <f t="shared" si="176"/>
        <v>306274724103904.38</v>
      </c>
      <c r="R798" s="28">
        <v>0.77800000000000002</v>
      </c>
      <c r="S798">
        <f t="shared" si="177"/>
        <v>306274724109803.06</v>
      </c>
      <c r="U798">
        <f t="shared" si="178"/>
        <v>1653226368.523526</v>
      </c>
      <c r="V798" s="48">
        <v>0.77800000000000002</v>
      </c>
      <c r="W798">
        <f t="shared" si="179"/>
        <v>1653244992.9882143</v>
      </c>
      <c r="Y798">
        <f t="shared" si="180"/>
        <v>6526.6691261300248</v>
      </c>
      <c r="Z798" s="28">
        <v>0.77800000000000002</v>
      </c>
      <c r="AA798">
        <f t="shared" si="181"/>
        <v>771.20786646686702</v>
      </c>
    </row>
    <row r="799" spans="1:27" x14ac:dyDescent="0.2">
      <c r="A799">
        <f t="shared" si="168"/>
        <v>403657249770266.75</v>
      </c>
      <c r="B799" s="28">
        <v>0.77900000000000003</v>
      </c>
      <c r="C799">
        <f t="shared" si="169"/>
        <v>403657249876240.69</v>
      </c>
      <c r="E799">
        <f t="shared" si="170"/>
        <v>10009.173143730764</v>
      </c>
      <c r="F799" s="28">
        <v>0.77900000000000003</v>
      </c>
      <c r="G799">
        <f t="shared" si="171"/>
        <v>770.21822849660475</v>
      </c>
      <c r="I799">
        <f t="shared" si="172"/>
        <v>718106247418559.38</v>
      </c>
      <c r="J799" s="28">
        <v>0.77900000000000003</v>
      </c>
      <c r="K799">
        <f t="shared" si="173"/>
        <v>718106247529832</v>
      </c>
      <c r="M799">
        <f t="shared" si="174"/>
        <v>9948.1427123432786</v>
      </c>
      <c r="N799" s="28">
        <v>0.77900000000000003</v>
      </c>
      <c r="O799">
        <f t="shared" si="175"/>
        <v>1370.2182284954595</v>
      </c>
      <c r="Q799">
        <f t="shared" si="176"/>
        <v>314448997648292.81</v>
      </c>
      <c r="R799" s="28">
        <v>0.77900000000000003</v>
      </c>
      <c r="S799">
        <f t="shared" si="177"/>
        <v>314448997654191.5</v>
      </c>
      <c r="U799">
        <f t="shared" si="178"/>
        <v>1682334288.0537636</v>
      </c>
      <c r="V799" s="48">
        <v>0.77900000000000003</v>
      </c>
      <c r="W799">
        <f t="shared" si="179"/>
        <v>1682352912.5184519</v>
      </c>
      <c r="Y799">
        <f t="shared" si="180"/>
        <v>6527.6591167215302</v>
      </c>
      <c r="Z799" s="28">
        <v>0.77900000000000003</v>
      </c>
      <c r="AA799">
        <f t="shared" si="181"/>
        <v>770.21787587536164</v>
      </c>
    </row>
    <row r="800" spans="1:27" x14ac:dyDescent="0.2">
      <c r="A800">
        <f t="shared" si="168"/>
        <v>413893152105862.69</v>
      </c>
      <c r="B800" s="28">
        <v>0.78</v>
      </c>
      <c r="C800">
        <f t="shared" si="169"/>
        <v>413893152211836.62</v>
      </c>
      <c r="E800">
        <f t="shared" si="170"/>
        <v>10010.160602998028</v>
      </c>
      <c r="F800" s="28">
        <v>0.78</v>
      </c>
      <c r="G800">
        <f t="shared" si="171"/>
        <v>769.23076922933967</v>
      </c>
      <c r="I800">
        <f t="shared" si="172"/>
        <v>736729810825796.38</v>
      </c>
      <c r="J800" s="28">
        <v>0.78</v>
      </c>
      <c r="K800">
        <f t="shared" si="173"/>
        <v>736729810937069</v>
      </c>
      <c r="M800">
        <f t="shared" si="174"/>
        <v>9949.1301716105136</v>
      </c>
      <c r="N800" s="28">
        <v>0.78</v>
      </c>
      <c r="O800">
        <f t="shared" si="175"/>
        <v>1369.2307692282243</v>
      </c>
      <c r="Q800">
        <f t="shared" si="176"/>
        <v>322836658719933.88</v>
      </c>
      <c r="R800" s="28">
        <v>0.78</v>
      </c>
      <c r="S800">
        <f t="shared" si="177"/>
        <v>322836658725832.56</v>
      </c>
      <c r="U800">
        <f t="shared" si="178"/>
        <v>1711957518.1058981</v>
      </c>
      <c r="V800" s="48">
        <v>0.78</v>
      </c>
      <c r="W800">
        <f t="shared" si="179"/>
        <v>1711976142.5705864</v>
      </c>
      <c r="Y800">
        <f t="shared" si="180"/>
        <v>6528.6465689992747</v>
      </c>
      <c r="Z800" s="28">
        <v>0.78</v>
      </c>
      <c r="AA800">
        <f t="shared" si="181"/>
        <v>769.23042359761712</v>
      </c>
    </row>
    <row r="801" spans="1:27" x14ac:dyDescent="0.2">
      <c r="A801">
        <f t="shared" si="168"/>
        <v>424383038505636.62</v>
      </c>
      <c r="B801" s="28">
        <v>0.78100000000000003</v>
      </c>
      <c r="C801">
        <f t="shared" si="169"/>
        <v>424383038611610.56</v>
      </c>
      <c r="E801">
        <f t="shared" si="170"/>
        <v>10011.145533560386</v>
      </c>
      <c r="F801" s="28">
        <v>0.78100000000000003</v>
      </c>
      <c r="G801">
        <f t="shared" si="171"/>
        <v>768.24583866698322</v>
      </c>
      <c r="I801">
        <f t="shared" si="172"/>
        <v>755826191656005.88</v>
      </c>
      <c r="J801" s="28">
        <v>0.78100000000000003</v>
      </c>
      <c r="K801">
        <f t="shared" si="173"/>
        <v>755826191767278.5</v>
      </c>
      <c r="M801">
        <f t="shared" si="174"/>
        <v>9950.1151021728419</v>
      </c>
      <c r="N801" s="28">
        <v>0.78100000000000003</v>
      </c>
      <c r="O801">
        <f t="shared" si="175"/>
        <v>1368.2458386658971</v>
      </c>
      <c r="Q801">
        <f t="shared" si="176"/>
        <v>331443153150369.19</v>
      </c>
      <c r="R801" s="28">
        <v>0.78100000000000003</v>
      </c>
      <c r="S801">
        <f t="shared" si="177"/>
        <v>331443153156267.88</v>
      </c>
      <c r="U801">
        <f t="shared" si="178"/>
        <v>1742105223.5077765</v>
      </c>
      <c r="V801" s="48">
        <v>0.78100000000000003</v>
      </c>
      <c r="W801">
        <f t="shared" si="179"/>
        <v>1742123847.9724648</v>
      </c>
      <c r="Y801">
        <f t="shared" si="180"/>
        <v>6529.6314927112107</v>
      </c>
      <c r="Z801" s="28">
        <v>0.78100000000000003</v>
      </c>
      <c r="AA801">
        <f t="shared" si="181"/>
        <v>768.24549988568094</v>
      </c>
    </row>
    <row r="802" spans="1:27" x14ac:dyDescent="0.2">
      <c r="A802">
        <f t="shared" si="168"/>
        <v>435133072250031.75</v>
      </c>
      <c r="B802" s="28">
        <v>0.78200000000000003</v>
      </c>
      <c r="C802">
        <f t="shared" si="169"/>
        <v>435133072356005.69</v>
      </c>
      <c r="E802">
        <f t="shared" si="170"/>
        <v>10012.127945118747</v>
      </c>
      <c r="F802" s="28">
        <v>0.78200000000000003</v>
      </c>
      <c r="G802">
        <f t="shared" si="171"/>
        <v>767.2634271086215</v>
      </c>
      <c r="I802">
        <f t="shared" si="172"/>
        <v>775407134827129.5</v>
      </c>
      <c r="J802" s="28">
        <v>0.78200000000000003</v>
      </c>
      <c r="K802">
        <f t="shared" si="173"/>
        <v>775407134938402.12</v>
      </c>
      <c r="M802">
        <f t="shared" si="174"/>
        <v>9951.0975137311743</v>
      </c>
      <c r="N802" s="28">
        <v>0.78200000000000003</v>
      </c>
      <c r="O802">
        <f t="shared" si="175"/>
        <v>1367.2634271075635</v>
      </c>
      <c r="Q802">
        <f t="shared" si="176"/>
        <v>340274062577097.75</v>
      </c>
      <c r="R802" s="28">
        <v>0.78200000000000003</v>
      </c>
      <c r="S802">
        <f t="shared" si="177"/>
        <v>340274062582996.44</v>
      </c>
      <c r="U802">
        <f t="shared" si="178"/>
        <v>1772786732.7268217</v>
      </c>
      <c r="V802" s="48">
        <v>0.78200000000000003</v>
      </c>
      <c r="W802">
        <f t="shared" si="179"/>
        <v>1772805357.19151</v>
      </c>
      <c r="Y802">
        <f t="shared" si="180"/>
        <v>6530.6138975554713</v>
      </c>
      <c r="Z802" s="28">
        <v>0.78200000000000003</v>
      </c>
      <c r="AA802">
        <f t="shared" si="181"/>
        <v>767.26309504142023</v>
      </c>
    </row>
    <row r="803" spans="1:27" x14ac:dyDescent="0.2">
      <c r="A803">
        <f t="shared" si="168"/>
        <v>446149562801340.69</v>
      </c>
      <c r="B803" s="28">
        <v>0.78300000000000003</v>
      </c>
      <c r="C803">
        <f t="shared" si="169"/>
        <v>446149562907314.62</v>
      </c>
      <c r="E803">
        <f t="shared" si="170"/>
        <v>10013.107847324471</v>
      </c>
      <c r="F803" s="28">
        <v>0.78300000000000003</v>
      </c>
      <c r="G803">
        <f t="shared" si="171"/>
        <v>766.28352490289842</v>
      </c>
      <c r="I803">
        <f t="shared" si="172"/>
        <v>795484670552469.38</v>
      </c>
      <c r="J803" s="28">
        <v>0.78300000000000003</v>
      </c>
      <c r="K803">
        <f t="shared" si="173"/>
        <v>795484670663742</v>
      </c>
      <c r="M803">
        <f t="shared" si="174"/>
        <v>9952.0774159368702</v>
      </c>
      <c r="N803" s="28">
        <v>0.78300000000000003</v>
      </c>
      <c r="O803">
        <f t="shared" si="175"/>
        <v>1366.2835249018678</v>
      </c>
      <c r="Q803">
        <f t="shared" si="176"/>
        <v>349335107751128.69</v>
      </c>
      <c r="R803" s="28">
        <v>0.78300000000000003</v>
      </c>
      <c r="S803">
        <f t="shared" si="177"/>
        <v>349335107757027.38</v>
      </c>
      <c r="U803">
        <f t="shared" si="178"/>
        <v>1804011540.8018723</v>
      </c>
      <c r="V803" s="48">
        <v>0.78300000000000003</v>
      </c>
      <c r="W803">
        <f t="shared" si="179"/>
        <v>1804030165.2665606</v>
      </c>
      <c r="Y803">
        <f t="shared" si="180"/>
        <v>6531.5937931806884</v>
      </c>
      <c r="Z803" s="28">
        <v>0.78300000000000003</v>
      </c>
      <c r="AA803">
        <f t="shared" si="181"/>
        <v>766.28319941620305</v>
      </c>
    </row>
    <row r="804" spans="1:27" x14ac:dyDescent="0.2">
      <c r="A804">
        <f t="shared" si="168"/>
        <v>457438969190538.31</v>
      </c>
      <c r="B804" s="28">
        <v>0.78400000000000003</v>
      </c>
      <c r="C804">
        <f t="shared" si="169"/>
        <v>457438969296512.25</v>
      </c>
      <c r="E804">
        <f t="shared" si="170"/>
        <v>10014.08524977967</v>
      </c>
      <c r="F804" s="28">
        <v>0.78400000000000003</v>
      </c>
      <c r="G804">
        <f t="shared" si="171"/>
        <v>765.30612244769929</v>
      </c>
      <c r="I804">
        <f t="shared" si="172"/>
        <v>816071121113705.38</v>
      </c>
      <c r="J804" s="28">
        <v>0.78400000000000003</v>
      </c>
      <c r="K804">
        <f t="shared" si="173"/>
        <v>816071121224978</v>
      </c>
      <c r="M804">
        <f t="shared" si="174"/>
        <v>9953.0548183920437</v>
      </c>
      <c r="N804" s="28">
        <v>0.78400000000000003</v>
      </c>
      <c r="O804">
        <f t="shared" si="175"/>
        <v>1365.3061224466956</v>
      </c>
      <c r="Q804">
        <f t="shared" si="176"/>
        <v>358632151923166.94</v>
      </c>
      <c r="R804" s="28">
        <v>0.78400000000000003</v>
      </c>
      <c r="S804">
        <f t="shared" si="177"/>
        <v>358632151929065.62</v>
      </c>
      <c r="U804">
        <f t="shared" si="178"/>
        <v>1835789312.3276579</v>
      </c>
      <c r="V804" s="48">
        <v>0.78400000000000003</v>
      </c>
      <c r="W804">
        <f t="shared" si="179"/>
        <v>1835807936.7923462</v>
      </c>
      <c r="Y804">
        <f t="shared" si="180"/>
        <v>6532.5711891863066</v>
      </c>
      <c r="Z804" s="28">
        <v>0.78400000000000003</v>
      </c>
      <c r="AA804">
        <f t="shared" si="181"/>
        <v>765.30580341058499</v>
      </c>
    </row>
    <row r="805" spans="1:27" x14ac:dyDescent="0.2">
      <c r="A805">
        <f t="shared" si="168"/>
        <v>469007903480712.25</v>
      </c>
      <c r="B805" s="28">
        <v>0.78500000000000003</v>
      </c>
      <c r="C805">
        <f t="shared" si="169"/>
        <v>469007903586686.19</v>
      </c>
      <c r="E805">
        <f t="shared" si="170"/>
        <v>10015.060162037531</v>
      </c>
      <c r="F805" s="28">
        <v>0.78500000000000003</v>
      </c>
      <c r="G805">
        <f t="shared" si="171"/>
        <v>764.33121018983707</v>
      </c>
      <c r="I805">
        <f t="shared" si="172"/>
        <v>837179107790962.25</v>
      </c>
      <c r="J805" s="28">
        <v>0.78500000000000003</v>
      </c>
      <c r="K805">
        <f t="shared" si="173"/>
        <v>837179107902234.88</v>
      </c>
      <c r="M805">
        <f t="shared" si="174"/>
        <v>9954.0297306498796</v>
      </c>
      <c r="N805" s="28">
        <v>0.78500000000000003</v>
      </c>
      <c r="O805">
        <f t="shared" si="175"/>
        <v>1364.3312101888594</v>
      </c>
      <c r="Q805">
        <f t="shared" si="176"/>
        <v>368171204310250</v>
      </c>
      <c r="R805" s="28">
        <v>0.78500000000000003</v>
      </c>
      <c r="S805">
        <f t="shared" si="177"/>
        <v>368171204316148.69</v>
      </c>
      <c r="U805">
        <f t="shared" si="178"/>
        <v>1868129884.4929597</v>
      </c>
      <c r="V805" s="48">
        <v>0.78500000000000003</v>
      </c>
      <c r="W805">
        <f t="shared" si="179"/>
        <v>1868148508.957648</v>
      </c>
      <c r="Y805">
        <f t="shared" si="180"/>
        <v>6533.5460951228961</v>
      </c>
      <c r="Z805" s="28">
        <v>0.78500000000000003</v>
      </c>
      <c r="AA805">
        <f t="shared" si="181"/>
        <v>764.33089747399572</v>
      </c>
    </row>
    <row r="806" spans="1:27" x14ac:dyDescent="0.2">
      <c r="A806">
        <f t="shared" si="168"/>
        <v>480863134308797.94</v>
      </c>
      <c r="B806" s="28">
        <v>0.78600000000000003</v>
      </c>
      <c r="C806">
        <f t="shared" si="169"/>
        <v>480863134414771.88</v>
      </c>
      <c r="E806">
        <f t="shared" si="170"/>
        <v>10016.032593602626</v>
      </c>
      <c r="F806" s="28">
        <v>0.78600000000000003</v>
      </c>
      <c r="G806">
        <f t="shared" si="171"/>
        <v>763.3587786247424</v>
      </c>
      <c r="I806">
        <f t="shared" si="172"/>
        <v>858821557953510</v>
      </c>
      <c r="J806" s="28">
        <v>0.78600000000000003</v>
      </c>
      <c r="K806">
        <f t="shared" si="173"/>
        <v>858821558064782.62</v>
      </c>
      <c r="M806">
        <f t="shared" si="174"/>
        <v>9955.0021622149488</v>
      </c>
      <c r="N806" s="28">
        <v>0.78600000000000003</v>
      </c>
      <c r="O806">
        <f t="shared" si="175"/>
        <v>1363.3587786237897</v>
      </c>
      <c r="Q806">
        <f t="shared" si="176"/>
        <v>377958423644712</v>
      </c>
      <c r="R806" s="28">
        <v>0.78600000000000003</v>
      </c>
      <c r="S806">
        <f t="shared" si="177"/>
        <v>377958423650610.69</v>
      </c>
      <c r="U806">
        <f t="shared" si="178"/>
        <v>1901043270.1733215</v>
      </c>
      <c r="V806" s="48">
        <v>0.78600000000000003</v>
      </c>
      <c r="W806">
        <f t="shared" si="179"/>
        <v>1901061894.6380098</v>
      </c>
      <c r="Y806">
        <f t="shared" si="180"/>
        <v>6534.5185204924628</v>
      </c>
      <c r="Z806" s="28">
        <v>0.78600000000000003</v>
      </c>
      <c r="AA806">
        <f t="shared" si="181"/>
        <v>763.3584721044291</v>
      </c>
    </row>
    <row r="807" spans="1:27" x14ac:dyDescent="0.2">
      <c r="A807">
        <f t="shared" si="168"/>
        <v>493011590507319.5</v>
      </c>
      <c r="B807" s="28">
        <v>0.78700000000000003</v>
      </c>
      <c r="C807">
        <f t="shared" si="169"/>
        <v>493011590613293.44</v>
      </c>
      <c r="E807">
        <f t="shared" si="170"/>
        <v>10017.002553931216</v>
      </c>
      <c r="F807" s="28">
        <v>0.78700000000000003</v>
      </c>
      <c r="G807">
        <f t="shared" si="171"/>
        <v>762.38881829615264</v>
      </c>
      <c r="I807">
        <f t="shared" si="172"/>
        <v>881011712314682.75</v>
      </c>
      <c r="J807" s="28">
        <v>0.78700000000000003</v>
      </c>
      <c r="K807">
        <f t="shared" si="173"/>
        <v>881011712425955.38</v>
      </c>
      <c r="M807">
        <f t="shared" si="174"/>
        <v>9955.9721225435133</v>
      </c>
      <c r="N807" s="28">
        <v>0.78700000000000003</v>
      </c>
      <c r="O807">
        <f t="shared" si="175"/>
        <v>1362.3888182952248</v>
      </c>
      <c r="Q807">
        <f t="shared" si="176"/>
        <v>388000121807363.25</v>
      </c>
      <c r="R807" s="28">
        <v>0.78700000000000003</v>
      </c>
      <c r="S807">
        <f t="shared" si="177"/>
        <v>388000121813261.94</v>
      </c>
      <c r="U807">
        <f t="shared" si="178"/>
        <v>1934539661.0793982</v>
      </c>
      <c r="V807" s="48">
        <v>0.78700000000000003</v>
      </c>
      <c r="W807">
        <f t="shared" si="179"/>
        <v>1934558285.5440865</v>
      </c>
      <c r="Y807">
        <f t="shared" si="180"/>
        <v>6535.4884747487558</v>
      </c>
      <c r="Z807" s="28">
        <v>0.78700000000000003</v>
      </c>
      <c r="AA807">
        <f t="shared" si="181"/>
        <v>762.38851784813573</v>
      </c>
    </row>
    <row r="808" spans="1:27" x14ac:dyDescent="0.2">
      <c r="A808">
        <f t="shared" si="168"/>
        <v>505460364807929.5</v>
      </c>
      <c r="B808" s="28">
        <v>0.78800000000000003</v>
      </c>
      <c r="C808">
        <f t="shared" si="169"/>
        <v>505460364913903.44</v>
      </c>
      <c r="E808">
        <f t="shared" si="170"/>
        <v>10017.970052431561</v>
      </c>
      <c r="F808" s="28">
        <v>0.78800000000000003</v>
      </c>
      <c r="G808">
        <f t="shared" si="171"/>
        <v>761.42131979580722</v>
      </c>
      <c r="I808">
        <f t="shared" si="172"/>
        <v>903763132354786.62</v>
      </c>
      <c r="J808" s="28">
        <v>0.78800000000000003</v>
      </c>
      <c r="K808">
        <f t="shared" si="173"/>
        <v>903763132466059.25</v>
      </c>
      <c r="M808">
        <f t="shared" si="174"/>
        <v>9956.9396210438354</v>
      </c>
      <c r="N808" s="28">
        <v>0.78800000000000003</v>
      </c>
      <c r="O808">
        <f t="shared" si="175"/>
        <v>1361.4213197949034</v>
      </c>
      <c r="Q808">
        <f t="shared" si="176"/>
        <v>398302767546857.25</v>
      </c>
      <c r="R808" s="28">
        <v>0.78800000000000003</v>
      </c>
      <c r="S808">
        <f t="shared" si="177"/>
        <v>398302767552755.94</v>
      </c>
      <c r="U808">
        <f t="shared" si="178"/>
        <v>1968629430.961833</v>
      </c>
      <c r="V808" s="48">
        <v>0.78800000000000003</v>
      </c>
      <c r="W808">
        <f t="shared" si="179"/>
        <v>1968648055.4265213</v>
      </c>
      <c r="Y808">
        <f t="shared" si="180"/>
        <v>6536.4559672975756</v>
      </c>
      <c r="Z808" s="28">
        <v>0.78800000000000003</v>
      </c>
      <c r="AA808">
        <f t="shared" si="181"/>
        <v>761.42102529931651</v>
      </c>
    </row>
    <row r="809" spans="1:27" x14ac:dyDescent="0.2">
      <c r="A809">
        <f t="shared" si="168"/>
        <v>518216717628518.69</v>
      </c>
      <c r="B809" s="28">
        <v>0.78900000000000003</v>
      </c>
      <c r="C809">
        <f t="shared" si="169"/>
        <v>518216717734492.62</v>
      </c>
      <c r="E809">
        <f t="shared" si="170"/>
        <v>10018.935098464226</v>
      </c>
      <c r="F809" s="28">
        <v>0.78900000000000003</v>
      </c>
      <c r="G809">
        <f t="shared" si="171"/>
        <v>760.45627376314258</v>
      </c>
      <c r="I809">
        <f t="shared" si="172"/>
        <v>927089707915734.62</v>
      </c>
      <c r="J809" s="28">
        <v>0.78900000000000003</v>
      </c>
      <c r="K809">
        <f t="shared" si="173"/>
        <v>927089708027007.25</v>
      </c>
      <c r="M809">
        <f t="shared" si="174"/>
        <v>9957.9046670764765</v>
      </c>
      <c r="N809" s="28">
        <v>0.78900000000000003</v>
      </c>
      <c r="O809">
        <f t="shared" si="175"/>
        <v>1360.4562737622621</v>
      </c>
      <c r="Q809">
        <f t="shared" si="176"/>
        <v>408872990287216</v>
      </c>
      <c r="R809" s="28">
        <v>0.78900000000000003</v>
      </c>
      <c r="S809">
        <f t="shared" si="177"/>
        <v>408872990293114.69</v>
      </c>
      <c r="U809">
        <f t="shared" si="178"/>
        <v>2003323138.8738048</v>
      </c>
      <c r="V809" s="48">
        <v>0.78900000000000003</v>
      </c>
      <c r="W809">
        <f t="shared" si="179"/>
        <v>2003341763.3384931</v>
      </c>
      <c r="Y809">
        <f t="shared" si="180"/>
        <v>6537.4210074970715</v>
      </c>
      <c r="Z809" s="28">
        <v>0.78900000000000003</v>
      </c>
      <c r="AA809">
        <f t="shared" si="181"/>
        <v>760.45598509982028</v>
      </c>
    </row>
    <row r="810" spans="1:27" x14ac:dyDescent="0.2">
      <c r="A810">
        <f t="shared" si="168"/>
        <v>531288080945761.88</v>
      </c>
      <c r="B810" s="28">
        <v>0.79</v>
      </c>
      <c r="C810">
        <f t="shared" si="169"/>
        <v>531288081051735.81</v>
      </c>
      <c r="E810">
        <f t="shared" si="170"/>
        <v>10019.897701342377</v>
      </c>
      <c r="F810" s="28">
        <v>0.79</v>
      </c>
      <c r="G810">
        <f t="shared" si="171"/>
        <v>759.49367088499025</v>
      </c>
      <c r="I810">
        <f t="shared" si="172"/>
        <v>951005664971334.62</v>
      </c>
      <c r="J810" s="28">
        <v>0.79</v>
      </c>
      <c r="K810">
        <f t="shared" si="173"/>
        <v>951005665082607.25</v>
      </c>
      <c r="M810">
        <f t="shared" si="174"/>
        <v>9958.8672699546059</v>
      </c>
      <c r="N810" s="28">
        <v>0.79</v>
      </c>
      <c r="O810">
        <f t="shared" si="175"/>
        <v>1359.4936708841326</v>
      </c>
      <c r="Q810">
        <f t="shared" si="176"/>
        <v>419717584025572.62</v>
      </c>
      <c r="R810" s="28">
        <v>0.79</v>
      </c>
      <c r="S810">
        <f t="shared" si="177"/>
        <v>419717584031471.31</v>
      </c>
      <c r="U810">
        <f t="shared" si="178"/>
        <v>2038631532.4921546</v>
      </c>
      <c r="V810" s="48">
        <v>0.79</v>
      </c>
      <c r="W810">
        <f t="shared" si="179"/>
        <v>2038650156.9568429</v>
      </c>
      <c r="Y810">
        <f t="shared" si="180"/>
        <v>6538.3836046580491</v>
      </c>
      <c r="Z810" s="28">
        <v>0.79</v>
      </c>
      <c r="AA810">
        <f t="shared" si="181"/>
        <v>759.49338793884272</v>
      </c>
    </row>
    <row r="811" spans="1:27" x14ac:dyDescent="0.2">
      <c r="A811">
        <f t="shared" si="168"/>
        <v>544682062254967.25</v>
      </c>
      <c r="B811" s="28">
        <v>0.79100000000000004</v>
      </c>
      <c r="C811">
        <f t="shared" si="169"/>
        <v>544682062360941.19</v>
      </c>
      <c r="E811">
        <f t="shared" si="170"/>
        <v>10020.857870332091</v>
      </c>
      <c r="F811" s="28">
        <v>0.79100000000000004</v>
      </c>
      <c r="G811">
        <f t="shared" si="171"/>
        <v>758.53350189527725</v>
      </c>
      <c r="I811">
        <f t="shared" si="172"/>
        <v>975525573577173</v>
      </c>
      <c r="J811" s="28">
        <v>0.79100000000000004</v>
      </c>
      <c r="K811">
        <f t="shared" si="173"/>
        <v>975525573688445.62</v>
      </c>
      <c r="M811">
        <f t="shared" si="174"/>
        <v>9959.8274389442959</v>
      </c>
      <c r="N811" s="28">
        <v>0.79100000000000004</v>
      </c>
      <c r="O811">
        <f t="shared" si="175"/>
        <v>1358.5335018944415</v>
      </c>
      <c r="Q811">
        <f t="shared" si="176"/>
        <v>430843511322205.81</v>
      </c>
      <c r="R811" s="28">
        <v>0.79100000000000004</v>
      </c>
      <c r="S811">
        <f t="shared" si="177"/>
        <v>430843511328104.5</v>
      </c>
      <c r="U811">
        <f t="shared" si="178"/>
        <v>2074565551.4982743</v>
      </c>
      <c r="V811" s="48">
        <v>0.79100000000000004</v>
      </c>
      <c r="W811">
        <f t="shared" si="179"/>
        <v>2074584175.9629626</v>
      </c>
      <c r="Y811">
        <f t="shared" si="180"/>
        <v>6539.3437680442639</v>
      </c>
      <c r="Z811" s="28">
        <v>0.79100000000000004</v>
      </c>
      <c r="AA811">
        <f t="shared" si="181"/>
        <v>758.5332245526281</v>
      </c>
    </row>
    <row r="812" spans="1:27" x14ac:dyDescent="0.2">
      <c r="A812">
        <f t="shared" si="168"/>
        <v>558406448619164.5</v>
      </c>
      <c r="B812" s="28">
        <v>0.79200000000000004</v>
      </c>
      <c r="C812">
        <f t="shared" si="169"/>
        <v>558406448725138.44</v>
      </c>
      <c r="E812">
        <f t="shared" si="170"/>
        <v>10021.815614652638</v>
      </c>
      <c r="F812" s="28">
        <v>0.79200000000000004</v>
      </c>
      <c r="G812">
        <f t="shared" si="171"/>
        <v>757.57575757472966</v>
      </c>
      <c r="I812">
        <f t="shared" si="172"/>
        <v>1000664356004175.5</v>
      </c>
      <c r="J812" s="28">
        <v>0.79200000000000004</v>
      </c>
      <c r="K812">
        <f t="shared" si="173"/>
        <v>1000664356115448.1</v>
      </c>
      <c r="M812">
        <f t="shared" si="174"/>
        <v>9960.785183264823</v>
      </c>
      <c r="N812" s="28">
        <v>0.79200000000000004</v>
      </c>
      <c r="O812">
        <f t="shared" si="175"/>
        <v>1357.5757575739156</v>
      </c>
      <c r="Q812">
        <f t="shared" si="176"/>
        <v>442257907385011</v>
      </c>
      <c r="R812" s="28">
        <v>0.79200000000000004</v>
      </c>
      <c r="S812">
        <f t="shared" si="177"/>
        <v>442257907390909.69</v>
      </c>
      <c r="U812">
        <f t="shared" si="178"/>
        <v>2111136331.0197191</v>
      </c>
      <c r="V812" s="48">
        <v>0.79200000000000004</v>
      </c>
      <c r="W812">
        <f t="shared" si="179"/>
        <v>2111154955.4844074</v>
      </c>
      <c r="Y812">
        <f t="shared" si="180"/>
        <v>6540.30150687272</v>
      </c>
      <c r="Z812" s="28">
        <v>0.79200000000000004</v>
      </c>
      <c r="AA812">
        <f t="shared" si="181"/>
        <v>757.5754857241717</v>
      </c>
    </row>
    <row r="813" spans="1:27" x14ac:dyDescent="0.2">
      <c r="A813">
        <f t="shared" si="168"/>
        <v>572469210809345.5</v>
      </c>
      <c r="B813" s="28">
        <v>0.79300000000000004</v>
      </c>
      <c r="C813">
        <f t="shared" si="169"/>
        <v>572469210915319.38</v>
      </c>
      <c r="E813">
        <f t="shared" si="170"/>
        <v>10022.770943476793</v>
      </c>
      <c r="F813" s="28">
        <v>0.79300000000000004</v>
      </c>
      <c r="G813">
        <f t="shared" si="171"/>
        <v>756.62042875057614</v>
      </c>
      <c r="I813">
        <f t="shared" si="172"/>
        <v>1026437295059895.2</v>
      </c>
      <c r="J813" s="28">
        <v>0.79300000000000004</v>
      </c>
      <c r="K813">
        <f t="shared" si="173"/>
        <v>1026437295171167.9</v>
      </c>
      <c r="M813">
        <f t="shared" si="174"/>
        <v>9961.7405120889543</v>
      </c>
      <c r="N813" s="28">
        <v>0.79300000000000004</v>
      </c>
      <c r="O813">
        <f t="shared" si="175"/>
        <v>1356.6204287497833</v>
      </c>
      <c r="Q813">
        <f t="shared" si="176"/>
        <v>453968084250549.62</v>
      </c>
      <c r="R813" s="28">
        <v>0.79300000000000004</v>
      </c>
      <c r="S813">
        <f t="shared" si="177"/>
        <v>453968084256448.31</v>
      </c>
      <c r="U813">
        <f t="shared" si="178"/>
        <v>2148355205.1337428</v>
      </c>
      <c r="V813" s="48">
        <v>0.79300000000000004</v>
      </c>
      <c r="W813">
        <f t="shared" si="179"/>
        <v>2148373829.5984311</v>
      </c>
      <c r="Y813">
        <f t="shared" si="180"/>
        <v>6541.2568303139642</v>
      </c>
      <c r="Z813" s="28">
        <v>0.79300000000000004</v>
      </c>
      <c r="AA813">
        <f t="shared" si="181"/>
        <v>756.62016228292737</v>
      </c>
    </row>
    <row r="814" spans="1:27" x14ac:dyDescent="0.2">
      <c r="A814">
        <f t="shared" si="168"/>
        <v>586878507537919.75</v>
      </c>
      <c r="B814" s="28">
        <v>0.79400000000000004</v>
      </c>
      <c r="C814">
        <f t="shared" si="169"/>
        <v>586878507643893.62</v>
      </c>
      <c r="E814">
        <f t="shared" si="170"/>
        <v>10023.723865931112</v>
      </c>
      <c r="F814" s="28">
        <v>0.79400000000000004</v>
      </c>
      <c r="G814">
        <f t="shared" si="171"/>
        <v>755.66750629625619</v>
      </c>
      <c r="I814">
        <f t="shared" si="172"/>
        <v>1052860042601872.6</v>
      </c>
      <c r="J814" s="28">
        <v>0.79400000000000004</v>
      </c>
      <c r="K814">
        <f t="shared" si="173"/>
        <v>1052860042713145.2</v>
      </c>
      <c r="M814">
        <f t="shared" si="174"/>
        <v>9962.6934345432546</v>
      </c>
      <c r="N814" s="28">
        <v>0.79400000000000004</v>
      </c>
      <c r="O814">
        <f t="shared" si="175"/>
        <v>1355.6675062954837</v>
      </c>
      <c r="Q814">
        <f t="shared" si="176"/>
        <v>465981535063952.88</v>
      </c>
      <c r="R814" s="28">
        <v>0.79400000000000004</v>
      </c>
      <c r="S814">
        <f t="shared" si="177"/>
        <v>465981535069851.56</v>
      </c>
      <c r="U814">
        <f t="shared" si="178"/>
        <v>2186233710.4337697</v>
      </c>
      <c r="V814" s="48">
        <v>0.79400000000000004</v>
      </c>
      <c r="W814">
        <f t="shared" si="179"/>
        <v>2186252334.898458</v>
      </c>
      <c r="Y814">
        <f t="shared" si="180"/>
        <v>6542.2097474923776</v>
      </c>
      <c r="Z814" s="28">
        <v>0.79400000000000004</v>
      </c>
      <c r="AA814">
        <f t="shared" si="181"/>
        <v>755.66724510451445</v>
      </c>
    </row>
    <row r="815" spans="1:27" x14ac:dyDescent="0.2">
      <c r="A815">
        <f t="shared" si="168"/>
        <v>601642689787436.12</v>
      </c>
      <c r="B815" s="28">
        <v>0.79500000000000004</v>
      </c>
      <c r="C815">
        <f t="shared" si="169"/>
        <v>601642689893410</v>
      </c>
      <c r="E815">
        <f t="shared" si="170"/>
        <v>10024.67439109624</v>
      </c>
      <c r="F815" s="28">
        <v>0.79500000000000004</v>
      </c>
      <c r="G815">
        <f t="shared" si="171"/>
        <v>754.7169811311287</v>
      </c>
      <c r="I815">
        <f t="shared" si="172"/>
        <v>1079948628247398.4</v>
      </c>
      <c r="J815" s="28">
        <v>0.79500000000000004</v>
      </c>
      <c r="K815">
        <f t="shared" si="173"/>
        <v>1079948628358671</v>
      </c>
      <c r="M815">
        <f t="shared" si="174"/>
        <v>9963.6439597083627</v>
      </c>
      <c r="N815" s="28">
        <v>0.79500000000000004</v>
      </c>
      <c r="O815">
        <f t="shared" si="175"/>
        <v>1354.7169811303759</v>
      </c>
      <c r="Q815">
        <f t="shared" si="176"/>
        <v>478305938459962.31</v>
      </c>
      <c r="R815" s="28">
        <v>0.79500000000000004</v>
      </c>
      <c r="S815">
        <f t="shared" si="177"/>
        <v>478305938465861</v>
      </c>
      <c r="U815">
        <f t="shared" si="178"/>
        <v>2224783589.660048</v>
      </c>
      <c r="V815" s="48">
        <v>0.79500000000000004</v>
      </c>
      <c r="W815">
        <f t="shared" si="179"/>
        <v>2224802214.1247363</v>
      </c>
      <c r="Y815">
        <f t="shared" si="180"/>
        <v>6543.1602674864644</v>
      </c>
      <c r="Z815" s="28">
        <v>0.79500000000000004</v>
      </c>
      <c r="AA815">
        <f t="shared" si="181"/>
        <v>754.71672511042789</v>
      </c>
    </row>
    <row r="816" spans="1:27" x14ac:dyDescent="0.2">
      <c r="A816">
        <f t="shared" si="168"/>
        <v>616770305236575.5</v>
      </c>
      <c r="B816" s="28">
        <v>0.79600000000000004</v>
      </c>
      <c r="C816">
        <f t="shared" si="169"/>
        <v>616770305342549.38</v>
      </c>
      <c r="E816">
        <f t="shared" si="170"/>
        <v>10025.622528007185</v>
      </c>
      <c r="F816" s="28">
        <v>0.79600000000000004</v>
      </c>
      <c r="G816">
        <f t="shared" si="171"/>
        <v>753.76884422018429</v>
      </c>
      <c r="I816">
        <f t="shared" si="172"/>
        <v>1107719468283946.2</v>
      </c>
      <c r="J816" s="28">
        <v>0.79600000000000004</v>
      </c>
      <c r="K816">
        <f t="shared" si="173"/>
        <v>1107719468395218.9</v>
      </c>
      <c r="M816">
        <f t="shared" si="174"/>
        <v>9964.5920966192862</v>
      </c>
      <c r="N816" s="28">
        <v>0.79600000000000004</v>
      </c>
      <c r="O816">
        <f t="shared" si="175"/>
        <v>1353.7688442194512</v>
      </c>
      <c r="Q816">
        <f t="shared" si="176"/>
        <v>490949163047370.62</v>
      </c>
      <c r="R816" s="28">
        <v>0.79600000000000004</v>
      </c>
      <c r="S816">
        <f t="shared" si="177"/>
        <v>490949163053269.31</v>
      </c>
      <c r="U816">
        <f t="shared" si="178"/>
        <v>2264016795.3955173</v>
      </c>
      <c r="V816" s="48">
        <v>0.79600000000000004</v>
      </c>
      <c r="W816">
        <f t="shared" si="179"/>
        <v>2264035419.8602057</v>
      </c>
      <c r="Y816">
        <f t="shared" si="180"/>
        <v>6544.1083993291395</v>
      </c>
      <c r="Z816" s="28">
        <v>0.79600000000000004</v>
      </c>
      <c r="AA816">
        <f t="shared" si="181"/>
        <v>753.76859326775184</v>
      </c>
    </row>
    <row r="817" spans="1:27" x14ac:dyDescent="0.2">
      <c r="A817">
        <f t="shared" si="168"/>
        <v>632270102785636.88</v>
      </c>
      <c r="B817" s="28">
        <v>0.79700000000000004</v>
      </c>
      <c r="C817">
        <f t="shared" si="169"/>
        <v>632270102891610.75</v>
      </c>
      <c r="E817">
        <f t="shared" si="170"/>
        <v>10026.56828565361</v>
      </c>
      <c r="F817" s="28">
        <v>0.79700000000000004</v>
      </c>
      <c r="G817">
        <f t="shared" si="171"/>
        <v>752.82308657375859</v>
      </c>
      <c r="I817">
        <f t="shared" si="172"/>
        <v>1136189374784951.8</v>
      </c>
      <c r="J817" s="28">
        <v>0.79700000000000004</v>
      </c>
      <c r="K817">
        <f t="shared" si="173"/>
        <v>1136189374896224.5</v>
      </c>
      <c r="M817">
        <f t="shared" si="174"/>
        <v>9965.5378542656945</v>
      </c>
      <c r="N817" s="28">
        <v>0.79700000000000004</v>
      </c>
      <c r="O817">
        <f t="shared" si="175"/>
        <v>1352.8230865730443</v>
      </c>
      <c r="Q817">
        <f t="shared" si="176"/>
        <v>503919271999315.06</v>
      </c>
      <c r="R817" s="28">
        <v>0.79700000000000004</v>
      </c>
      <c r="S817">
        <f t="shared" si="177"/>
        <v>503919272005213.75</v>
      </c>
      <c r="U817">
        <f t="shared" si="178"/>
        <v>2303945493.8282032</v>
      </c>
      <c r="V817" s="48">
        <v>0.79700000000000004</v>
      </c>
      <c r="W817">
        <f t="shared" si="179"/>
        <v>2303964118.2928915</v>
      </c>
      <c r="Y817">
        <f t="shared" si="180"/>
        <v>6545.0541520080187</v>
      </c>
      <c r="Z817" s="28">
        <v>0.79700000000000004</v>
      </c>
      <c r="AA817">
        <f t="shared" si="181"/>
        <v>752.82284058887331</v>
      </c>
    </row>
    <row r="818" spans="1:27" x14ac:dyDescent="0.2">
      <c r="A818">
        <f t="shared" si="168"/>
        <v>648151037183658</v>
      </c>
      <c r="B818" s="28">
        <v>0.79800000000000004</v>
      </c>
      <c r="C818">
        <f t="shared" si="169"/>
        <v>648151037289631.88</v>
      </c>
      <c r="E818">
        <f t="shared" si="170"/>
        <v>10027.511672980119</v>
      </c>
      <c r="F818" s="28">
        <v>0.79800000000000004</v>
      </c>
      <c r="G818">
        <f t="shared" si="171"/>
        <v>751.87969924724803</v>
      </c>
      <c r="I818">
        <f t="shared" si="172"/>
        <v>1165375564935485.5</v>
      </c>
      <c r="J818" s="28">
        <v>0.79800000000000004</v>
      </c>
      <c r="K818">
        <f t="shared" si="173"/>
        <v>1165375565046758.2</v>
      </c>
      <c r="M818">
        <f t="shared" si="174"/>
        <v>9966.4812415921861</v>
      </c>
      <c r="N818" s="28">
        <v>0.79800000000000004</v>
      </c>
      <c r="O818">
        <f t="shared" si="175"/>
        <v>1351.8796992465518</v>
      </c>
      <c r="Q818">
        <f t="shared" si="176"/>
        <v>517224527751827.62</v>
      </c>
      <c r="R818" s="28">
        <v>0.79800000000000004</v>
      </c>
      <c r="S818">
        <f t="shared" si="177"/>
        <v>517224527757726.31</v>
      </c>
      <c r="U818">
        <f t="shared" si="178"/>
        <v>2344582068.5811949</v>
      </c>
      <c r="V818" s="48">
        <v>0.79800000000000004</v>
      </c>
      <c r="W818">
        <f t="shared" si="179"/>
        <v>2344600693.0458832</v>
      </c>
      <c r="Y818">
        <f t="shared" si="180"/>
        <v>6545.9975344656932</v>
      </c>
      <c r="Z818" s="28">
        <v>0.79800000000000004</v>
      </c>
      <c r="AA818">
        <f t="shared" si="181"/>
        <v>751.87945813119893</v>
      </c>
    </row>
    <row r="819" spans="1:27" x14ac:dyDescent="0.2">
      <c r="A819">
        <f t="shared" si="168"/>
        <v>664422273759434.38</v>
      </c>
      <c r="B819" s="28">
        <v>0.79900000000000004</v>
      </c>
      <c r="C819">
        <f t="shared" si="169"/>
        <v>664422273865408.25</v>
      </c>
      <c r="E819">
        <f t="shared" si="170"/>
        <v>10028.45269888654</v>
      </c>
      <c r="F819" s="28">
        <v>0.79900000000000004</v>
      </c>
      <c r="G819">
        <f t="shared" si="171"/>
        <v>750.93867334082836</v>
      </c>
      <c r="I819">
        <f t="shared" si="172"/>
        <v>1195295670572596.5</v>
      </c>
      <c r="J819" s="28">
        <v>0.79900000000000004</v>
      </c>
      <c r="K819">
        <f t="shared" si="173"/>
        <v>1195295670683869.2</v>
      </c>
      <c r="M819">
        <f t="shared" si="174"/>
        <v>9967.4222674985886</v>
      </c>
      <c r="N819" s="28">
        <v>0.79900000000000004</v>
      </c>
      <c r="O819">
        <f t="shared" si="175"/>
        <v>1350.9386733401502</v>
      </c>
      <c r="Q819">
        <f t="shared" si="176"/>
        <v>530873396813162.56</v>
      </c>
      <c r="R819" s="28">
        <v>0.79900000000000004</v>
      </c>
      <c r="S819">
        <f t="shared" si="177"/>
        <v>530873396819061.25</v>
      </c>
      <c r="U819">
        <f t="shared" si="178"/>
        <v>2385939124.6115642</v>
      </c>
      <c r="V819" s="48">
        <v>0.79900000000000004</v>
      </c>
      <c r="W819">
        <f t="shared" si="179"/>
        <v>2385957749.0762525</v>
      </c>
      <c r="Y819">
        <f t="shared" si="180"/>
        <v>6546.9385556000179</v>
      </c>
      <c r="Z819" s="28">
        <v>0.79900000000000004</v>
      </c>
      <c r="AA819">
        <f t="shared" si="181"/>
        <v>750.9384369968742</v>
      </c>
    </row>
    <row r="820" spans="1:27" x14ac:dyDescent="0.2">
      <c r="A820">
        <f t="shared" si="168"/>
        <v>681093193258638.38</v>
      </c>
      <c r="B820" s="28">
        <v>0.8</v>
      </c>
      <c r="C820">
        <f t="shared" si="169"/>
        <v>681093193364612.25</v>
      </c>
      <c r="E820">
        <f t="shared" si="170"/>
        <v>10029.391372228194</v>
      </c>
      <c r="F820" s="28">
        <v>0.8</v>
      </c>
      <c r="G820">
        <f t="shared" si="171"/>
        <v>749.99999999917418</v>
      </c>
      <c r="I820">
        <f t="shared" si="172"/>
        <v>1225967747945029.2</v>
      </c>
      <c r="J820" s="28">
        <v>0.8</v>
      </c>
      <c r="K820">
        <f t="shared" si="173"/>
        <v>1225967748056302</v>
      </c>
      <c r="M820">
        <f t="shared" si="174"/>
        <v>9968.3609408402244</v>
      </c>
      <c r="N820" s="28">
        <v>0.8</v>
      </c>
      <c r="O820">
        <f t="shared" si="175"/>
        <v>1349.9999999985134</v>
      </c>
      <c r="Q820">
        <f t="shared" si="176"/>
        <v>544874554686391.12</v>
      </c>
      <c r="R820" s="28">
        <v>0.8</v>
      </c>
      <c r="S820">
        <f t="shared" si="177"/>
        <v>544874554692289.81</v>
      </c>
      <c r="U820">
        <f t="shared" si="178"/>
        <v>2428029492.1793389</v>
      </c>
      <c r="V820" s="48">
        <v>0.8</v>
      </c>
      <c r="W820">
        <f t="shared" si="179"/>
        <v>2428048116.6440272</v>
      </c>
      <c r="Y820">
        <f t="shared" si="180"/>
        <v>6547.8772242643872</v>
      </c>
      <c r="Z820" s="28">
        <v>0.8</v>
      </c>
      <c r="AA820">
        <f t="shared" si="181"/>
        <v>749.99976833250435</v>
      </c>
    </row>
    <row r="821" spans="1:27" x14ac:dyDescent="0.2">
      <c r="A821">
        <f t="shared" si="168"/>
        <v>698173396789431</v>
      </c>
      <c r="B821" s="28">
        <v>0.80100000000000005</v>
      </c>
      <c r="C821">
        <f t="shared" si="169"/>
        <v>698173396895404.88</v>
      </c>
      <c r="E821">
        <f t="shared" si="170"/>
        <v>10030.327701816186</v>
      </c>
      <c r="F821" s="28">
        <v>0.80100000000000005</v>
      </c>
      <c r="G821">
        <f t="shared" si="171"/>
        <v>749.06367041118119</v>
      </c>
      <c r="I821">
        <f t="shared" si="172"/>
        <v>1257410287697351.8</v>
      </c>
      <c r="J821" s="28">
        <v>0.80100000000000005</v>
      </c>
      <c r="K821">
        <f t="shared" si="173"/>
        <v>1257410287808624.5</v>
      </c>
      <c r="M821">
        <f t="shared" si="174"/>
        <v>9969.2972704282001</v>
      </c>
      <c r="N821" s="28">
        <v>0.80100000000000005</v>
      </c>
      <c r="O821">
        <f t="shared" si="175"/>
        <v>1349.0636704105377</v>
      </c>
      <c r="Q821">
        <f t="shared" si="176"/>
        <v>559236890907920.69</v>
      </c>
      <c r="R821" s="28">
        <v>0.80100000000000005</v>
      </c>
      <c r="S821">
        <f t="shared" si="177"/>
        <v>559236890913819.38</v>
      </c>
      <c r="U821">
        <f t="shared" si="178"/>
        <v>2470866230.8879161</v>
      </c>
      <c r="V821" s="48">
        <v>0.80100000000000005</v>
      </c>
      <c r="W821">
        <f t="shared" si="179"/>
        <v>2470884855.3526044</v>
      </c>
      <c r="Y821">
        <f t="shared" si="180"/>
        <v>6548.8135492680149</v>
      </c>
      <c r="Z821" s="28">
        <v>0.80100000000000005</v>
      </c>
      <c r="AA821">
        <f t="shared" si="181"/>
        <v>749.06344332887704</v>
      </c>
    </row>
    <row r="822" spans="1:27" x14ac:dyDescent="0.2">
      <c r="A822">
        <f t="shared" si="168"/>
        <v>715672710878921.62</v>
      </c>
      <c r="B822" s="28">
        <v>0.80200000000000005</v>
      </c>
      <c r="C822">
        <f t="shared" si="169"/>
        <v>715672710984895.5</v>
      </c>
      <c r="E822">
        <f t="shared" si="170"/>
        <v>10031.261696417676</v>
      </c>
      <c r="F822" s="28">
        <v>0.80200000000000005</v>
      </c>
      <c r="G822">
        <f t="shared" si="171"/>
        <v>748.12967580969166</v>
      </c>
      <c r="I822">
        <f t="shared" si="172"/>
        <v>1289642225083509</v>
      </c>
      <c r="J822" s="28">
        <v>0.80200000000000005</v>
      </c>
      <c r="K822">
        <f t="shared" si="173"/>
        <v>1289642225194781.8</v>
      </c>
      <c r="M822">
        <f t="shared" si="174"/>
        <v>9970.2312650296735</v>
      </c>
      <c r="N822" s="28">
        <v>0.80200000000000005</v>
      </c>
      <c r="O822">
        <f t="shared" si="175"/>
        <v>1348.1296758090646</v>
      </c>
      <c r="Q822">
        <f t="shared" si="176"/>
        <v>573969514204587.5</v>
      </c>
      <c r="R822" s="28">
        <v>0.80200000000000005</v>
      </c>
      <c r="S822">
        <f t="shared" si="177"/>
        <v>573969514210486.25</v>
      </c>
      <c r="U822">
        <f t="shared" si="178"/>
        <v>2514462633.7970834</v>
      </c>
      <c r="V822" s="48">
        <v>0.80200000000000005</v>
      </c>
      <c r="W822">
        <f t="shared" si="179"/>
        <v>2514481258.2617717</v>
      </c>
      <c r="Y822">
        <f t="shared" si="180"/>
        <v>6549.7475393762043</v>
      </c>
      <c r="Z822" s="28">
        <v>0.80200000000000005</v>
      </c>
      <c r="AA822">
        <f t="shared" si="181"/>
        <v>748.12945322068776</v>
      </c>
    </row>
    <row r="823" spans="1:27" x14ac:dyDescent="0.2">
      <c r="A823">
        <f t="shared" si="168"/>
        <v>733601192642890.38</v>
      </c>
      <c r="B823" s="28">
        <v>0.80300000000000005</v>
      </c>
      <c r="C823">
        <f t="shared" si="169"/>
        <v>733601192748864.25</v>
      </c>
      <c r="E823">
        <f t="shared" si="170"/>
        <v>10032.193364756149</v>
      </c>
      <c r="F823" s="28">
        <v>0.80300000000000005</v>
      </c>
      <c r="G823">
        <f t="shared" si="171"/>
        <v>747.19800747121906</v>
      </c>
      <c r="I823">
        <f t="shared" si="172"/>
        <v>1322682950414929.2</v>
      </c>
      <c r="J823" s="28">
        <v>0.80300000000000005</v>
      </c>
      <c r="K823">
        <f t="shared" si="173"/>
        <v>1322682950526202</v>
      </c>
      <c r="M823">
        <f t="shared" si="174"/>
        <v>9971.1629333681303</v>
      </c>
      <c r="N823" s="28">
        <v>0.80300000000000005</v>
      </c>
      <c r="O823">
        <f t="shared" si="175"/>
        <v>1347.1980074706078</v>
      </c>
      <c r="Q823">
        <f t="shared" si="176"/>
        <v>589081757772039.25</v>
      </c>
      <c r="R823" s="28">
        <v>0.80300000000000005</v>
      </c>
      <c r="S823">
        <f t="shared" si="177"/>
        <v>589081757777938</v>
      </c>
      <c r="U823">
        <f t="shared" si="178"/>
        <v>2558832231.6100602</v>
      </c>
      <c r="V823" s="48">
        <v>0.80300000000000005</v>
      </c>
      <c r="W823">
        <f t="shared" si="179"/>
        <v>2558850856.0747485</v>
      </c>
      <c r="Y823">
        <f t="shared" si="180"/>
        <v>6550.6792033106249</v>
      </c>
      <c r="Z823" s="28">
        <v>0.80300000000000005</v>
      </c>
      <c r="AA823">
        <f t="shared" si="181"/>
        <v>747.1977892862667</v>
      </c>
    </row>
    <row r="824" spans="1:27" x14ac:dyDescent="0.2">
      <c r="A824">
        <f t="shared" si="168"/>
        <v>751969135071222.75</v>
      </c>
      <c r="B824" s="28">
        <v>0.80400000000000005</v>
      </c>
      <c r="C824">
        <f t="shared" si="169"/>
        <v>751969135177196.62</v>
      </c>
      <c r="E824">
        <f t="shared" si="170"/>
        <v>10033.12271551169</v>
      </c>
      <c r="F824" s="28">
        <v>0.80400000000000005</v>
      </c>
      <c r="G824">
        <f t="shared" si="171"/>
        <v>746.26865671567725</v>
      </c>
      <c r="I824">
        <f t="shared" si="172"/>
        <v>1356552319748390</v>
      </c>
      <c r="J824" s="28">
        <v>0.80400000000000005</v>
      </c>
      <c r="K824">
        <f t="shared" si="173"/>
        <v>1356552319859662.8</v>
      </c>
      <c r="M824">
        <f t="shared" si="174"/>
        <v>9972.092284123657</v>
      </c>
      <c r="N824" s="28">
        <v>0.80400000000000005</v>
      </c>
      <c r="O824">
        <f t="shared" si="175"/>
        <v>1346.268656715082</v>
      </c>
      <c r="Q824">
        <f t="shared" si="176"/>
        <v>604583184677167.38</v>
      </c>
      <c r="R824" s="28">
        <v>0.80400000000000005</v>
      </c>
      <c r="S824">
        <f t="shared" si="177"/>
        <v>604583184683066.12</v>
      </c>
      <c r="U824">
        <f t="shared" si="178"/>
        <v>2603988796.9358492</v>
      </c>
      <c r="V824" s="48">
        <v>0.80400000000000005</v>
      </c>
      <c r="W824">
        <f t="shared" si="179"/>
        <v>2604007421.4005375</v>
      </c>
      <c r="Y824">
        <f t="shared" si="180"/>
        <v>6551.6085497495833</v>
      </c>
      <c r="Z824" s="28">
        <v>0.80400000000000005</v>
      </c>
      <c r="AA824">
        <f t="shared" si="181"/>
        <v>746.26844284730828</v>
      </c>
    </row>
    <row r="825" spans="1:27" x14ac:dyDescent="0.2">
      <c r="A825">
        <f t="shared" si="168"/>
        <v>770787072431651.75</v>
      </c>
      <c r="B825" s="28">
        <v>0.80500000000000005</v>
      </c>
      <c r="C825">
        <f t="shared" si="169"/>
        <v>770787072537625.62</v>
      </c>
      <c r="E825">
        <f t="shared" si="170"/>
        <v>10034.049757321256</v>
      </c>
      <c r="F825" s="28">
        <v>0.80500000000000005</v>
      </c>
      <c r="G825">
        <f t="shared" si="171"/>
        <v>745.34161490611143</v>
      </c>
      <c r="I825">
        <f t="shared" si="172"/>
        <v>1391270665819141.5</v>
      </c>
      <c r="J825" s="28">
        <v>0.80500000000000005</v>
      </c>
      <c r="K825">
        <f t="shared" si="173"/>
        <v>1391270665930414.2</v>
      </c>
      <c r="M825">
        <f t="shared" si="174"/>
        <v>9973.0193259332063</v>
      </c>
      <c r="N825" s="28">
        <v>0.80500000000000005</v>
      </c>
      <c r="O825">
        <f t="shared" si="175"/>
        <v>1345.3416149055313</v>
      </c>
      <c r="Q825">
        <f t="shared" si="176"/>
        <v>620483593387489.88</v>
      </c>
      <c r="R825" s="28">
        <v>0.80500000000000005</v>
      </c>
      <c r="S825">
        <f t="shared" si="177"/>
        <v>620483593393388.62</v>
      </c>
      <c r="U825">
        <f t="shared" si="178"/>
        <v>2649946348.6282153</v>
      </c>
      <c r="V825" s="48">
        <v>0.80500000000000005</v>
      </c>
      <c r="W825">
        <f t="shared" si="179"/>
        <v>2649964973.0929036</v>
      </c>
      <c r="Y825">
        <f t="shared" si="180"/>
        <v>6552.5355873282897</v>
      </c>
      <c r="Z825" s="28">
        <v>0.80500000000000005</v>
      </c>
      <c r="AA825">
        <f t="shared" si="181"/>
        <v>745.34140526860222</v>
      </c>
    </row>
    <row r="826" spans="1:27" x14ac:dyDescent="0.2">
      <c r="A826">
        <f t="shared" si="168"/>
        <v>790065785794330.38</v>
      </c>
      <c r="B826" s="28">
        <v>0.80600000000000005</v>
      </c>
      <c r="C826">
        <f t="shared" si="169"/>
        <v>790065785900304.25</v>
      </c>
      <c r="E826">
        <f t="shared" si="170"/>
        <v>10034.974498778938</v>
      </c>
      <c r="F826" s="28">
        <v>0.80600000000000005</v>
      </c>
      <c r="G826">
        <f t="shared" si="171"/>
        <v>744.41687344843001</v>
      </c>
      <c r="I826">
        <f t="shared" si="172"/>
        <v>1426858809224677</v>
      </c>
      <c r="J826" s="28">
        <v>0.80600000000000005</v>
      </c>
      <c r="K826">
        <f t="shared" si="173"/>
        <v>1426858809335949.8</v>
      </c>
      <c r="M826">
        <f t="shared" si="174"/>
        <v>9973.9440673908739</v>
      </c>
      <c r="N826" s="28">
        <v>0.80600000000000005</v>
      </c>
      <c r="O826">
        <f t="shared" si="175"/>
        <v>1344.4168734478649</v>
      </c>
      <c r="Q826">
        <f t="shared" si="176"/>
        <v>636793023430346.5</v>
      </c>
      <c r="R826" s="28">
        <v>0.80600000000000005</v>
      </c>
      <c r="S826">
        <f t="shared" si="177"/>
        <v>636793023436245.25</v>
      </c>
      <c r="U826">
        <f t="shared" si="178"/>
        <v>2696719156.2027812</v>
      </c>
      <c r="V826" s="48">
        <v>0.80600000000000005</v>
      </c>
      <c r="W826">
        <f t="shared" si="179"/>
        <v>2696737780.6674695</v>
      </c>
      <c r="Y826">
        <f t="shared" si="180"/>
        <v>6553.4603246391252</v>
      </c>
      <c r="Z826" s="28">
        <v>0.80600000000000005</v>
      </c>
      <c r="AA826">
        <f t="shared" si="181"/>
        <v>744.41666795776609</v>
      </c>
    </row>
    <row r="827" spans="1:27" x14ac:dyDescent="0.2">
      <c r="A827">
        <f t="shared" si="168"/>
        <v>809816308679884.62</v>
      </c>
      <c r="B827" s="28">
        <v>0.80700000000000005</v>
      </c>
      <c r="C827">
        <f t="shared" si="169"/>
        <v>809816308785858.5</v>
      </c>
      <c r="E827">
        <f t="shared" si="170"/>
        <v>10035.89694843623</v>
      </c>
      <c r="F827" s="28">
        <v>0.80700000000000005</v>
      </c>
      <c r="G827">
        <f t="shared" si="171"/>
        <v>743.49442379113884</v>
      </c>
      <c r="I827">
        <f t="shared" si="172"/>
        <v>1463338069864773.8</v>
      </c>
      <c r="J827" s="28">
        <v>0.80700000000000005</v>
      </c>
      <c r="K827">
        <f t="shared" si="173"/>
        <v>1463338069976046.5</v>
      </c>
      <c r="M827">
        <f t="shared" si="174"/>
        <v>9974.8665170481509</v>
      </c>
      <c r="N827" s="28">
        <v>0.80700000000000005</v>
      </c>
      <c r="O827">
        <f t="shared" si="175"/>
        <v>1343.4944237905879</v>
      </c>
      <c r="Q827">
        <f t="shared" si="176"/>
        <v>653521761184889.12</v>
      </c>
      <c r="R827" s="28">
        <v>0.80700000000000005</v>
      </c>
      <c r="S827">
        <f t="shared" si="177"/>
        <v>653521761190787.88</v>
      </c>
      <c r="U827">
        <f t="shared" si="178"/>
        <v>2744321744.3335109</v>
      </c>
      <c r="V827" s="48">
        <v>0.80700000000000005</v>
      </c>
      <c r="W827">
        <f t="shared" si="179"/>
        <v>2744340368.7981992</v>
      </c>
      <c r="Y827">
        <f t="shared" si="180"/>
        <v>6554.3827702319104</v>
      </c>
      <c r="Z827" s="28">
        <v>0.80700000000000005</v>
      </c>
      <c r="AA827">
        <f t="shared" si="181"/>
        <v>743.49422236498151</v>
      </c>
    </row>
    <row r="828" spans="1:27" x14ac:dyDescent="0.2">
      <c r="A828">
        <f t="shared" si="168"/>
        <v>830049932833687.88</v>
      </c>
      <c r="B828" s="28">
        <v>0.80800000000000005</v>
      </c>
      <c r="C828">
        <f t="shared" si="169"/>
        <v>830049932939661.75</v>
      </c>
      <c r="E828">
        <f t="shared" si="170"/>
        <v>10036.81711480229</v>
      </c>
      <c r="F828" s="28">
        <v>0.80800000000000005</v>
      </c>
      <c r="G828">
        <f t="shared" si="171"/>
        <v>742.57425742507814</v>
      </c>
      <c r="I828">
        <f t="shared" si="172"/>
        <v>1500730278643635.5</v>
      </c>
      <c r="J828" s="28">
        <v>0.80800000000000005</v>
      </c>
      <c r="K828">
        <f t="shared" si="173"/>
        <v>1500730278754908.2</v>
      </c>
      <c r="M828">
        <f t="shared" si="174"/>
        <v>9975.7866834141969</v>
      </c>
      <c r="N828" s="28">
        <v>0.80800000000000005</v>
      </c>
      <c r="O828">
        <f t="shared" si="175"/>
        <v>1342.5742574245414</v>
      </c>
      <c r="Q828">
        <f t="shared" si="176"/>
        <v>670680345809948</v>
      </c>
      <c r="R828" s="28">
        <v>0.80800000000000005</v>
      </c>
      <c r="S828">
        <f t="shared" si="177"/>
        <v>670680345815846.75</v>
      </c>
      <c r="U828">
        <f t="shared" si="178"/>
        <v>2792768897.4301648</v>
      </c>
      <c r="V828" s="48">
        <v>0.80800000000000005</v>
      </c>
      <c r="W828">
        <f t="shared" si="179"/>
        <v>2792787521.8948531</v>
      </c>
      <c r="Y828">
        <f t="shared" si="180"/>
        <v>6555.3029326141614</v>
      </c>
      <c r="Z828" s="28">
        <v>0.80800000000000005</v>
      </c>
      <c r="AA828">
        <f t="shared" si="181"/>
        <v>742.5740599827302</v>
      </c>
    </row>
    <row r="829" spans="1:27" x14ac:dyDescent="0.2">
      <c r="A829">
        <f t="shared" si="168"/>
        <v>850778214128973.12</v>
      </c>
      <c r="B829" s="28">
        <v>0.80900000000000005</v>
      </c>
      <c r="C829">
        <f t="shared" si="169"/>
        <v>850778214234947</v>
      </c>
      <c r="E829">
        <f t="shared" si="170"/>
        <v>10037.735006344208</v>
      </c>
      <c r="F829" s="28">
        <v>0.80900000000000005</v>
      </c>
      <c r="G829">
        <f t="shared" si="171"/>
        <v>741.65636588316056</v>
      </c>
      <c r="I829">
        <f t="shared" si="172"/>
        <v>1539057789439746.2</v>
      </c>
      <c r="J829" s="28">
        <v>0.80900000000000005</v>
      </c>
      <c r="K829">
        <f t="shared" si="173"/>
        <v>1539057789551019</v>
      </c>
      <c r="M829">
        <f t="shared" si="174"/>
        <v>9976.7045749561003</v>
      </c>
      <c r="N829" s="28">
        <v>0.80900000000000005</v>
      </c>
      <c r="O829">
        <f t="shared" si="175"/>
        <v>1341.6563658826378</v>
      </c>
      <c r="Q829">
        <f t="shared" si="176"/>
        <v>688279575310773.38</v>
      </c>
      <c r="R829" s="28">
        <v>0.80900000000000005</v>
      </c>
      <c r="S829">
        <f t="shared" si="177"/>
        <v>688279575316672.12</v>
      </c>
      <c r="U829">
        <f t="shared" si="178"/>
        <v>2842075664.2980232</v>
      </c>
      <c r="V829" s="48">
        <v>0.80900000000000005</v>
      </c>
      <c r="W829">
        <f t="shared" si="179"/>
        <v>2842094288.7627115</v>
      </c>
      <c r="Y829">
        <f t="shared" si="180"/>
        <v>6556.2208202513584</v>
      </c>
      <c r="Z829" s="28">
        <v>0.80900000000000005</v>
      </c>
      <c r="AA829">
        <f t="shared" si="181"/>
        <v>741.65617234553372</v>
      </c>
    </row>
    <row r="830" spans="1:27" x14ac:dyDescent="0.2">
      <c r="A830">
        <f t="shared" si="168"/>
        <v>872012978601798.5</v>
      </c>
      <c r="B830" s="28">
        <v>0.81</v>
      </c>
      <c r="C830">
        <f t="shared" si="169"/>
        <v>872012978707772.38</v>
      </c>
      <c r="E830">
        <f t="shared" si="170"/>
        <v>10038.650631487257</v>
      </c>
      <c r="F830" s="28">
        <v>0.81</v>
      </c>
      <c r="G830">
        <f t="shared" si="171"/>
        <v>740.74074074011151</v>
      </c>
      <c r="I830">
        <f t="shared" si="172"/>
        <v>1578343491349795</v>
      </c>
      <c r="J830" s="28">
        <v>0.81</v>
      </c>
      <c r="K830">
        <f t="shared" si="173"/>
        <v>1578343491461067.8</v>
      </c>
      <c r="M830">
        <f t="shared" si="174"/>
        <v>9977.6202000991361</v>
      </c>
      <c r="N830" s="28">
        <v>0.81</v>
      </c>
      <c r="O830">
        <f t="shared" si="175"/>
        <v>1340.7407407396017</v>
      </c>
      <c r="Q830">
        <f t="shared" si="176"/>
        <v>706330512747996.88</v>
      </c>
      <c r="R830" s="28">
        <v>0.81</v>
      </c>
      <c r="S830">
        <f t="shared" si="177"/>
        <v>706330512753895.62</v>
      </c>
      <c r="U830">
        <f t="shared" si="178"/>
        <v>2892257362.8815298</v>
      </c>
      <c r="V830" s="48">
        <v>0.81</v>
      </c>
      <c r="W830">
        <f t="shared" si="179"/>
        <v>2892275987.3462181</v>
      </c>
      <c r="Y830">
        <f t="shared" si="180"/>
        <v>6557.1364415671978</v>
      </c>
      <c r="Z830" s="28">
        <v>0.81</v>
      </c>
      <c r="AA830">
        <f t="shared" si="181"/>
        <v>740.74055102969419</v>
      </c>
    </row>
    <row r="831" spans="1:27" x14ac:dyDescent="0.2">
      <c r="A831">
        <f t="shared" si="168"/>
        <v>893766328620530.88</v>
      </c>
      <c r="B831" s="28">
        <v>0.81100000000000005</v>
      </c>
      <c r="C831">
        <f t="shared" si="169"/>
        <v>893766328726504.75</v>
      </c>
      <c r="E831">
        <f t="shared" si="170"/>
        <v>10039.563998615156</v>
      </c>
      <c r="F831" s="28">
        <v>0.81100000000000005</v>
      </c>
      <c r="G831">
        <f t="shared" si="171"/>
        <v>739.82737361221132</v>
      </c>
      <c r="I831">
        <f t="shared" si="172"/>
        <v>1618610821212427.2</v>
      </c>
      <c r="J831" s="28">
        <v>0.81100000000000005</v>
      </c>
      <c r="K831">
        <f t="shared" si="173"/>
        <v>1618610821323700</v>
      </c>
      <c r="M831">
        <f t="shared" si="174"/>
        <v>9978.533567227023</v>
      </c>
      <c r="N831" s="28">
        <v>0.81100000000000005</v>
      </c>
      <c r="O831">
        <f t="shared" si="175"/>
        <v>1339.8273736117144</v>
      </c>
      <c r="Q831">
        <f t="shared" si="176"/>
        <v>724844492591896.62</v>
      </c>
      <c r="R831" s="28">
        <v>0.81100000000000005</v>
      </c>
      <c r="S831">
        <f t="shared" si="177"/>
        <v>724844492597795.38</v>
      </c>
      <c r="U831">
        <f t="shared" si="178"/>
        <v>2943329585.093205</v>
      </c>
      <c r="V831" s="48">
        <v>0.81100000000000005</v>
      </c>
      <c r="W831">
        <f t="shared" si="179"/>
        <v>2943348209.5578933</v>
      </c>
      <c r="Y831">
        <f t="shared" si="180"/>
        <v>6558.0498049438547</v>
      </c>
      <c r="Z831" s="28">
        <v>0.81100000000000005</v>
      </c>
      <c r="AA831">
        <f t="shared" si="181"/>
        <v>739.82718765303696</v>
      </c>
    </row>
    <row r="832" spans="1:27" x14ac:dyDescent="0.2">
      <c r="A832">
        <f t="shared" si="168"/>
        <v>916050649192922.5</v>
      </c>
      <c r="B832" s="28">
        <v>0.81200000000000006</v>
      </c>
      <c r="C832">
        <f t="shared" si="169"/>
        <v>916050649298896.38</v>
      </c>
      <c r="E832">
        <f t="shared" si="170"/>
        <v>10040.475116070329</v>
      </c>
      <c r="F832" s="28">
        <v>0.81200000000000006</v>
      </c>
      <c r="G832">
        <f t="shared" si="171"/>
        <v>738.91625615703947</v>
      </c>
      <c r="I832">
        <f t="shared" si="172"/>
        <v>1659883776418327.5</v>
      </c>
      <c r="J832" s="28">
        <v>0.81200000000000006</v>
      </c>
      <c r="K832">
        <f t="shared" si="173"/>
        <v>1659883776529600.2</v>
      </c>
      <c r="M832">
        <f t="shared" si="174"/>
        <v>9979.4446846821829</v>
      </c>
      <c r="N832" s="28">
        <v>0.81200000000000006</v>
      </c>
      <c r="O832">
        <f t="shared" si="175"/>
        <v>1338.9162561565554</v>
      </c>
      <c r="Q832">
        <f t="shared" si="176"/>
        <v>743833127225405.12</v>
      </c>
      <c r="R832" s="28">
        <v>0.81200000000000006</v>
      </c>
      <c r="S832">
        <f t="shared" si="177"/>
        <v>743833127231303.88</v>
      </c>
      <c r="U832">
        <f t="shared" si="178"/>
        <v>2995308201.7295289</v>
      </c>
      <c r="V832" s="48">
        <v>0.81200000000000006</v>
      </c>
      <c r="W832">
        <f t="shared" si="179"/>
        <v>2995326826.1942172</v>
      </c>
      <c r="Y832">
        <f t="shared" si="180"/>
        <v>6558.9609187222359</v>
      </c>
      <c r="Z832" s="28">
        <v>0.81200000000000006</v>
      </c>
      <c r="AA832">
        <f t="shared" si="181"/>
        <v>738.91607387465569</v>
      </c>
    </row>
    <row r="833" spans="1:27" x14ac:dyDescent="0.2">
      <c r="A833">
        <f t="shared" si="168"/>
        <v>938878614413643.5</v>
      </c>
      <c r="B833" s="28">
        <v>0.81299999999999994</v>
      </c>
      <c r="C833">
        <f t="shared" si="169"/>
        <v>938878614519617.38</v>
      </c>
      <c r="E833">
        <f t="shared" si="170"/>
        <v>10041.383992154148</v>
      </c>
      <c r="F833" s="28">
        <v>0.81299999999999994</v>
      </c>
      <c r="G833">
        <f t="shared" si="171"/>
        <v>738.0073800732207</v>
      </c>
      <c r="I833">
        <f t="shared" si="172"/>
        <v>1702186928012793.5</v>
      </c>
      <c r="J833" s="28">
        <v>0.81299999999999994</v>
      </c>
      <c r="K833">
        <f t="shared" si="173"/>
        <v>1702186928124066.2</v>
      </c>
      <c r="M833">
        <f t="shared" si="174"/>
        <v>9980.3535607659887</v>
      </c>
      <c r="N833" s="28">
        <v>0.81299999999999994</v>
      </c>
      <c r="O833">
        <f t="shared" si="175"/>
        <v>1338.0073800727489</v>
      </c>
      <c r="Q833">
        <f t="shared" si="176"/>
        <v>763308313599150.12</v>
      </c>
      <c r="R833" s="28">
        <v>0.81299999999999994</v>
      </c>
      <c r="S833">
        <f t="shared" si="177"/>
        <v>763308313605048.88</v>
      </c>
      <c r="U833">
        <f t="shared" si="178"/>
        <v>3048209367.4751916</v>
      </c>
      <c r="V833" s="48">
        <v>0.81299999999999994</v>
      </c>
      <c r="W833">
        <f t="shared" si="179"/>
        <v>3048227991.9398799</v>
      </c>
      <c r="Y833">
        <f t="shared" si="180"/>
        <v>6559.8697912022326</v>
      </c>
      <c r="Z833" s="28">
        <v>0.81299999999999994</v>
      </c>
      <c r="AA833">
        <f t="shared" si="181"/>
        <v>738.00720139465909</v>
      </c>
    </row>
    <row r="834" spans="1:27" x14ac:dyDescent="0.2">
      <c r="A834">
        <f t="shared" si="168"/>
        <v>962263194055496.75</v>
      </c>
      <c r="B834" s="28">
        <v>0.81399999999999995</v>
      </c>
      <c r="C834">
        <f t="shared" si="169"/>
        <v>962263194161470.62</v>
      </c>
      <c r="E834">
        <f t="shared" si="170"/>
        <v>10042.290635127196</v>
      </c>
      <c r="F834" s="28">
        <v>0.81399999999999995</v>
      </c>
      <c r="G834">
        <f t="shared" si="171"/>
        <v>737.10073710017241</v>
      </c>
      <c r="I834">
        <f t="shared" si="172"/>
        <v>1745545434097635.2</v>
      </c>
      <c r="J834" s="28">
        <v>0.81399999999999995</v>
      </c>
      <c r="K834">
        <f t="shared" si="173"/>
        <v>1745545434208908</v>
      </c>
      <c r="M834">
        <f t="shared" si="174"/>
        <v>9981.2602037390243</v>
      </c>
      <c r="N834" s="28">
        <v>0.81399999999999995</v>
      </c>
      <c r="O834">
        <f t="shared" si="175"/>
        <v>1337.1007370997131</v>
      </c>
      <c r="Q834">
        <f t="shared" si="176"/>
        <v>783282240042138.25</v>
      </c>
      <c r="R834" s="28">
        <v>0.81399999999999995</v>
      </c>
      <c r="S834">
        <f t="shared" si="177"/>
        <v>783282240048037</v>
      </c>
      <c r="U834">
        <f t="shared" si="178"/>
        <v>3102049525.9975066</v>
      </c>
      <c r="V834" s="48">
        <v>0.81399999999999995</v>
      </c>
      <c r="W834">
        <f t="shared" si="179"/>
        <v>3102068150.4621949</v>
      </c>
      <c r="Y834">
        <f t="shared" si="180"/>
        <v>6560.7764306429735</v>
      </c>
      <c r="Z834" s="28">
        <v>0.81399999999999995</v>
      </c>
      <c r="AA834">
        <f t="shared" si="181"/>
        <v>737.1005619539186</v>
      </c>
    </row>
    <row r="835" spans="1:27" x14ac:dyDescent="0.2">
      <c r="A835">
        <f t="shared" si="168"/>
        <v>986217660307224.62</v>
      </c>
      <c r="B835" s="28">
        <v>0.81499999999999995</v>
      </c>
      <c r="C835">
        <f t="shared" si="169"/>
        <v>986217660413198.5</v>
      </c>
      <c r="E835">
        <f t="shared" si="170"/>
        <v>10043.195053209512</v>
      </c>
      <c r="F835" s="28">
        <v>0.81499999999999995</v>
      </c>
      <c r="G835">
        <f t="shared" si="171"/>
        <v>736.19631901785533</v>
      </c>
      <c r="I835">
        <f t="shared" si="172"/>
        <v>1789985053538682.5</v>
      </c>
      <c r="J835" s="28">
        <v>0.81499999999999995</v>
      </c>
      <c r="K835">
        <f t="shared" si="173"/>
        <v>1789985053649955.2</v>
      </c>
      <c r="M835">
        <f t="shared" si="174"/>
        <v>9982.16462182133</v>
      </c>
      <c r="N835" s="28">
        <v>0.81499999999999995</v>
      </c>
      <c r="O835">
        <f t="shared" si="175"/>
        <v>1336.1963190174076</v>
      </c>
      <c r="Q835">
        <f t="shared" si="176"/>
        <v>803767393231458</v>
      </c>
      <c r="R835" s="28">
        <v>0.81499999999999995</v>
      </c>
      <c r="S835">
        <f t="shared" si="177"/>
        <v>803767393237356.75</v>
      </c>
      <c r="U835">
        <f t="shared" si="178"/>
        <v>3156845415.1323662</v>
      </c>
      <c r="V835" s="48">
        <v>0.81499999999999995</v>
      </c>
      <c r="W835">
        <f t="shared" si="179"/>
        <v>3156864039.5970545</v>
      </c>
      <c r="Y835">
        <f t="shared" si="180"/>
        <v>6561.6808452630721</v>
      </c>
      <c r="Z835" s="28">
        <v>0.81499999999999995</v>
      </c>
      <c r="AA835">
        <f t="shared" si="181"/>
        <v>736.19614733381957</v>
      </c>
    </row>
    <row r="836" spans="1:27" x14ac:dyDescent="0.2">
      <c r="A836">
        <f t="shared" si="168"/>
        <v>1010755594661305.8</v>
      </c>
      <c r="B836" s="28">
        <v>0.81599999999999995</v>
      </c>
      <c r="C836">
        <f t="shared" si="169"/>
        <v>1010755594767279.6</v>
      </c>
      <c r="E836">
        <f t="shared" si="170"/>
        <v>10044.097254580844</v>
      </c>
      <c r="F836" s="28">
        <v>0.81599999999999995</v>
      </c>
      <c r="G836">
        <f t="shared" si="171"/>
        <v>735.294117646524</v>
      </c>
      <c r="I836">
        <f t="shared" si="172"/>
        <v>1835532159986107</v>
      </c>
      <c r="J836" s="28">
        <v>0.81599999999999995</v>
      </c>
      <c r="K836">
        <f t="shared" si="173"/>
        <v>1835532160097379.8</v>
      </c>
      <c r="M836">
        <f t="shared" si="174"/>
        <v>9983.0668231926502</v>
      </c>
      <c r="N836" s="28">
        <v>0.81599999999999995</v>
      </c>
      <c r="O836">
        <f t="shared" si="175"/>
        <v>1335.2941176460874</v>
      </c>
      <c r="Q836">
        <f t="shared" si="176"/>
        <v>824776565324801.38</v>
      </c>
      <c r="R836" s="28">
        <v>0.81599999999999995</v>
      </c>
      <c r="S836">
        <f t="shared" si="177"/>
        <v>824776565330700.12</v>
      </c>
      <c r="U836">
        <f t="shared" si="178"/>
        <v>3212614072.1636629</v>
      </c>
      <c r="V836" s="48">
        <v>0.81599999999999995</v>
      </c>
      <c r="W836">
        <f t="shared" si="179"/>
        <v>3212632696.6283512</v>
      </c>
      <c r="Y836">
        <f t="shared" si="180"/>
        <v>6562.5830432408784</v>
      </c>
      <c r="Z836" s="28">
        <v>0.81599999999999995</v>
      </c>
      <c r="AA836">
        <f t="shared" si="181"/>
        <v>735.29394935601317</v>
      </c>
    </row>
    <row r="837" spans="1:27" x14ac:dyDescent="0.2">
      <c r="A837">
        <f t="shared" si="168"/>
        <v>1035890894954798.4</v>
      </c>
      <c r="B837" s="28">
        <v>0.81699999999999995</v>
      </c>
      <c r="C837">
        <f t="shared" si="169"/>
        <v>1035890895060772.2</v>
      </c>
      <c r="E837">
        <f t="shared" si="170"/>
        <v>10044.997247380888</v>
      </c>
      <c r="F837" s="28">
        <v>0.81699999999999995</v>
      </c>
      <c r="G837">
        <f t="shared" si="171"/>
        <v>734.39412484648062</v>
      </c>
      <c r="I837">
        <f t="shared" si="172"/>
        <v>1882213756214150.5</v>
      </c>
      <c r="J837" s="28">
        <v>0.81699999999999995</v>
      </c>
      <c r="K837">
        <f t="shared" si="173"/>
        <v>1882213756325423.2</v>
      </c>
      <c r="M837">
        <f t="shared" si="174"/>
        <v>9983.9668159926823</v>
      </c>
      <c r="N837" s="28">
        <v>0.81699999999999995</v>
      </c>
      <c r="O837">
        <f t="shared" si="175"/>
        <v>1334.3941248460553</v>
      </c>
      <c r="Q837">
        <f t="shared" si="176"/>
        <v>846322861259352.12</v>
      </c>
      <c r="R837" s="28">
        <v>0.81699999999999995</v>
      </c>
      <c r="S837">
        <f t="shared" si="177"/>
        <v>846322861265250.88</v>
      </c>
      <c r="U837">
        <f t="shared" si="178"/>
        <v>3269372839.1976113</v>
      </c>
      <c r="V837" s="48">
        <v>0.81699999999999995</v>
      </c>
      <c r="W837">
        <f t="shared" si="179"/>
        <v>3269391463.6622996</v>
      </c>
      <c r="Y837">
        <f t="shared" si="180"/>
        <v>6563.483032714721</v>
      </c>
      <c r="Z837" s="28">
        <v>0.81699999999999995</v>
      </c>
      <c r="AA837">
        <f t="shared" si="181"/>
        <v>734.39395988217052</v>
      </c>
    </row>
    <row r="838" spans="1:27" x14ac:dyDescent="0.2">
      <c r="A838">
        <f t="shared" si="168"/>
        <v>1061637782566677.1</v>
      </c>
      <c r="B838" s="28">
        <v>0.81799999999999995</v>
      </c>
      <c r="C838">
        <f t="shared" si="169"/>
        <v>1061637782672651</v>
      </c>
      <c r="E838">
        <f t="shared" si="170"/>
        <v>10045.895039709538</v>
      </c>
      <c r="F838" s="28">
        <v>0.81799999999999995</v>
      </c>
      <c r="G838">
        <f t="shared" si="171"/>
        <v>733.49633251783064</v>
      </c>
      <c r="I838">
        <f t="shared" si="172"/>
        <v>1930057488787606.8</v>
      </c>
      <c r="J838" s="28">
        <v>0.81799999999999995</v>
      </c>
      <c r="K838">
        <f t="shared" si="173"/>
        <v>1930057488898879.5</v>
      </c>
      <c r="M838">
        <f t="shared" si="174"/>
        <v>9984.8646083213225</v>
      </c>
      <c r="N838" s="28">
        <v>0.81799999999999995</v>
      </c>
      <c r="O838">
        <f t="shared" si="175"/>
        <v>1333.4963325174162</v>
      </c>
      <c r="Q838">
        <f t="shared" si="176"/>
        <v>868419706220929.75</v>
      </c>
      <c r="R838" s="28">
        <v>0.81799999999999995</v>
      </c>
      <c r="S838">
        <f t="shared" si="177"/>
        <v>868419706226828.5</v>
      </c>
      <c r="U838">
        <f t="shared" si="178"/>
        <v>3327139368.6338992</v>
      </c>
      <c r="V838" s="48">
        <v>0.81799999999999995</v>
      </c>
      <c r="W838">
        <f t="shared" si="179"/>
        <v>3327157993.0985875</v>
      </c>
      <c r="Y838">
        <f t="shared" si="180"/>
        <v>6564.3808217831538</v>
      </c>
      <c r="Z838" s="28">
        <v>0.81799999999999995</v>
      </c>
      <c r="AA838">
        <f t="shared" si="181"/>
        <v>733.49617081373788</v>
      </c>
    </row>
    <row r="839" spans="1:27" x14ac:dyDescent="0.2">
      <c r="A839">
        <f t="shared" si="168"/>
        <v>1088010809775057.6</v>
      </c>
      <c r="B839" s="28">
        <v>0.81899999999999995</v>
      </c>
      <c r="C839">
        <f t="shared" si="169"/>
        <v>1088010809881031.5</v>
      </c>
      <c r="E839">
        <f t="shared" si="170"/>
        <v>10046.790639627128</v>
      </c>
      <c r="F839" s="28">
        <v>0.81899999999999995</v>
      </c>
      <c r="G839">
        <f t="shared" si="171"/>
        <v>732.60073260023933</v>
      </c>
      <c r="I839">
        <f t="shared" si="172"/>
        <v>1979091663062323.2</v>
      </c>
      <c r="J839" s="28">
        <v>0.81899999999999995</v>
      </c>
      <c r="K839">
        <f t="shared" si="173"/>
        <v>1979091663173596</v>
      </c>
      <c r="M839">
        <f t="shared" si="174"/>
        <v>9985.7602082389021</v>
      </c>
      <c r="N839" s="28">
        <v>0.81899999999999995</v>
      </c>
      <c r="O839">
        <f t="shared" si="175"/>
        <v>1332.6007325998353</v>
      </c>
      <c r="Q839">
        <f t="shared" si="176"/>
        <v>891080853287266</v>
      </c>
      <c r="R839" s="28">
        <v>0.81899999999999995</v>
      </c>
      <c r="S839">
        <f t="shared" si="177"/>
        <v>891080853293164.75</v>
      </c>
      <c r="U839">
        <f t="shared" si="178"/>
        <v>3385931628.7352123</v>
      </c>
      <c r="V839" s="48">
        <v>0.81899999999999995</v>
      </c>
      <c r="W839">
        <f t="shared" si="179"/>
        <v>3385950253.1999006</v>
      </c>
      <c r="Y839">
        <f t="shared" si="180"/>
        <v>6565.2764185051974</v>
      </c>
      <c r="Z839" s="28">
        <v>0.81899999999999995</v>
      </c>
      <c r="AA839">
        <f t="shared" si="181"/>
        <v>732.60057409169463</v>
      </c>
    </row>
    <row r="840" spans="1:27" x14ac:dyDescent="0.2">
      <c r="A840">
        <f t="shared" si="168"/>
        <v>1115024867277715.9</v>
      </c>
      <c r="B840" s="28">
        <v>0.82</v>
      </c>
      <c r="C840">
        <f t="shared" si="169"/>
        <v>1115024867383689.8</v>
      </c>
      <c r="E840">
        <f t="shared" si="170"/>
        <v>10047.684055154677</v>
      </c>
      <c r="F840" s="28">
        <v>0.82</v>
      </c>
      <c r="G840">
        <f t="shared" si="171"/>
        <v>731.70731707269056</v>
      </c>
      <c r="I840">
        <f t="shared" si="172"/>
        <v>2029345258527042.5</v>
      </c>
      <c r="J840" s="28">
        <v>0.82</v>
      </c>
      <c r="K840">
        <f t="shared" si="173"/>
        <v>2029345258638315.2</v>
      </c>
      <c r="M840">
        <f t="shared" si="174"/>
        <v>9986.6536237664423</v>
      </c>
      <c r="N840" s="28">
        <v>0.82</v>
      </c>
      <c r="O840">
        <f t="shared" si="175"/>
        <v>1331.7073170722967</v>
      </c>
      <c r="Q840">
        <f t="shared" si="176"/>
        <v>914320391249326.75</v>
      </c>
      <c r="R840" s="28">
        <v>0.82</v>
      </c>
      <c r="S840">
        <f t="shared" si="177"/>
        <v>914320391255225.5</v>
      </c>
      <c r="U840">
        <f t="shared" si="178"/>
        <v>3445767909.2971134</v>
      </c>
      <c r="V840" s="48">
        <v>0.82</v>
      </c>
      <c r="W840">
        <f t="shared" si="179"/>
        <v>3445786533.7618017</v>
      </c>
      <c r="Y840">
        <f t="shared" si="180"/>
        <v>6566.1698309005787</v>
      </c>
      <c r="Z840" s="28">
        <v>0.82</v>
      </c>
      <c r="AA840">
        <f t="shared" si="181"/>
        <v>731.70716169631294</v>
      </c>
    </row>
    <row r="841" spans="1:27" x14ac:dyDescent="0.2">
      <c r="A841">
        <f t="shared" si="168"/>
        <v>1142695191879410</v>
      </c>
      <c r="B841" s="28">
        <v>0.82099999999999995</v>
      </c>
      <c r="C841">
        <f t="shared" si="169"/>
        <v>1142695191985384</v>
      </c>
      <c r="E841">
        <f t="shared" si="170"/>
        <v>10048.57529427412</v>
      </c>
      <c r="F841" s="28">
        <v>0.82099999999999995</v>
      </c>
      <c r="G841">
        <f t="shared" si="171"/>
        <v>730.8160779532476</v>
      </c>
      <c r="I841">
        <f t="shared" si="172"/>
        <v>2080847944494111</v>
      </c>
      <c r="J841" s="28">
        <v>0.82099999999999995</v>
      </c>
      <c r="K841">
        <f t="shared" si="173"/>
        <v>2080847944605383.8</v>
      </c>
      <c r="M841">
        <f t="shared" si="174"/>
        <v>9987.544862885874</v>
      </c>
      <c r="N841" s="28">
        <v>0.82099999999999995</v>
      </c>
      <c r="O841">
        <f t="shared" si="175"/>
        <v>1330.8160779528639</v>
      </c>
      <c r="Q841">
        <f t="shared" si="176"/>
        <v>938152752614701.38</v>
      </c>
      <c r="R841" s="28">
        <v>0.82099999999999995</v>
      </c>
      <c r="S841">
        <f t="shared" si="177"/>
        <v>938152752620600.12</v>
      </c>
      <c r="U841">
        <f t="shared" si="178"/>
        <v>3506666827.4198799</v>
      </c>
      <c r="V841" s="48">
        <v>0.82099999999999995</v>
      </c>
      <c r="W841">
        <f t="shared" si="179"/>
        <v>3506685451.8845682</v>
      </c>
      <c r="Y841">
        <f t="shared" si="180"/>
        <v>6567.0610669499738</v>
      </c>
      <c r="Z841" s="28">
        <v>0.82099999999999995</v>
      </c>
      <c r="AA841">
        <f t="shared" si="181"/>
        <v>730.81592564691823</v>
      </c>
    </row>
    <row r="842" spans="1:27" x14ac:dyDescent="0.2">
      <c r="A842">
        <f t="shared" si="168"/>
        <v>1171037374349725.5</v>
      </c>
      <c r="B842" s="28">
        <v>0.82199999999999995</v>
      </c>
      <c r="C842">
        <f t="shared" si="169"/>
        <v>1171037374455699.5</v>
      </c>
      <c r="E842">
        <f t="shared" si="170"/>
        <v>10049.464364928554</v>
      </c>
      <c r="F842" s="28">
        <v>0.82199999999999995</v>
      </c>
      <c r="G842">
        <f t="shared" si="171"/>
        <v>729.92700729881517</v>
      </c>
      <c r="I842">
        <f t="shared" si="172"/>
        <v>2133630096147012</v>
      </c>
      <c r="J842" s="28">
        <v>0.82199999999999995</v>
      </c>
      <c r="K842">
        <f t="shared" si="173"/>
        <v>2133630096258284.8</v>
      </c>
      <c r="M842">
        <f t="shared" si="174"/>
        <v>9988.4339335402965</v>
      </c>
      <c r="N842" s="28">
        <v>0.82199999999999995</v>
      </c>
      <c r="O842">
        <f t="shared" si="175"/>
        <v>1329.9270072984411</v>
      </c>
      <c r="Q842">
        <f t="shared" si="176"/>
        <v>962592721797286.25</v>
      </c>
      <c r="R842" s="28">
        <v>0.82199999999999995</v>
      </c>
      <c r="S842">
        <f t="shared" si="177"/>
        <v>962592721803185</v>
      </c>
      <c r="U842">
        <f t="shared" si="178"/>
        <v>3568647333.3843422</v>
      </c>
      <c r="V842" s="48">
        <v>0.82199999999999995</v>
      </c>
      <c r="W842">
        <f t="shared" si="179"/>
        <v>3568665957.8490305</v>
      </c>
      <c r="Y842">
        <f t="shared" si="180"/>
        <v>6567.9501345952394</v>
      </c>
      <c r="Z842" s="28">
        <v>0.82199999999999995</v>
      </c>
      <c r="AA842">
        <f t="shared" si="181"/>
        <v>729.92685800165214</v>
      </c>
    </row>
    <row r="843" spans="1:27" x14ac:dyDescent="0.2">
      <c r="A843">
        <f t="shared" si="168"/>
        <v>1200067367455062.8</v>
      </c>
      <c r="B843" s="28">
        <v>0.82299999999999995</v>
      </c>
      <c r="C843">
        <f t="shared" si="169"/>
        <v>1200067367561036.8</v>
      </c>
      <c r="E843">
        <f t="shared" si="170"/>
        <v>10050.351275022465</v>
      </c>
      <c r="F843" s="28">
        <v>0.82299999999999995</v>
      </c>
      <c r="G843">
        <f t="shared" si="171"/>
        <v>729.04009720490342</v>
      </c>
      <c r="I843">
        <f t="shared" si="172"/>
        <v>2187722810952497</v>
      </c>
      <c r="J843" s="28">
        <v>0.82299999999999995</v>
      </c>
      <c r="K843">
        <f t="shared" si="173"/>
        <v>2187722811063769.8</v>
      </c>
      <c r="M843">
        <f t="shared" si="174"/>
        <v>9989.3208436341993</v>
      </c>
      <c r="N843" s="28">
        <v>0.82299999999999995</v>
      </c>
      <c r="O843">
        <f t="shared" si="175"/>
        <v>1329.0400972045391</v>
      </c>
      <c r="Q843">
        <f t="shared" si="176"/>
        <v>987655443497434.5</v>
      </c>
      <c r="R843" s="28">
        <v>0.82299999999999995</v>
      </c>
      <c r="S843">
        <f t="shared" si="177"/>
        <v>987655443503333.25</v>
      </c>
      <c r="U843">
        <f t="shared" si="178"/>
        <v>3631728716.6333995</v>
      </c>
      <c r="V843" s="48">
        <v>0.82299999999999995</v>
      </c>
      <c r="W843">
        <f t="shared" si="179"/>
        <v>3631747341.0980878</v>
      </c>
      <c r="Y843">
        <f t="shared" si="180"/>
        <v>6568.8370417396545</v>
      </c>
      <c r="Z843" s="28">
        <v>0.82299999999999995</v>
      </c>
      <c r="AA843">
        <f t="shared" si="181"/>
        <v>729.03995085723716</v>
      </c>
    </row>
    <row r="844" spans="1:27" x14ac:dyDescent="0.2">
      <c r="A844">
        <f t="shared" si="168"/>
        <v>1229801494168523.8</v>
      </c>
      <c r="B844" s="28">
        <v>0.82399999999999995</v>
      </c>
      <c r="C844">
        <f t="shared" si="169"/>
        <v>1229801494274497.8</v>
      </c>
      <c r="E844">
        <f t="shared" si="170"/>
        <v>10051.236032421974</v>
      </c>
      <c r="F844" s="28">
        <v>0.82399999999999995</v>
      </c>
      <c r="G844">
        <f t="shared" si="171"/>
        <v>728.15533980539419</v>
      </c>
      <c r="I844">
        <f t="shared" si="172"/>
        <v>2243157925445411</v>
      </c>
      <c r="J844" s="28">
        <v>0.82399999999999995</v>
      </c>
      <c r="K844">
        <f t="shared" si="173"/>
        <v>2243157925556683.8</v>
      </c>
      <c r="M844">
        <f t="shared" si="174"/>
        <v>9990.2056010337001</v>
      </c>
      <c r="N844" s="28">
        <v>0.82399999999999995</v>
      </c>
      <c r="O844">
        <f t="shared" si="175"/>
        <v>1328.1553398050387</v>
      </c>
      <c r="Q844">
        <f t="shared" si="176"/>
        <v>1013356431276887.4</v>
      </c>
      <c r="R844" s="28">
        <v>0.82399999999999995</v>
      </c>
      <c r="S844">
        <f t="shared" si="177"/>
        <v>1013356431282786.1</v>
      </c>
      <c r="U844">
        <f t="shared" si="178"/>
        <v>3695930611.8613272</v>
      </c>
      <c r="V844" s="48">
        <v>0.82399999999999995</v>
      </c>
      <c r="W844">
        <f t="shared" si="179"/>
        <v>3695949236.3260155</v>
      </c>
      <c r="Y844">
        <f t="shared" si="180"/>
        <v>6569.7217962481491</v>
      </c>
      <c r="Z844" s="28">
        <v>0.82399999999999995</v>
      </c>
      <c r="AA844">
        <f t="shared" si="181"/>
        <v>728.15519634874283</v>
      </c>
    </row>
    <row r="845" spans="1:27" x14ac:dyDescent="0.2">
      <c r="A845">
        <f t="shared" si="168"/>
        <v>1260256456061584</v>
      </c>
      <c r="B845" s="28">
        <v>0.82499999999999996</v>
      </c>
      <c r="C845">
        <f t="shared" si="169"/>
        <v>1260256456167558</v>
      </c>
      <c r="E845">
        <f t="shared" si="170"/>
        <v>10052.118644955061</v>
      </c>
      <c r="F845" s="28">
        <v>0.82499999999999996</v>
      </c>
      <c r="G845">
        <f t="shared" si="171"/>
        <v>727.27272727230763</v>
      </c>
      <c r="I845">
        <f t="shared" si="172"/>
        <v>2299968032394520.5</v>
      </c>
      <c r="J845" s="28">
        <v>0.82499999999999996</v>
      </c>
      <c r="K845">
        <f t="shared" si="173"/>
        <v>2299968032505793</v>
      </c>
      <c r="M845">
        <f t="shared" si="174"/>
        <v>9991.0882135667762</v>
      </c>
      <c r="N845" s="28">
        <v>0.82499999999999996</v>
      </c>
      <c r="O845">
        <f t="shared" si="175"/>
        <v>1327.2727272719615</v>
      </c>
      <c r="Q845">
        <f t="shared" si="176"/>
        <v>1039711576332936.5</v>
      </c>
      <c r="R845" s="28">
        <v>0.82499999999999996</v>
      </c>
      <c r="S845">
        <f t="shared" si="177"/>
        <v>1039711576338835.2</v>
      </c>
      <c r="U845">
        <f t="shared" si="178"/>
        <v>3761273005.2126007</v>
      </c>
      <c r="V845" s="48">
        <v>0.82499999999999996</v>
      </c>
      <c r="W845">
        <f t="shared" si="179"/>
        <v>3761291629.677289</v>
      </c>
      <c r="Y845">
        <f t="shared" si="180"/>
        <v>6570.604405947538</v>
      </c>
      <c r="Z845" s="28">
        <v>0.82499999999999996</v>
      </c>
      <c r="AA845">
        <f t="shared" si="181"/>
        <v>727.27258664935391</v>
      </c>
    </row>
    <row r="846" spans="1:27" x14ac:dyDescent="0.2">
      <c r="A846">
        <f t="shared" si="168"/>
        <v>1291449341881395.5</v>
      </c>
      <c r="B846" s="28">
        <v>0.82599999999999996</v>
      </c>
      <c r="C846">
        <f t="shared" si="169"/>
        <v>1291449341987369.5</v>
      </c>
      <c r="E846">
        <f t="shared" si="170"/>
        <v>10052.999120411796</v>
      </c>
      <c r="F846" s="28">
        <v>0.82599999999999996</v>
      </c>
      <c r="G846">
        <f t="shared" si="171"/>
        <v>726.39225181557219</v>
      </c>
      <c r="I846">
        <f t="shared" si="172"/>
        <v>2358186498357664.5</v>
      </c>
      <c r="J846" s="28">
        <v>0.82599999999999996</v>
      </c>
      <c r="K846">
        <f t="shared" si="173"/>
        <v>2358186498468937</v>
      </c>
      <c r="M846">
        <f t="shared" si="174"/>
        <v>9991.9686890235025</v>
      </c>
      <c r="N846" s="28">
        <v>0.82599999999999996</v>
      </c>
      <c r="O846">
        <f t="shared" si="175"/>
        <v>1326.3922518152349</v>
      </c>
      <c r="Q846">
        <f t="shared" si="176"/>
        <v>1066737156476268.5</v>
      </c>
      <c r="R846" s="28">
        <v>0.82599999999999996</v>
      </c>
      <c r="S846">
        <f t="shared" si="177"/>
        <v>1066737156482167.2</v>
      </c>
      <c r="U846">
        <f t="shared" si="178"/>
        <v>3827776240.5924425</v>
      </c>
      <c r="V846" s="48">
        <v>0.82599999999999996</v>
      </c>
      <c r="W846">
        <f t="shared" si="179"/>
        <v>3827794865.0571308</v>
      </c>
      <c r="Y846">
        <f t="shared" si="180"/>
        <v>6571.4848786267521</v>
      </c>
      <c r="Z846" s="28">
        <v>0.82599999999999996</v>
      </c>
      <c r="AA846">
        <f t="shared" si="181"/>
        <v>726.39211397013935</v>
      </c>
    </row>
    <row r="847" spans="1:27" x14ac:dyDescent="0.2">
      <c r="A847">
        <f t="shared" si="168"/>
        <v>1323397636317860</v>
      </c>
      <c r="B847" s="28">
        <v>0.82699999999999996</v>
      </c>
      <c r="C847">
        <f t="shared" si="169"/>
        <v>1323397636423834</v>
      </c>
      <c r="E847">
        <f t="shared" si="170"/>
        <v>10053.877466544574</v>
      </c>
      <c r="F847" s="28">
        <v>0.82699999999999996</v>
      </c>
      <c r="G847">
        <f t="shared" si="171"/>
        <v>725.51390568279464</v>
      </c>
      <c r="I847">
        <f t="shared" si="172"/>
        <v>2417847481635072</v>
      </c>
      <c r="J847" s="28">
        <v>0.82699999999999996</v>
      </c>
      <c r="K847">
        <f t="shared" si="173"/>
        <v>2417847481746344.5</v>
      </c>
      <c r="M847">
        <f t="shared" si="174"/>
        <v>9992.8470351562719</v>
      </c>
      <c r="N847" s="28">
        <v>0.82699999999999996</v>
      </c>
      <c r="O847">
        <f t="shared" si="175"/>
        <v>1325.5139056824657</v>
      </c>
      <c r="Q847">
        <f t="shared" si="176"/>
        <v>1094449845317212</v>
      </c>
      <c r="R847" s="28">
        <v>0.82699999999999996</v>
      </c>
      <c r="S847">
        <f t="shared" si="177"/>
        <v>1094449845323110.8</v>
      </c>
      <c r="U847">
        <f t="shared" si="178"/>
        <v>3895461026.0908823</v>
      </c>
      <c r="V847" s="48">
        <v>0.82699999999999996</v>
      </c>
      <c r="W847">
        <f t="shared" si="179"/>
        <v>3895479650.5555706</v>
      </c>
      <c r="Y847">
        <f t="shared" si="180"/>
        <v>6572.3632220370673</v>
      </c>
      <c r="Z847" s="28">
        <v>0.82699999999999996</v>
      </c>
      <c r="AA847">
        <f t="shared" si="181"/>
        <v>725.51377055982459</v>
      </c>
    </row>
    <row r="848" spans="1:27" x14ac:dyDescent="0.2">
      <c r="A848">
        <f t="shared" si="168"/>
        <v>1356119228964446.8</v>
      </c>
      <c r="B848" s="28">
        <v>0.82799999999999996</v>
      </c>
      <c r="C848">
        <f t="shared" si="169"/>
        <v>1356119229070420.8</v>
      </c>
      <c r="E848">
        <f t="shared" si="170"/>
        <v>10054.753691068336</v>
      </c>
      <c r="F848" s="28">
        <v>0.82799999999999996</v>
      </c>
      <c r="G848">
        <f t="shared" si="171"/>
        <v>724.63768115903315</v>
      </c>
      <c r="I848">
        <f t="shared" si="172"/>
        <v>2478985950629456.5</v>
      </c>
      <c r="J848" s="28">
        <v>0.82799999999999996</v>
      </c>
      <c r="K848">
        <f t="shared" si="173"/>
        <v>2478985950740729</v>
      </c>
      <c r="M848">
        <f t="shared" si="174"/>
        <v>9993.7232596800259</v>
      </c>
      <c r="N848" s="28">
        <v>0.82799999999999996</v>
      </c>
      <c r="O848">
        <f t="shared" si="175"/>
        <v>1324.6376811587124</v>
      </c>
      <c r="Q848">
        <f t="shared" si="176"/>
        <v>1122866721665009.5</v>
      </c>
      <c r="R848" s="28">
        <v>0.82799999999999996</v>
      </c>
      <c r="S848">
        <f t="shared" si="177"/>
        <v>1122866721670908.2</v>
      </c>
      <c r="U848">
        <f t="shared" si="178"/>
        <v>3964348440.5225902</v>
      </c>
      <c r="V848" s="48">
        <v>0.82799999999999996</v>
      </c>
      <c r="W848">
        <f t="shared" si="179"/>
        <v>3964367064.9872785</v>
      </c>
      <c r="Y848">
        <f t="shared" si="180"/>
        <v>6573.2394438923284</v>
      </c>
      <c r="Z848" s="28">
        <v>0.82799999999999996</v>
      </c>
      <c r="AA848">
        <f t="shared" si="181"/>
        <v>724.6375487045633</v>
      </c>
    </row>
    <row r="849" spans="1:27" x14ac:dyDescent="0.2">
      <c r="A849">
        <f t="shared" si="168"/>
        <v>1389632423477000.2</v>
      </c>
      <c r="B849" s="28">
        <v>0.82899999999999996</v>
      </c>
      <c r="C849">
        <f t="shared" si="169"/>
        <v>1389632423582974.2</v>
      </c>
      <c r="E849">
        <f t="shared" si="170"/>
        <v>10055.627801660798</v>
      </c>
      <c r="F849" s="28">
        <v>0.82899999999999996</v>
      </c>
      <c r="G849">
        <f t="shared" si="171"/>
        <v>723.76357056657116</v>
      </c>
      <c r="I849">
        <f t="shared" si="172"/>
        <v>2541637702621987</v>
      </c>
      <c r="J849" s="28">
        <v>0.82899999999999996</v>
      </c>
      <c r="K849">
        <f t="shared" si="173"/>
        <v>2541637702733259.5</v>
      </c>
      <c r="M849">
        <f t="shared" si="174"/>
        <v>9994.5973702724805</v>
      </c>
      <c r="N849" s="28">
        <v>0.82899999999999996</v>
      </c>
      <c r="O849">
        <f t="shared" si="175"/>
        <v>1323.7635705662585</v>
      </c>
      <c r="Q849">
        <f t="shared" si="176"/>
        <v>1152005279144986.8</v>
      </c>
      <c r="R849" s="28">
        <v>0.82899999999999996</v>
      </c>
      <c r="S849">
        <f t="shared" si="177"/>
        <v>1152005279150885.5</v>
      </c>
      <c r="U849">
        <f t="shared" si="178"/>
        <v>4034459940.0843768</v>
      </c>
      <c r="V849" s="48">
        <v>0.82899999999999996</v>
      </c>
      <c r="W849">
        <f t="shared" si="179"/>
        <v>4034478564.5490651</v>
      </c>
      <c r="Y849">
        <f t="shared" si="180"/>
        <v>6574.113551869179</v>
      </c>
      <c r="Z849" s="28">
        <v>0.82899999999999996</v>
      </c>
      <c r="AA849">
        <f t="shared" si="181"/>
        <v>723.76344072771269</v>
      </c>
    </row>
    <row r="850" spans="1:27" x14ac:dyDescent="0.2">
      <c r="A850">
        <f t="shared" si="168"/>
        <v>1423955946934741.8</v>
      </c>
      <c r="B850" s="28">
        <v>0.83</v>
      </c>
      <c r="C850">
        <f t="shared" si="169"/>
        <v>1423955947040715.8</v>
      </c>
      <c r="E850">
        <f t="shared" si="170"/>
        <v>10056.499805962674</v>
      </c>
      <c r="F850" s="28">
        <v>0.83</v>
      </c>
      <c r="G850">
        <f t="shared" si="171"/>
        <v>722.89156626469321</v>
      </c>
      <c r="I850">
        <f t="shared" si="172"/>
        <v>2605839382973237</v>
      </c>
      <c r="J850" s="28">
        <v>0.83</v>
      </c>
      <c r="K850">
        <f t="shared" si="173"/>
        <v>2605839383084509.5</v>
      </c>
      <c r="M850">
        <f t="shared" si="174"/>
        <v>9995.4693745743498</v>
      </c>
      <c r="N850" s="28">
        <v>0.83</v>
      </c>
      <c r="O850">
        <f t="shared" si="175"/>
        <v>1322.8915662643885</v>
      </c>
      <c r="Q850">
        <f t="shared" si="176"/>
        <v>1181883436038495.2</v>
      </c>
      <c r="R850" s="28">
        <v>0.83</v>
      </c>
      <c r="S850">
        <f t="shared" si="177"/>
        <v>1181883436044394</v>
      </c>
      <c r="U850">
        <f t="shared" si="178"/>
        <v>4105817365.1326771</v>
      </c>
      <c r="V850" s="48">
        <v>0.83</v>
      </c>
      <c r="W850">
        <f t="shared" si="179"/>
        <v>4105835989.5973654</v>
      </c>
      <c r="Y850">
        <f t="shared" si="180"/>
        <v>6574.9855536072819</v>
      </c>
      <c r="Z850" s="28">
        <v>0.83</v>
      </c>
      <c r="AA850">
        <f t="shared" si="181"/>
        <v>722.89143898960992</v>
      </c>
    </row>
    <row r="851" spans="1:27" x14ac:dyDescent="0.2">
      <c r="A851">
        <f t="shared" si="168"/>
        <v>1459108959407904</v>
      </c>
      <c r="B851" s="28">
        <v>0.83099999999999996</v>
      </c>
      <c r="C851">
        <f t="shared" si="169"/>
        <v>1459108959513878</v>
      </c>
      <c r="E851">
        <f t="shared" si="170"/>
        <v>10057.369711577907</v>
      </c>
      <c r="F851" s="28">
        <v>0.83099999999999996</v>
      </c>
      <c r="G851">
        <f t="shared" si="171"/>
        <v>722.02166064946221</v>
      </c>
      <c r="I851">
        <f t="shared" si="172"/>
        <v>2671628504758637.5</v>
      </c>
      <c r="J851" s="28">
        <v>0.83099999999999996</v>
      </c>
      <c r="K851">
        <f t="shared" si="173"/>
        <v>2671628504869910</v>
      </c>
      <c r="M851">
        <f t="shared" si="174"/>
        <v>9996.3392801895734</v>
      </c>
      <c r="N851" s="28">
        <v>0.83099999999999996</v>
      </c>
      <c r="O851">
        <f t="shared" si="175"/>
        <v>1322.0216606491651</v>
      </c>
      <c r="Q851">
        <f t="shared" si="176"/>
        <v>1212519545350733.8</v>
      </c>
      <c r="R851" s="28">
        <v>0.83099999999999996</v>
      </c>
      <c r="S851">
        <f t="shared" si="177"/>
        <v>1212519545356632.5</v>
      </c>
      <c r="U851">
        <f t="shared" si="178"/>
        <v>4178442947.082983</v>
      </c>
      <c r="V851" s="48">
        <v>0.83099999999999996</v>
      </c>
      <c r="W851">
        <f t="shared" si="179"/>
        <v>4178461571.5476713</v>
      </c>
      <c r="Y851">
        <f t="shared" si="180"/>
        <v>6575.8554567095425</v>
      </c>
      <c r="Z851" s="28">
        <v>0.83099999999999996</v>
      </c>
      <c r="AA851">
        <f t="shared" si="181"/>
        <v>722.02153588734905</v>
      </c>
    </row>
    <row r="852" spans="1:27" x14ac:dyDescent="0.2">
      <c r="A852">
        <f t="shared" si="168"/>
        <v>1495111063736375.2</v>
      </c>
      <c r="B852" s="28">
        <v>0.83199999999999996</v>
      </c>
      <c r="C852">
        <f t="shared" si="169"/>
        <v>1495111063842349.2</v>
      </c>
      <c r="E852">
        <f t="shared" si="170"/>
        <v>10058.23752607387</v>
      </c>
      <c r="F852" s="28">
        <v>0.83199999999999996</v>
      </c>
      <c r="G852">
        <f t="shared" si="171"/>
        <v>721.15384615349831</v>
      </c>
      <c r="I852">
        <f t="shared" si="172"/>
        <v>2739043468847911</v>
      </c>
      <c r="J852" s="28">
        <v>0.83199999999999996</v>
      </c>
      <c r="K852">
        <f t="shared" si="173"/>
        <v>2739043468959183.5</v>
      </c>
      <c r="M852">
        <f t="shared" si="174"/>
        <v>9997.2070946855292</v>
      </c>
      <c r="N852" s="28">
        <v>0.83199999999999996</v>
      </c>
      <c r="O852">
        <f t="shared" si="175"/>
        <v>1321.1538461532086</v>
      </c>
      <c r="Q852">
        <f t="shared" si="176"/>
        <v>1243932405111535.8</v>
      </c>
      <c r="R852" s="28">
        <v>0.83199999999999996</v>
      </c>
      <c r="S852">
        <f t="shared" si="177"/>
        <v>1243932405117434.5</v>
      </c>
      <c r="U852">
        <f t="shared" si="178"/>
        <v>4252359315.4336405</v>
      </c>
      <c r="V852" s="48">
        <v>0.83199999999999996</v>
      </c>
      <c r="W852">
        <f t="shared" si="179"/>
        <v>4252377939.8983288</v>
      </c>
      <c r="Y852">
        <f t="shared" si="180"/>
        <v>6576.7232687423311</v>
      </c>
      <c r="Z852" s="28">
        <v>0.83199999999999996</v>
      </c>
      <c r="AA852">
        <f t="shared" si="181"/>
        <v>721.15372385456112</v>
      </c>
    </row>
    <row r="853" spans="1:27" x14ac:dyDescent="0.2">
      <c r="A853">
        <f t="shared" si="168"/>
        <v>1531982315523970</v>
      </c>
      <c r="B853" s="28">
        <v>0.83299999999999996</v>
      </c>
      <c r="C853">
        <f t="shared" si="169"/>
        <v>1531982315629944</v>
      </c>
      <c r="E853">
        <f t="shared" si="170"/>
        <v>10059.103256981609</v>
      </c>
      <c r="F853" s="28">
        <v>0.83299999999999996</v>
      </c>
      <c r="G853">
        <f t="shared" si="171"/>
        <v>720.28811524575985</v>
      </c>
      <c r="I853">
        <f t="shared" si="172"/>
        <v>2808123584438415</v>
      </c>
      <c r="J853" s="28">
        <v>0.83299999999999996</v>
      </c>
      <c r="K853">
        <f t="shared" si="173"/>
        <v>2808123584549687.5</v>
      </c>
      <c r="M853">
        <f t="shared" si="174"/>
        <v>9998.0728255932609</v>
      </c>
      <c r="N853" s="28">
        <v>0.83299999999999996</v>
      </c>
      <c r="O853">
        <f t="shared" si="175"/>
        <v>1320.2881152454777</v>
      </c>
      <c r="Q853">
        <f t="shared" si="176"/>
        <v>1276141268914444.5</v>
      </c>
      <c r="R853" s="28">
        <v>0.83299999999999996</v>
      </c>
      <c r="S853">
        <f t="shared" si="177"/>
        <v>1276141268920343.2</v>
      </c>
      <c r="U853">
        <f t="shared" si="178"/>
        <v>4327589504.9160252</v>
      </c>
      <c r="V853" s="48">
        <v>0.83299999999999996</v>
      </c>
      <c r="W853">
        <f t="shared" si="179"/>
        <v>4327608129.3807135</v>
      </c>
      <c r="Y853">
        <f t="shared" si="180"/>
        <v>6577.5889972356963</v>
      </c>
      <c r="Z853" s="28">
        <v>0.83299999999999996</v>
      </c>
      <c r="AA853">
        <f t="shared" si="181"/>
        <v>720.28799536119504</v>
      </c>
    </row>
    <row r="854" spans="1:27" x14ac:dyDescent="0.2">
      <c r="A854">
        <f t="shared" ref="A854:A917" si="182">ABS($D$11-C854)</f>
        <v>1569743233352836.5</v>
      </c>
      <c r="B854" s="28">
        <v>0.83399999999999996</v>
      </c>
      <c r="C854">
        <f t="shared" ref="C854:C917" si="183">($B$4)*(((1+B854)^($B$6*$B$5))-1)/B854</f>
        <v>1569743233458810.5</v>
      </c>
      <c r="E854">
        <f t="shared" ref="E854:E917" si="184">ABS($E$12-G854)</f>
        <v>10059.966911796044</v>
      </c>
      <c r="F854" s="28">
        <v>0.83399999999999996</v>
      </c>
      <c r="G854">
        <f t="shared" ref="G854:G917" si="185">$B$4*(((1-(1+F854)^(-$B$5*$B$6)))/F854)</f>
        <v>719.42446043132497</v>
      </c>
      <c r="I854">
        <f t="shared" ref="I854:I917" si="186">ABS($F$11-K854)</f>
        <v>2878909090052187</v>
      </c>
      <c r="J854" s="28">
        <v>0.83399999999999996</v>
      </c>
      <c r="K854">
        <f t="shared" ref="K854:K917" si="187">($B$4*(1+J854)*(((1+J854)^($B$6*$B$5))-1))/J854</f>
        <v>2878909090163459.5</v>
      </c>
      <c r="M854">
        <f t="shared" ref="M854:M917" si="188">ABS($G$12-O854)</f>
        <v>9998.9364804076886</v>
      </c>
      <c r="N854" s="28">
        <v>0.83399999999999996</v>
      </c>
      <c r="O854">
        <f t="shared" ref="O854:O917" si="189">($B$4*(1+N854)*(1-((1+N854)^(-$B$6*$B$5))))/N854</f>
        <v>1319.4244604310502</v>
      </c>
      <c r="Q854">
        <f t="shared" ref="Q854:Q917" si="190">ABS($H$11-S854)</f>
        <v>1309165856699349.2</v>
      </c>
      <c r="R854" s="28">
        <v>0.83399999999999996</v>
      </c>
      <c r="S854">
        <f t="shared" ref="S854:S917" si="191">$B$3*((1+R854)^($B$6*$B$5))</f>
        <v>1309165856705248</v>
      </c>
      <c r="U854">
        <f t="shared" ref="U854:U917" si="192">ABS($I$11-W854)</f>
        <v>4404156962.7736244</v>
      </c>
      <c r="V854" s="48">
        <v>0.83399999999999996</v>
      </c>
      <c r="W854">
        <f t="shared" ref="W854:W917" si="193">($B$4*(EXP(V854*$B$6)-1))/V854</f>
        <v>4404175587.2383127</v>
      </c>
      <c r="Y854">
        <f t="shared" ref="Y854:Y917" si="194">ABS($I$12-AA854)</f>
        <v>6578.4526496835915</v>
      </c>
      <c r="Z854" s="28">
        <v>0.83399999999999996</v>
      </c>
      <c r="AA854">
        <f t="shared" ref="AA854:AA917" si="195">$B$4*(1-EXP(-Z854*$B$6))/Z854</f>
        <v>719.42434291329982</v>
      </c>
    </row>
    <row r="855" spans="1:27" x14ac:dyDescent="0.2">
      <c r="A855">
        <f t="shared" si="182"/>
        <v>1608414809222866.2</v>
      </c>
      <c r="B855" s="28">
        <v>0.83499999999999996</v>
      </c>
      <c r="C855">
        <f t="shared" si="183"/>
        <v>1608414809328840.2</v>
      </c>
      <c r="E855">
        <f t="shared" si="184"/>
        <v>10060.828497976192</v>
      </c>
      <c r="F855" s="28">
        <v>0.83499999999999996</v>
      </c>
      <c r="G855">
        <f t="shared" si="185"/>
        <v>718.56287425117603</v>
      </c>
      <c r="I855">
        <f t="shared" si="186"/>
        <v>2951441175007149</v>
      </c>
      <c r="J855" s="28">
        <v>0.83499999999999996</v>
      </c>
      <c r="K855">
        <f t="shared" si="187"/>
        <v>2951441175118421.5</v>
      </c>
      <c r="M855">
        <f t="shared" si="188"/>
        <v>9999.7980665878295</v>
      </c>
      <c r="N855" s="28">
        <v>0.83499999999999996</v>
      </c>
      <c r="O855">
        <f t="shared" si="189"/>
        <v>1318.5628742509082</v>
      </c>
      <c r="Q855">
        <f t="shared" si="190"/>
        <v>1343026365784282.8</v>
      </c>
      <c r="R855" s="28">
        <v>0.83499999999999996</v>
      </c>
      <c r="S855">
        <f t="shared" si="191"/>
        <v>1343026365790181.5</v>
      </c>
      <c r="U855">
        <f t="shared" si="192"/>
        <v>4482085556.1721058</v>
      </c>
      <c r="V855" s="48">
        <v>0.83499999999999996</v>
      </c>
      <c r="W855">
        <f t="shared" si="193"/>
        <v>4482104180.6367941</v>
      </c>
      <c r="Y855">
        <f t="shared" si="194"/>
        <v>6579.3142335440825</v>
      </c>
      <c r="Z855" s="28">
        <v>0.83499999999999996</v>
      </c>
      <c r="AA855">
        <f t="shared" si="195"/>
        <v>718.56275905280881</v>
      </c>
    </row>
    <row r="856" spans="1:27" x14ac:dyDescent="0.2">
      <c r="A856">
        <f t="shared" si="182"/>
        <v>1648018519220912.5</v>
      </c>
      <c r="B856" s="28">
        <v>0.83599999999999997</v>
      </c>
      <c r="C856">
        <f t="shared" si="183"/>
        <v>1648018519326886.5</v>
      </c>
      <c r="E856">
        <f t="shared" si="184"/>
        <v>10061.688022945384</v>
      </c>
      <c r="F856" s="28">
        <v>0.83599999999999997</v>
      </c>
      <c r="G856">
        <f t="shared" si="185"/>
        <v>717.70334928198406</v>
      </c>
      <c r="I856">
        <f t="shared" si="186"/>
        <v>3025762001372891</v>
      </c>
      <c r="J856" s="28">
        <v>0.83599999999999997</v>
      </c>
      <c r="K856">
        <f t="shared" si="187"/>
        <v>3025762001484163.5</v>
      </c>
      <c r="M856">
        <f t="shared" si="188"/>
        <v>10000.657591557016</v>
      </c>
      <c r="N856" s="28">
        <v>0.83599999999999997</v>
      </c>
      <c r="O856">
        <f t="shared" si="189"/>
        <v>1317.7033492817227</v>
      </c>
      <c r="Q856">
        <f t="shared" si="190"/>
        <v>1377743482151978.2</v>
      </c>
      <c r="R856" s="28">
        <v>0.83599999999999997</v>
      </c>
      <c r="S856">
        <f t="shared" si="191"/>
        <v>1377743482157877</v>
      </c>
      <c r="U856">
        <f t="shared" si="192"/>
        <v>4561399579.7429733</v>
      </c>
      <c r="V856" s="48">
        <v>0.83599999999999997</v>
      </c>
      <c r="W856">
        <f t="shared" si="193"/>
        <v>4561418204.2076616</v>
      </c>
      <c r="Y856">
        <f t="shared" si="194"/>
        <v>6580.1737562395656</v>
      </c>
      <c r="Z856" s="28">
        <v>0.83599999999999997</v>
      </c>
      <c r="AA856">
        <f t="shared" si="195"/>
        <v>717.70323635732609</v>
      </c>
    </row>
    <row r="857" spans="1:27" x14ac:dyDescent="0.2">
      <c r="A857">
        <f t="shared" si="182"/>
        <v>1688576334424665.5</v>
      </c>
      <c r="B857" s="28">
        <v>0.83699999999999997</v>
      </c>
      <c r="C857">
        <f t="shared" si="183"/>
        <v>1688576334530639.5</v>
      </c>
      <c r="E857">
        <f t="shared" si="184"/>
        <v>10062.545494091471</v>
      </c>
      <c r="F857" s="28">
        <v>0.83699999999999997</v>
      </c>
      <c r="G857">
        <f t="shared" si="185"/>
        <v>716.84587813589633</v>
      </c>
      <c r="I857">
        <f t="shared" si="186"/>
        <v>3101914726421512.5</v>
      </c>
      <c r="J857" s="28">
        <v>0.83699999999999997</v>
      </c>
      <c r="K857">
        <f t="shared" si="187"/>
        <v>3101914726532785</v>
      </c>
      <c r="M857">
        <f t="shared" si="188"/>
        <v>10001.515062703096</v>
      </c>
      <c r="N857" s="28">
        <v>0.83699999999999997</v>
      </c>
      <c r="O857">
        <f t="shared" si="189"/>
        <v>1316.8458781356417</v>
      </c>
      <c r="Q857">
        <f t="shared" si="190"/>
        <v>1413338391996846.5</v>
      </c>
      <c r="R857" s="28">
        <v>0.83699999999999997</v>
      </c>
      <c r="S857">
        <f t="shared" si="191"/>
        <v>1413338392002745.2</v>
      </c>
      <c r="U857">
        <f t="shared" si="192"/>
        <v>4642123763.2629948</v>
      </c>
      <c r="V857" s="48">
        <v>0.83699999999999997</v>
      </c>
      <c r="W857">
        <f t="shared" si="193"/>
        <v>4642142387.7276831</v>
      </c>
      <c r="Y857">
        <f t="shared" si="194"/>
        <v>6581.0312251569794</v>
      </c>
      <c r="Z857" s="28">
        <v>0.83699999999999997</v>
      </c>
      <c r="AA857">
        <f t="shared" si="195"/>
        <v>716.84576743991215</v>
      </c>
    </row>
    <row r="858" spans="1:27" x14ac:dyDescent="0.2">
      <c r="A858">
        <f t="shared" si="182"/>
        <v>1730110732046272.2</v>
      </c>
      <c r="B858" s="28">
        <v>0.83799999999999997</v>
      </c>
      <c r="C858">
        <f t="shared" si="183"/>
        <v>1730110732152246.2</v>
      </c>
      <c r="E858">
        <f t="shared" si="184"/>
        <v>10063.400918767044</v>
      </c>
      <c r="F858" s="28">
        <v>0.83799999999999997</v>
      </c>
      <c r="G858">
        <f t="shared" si="185"/>
        <v>715.99045346032415</v>
      </c>
      <c r="I858">
        <f t="shared" si="186"/>
        <v>3179943525584556</v>
      </c>
      <c r="J858" s="28">
        <v>0.83799999999999997</v>
      </c>
      <c r="K858">
        <f t="shared" si="187"/>
        <v>3179943525695828.5</v>
      </c>
      <c r="M858">
        <f t="shared" si="188"/>
        <v>10002.370487378663</v>
      </c>
      <c r="N858" s="28">
        <v>0.83799999999999997</v>
      </c>
      <c r="O858">
        <f t="shared" si="189"/>
        <v>1315.990453460076</v>
      </c>
      <c r="Q858">
        <f t="shared" si="190"/>
        <v>1449832793538283.5</v>
      </c>
      <c r="R858" s="28">
        <v>0.83799999999999997</v>
      </c>
      <c r="S858">
        <f t="shared" si="191"/>
        <v>1449832793544182.2</v>
      </c>
      <c r="U858">
        <f t="shared" si="192"/>
        <v>4724283279.4720592</v>
      </c>
      <c r="V858" s="48">
        <v>0.83799999999999997</v>
      </c>
      <c r="W858">
        <f t="shared" si="193"/>
        <v>4724301903.9367476</v>
      </c>
      <c r="Y858">
        <f t="shared" si="194"/>
        <v>6581.886647648018</v>
      </c>
      <c r="Z858" s="28">
        <v>0.83799999999999997</v>
      </c>
      <c r="AA858">
        <f t="shared" si="195"/>
        <v>715.99034494887371</v>
      </c>
    </row>
    <row r="859" spans="1:27" x14ac:dyDescent="0.2">
      <c r="A859">
        <f t="shared" si="182"/>
        <v>1772644706820937.2</v>
      </c>
      <c r="B859" s="28">
        <v>0.83899999999999997</v>
      </c>
      <c r="C859">
        <f t="shared" si="183"/>
        <v>1772644706926911.2</v>
      </c>
      <c r="E859">
        <f t="shared" si="184"/>
        <v>10064.254304289636</v>
      </c>
      <c r="F859" s="28">
        <v>0.83899999999999997</v>
      </c>
      <c r="G859">
        <f t="shared" si="185"/>
        <v>715.13706793773304</v>
      </c>
      <c r="I859">
        <f t="shared" si="186"/>
        <v>3259893615927317.5</v>
      </c>
      <c r="J859" s="28">
        <v>0.83899999999999997</v>
      </c>
      <c r="K859">
        <f t="shared" si="187"/>
        <v>3259893616038590</v>
      </c>
      <c r="M859">
        <f t="shared" si="188"/>
        <v>10003.223872901248</v>
      </c>
      <c r="N859" s="28">
        <v>0.83899999999999997</v>
      </c>
      <c r="O859">
        <f t="shared" si="189"/>
        <v>1315.1370679374909</v>
      </c>
      <c r="Q859">
        <f t="shared" si="190"/>
        <v>1487248909106379.8</v>
      </c>
      <c r="R859" s="28">
        <v>0.83899999999999997</v>
      </c>
      <c r="S859">
        <f t="shared" si="191"/>
        <v>1487248909112278.5</v>
      </c>
      <c r="U859">
        <f t="shared" si="192"/>
        <v>4807903752.0318451</v>
      </c>
      <c r="V859" s="48">
        <v>0.83899999999999997</v>
      </c>
      <c r="W859">
        <f t="shared" si="193"/>
        <v>4807922376.4965334</v>
      </c>
      <c r="Y859">
        <f t="shared" si="194"/>
        <v>6582.7400310293378</v>
      </c>
      <c r="Z859" s="28">
        <v>0.83899999999999997</v>
      </c>
      <c r="AA859">
        <f t="shared" si="195"/>
        <v>715.13696156755418</v>
      </c>
    </row>
    <row r="860" spans="1:27" x14ac:dyDescent="0.2">
      <c r="A860">
        <f t="shared" si="182"/>
        <v>1816201782645623.5</v>
      </c>
      <c r="B860" s="28">
        <v>0.84</v>
      </c>
      <c r="C860">
        <f t="shared" si="183"/>
        <v>1816201782751597.5</v>
      </c>
      <c r="E860">
        <f t="shared" si="184"/>
        <v>10065.105657941935</v>
      </c>
      <c r="F860" s="28">
        <v>0.84</v>
      </c>
      <c r="G860">
        <f t="shared" si="185"/>
        <v>714.28571428543341</v>
      </c>
      <c r="I860">
        <f t="shared" si="186"/>
        <v>3341811280151667</v>
      </c>
      <c r="J860" s="28">
        <v>0.84</v>
      </c>
      <c r="K860">
        <f t="shared" si="187"/>
        <v>3341811280262939.5</v>
      </c>
      <c r="M860">
        <f t="shared" si="188"/>
        <v>10004.075226553541</v>
      </c>
      <c r="N860" s="28">
        <v>0.84</v>
      </c>
      <c r="O860">
        <f t="shared" si="189"/>
        <v>1314.2857142851976</v>
      </c>
      <c r="Q860">
        <f t="shared" si="190"/>
        <v>1525609497506043</v>
      </c>
      <c r="R860" s="28">
        <v>0.84</v>
      </c>
      <c r="S860">
        <f t="shared" si="191"/>
        <v>1525609497511941.8</v>
      </c>
      <c r="U860">
        <f t="shared" si="192"/>
        <v>4893011263.6278057</v>
      </c>
      <c r="V860" s="48">
        <v>0.84</v>
      </c>
      <c r="W860">
        <f t="shared" si="193"/>
        <v>4893029888.092494</v>
      </c>
      <c r="Y860">
        <f t="shared" si="194"/>
        <v>6583.5913825827674</v>
      </c>
      <c r="Z860" s="28">
        <v>0.84</v>
      </c>
      <c r="AA860">
        <f t="shared" si="195"/>
        <v>714.28561001412413</v>
      </c>
    </row>
    <row r="861" spans="1:27" x14ac:dyDescent="0.2">
      <c r="A861">
        <f t="shared" si="182"/>
        <v>1860806024473217.5</v>
      </c>
      <c r="B861" s="28">
        <v>0.84099999999999997</v>
      </c>
      <c r="C861">
        <f t="shared" si="183"/>
        <v>1860806024579191.5</v>
      </c>
      <c r="E861">
        <f t="shared" si="184"/>
        <v>10065.954986971994</v>
      </c>
      <c r="F861" s="28">
        <v>0.84099999999999997</v>
      </c>
      <c r="G861">
        <f t="shared" si="185"/>
        <v>713.43638525537449</v>
      </c>
      <c r="I861">
        <f t="shared" si="186"/>
        <v>3425743891139018.5</v>
      </c>
      <c r="J861" s="28">
        <v>0.84099999999999997</v>
      </c>
      <c r="K861">
        <f t="shared" si="187"/>
        <v>3425743891250291</v>
      </c>
      <c r="M861">
        <f t="shared" si="188"/>
        <v>10004.924555583593</v>
      </c>
      <c r="N861" s="28">
        <v>0.84099999999999997</v>
      </c>
      <c r="O861">
        <f t="shared" si="189"/>
        <v>1313.4363852551446</v>
      </c>
      <c r="Q861">
        <f t="shared" si="190"/>
        <v>1564937866665801.2</v>
      </c>
      <c r="R861" s="28">
        <v>0.84099999999999997</v>
      </c>
      <c r="S861">
        <f t="shared" si="191"/>
        <v>1564937866671700</v>
      </c>
      <c r="U861">
        <f t="shared" si="192"/>
        <v>4979632364.2172403</v>
      </c>
      <c r="V861" s="48">
        <v>0.84099999999999997</v>
      </c>
      <c r="W861">
        <f t="shared" si="193"/>
        <v>4979650988.6819286</v>
      </c>
      <c r="Y861">
        <f t="shared" si="194"/>
        <v>6584.4407095555162</v>
      </c>
      <c r="Z861" s="28">
        <v>0.84099999999999997</v>
      </c>
      <c r="AA861">
        <f t="shared" si="195"/>
        <v>713.43628304137565</v>
      </c>
    </row>
    <row r="862" spans="1:27" x14ac:dyDescent="0.2">
      <c r="A862">
        <f t="shared" si="182"/>
        <v>1906482050467731.2</v>
      </c>
      <c r="B862" s="28">
        <v>0.84199999999999997</v>
      </c>
      <c r="C862">
        <f t="shared" si="183"/>
        <v>1906482050573705.2</v>
      </c>
      <c r="E862">
        <f t="shared" si="184"/>
        <v>10066.802298593429</v>
      </c>
      <c r="F862" s="28">
        <v>0.84199999999999997</v>
      </c>
      <c r="G862">
        <f t="shared" si="185"/>
        <v>712.58907363393791</v>
      </c>
      <c r="I862">
        <f t="shared" si="186"/>
        <v>3511739937045492.5</v>
      </c>
      <c r="J862" s="28">
        <v>0.84199999999999997</v>
      </c>
      <c r="K862">
        <f t="shared" si="187"/>
        <v>3511739937156765</v>
      </c>
      <c r="M862">
        <f t="shared" si="188"/>
        <v>10005.771867205025</v>
      </c>
      <c r="N862" s="28">
        <v>0.84199999999999997</v>
      </c>
      <c r="O862">
        <f t="shared" si="189"/>
        <v>1312.5890736337137</v>
      </c>
      <c r="Q862">
        <f t="shared" si="190"/>
        <v>1605257886577761</v>
      </c>
      <c r="R862" s="28">
        <v>0.84199999999999997</v>
      </c>
      <c r="S862">
        <f t="shared" si="191"/>
        <v>1605257886583659.8</v>
      </c>
      <c r="U862">
        <f t="shared" si="192"/>
        <v>5067794079.4258337</v>
      </c>
      <c r="V862" s="48">
        <v>0.84199999999999997</v>
      </c>
      <c r="W862">
        <f t="shared" si="193"/>
        <v>5067812703.890522</v>
      </c>
      <c r="Y862">
        <f t="shared" si="194"/>
        <v>6585.2880191603754</v>
      </c>
      <c r="Z862" s="28">
        <v>0.84199999999999997</v>
      </c>
      <c r="AA862">
        <f t="shared" si="195"/>
        <v>712.5889734365162</v>
      </c>
    </row>
    <row r="863" spans="1:27" x14ac:dyDescent="0.2">
      <c r="A863">
        <f t="shared" si="182"/>
        <v>1953255044426030.8</v>
      </c>
      <c r="B863" s="28">
        <v>0.84299999999999997</v>
      </c>
      <c r="C863">
        <f t="shared" si="183"/>
        <v>1953255044532004.8</v>
      </c>
      <c r="E863">
        <f t="shared" si="184"/>
        <v>10067.647599985634</v>
      </c>
      <c r="F863" s="28">
        <v>0.84299999999999997</v>
      </c>
      <c r="G863">
        <f t="shared" si="185"/>
        <v>711.74377224173361</v>
      </c>
      <c r="I863">
        <f t="shared" si="186"/>
        <v>3599849046961212</v>
      </c>
      <c r="J863" s="28">
        <v>0.84299999999999997</v>
      </c>
      <c r="K863">
        <f t="shared" si="187"/>
        <v>3599849047072484.5</v>
      </c>
      <c r="M863">
        <f t="shared" si="188"/>
        <v>10006.617168597224</v>
      </c>
      <c r="N863" s="28">
        <v>0.84299999999999997</v>
      </c>
      <c r="O863">
        <f t="shared" si="189"/>
        <v>1311.743772241515</v>
      </c>
      <c r="Q863">
        <f t="shared" si="190"/>
        <v>1646594002535181.2</v>
      </c>
      <c r="R863" s="28">
        <v>0.84299999999999997</v>
      </c>
      <c r="S863">
        <f t="shared" si="191"/>
        <v>1646594002541080</v>
      </c>
      <c r="U863">
        <f t="shared" si="192"/>
        <v>5157523919.095623</v>
      </c>
      <c r="V863" s="48">
        <v>0.84299999999999997</v>
      </c>
      <c r="W863">
        <f t="shared" si="193"/>
        <v>5157542543.5603113</v>
      </c>
      <c r="Y863">
        <f t="shared" si="194"/>
        <v>6586.1333185759258</v>
      </c>
      <c r="Z863" s="28">
        <v>0.84299999999999997</v>
      </c>
      <c r="AA863">
        <f t="shared" si="195"/>
        <v>711.74367402096561</v>
      </c>
    </row>
    <row r="864" spans="1:27" x14ac:dyDescent="0.2">
      <c r="A864">
        <f t="shared" si="182"/>
        <v>2001150768471893.8</v>
      </c>
      <c r="B864" s="28">
        <v>0.84399999999999997</v>
      </c>
      <c r="C864">
        <f t="shared" si="183"/>
        <v>2001150768577867.8</v>
      </c>
      <c r="E864">
        <f t="shared" si="184"/>
        <v>10068.490898293972</v>
      </c>
      <c r="F864" s="28">
        <v>0.84399999999999997</v>
      </c>
      <c r="G864">
        <f t="shared" si="185"/>
        <v>710.90047393339671</v>
      </c>
      <c r="I864">
        <f t="shared" si="186"/>
        <v>3690122017146315.5</v>
      </c>
      <c r="J864" s="28">
        <v>0.84399999999999997</v>
      </c>
      <c r="K864">
        <f t="shared" si="187"/>
        <v>3690122017257588</v>
      </c>
      <c r="M864">
        <f t="shared" si="188"/>
        <v>10007.460466905555</v>
      </c>
      <c r="N864" s="28">
        <v>0.84399999999999997</v>
      </c>
      <c r="O864">
        <f t="shared" si="189"/>
        <v>1310.9004739331833</v>
      </c>
      <c r="Q864">
        <f t="shared" si="190"/>
        <v>1688971248674421.5</v>
      </c>
      <c r="R864" s="28">
        <v>0.84399999999999997</v>
      </c>
      <c r="S864">
        <f t="shared" si="191"/>
        <v>1688971248680320.2</v>
      </c>
      <c r="U864">
        <f t="shared" si="192"/>
        <v>5248849885.9868431</v>
      </c>
      <c r="V864" s="48">
        <v>0.84399999999999997</v>
      </c>
      <c r="W864">
        <f t="shared" si="193"/>
        <v>5248868510.4515314</v>
      </c>
      <c r="Y864">
        <f t="shared" si="194"/>
        <v>6586.9766149467396</v>
      </c>
      <c r="Z864" s="28">
        <v>0.84399999999999997</v>
      </c>
      <c r="AA864">
        <f t="shared" si="195"/>
        <v>710.90037765015234</v>
      </c>
    </row>
    <row r="865" spans="1:27" x14ac:dyDescent="0.2">
      <c r="A865">
        <f t="shared" si="182"/>
        <v>2050195576028133.8</v>
      </c>
      <c r="B865" s="28">
        <v>0.84499999999999997</v>
      </c>
      <c r="C865">
        <f t="shared" si="183"/>
        <v>2050195576134107.8</v>
      </c>
      <c r="E865">
        <f t="shared" si="184"/>
        <v>10069.33220062998</v>
      </c>
      <c r="F865" s="28">
        <v>0.84499999999999997</v>
      </c>
      <c r="G865">
        <f t="shared" si="185"/>
        <v>710.05917159738726</v>
      </c>
      <c r="I865">
        <f t="shared" si="186"/>
        <v>3782610837856156</v>
      </c>
      <c r="J865" s="28">
        <v>0.84499999999999997</v>
      </c>
      <c r="K865">
        <f t="shared" si="187"/>
        <v>3782610837967428.5</v>
      </c>
      <c r="M865">
        <f t="shared" si="188"/>
        <v>10008.30176924156</v>
      </c>
      <c r="N865" s="28">
        <v>0.84499999999999997</v>
      </c>
      <c r="O865">
        <f t="shared" si="189"/>
        <v>1310.0591715971796</v>
      </c>
      <c r="Q865">
        <f t="shared" si="190"/>
        <v>1732415261828022.2</v>
      </c>
      <c r="R865" s="28">
        <v>0.84499999999999997</v>
      </c>
      <c r="S865">
        <f t="shared" si="191"/>
        <v>1732415261833921</v>
      </c>
      <c r="U865">
        <f t="shared" si="192"/>
        <v>5341800484.6367216</v>
      </c>
      <c r="V865" s="48">
        <v>0.84499999999999997</v>
      </c>
      <c r="W865">
        <f t="shared" si="193"/>
        <v>5341819109.1014099</v>
      </c>
      <c r="Y865">
        <f t="shared" si="194"/>
        <v>6587.8179153835781</v>
      </c>
      <c r="Z865" s="28">
        <v>0.84499999999999997</v>
      </c>
      <c r="AA865">
        <f t="shared" si="195"/>
        <v>710.05907721331391</v>
      </c>
    </row>
    <row r="866" spans="1:27" x14ac:dyDescent="0.2">
      <c r="A866">
        <f t="shared" si="182"/>
        <v>2100416425072628.5</v>
      </c>
      <c r="B866" s="28">
        <v>0.84599999999999997</v>
      </c>
      <c r="C866">
        <f t="shared" si="183"/>
        <v>2100416425178602.5</v>
      </c>
      <c r="E866">
        <f t="shared" si="184"/>
        <v>10070.171514071579</v>
      </c>
      <c r="F866" s="28">
        <v>0.84599999999999997</v>
      </c>
      <c r="G866">
        <f t="shared" si="185"/>
        <v>709.21985815578887</v>
      </c>
      <c r="I866">
        <f t="shared" si="186"/>
        <v>3877368720768428.5</v>
      </c>
      <c r="J866" s="28">
        <v>0.84599999999999997</v>
      </c>
      <c r="K866">
        <f t="shared" si="187"/>
        <v>3877368720879701</v>
      </c>
      <c r="M866">
        <f t="shared" si="188"/>
        <v>10009.141082683152</v>
      </c>
      <c r="N866" s="28">
        <v>0.84599999999999997</v>
      </c>
      <c r="O866">
        <f t="shared" si="189"/>
        <v>1309.2198581555865</v>
      </c>
      <c r="Q866">
        <f t="shared" si="190"/>
        <v>1776952295695799</v>
      </c>
      <c r="R866" s="28">
        <v>0.84599999999999997</v>
      </c>
      <c r="S866">
        <f t="shared" si="191"/>
        <v>1776952295701697.8</v>
      </c>
      <c r="U866">
        <f t="shared" si="192"/>
        <v>5436404730.3777571</v>
      </c>
      <c r="V866" s="48">
        <v>0.84599999999999997</v>
      </c>
      <c r="W866">
        <f t="shared" si="193"/>
        <v>5436423354.8424454</v>
      </c>
      <c r="Y866">
        <f t="shared" si="194"/>
        <v>6588.6572269635953</v>
      </c>
      <c r="Z866" s="28">
        <v>0.84599999999999997</v>
      </c>
      <c r="AA866">
        <f t="shared" si="195"/>
        <v>709.21976563329633</v>
      </c>
    </row>
    <row r="867" spans="1:27" x14ac:dyDescent="0.2">
      <c r="A867">
        <f t="shared" si="182"/>
        <v>2151840891684675</v>
      </c>
      <c r="B867" s="28">
        <v>0.84699999999999998</v>
      </c>
      <c r="C867">
        <f t="shared" si="183"/>
        <v>2151840891790649</v>
      </c>
      <c r="E867">
        <f t="shared" si="184"/>
        <v>10071.008845663257</v>
      </c>
      <c r="F867" s="28">
        <v>0.84699999999999998</v>
      </c>
      <c r="G867">
        <f t="shared" si="185"/>
        <v>708.38252656411157</v>
      </c>
      <c r="I867">
        <f t="shared" si="186"/>
        <v>3974450127026056.5</v>
      </c>
      <c r="J867" s="28">
        <v>0.84699999999999998</v>
      </c>
      <c r="K867">
        <f t="shared" si="187"/>
        <v>3974450127137329</v>
      </c>
      <c r="M867">
        <f t="shared" si="188"/>
        <v>10009.978414274825</v>
      </c>
      <c r="N867" s="28">
        <v>0.84699999999999998</v>
      </c>
      <c r="O867">
        <f t="shared" si="189"/>
        <v>1308.3825265639143</v>
      </c>
      <c r="Q867">
        <f t="shared" si="190"/>
        <v>1822609235341381</v>
      </c>
      <c r="R867" s="28">
        <v>0.84699999999999998</v>
      </c>
      <c r="S867">
        <f t="shared" si="191"/>
        <v>1822609235347279.8</v>
      </c>
      <c r="U867">
        <f t="shared" si="192"/>
        <v>5532692158.5186682</v>
      </c>
      <c r="V867" s="48">
        <v>0.84699999999999998</v>
      </c>
      <c r="W867">
        <f t="shared" si="193"/>
        <v>5532710782.9833565</v>
      </c>
      <c r="Y867">
        <f t="shared" si="194"/>
        <v>6589.4945567305358</v>
      </c>
      <c r="Z867" s="28">
        <v>0.84699999999999998</v>
      </c>
      <c r="AA867">
        <f t="shared" si="195"/>
        <v>708.38243586635622</v>
      </c>
    </row>
    <row r="868" spans="1:27" x14ac:dyDescent="0.2">
      <c r="A868">
        <f t="shared" si="182"/>
        <v>2204497183887491.5</v>
      </c>
      <c r="B868" s="28">
        <v>0.84799999999999998</v>
      </c>
      <c r="C868">
        <f t="shared" si="183"/>
        <v>2204497183993465.5</v>
      </c>
      <c r="E868">
        <f t="shared" si="184"/>
        <v>10071.844202416274</v>
      </c>
      <c r="F868" s="28">
        <v>0.84799999999999998</v>
      </c>
      <c r="G868">
        <f t="shared" si="185"/>
        <v>707.54716981109368</v>
      </c>
      <c r="I868">
        <f t="shared" si="186"/>
        <v>4073910795908651.5</v>
      </c>
      <c r="J868" s="28">
        <v>0.84799999999999998</v>
      </c>
      <c r="K868">
        <f t="shared" si="187"/>
        <v>4073910796019924</v>
      </c>
      <c r="M868">
        <f t="shared" si="188"/>
        <v>10010.813771027837</v>
      </c>
      <c r="N868" s="28">
        <v>0.84799999999999998</v>
      </c>
      <c r="O868">
        <f t="shared" si="189"/>
        <v>1307.5471698109011</v>
      </c>
      <c r="Q868">
        <f t="shared" si="190"/>
        <v>1869413612021160</v>
      </c>
      <c r="R868" s="28">
        <v>0.84799999999999998</v>
      </c>
      <c r="S868">
        <f t="shared" si="191"/>
        <v>1869413612027058.8</v>
      </c>
      <c r="U868">
        <f t="shared" si="192"/>
        <v>5630692833.6906471</v>
      </c>
      <c r="V868" s="48">
        <v>0.84799999999999998</v>
      </c>
      <c r="W868">
        <f t="shared" si="193"/>
        <v>5630711458.1553354</v>
      </c>
      <c r="Y868">
        <f t="shared" si="194"/>
        <v>6590.3299116949283</v>
      </c>
      <c r="Z868" s="28">
        <v>0.84799999999999998</v>
      </c>
      <c r="AA868">
        <f t="shared" si="195"/>
        <v>707.5470809019638</v>
      </c>
    </row>
    <row r="869" spans="1:27" x14ac:dyDescent="0.2">
      <c r="A869">
        <f t="shared" si="182"/>
        <v>2258414155793355.5</v>
      </c>
      <c r="B869" s="28">
        <v>0.84899999999999998</v>
      </c>
      <c r="C869">
        <f t="shared" si="183"/>
        <v>2258414155899329.5</v>
      </c>
      <c r="E869">
        <f t="shared" si="184"/>
        <v>10072.677591308862</v>
      </c>
      <c r="F869" s="28">
        <v>0.84899999999999998</v>
      </c>
      <c r="G869">
        <f t="shared" si="185"/>
        <v>706.7137809185067</v>
      </c>
      <c r="I869">
        <f t="shared" si="186"/>
        <v>4175807774146587.5</v>
      </c>
      <c r="J869" s="28">
        <v>0.84899999999999998</v>
      </c>
      <c r="K869">
        <f t="shared" si="187"/>
        <v>4175807774257860</v>
      </c>
      <c r="M869">
        <f t="shared" si="188"/>
        <v>10011.64715992042</v>
      </c>
      <c r="N869" s="28">
        <v>0.84899999999999998</v>
      </c>
      <c r="O869">
        <f t="shared" si="189"/>
        <v>1306.7137809183191</v>
      </c>
      <c r="Q869">
        <f t="shared" si="190"/>
        <v>1917393618353231.8</v>
      </c>
      <c r="R869" s="28">
        <v>0.84899999999999998</v>
      </c>
      <c r="S869">
        <f t="shared" si="191"/>
        <v>1917393618359130.5</v>
      </c>
      <c r="U869">
        <f t="shared" si="192"/>
        <v>5730437359.3622007</v>
      </c>
      <c r="V869" s="48">
        <v>0.84899999999999998</v>
      </c>
      <c r="W869">
        <f t="shared" si="193"/>
        <v>5730455983.826889</v>
      </c>
      <c r="Y869">
        <f t="shared" si="194"/>
        <v>6591.1632988342835</v>
      </c>
      <c r="Z869" s="28">
        <v>0.84899999999999998</v>
      </c>
      <c r="AA869">
        <f t="shared" si="195"/>
        <v>706.71369376260839</v>
      </c>
    </row>
    <row r="870" spans="1:27" x14ac:dyDescent="0.2">
      <c r="A870">
        <f t="shared" si="182"/>
        <v>2313621322057842</v>
      </c>
      <c r="B870" s="28">
        <v>0.85</v>
      </c>
      <c r="C870">
        <f t="shared" si="183"/>
        <v>2313621322163816</v>
      </c>
      <c r="E870">
        <f t="shared" si="184"/>
        <v>10073.509019286408</v>
      </c>
      <c r="F870" s="28">
        <v>0.85</v>
      </c>
      <c r="G870">
        <f t="shared" si="185"/>
        <v>705.88235294096103</v>
      </c>
      <c r="I870">
        <f t="shared" si="186"/>
        <v>4280199445891787</v>
      </c>
      <c r="J870" s="28">
        <v>0.85</v>
      </c>
      <c r="K870">
        <f t="shared" si="187"/>
        <v>4280199446003059.5</v>
      </c>
      <c r="M870">
        <f t="shared" si="188"/>
        <v>10012.47858789796</v>
      </c>
      <c r="N870" s="28">
        <v>0.85</v>
      </c>
      <c r="O870">
        <f t="shared" si="189"/>
        <v>1305.8823529407782</v>
      </c>
      <c r="Q870">
        <f t="shared" si="190"/>
        <v>1966578123833944.8</v>
      </c>
      <c r="R870" s="28">
        <v>0.85</v>
      </c>
      <c r="S870">
        <f t="shared" si="191"/>
        <v>1966578123839843.5</v>
      </c>
      <c r="U870">
        <f t="shared" si="192"/>
        <v>5831956887.5253344</v>
      </c>
      <c r="V870" s="48">
        <v>0.85</v>
      </c>
      <c r="W870">
        <f t="shared" si="193"/>
        <v>5831975511.9900227</v>
      </c>
      <c r="Y870">
        <f t="shared" si="194"/>
        <v>6591.9947250932892</v>
      </c>
      <c r="Z870" s="28">
        <v>0.85</v>
      </c>
      <c r="AA870">
        <f t="shared" si="195"/>
        <v>705.88226750360309</v>
      </c>
    </row>
    <row r="871" spans="1:27" x14ac:dyDescent="0.2">
      <c r="A871">
        <f t="shared" si="182"/>
        <v>2370148872649640.5</v>
      </c>
      <c r="B871" s="28">
        <v>0.85099999999999998</v>
      </c>
      <c r="C871">
        <f t="shared" si="183"/>
        <v>2370148872755614.5</v>
      </c>
      <c r="E871">
        <f t="shared" si="184"/>
        <v>10074.338493261655</v>
      </c>
      <c r="F871" s="28">
        <v>0.85099999999999998</v>
      </c>
      <c r="G871">
        <f t="shared" si="185"/>
        <v>705.05287896571269</v>
      </c>
      <c r="I871">
        <f t="shared" si="186"/>
        <v>4387145563359370</v>
      </c>
      <c r="J871" s="28">
        <v>0.85099999999999998</v>
      </c>
      <c r="K871">
        <f t="shared" si="187"/>
        <v>4387145563470642.5</v>
      </c>
      <c r="M871">
        <f t="shared" si="188"/>
        <v>10013.308061873204</v>
      </c>
      <c r="N871" s="28">
        <v>0.85099999999999998</v>
      </c>
      <c r="O871">
        <f t="shared" si="189"/>
        <v>1305.0528789655341</v>
      </c>
      <c r="Q871">
        <f t="shared" si="190"/>
        <v>2016996690709729.2</v>
      </c>
      <c r="R871" s="28">
        <v>0.85099999999999998</v>
      </c>
      <c r="S871">
        <f t="shared" si="191"/>
        <v>2016996690715628</v>
      </c>
      <c r="U871">
        <f t="shared" si="192"/>
        <v>5935283128.5564623</v>
      </c>
      <c r="V871" s="48">
        <v>0.85099999999999998</v>
      </c>
      <c r="W871">
        <f t="shared" si="193"/>
        <v>5935301753.0211506</v>
      </c>
      <c r="Y871">
        <f t="shared" si="194"/>
        <v>6592.8241973839986</v>
      </c>
      <c r="Z871" s="28">
        <v>0.85099999999999998</v>
      </c>
      <c r="AA871">
        <f t="shared" si="195"/>
        <v>705.05279521289287</v>
      </c>
    </row>
    <row r="872" spans="1:27" x14ac:dyDescent="0.2">
      <c r="A872">
        <f t="shared" si="182"/>
        <v>2428027687942914.5</v>
      </c>
      <c r="B872" s="28">
        <v>0.85199999999999998</v>
      </c>
      <c r="C872">
        <f t="shared" si="183"/>
        <v>2428027688048888.5</v>
      </c>
      <c r="E872">
        <f t="shared" si="184"/>
        <v>10075.166020114897</v>
      </c>
      <c r="F872" s="28">
        <v>0.85199999999999998</v>
      </c>
      <c r="G872">
        <f t="shared" si="185"/>
        <v>704.22535211247191</v>
      </c>
      <c r="I872">
        <f t="shared" si="186"/>
        <v>4496707278155268</v>
      </c>
      <c r="J872" s="28">
        <v>0.85199999999999998</v>
      </c>
      <c r="K872">
        <f t="shared" si="187"/>
        <v>4496707278266540.5</v>
      </c>
      <c r="M872">
        <f t="shared" si="188"/>
        <v>10014.13558872644</v>
      </c>
      <c r="N872" s="28">
        <v>0.85199999999999998</v>
      </c>
      <c r="O872">
        <f t="shared" si="189"/>
        <v>1304.2253521122977</v>
      </c>
      <c r="Q872">
        <f t="shared" si="190"/>
        <v>2068679590212354</v>
      </c>
      <c r="R872" s="28">
        <v>0.85199999999999998</v>
      </c>
      <c r="S872">
        <f t="shared" si="191"/>
        <v>2068679590218252.8</v>
      </c>
      <c r="U872">
        <f t="shared" si="192"/>
        <v>6040448361.2549162</v>
      </c>
      <c r="V872" s="48">
        <v>0.85199999999999998</v>
      </c>
      <c r="W872">
        <f t="shared" si="193"/>
        <v>6040466985.7196045</v>
      </c>
      <c r="Y872">
        <f t="shared" si="194"/>
        <v>6593.651722586028</v>
      </c>
      <c r="Z872" s="28">
        <v>0.85199999999999998</v>
      </c>
      <c r="AA872">
        <f t="shared" si="195"/>
        <v>704.22527001086337</v>
      </c>
    </row>
    <row r="873" spans="1:27" x14ac:dyDescent="0.2">
      <c r="A873">
        <f t="shared" si="182"/>
        <v>2487289354138792.5</v>
      </c>
      <c r="B873" s="28">
        <v>0.85299999999999998</v>
      </c>
      <c r="C873">
        <f t="shared" si="183"/>
        <v>2487289354244766.5</v>
      </c>
      <c r="E873">
        <f t="shared" si="184"/>
        <v>10075.991606694155</v>
      </c>
      <c r="F873" s="28">
        <v>0.85299999999999998</v>
      </c>
      <c r="G873">
        <f t="shared" si="185"/>
        <v>703.39976553321264</v>
      </c>
      <c r="I873">
        <f t="shared" si="186"/>
        <v>4608947173304279</v>
      </c>
      <c r="J873" s="28">
        <v>0.85299999999999998</v>
      </c>
      <c r="K873">
        <f t="shared" si="187"/>
        <v>4608947173415552</v>
      </c>
      <c r="M873">
        <f t="shared" si="188"/>
        <v>10014.961175305696</v>
      </c>
      <c r="N873" s="28">
        <v>0.85299999999999998</v>
      </c>
      <c r="O873">
        <f t="shared" si="189"/>
        <v>1303.3997655330429</v>
      </c>
      <c r="Q873">
        <f t="shared" si="190"/>
        <v>2121657819165487</v>
      </c>
      <c r="R873" s="28">
        <v>0.85299999999999998</v>
      </c>
      <c r="S873">
        <f t="shared" si="191"/>
        <v>2121657819171385.8</v>
      </c>
      <c r="U873">
        <f t="shared" si="192"/>
        <v>6147485443.0625391</v>
      </c>
      <c r="V873" s="48">
        <v>0.85299999999999998</v>
      </c>
      <c r="W873">
        <f t="shared" si="193"/>
        <v>6147504067.5272274</v>
      </c>
      <c r="Y873">
        <f t="shared" si="194"/>
        <v>6594.477307546741</v>
      </c>
      <c r="Z873" s="28">
        <v>0.85299999999999998</v>
      </c>
      <c r="AA873">
        <f t="shared" si="195"/>
        <v>703.39968505015054</v>
      </c>
    </row>
    <row r="874" spans="1:27" x14ac:dyDescent="0.2">
      <c r="A874">
        <f t="shared" si="182"/>
        <v>2547966179023033.5</v>
      </c>
      <c r="B874" s="28">
        <v>0.85399999999999998</v>
      </c>
      <c r="C874">
        <f t="shared" si="183"/>
        <v>2547966179129007.5</v>
      </c>
      <c r="E874">
        <f t="shared" si="184"/>
        <v>10076.815259815385</v>
      </c>
      <c r="F874" s="28">
        <v>0.85399999999999998</v>
      </c>
      <c r="G874">
        <f t="shared" si="185"/>
        <v>702.57611241198424</v>
      </c>
      <c r="I874">
        <f t="shared" si="186"/>
        <v>4723929295993907</v>
      </c>
      <c r="J874" s="28">
        <v>0.85399999999999998</v>
      </c>
      <c r="K874">
        <f t="shared" si="187"/>
        <v>4723929296105180</v>
      </c>
      <c r="M874">
        <f t="shared" si="188"/>
        <v>10015.78482842692</v>
      </c>
      <c r="N874" s="28">
        <v>0.85399999999999998</v>
      </c>
      <c r="O874">
        <f t="shared" si="189"/>
        <v>1302.5761124118189</v>
      </c>
      <c r="Q874">
        <f t="shared" si="190"/>
        <v>2175963116970873.5</v>
      </c>
      <c r="R874" s="28">
        <v>0.85399999999999998</v>
      </c>
      <c r="S874">
        <f t="shared" si="191"/>
        <v>2175963116976772.2</v>
      </c>
      <c r="U874">
        <f t="shared" si="192"/>
        <v>6256427820.4673719</v>
      </c>
      <c r="V874" s="48">
        <v>0.85399999999999998</v>
      </c>
      <c r="W874">
        <f t="shared" si="193"/>
        <v>6256446444.9320602</v>
      </c>
      <c r="Y874">
        <f t="shared" si="194"/>
        <v>6595.3009590814399</v>
      </c>
      <c r="Z874" s="28">
        <v>0.85399999999999998</v>
      </c>
      <c r="AA874">
        <f t="shared" si="195"/>
        <v>702.57603351545231</v>
      </c>
    </row>
    <row r="875" spans="1:27" x14ac:dyDescent="0.2">
      <c r="A875">
        <f t="shared" si="182"/>
        <v>2610091208067271</v>
      </c>
      <c r="B875" s="28">
        <v>0.85499999999999998</v>
      </c>
      <c r="C875">
        <f t="shared" si="183"/>
        <v>2610091208173245</v>
      </c>
      <c r="E875">
        <f t="shared" si="184"/>
        <v>10077.636986262645</v>
      </c>
      <c r="F875" s="28">
        <v>0.85499999999999998</v>
      </c>
      <c r="G875">
        <f t="shared" si="185"/>
        <v>701.75438596472361</v>
      </c>
      <c r="I875">
        <f t="shared" si="186"/>
        <v>4841719191050097</v>
      </c>
      <c r="J875" s="28">
        <v>0.85499999999999998</v>
      </c>
      <c r="K875">
        <f t="shared" si="187"/>
        <v>4841719191161370</v>
      </c>
      <c r="M875">
        <f t="shared" si="188"/>
        <v>10016.606554874175</v>
      </c>
      <c r="N875" s="28">
        <v>0.85499999999999998</v>
      </c>
      <c r="O875">
        <f t="shared" si="189"/>
        <v>1301.7543859645623</v>
      </c>
      <c r="Q875">
        <f t="shared" si="190"/>
        <v>2231627982982825.8</v>
      </c>
      <c r="R875" s="28">
        <v>0.85499999999999998</v>
      </c>
      <c r="S875">
        <f t="shared" si="191"/>
        <v>2231627982988724.5</v>
      </c>
      <c r="U875">
        <f t="shared" si="192"/>
        <v>6367309539.5949497</v>
      </c>
      <c r="V875" s="48">
        <v>0.85499999999999998</v>
      </c>
      <c r="W875">
        <f t="shared" si="193"/>
        <v>6367328164.059638</v>
      </c>
      <c r="Y875">
        <f t="shared" si="194"/>
        <v>6596.1226839735509</v>
      </c>
      <c r="Z875" s="28">
        <v>0.85499999999999998</v>
      </c>
      <c r="AA875">
        <f t="shared" si="195"/>
        <v>701.75430862334122</v>
      </c>
    </row>
    <row r="876" spans="1:27" x14ac:dyDescent="0.2">
      <c r="A876">
        <f t="shared" si="182"/>
        <v>2673698240880909</v>
      </c>
      <c r="B876" s="28">
        <v>0.85599999999999998</v>
      </c>
      <c r="C876">
        <f t="shared" si="183"/>
        <v>2673698240986883</v>
      </c>
      <c r="E876">
        <f t="shared" si="184"/>
        <v>10078.4567927883</v>
      </c>
      <c r="F876" s="28">
        <v>0.85599999999999998</v>
      </c>
      <c r="G876">
        <f t="shared" si="185"/>
        <v>700.93457943906867</v>
      </c>
      <c r="I876">
        <f t="shared" si="186"/>
        <v>4962383935160382</v>
      </c>
      <c r="J876" s="28">
        <v>0.85599999999999998</v>
      </c>
      <c r="K876">
        <f t="shared" si="187"/>
        <v>4962383935271655</v>
      </c>
      <c r="M876">
        <f t="shared" si="188"/>
        <v>10017.426361399826</v>
      </c>
      <c r="N876" s="28">
        <v>0.85599999999999998</v>
      </c>
      <c r="O876">
        <f t="shared" si="189"/>
        <v>1300.9345794389112</v>
      </c>
      <c r="Q876">
        <f t="shared" si="190"/>
        <v>2288685694279473.5</v>
      </c>
      <c r="R876" s="28">
        <v>0.85599999999999998</v>
      </c>
      <c r="S876">
        <f t="shared" si="191"/>
        <v>2288685694285372</v>
      </c>
      <c r="U876">
        <f t="shared" si="192"/>
        <v>6480165256.9906225</v>
      </c>
      <c r="V876" s="48">
        <v>0.85599999999999998</v>
      </c>
      <c r="W876">
        <f t="shared" si="193"/>
        <v>6480183881.4553108</v>
      </c>
      <c r="Y876">
        <f t="shared" si="194"/>
        <v>6596.9424889748143</v>
      </c>
      <c r="Z876" s="28">
        <v>0.85599999999999998</v>
      </c>
      <c r="AA876">
        <f t="shared" si="195"/>
        <v>700.93450362207784</v>
      </c>
    </row>
    <row r="877" spans="1:27" x14ac:dyDescent="0.2">
      <c r="A877">
        <f t="shared" si="182"/>
        <v>2738821848021156</v>
      </c>
      <c r="B877" s="28">
        <v>0.85699999999999998</v>
      </c>
      <c r="C877">
        <f t="shared" si="183"/>
        <v>2738821848127130</v>
      </c>
      <c r="E877">
        <f t="shared" si="184"/>
        <v>10079.274686113195</v>
      </c>
      <c r="F877" s="28">
        <v>0.85699999999999998</v>
      </c>
      <c r="G877">
        <f t="shared" si="185"/>
        <v>700.11668611417349</v>
      </c>
      <c r="I877">
        <f t="shared" si="186"/>
        <v>5085992171860808</v>
      </c>
      <c r="J877" s="28">
        <v>0.85699999999999998</v>
      </c>
      <c r="K877">
        <f t="shared" si="187"/>
        <v>5085992171972081</v>
      </c>
      <c r="M877">
        <f t="shared" si="188"/>
        <v>10018.244254724717</v>
      </c>
      <c r="N877" s="28">
        <v>0.85699999999999998</v>
      </c>
      <c r="O877">
        <f t="shared" si="189"/>
        <v>1300.1166861140202</v>
      </c>
      <c r="Q877">
        <f t="shared" si="190"/>
        <v>2347170323839652</v>
      </c>
      <c r="R877" s="28">
        <v>0.85699999999999998</v>
      </c>
      <c r="S877">
        <f t="shared" si="191"/>
        <v>2347170323845550.5</v>
      </c>
      <c r="U877">
        <f t="shared" si="192"/>
        <v>6595030250.5960283</v>
      </c>
      <c r="V877" s="48">
        <v>0.85699999999999998</v>
      </c>
      <c r="W877">
        <f t="shared" si="193"/>
        <v>6595048875.0607166</v>
      </c>
      <c r="Y877">
        <f t="shared" si="194"/>
        <v>6597.7603808054646</v>
      </c>
      <c r="Z877" s="28">
        <v>0.85699999999999998</v>
      </c>
      <c r="AA877">
        <f t="shared" si="195"/>
        <v>700.11661179142754</v>
      </c>
    </row>
    <row r="878" spans="1:27" x14ac:dyDescent="0.2">
      <c r="A878">
        <f t="shared" si="182"/>
        <v>2805497388168735.5</v>
      </c>
      <c r="B878" s="28">
        <v>0.85799999999999998</v>
      </c>
      <c r="C878">
        <f t="shared" si="183"/>
        <v>2805497388274709.5</v>
      </c>
      <c r="E878">
        <f t="shared" si="184"/>
        <v>10080.090672926843</v>
      </c>
      <c r="F878" s="28">
        <v>0.85799999999999998</v>
      </c>
      <c r="G878">
        <f t="shared" si="185"/>
        <v>699.30069930052503</v>
      </c>
      <c r="I878">
        <f t="shared" si="186"/>
        <v>5212614147303137</v>
      </c>
      <c r="J878" s="28">
        <v>0.85799999999999998</v>
      </c>
      <c r="K878">
        <f t="shared" si="187"/>
        <v>5212614147414410</v>
      </c>
      <c r="M878">
        <f t="shared" si="188"/>
        <v>10019.060241538362</v>
      </c>
      <c r="N878" s="28">
        <v>0.85799999999999998</v>
      </c>
      <c r="O878">
        <f t="shared" si="189"/>
        <v>1299.3006993003755</v>
      </c>
      <c r="Q878">
        <f t="shared" si="190"/>
        <v>2407116759134402</v>
      </c>
      <c r="R878" s="28">
        <v>0.85799999999999998</v>
      </c>
      <c r="S878">
        <f t="shared" si="191"/>
        <v>2407116759140300.5</v>
      </c>
      <c r="U878">
        <f t="shared" si="192"/>
        <v>6711940430.9236956</v>
      </c>
      <c r="V878" s="48">
        <v>0.85799999999999998</v>
      </c>
      <c r="W878">
        <f t="shared" si="193"/>
        <v>6711959055.3883839</v>
      </c>
      <c r="Y878">
        <f t="shared" si="194"/>
        <v>6598.576366154417</v>
      </c>
      <c r="Z878" s="28">
        <v>0.85799999999999998</v>
      </c>
      <c r="AA878">
        <f t="shared" si="195"/>
        <v>699.30062644247516</v>
      </c>
    </row>
    <row r="879" spans="1:27" x14ac:dyDescent="0.2">
      <c r="A879">
        <f t="shared" si="182"/>
        <v>2873761025677298</v>
      </c>
      <c r="B879" s="28">
        <v>0.85899999999999999</v>
      </c>
      <c r="C879">
        <f t="shared" si="183"/>
        <v>2873761025783272</v>
      </c>
      <c r="E879">
        <f t="shared" si="184"/>
        <v>10080.904759887608</v>
      </c>
      <c r="F879" s="28">
        <v>0.85899999999999999</v>
      </c>
      <c r="G879">
        <f t="shared" si="185"/>
        <v>698.48661233976031</v>
      </c>
      <c r="I879">
        <f t="shared" si="186"/>
        <v>5342321746819830</v>
      </c>
      <c r="J879" s="28">
        <v>0.85899999999999999</v>
      </c>
      <c r="K879">
        <f t="shared" si="187"/>
        <v>5342321746931103</v>
      </c>
      <c r="M879">
        <f t="shared" si="188"/>
        <v>10019.874328499123</v>
      </c>
      <c r="N879" s="28">
        <v>0.85899999999999999</v>
      </c>
      <c r="O879">
        <f t="shared" si="189"/>
        <v>1298.4866123396148</v>
      </c>
      <c r="Q879">
        <f t="shared" si="190"/>
        <v>2468560721142532</v>
      </c>
      <c r="R879" s="28">
        <v>0.85899999999999999</v>
      </c>
      <c r="S879">
        <f t="shared" si="191"/>
        <v>2468560721148430.5</v>
      </c>
      <c r="U879">
        <f t="shared" si="192"/>
        <v>6830932352.4329882</v>
      </c>
      <c r="V879" s="48">
        <v>0.85899999999999999</v>
      </c>
      <c r="W879">
        <f t="shared" si="193"/>
        <v>6830950976.8976765</v>
      </c>
      <c r="Y879">
        <f t="shared" si="194"/>
        <v>6599.3904516794473</v>
      </c>
      <c r="Z879" s="28">
        <v>0.85899999999999999</v>
      </c>
      <c r="AA879">
        <f t="shared" si="195"/>
        <v>698.48654091744447</v>
      </c>
    </row>
    <row r="880" spans="1:27" x14ac:dyDescent="0.2">
      <c r="A880">
        <f t="shared" si="182"/>
        <v>2943649748504217.5</v>
      </c>
      <c r="B880" s="28">
        <v>0.86</v>
      </c>
      <c r="C880">
        <f t="shared" si="183"/>
        <v>2943649748610191.5</v>
      </c>
      <c r="E880">
        <f t="shared" si="184"/>
        <v>10081.716953622883</v>
      </c>
      <c r="F880" s="28">
        <v>0.86</v>
      </c>
      <c r="G880">
        <f t="shared" si="185"/>
        <v>697.67441860448571</v>
      </c>
      <c r="I880">
        <f t="shared" si="186"/>
        <v>5475188532303683</v>
      </c>
      <c r="J880" s="28">
        <v>0.86</v>
      </c>
      <c r="K880">
        <f t="shared" si="187"/>
        <v>5475188532414956</v>
      </c>
      <c r="M880">
        <f t="shared" si="188"/>
        <v>10020.686522234395</v>
      </c>
      <c r="N880" s="28">
        <v>0.86</v>
      </c>
      <c r="O880">
        <f t="shared" si="189"/>
        <v>1297.6744186043436</v>
      </c>
      <c r="Q880">
        <f t="shared" si="190"/>
        <v>2531538783799466</v>
      </c>
      <c r="R880" s="28">
        <v>0.86</v>
      </c>
      <c r="S880">
        <f t="shared" si="191"/>
        <v>2531538783805364.5</v>
      </c>
      <c r="U880">
        <f t="shared" si="192"/>
        <v>6952043225.1112967</v>
      </c>
      <c r="V880" s="48">
        <v>0.86</v>
      </c>
      <c r="W880">
        <f t="shared" si="193"/>
        <v>6952061849.575985</v>
      </c>
      <c r="Y880">
        <f t="shared" si="194"/>
        <v>6600.2026440073751</v>
      </c>
      <c r="Z880" s="28">
        <v>0.86</v>
      </c>
      <c r="AA880">
        <f t="shared" si="195"/>
        <v>697.67434858951663</v>
      </c>
    </row>
    <row r="881" spans="1:27" x14ac:dyDescent="0.2">
      <c r="A881">
        <f t="shared" si="182"/>
        <v>3015201386530929.5</v>
      </c>
      <c r="B881" s="28">
        <v>0.86099999999999999</v>
      </c>
      <c r="C881">
        <f t="shared" si="183"/>
        <v>3015201386636903.5</v>
      </c>
      <c r="E881">
        <f t="shared" si="184"/>
        <v>10082.527260729272</v>
      </c>
      <c r="F881" s="28">
        <v>0.86099999999999999</v>
      </c>
      <c r="G881">
        <f t="shared" si="185"/>
        <v>696.8641114980968</v>
      </c>
      <c r="I881">
        <f t="shared" si="186"/>
        <v>5611289780420005</v>
      </c>
      <c r="J881" s="28">
        <v>0.86099999999999999</v>
      </c>
      <c r="K881">
        <f t="shared" si="187"/>
        <v>5611289780531278</v>
      </c>
      <c r="M881">
        <f t="shared" si="188"/>
        <v>10021.49682934078</v>
      </c>
      <c r="N881" s="28">
        <v>0.86099999999999999</v>
      </c>
      <c r="O881">
        <f t="shared" si="189"/>
        <v>1296.864111497958</v>
      </c>
      <c r="Q881">
        <f t="shared" si="190"/>
        <v>2596088393889075.5</v>
      </c>
      <c r="R881" s="28">
        <v>0.86099999999999999</v>
      </c>
      <c r="S881">
        <f t="shared" si="191"/>
        <v>2596088393894974</v>
      </c>
      <c r="U881">
        <f t="shared" si="192"/>
        <v>7075310926.2638397</v>
      </c>
      <c r="V881" s="48">
        <v>0.86099999999999999</v>
      </c>
      <c r="W881">
        <f t="shared" si="193"/>
        <v>7075329550.728528</v>
      </c>
      <c r="Y881">
        <f t="shared" si="194"/>
        <v>6601.0129497342414</v>
      </c>
      <c r="Z881" s="28">
        <v>0.86099999999999999</v>
      </c>
      <c r="AA881">
        <f t="shared" si="195"/>
        <v>696.86404286265031</v>
      </c>
    </row>
    <row r="882" spans="1:27" x14ac:dyDescent="0.2">
      <c r="A882">
        <f t="shared" si="182"/>
        <v>3088454630280952</v>
      </c>
      <c r="B882" s="28">
        <v>0.86199999999999999</v>
      </c>
      <c r="C882">
        <f t="shared" si="183"/>
        <v>3088454630386926</v>
      </c>
      <c r="E882">
        <f t="shared" si="184"/>
        <v>10083.335687772769</v>
      </c>
      <c r="F882" s="28">
        <v>0.86199999999999999</v>
      </c>
      <c r="G882">
        <f t="shared" si="185"/>
        <v>696.0556844545996</v>
      </c>
      <c r="I882">
        <f t="shared" si="186"/>
        <v>5750702521669183</v>
      </c>
      <c r="J882" s="28">
        <v>0.86199999999999999</v>
      </c>
      <c r="K882">
        <f t="shared" si="187"/>
        <v>5750702521780456</v>
      </c>
      <c r="M882">
        <f t="shared" si="188"/>
        <v>10022.305256384274</v>
      </c>
      <c r="N882" s="28">
        <v>0.86199999999999999</v>
      </c>
      <c r="O882">
        <f t="shared" si="189"/>
        <v>1296.0556844544644</v>
      </c>
      <c r="Q882">
        <f t="shared" si="190"/>
        <v>2662247891388231.5</v>
      </c>
      <c r="R882" s="28">
        <v>0.86199999999999999</v>
      </c>
      <c r="S882">
        <f t="shared" si="191"/>
        <v>2662247891394130</v>
      </c>
      <c r="U882">
        <f t="shared" si="192"/>
        <v>7200774012.5162649</v>
      </c>
      <c r="V882" s="48">
        <v>0.86199999999999999</v>
      </c>
      <c r="W882">
        <f t="shared" si="193"/>
        <v>7200792636.9809532</v>
      </c>
      <c r="Y882">
        <f t="shared" si="194"/>
        <v>6601.8213754254875</v>
      </c>
      <c r="Z882" s="28">
        <v>0.86199999999999999</v>
      </c>
      <c r="AA882">
        <f t="shared" si="195"/>
        <v>696.05561717140404</v>
      </c>
    </row>
    <row r="883" spans="1:27" x14ac:dyDescent="0.2">
      <c r="A883">
        <f t="shared" si="182"/>
        <v>3163449050044291</v>
      </c>
      <c r="B883" s="28">
        <v>0.86299999999999999</v>
      </c>
      <c r="C883">
        <f t="shared" si="183"/>
        <v>3163449050150265</v>
      </c>
      <c r="E883">
        <f t="shared" si="184"/>
        <v>10084.142241288935</v>
      </c>
      <c r="F883" s="28">
        <v>0.86299999999999999</v>
      </c>
      <c r="G883">
        <f t="shared" si="185"/>
        <v>695.2491309384335</v>
      </c>
      <c r="I883">
        <f t="shared" si="186"/>
        <v>5893505580318670</v>
      </c>
      <c r="J883" s="28">
        <v>0.86299999999999999</v>
      </c>
      <c r="K883">
        <f t="shared" si="187"/>
        <v>5893505580429943</v>
      </c>
      <c r="M883">
        <f t="shared" si="188"/>
        <v>10023.111809900436</v>
      </c>
      <c r="N883" s="28">
        <v>0.86299999999999999</v>
      </c>
      <c r="O883">
        <f t="shared" si="189"/>
        <v>1295.2491309383015</v>
      </c>
      <c r="Q883">
        <f t="shared" si="190"/>
        <v>2730056530274380</v>
      </c>
      <c r="R883" s="28">
        <v>0.86299999999999999</v>
      </c>
      <c r="S883">
        <f t="shared" si="191"/>
        <v>2730056530280278.5</v>
      </c>
      <c r="U883">
        <f t="shared" si="192"/>
        <v>7328471732.0336018</v>
      </c>
      <c r="V883" s="48">
        <v>0.86299999999999999</v>
      </c>
      <c r="W883">
        <f t="shared" si="193"/>
        <v>7328490356.4982901</v>
      </c>
      <c r="Y883">
        <f t="shared" si="194"/>
        <v>6602.627927616134</v>
      </c>
      <c r="Z883" s="28">
        <v>0.86299999999999999</v>
      </c>
      <c r="AA883">
        <f t="shared" si="195"/>
        <v>695.24906498075813</v>
      </c>
    </row>
    <row r="884" spans="1:27" x14ac:dyDescent="0.2">
      <c r="A884">
        <f t="shared" si="182"/>
        <v>3240225115416742.5</v>
      </c>
      <c r="B884" s="28">
        <v>0.86399999999999999</v>
      </c>
      <c r="C884">
        <f t="shared" si="183"/>
        <v>3240225115522716.5</v>
      </c>
      <c r="E884">
        <f t="shared" si="184"/>
        <v>10084.946927783072</v>
      </c>
      <c r="F884" s="28">
        <v>0.86399999999999999</v>
      </c>
      <c r="G884">
        <f t="shared" si="185"/>
        <v>694.44444444429564</v>
      </c>
      <c r="I884">
        <f t="shared" si="186"/>
        <v>6039779615223070</v>
      </c>
      <c r="J884" s="28">
        <v>0.86399999999999999</v>
      </c>
      <c r="K884">
        <f t="shared" si="187"/>
        <v>6039779615334343</v>
      </c>
      <c r="M884">
        <f t="shared" si="188"/>
        <v>10023.916496394571</v>
      </c>
      <c r="N884" s="28">
        <v>0.86399999999999999</v>
      </c>
      <c r="O884">
        <f t="shared" si="189"/>
        <v>1294.4444444441669</v>
      </c>
      <c r="Q884">
        <f t="shared" si="190"/>
        <v>2799554499806328.5</v>
      </c>
      <c r="R884" s="28">
        <v>0.86399999999999999</v>
      </c>
      <c r="S884">
        <f t="shared" si="191"/>
        <v>2799554499812227</v>
      </c>
      <c r="U884">
        <f t="shared" si="192"/>
        <v>7458444036.959547</v>
      </c>
      <c r="V884" s="48">
        <v>0.86399999999999999</v>
      </c>
      <c r="W884">
        <f t="shared" si="193"/>
        <v>7458462661.4242353</v>
      </c>
      <c r="Y884">
        <f t="shared" si="194"/>
        <v>6603.4326128109515</v>
      </c>
      <c r="Z884" s="28">
        <v>0.86399999999999999</v>
      </c>
      <c r="AA884">
        <f t="shared" si="195"/>
        <v>694.44437978593999</v>
      </c>
    </row>
    <row r="885" spans="1:27" x14ac:dyDescent="0.2">
      <c r="A885">
        <f t="shared" si="182"/>
        <v>3318824215262471.5</v>
      </c>
      <c r="B885" s="28">
        <v>0.86499999999999999</v>
      </c>
      <c r="C885">
        <f t="shared" si="183"/>
        <v>3318824215368445.5</v>
      </c>
      <c r="E885">
        <f t="shared" si="184"/>
        <v>10085.749753730404</v>
      </c>
      <c r="F885" s="28">
        <v>0.86499999999999999</v>
      </c>
      <c r="G885">
        <f t="shared" si="185"/>
        <v>693.64161849696484</v>
      </c>
      <c r="I885">
        <f t="shared" si="186"/>
        <v>6189607161550879</v>
      </c>
      <c r="J885" s="28">
        <v>0.86499999999999999</v>
      </c>
      <c r="K885">
        <f t="shared" si="187"/>
        <v>6189607161662152</v>
      </c>
      <c r="M885">
        <f t="shared" si="188"/>
        <v>10024.719322341898</v>
      </c>
      <c r="N885" s="28">
        <v>0.86499999999999999</v>
      </c>
      <c r="O885">
        <f t="shared" si="189"/>
        <v>1293.6416184968393</v>
      </c>
      <c r="Q885">
        <f t="shared" si="190"/>
        <v>2870782946288407</v>
      </c>
      <c r="R885" s="28">
        <v>0.86499999999999999</v>
      </c>
      <c r="S885">
        <f t="shared" si="191"/>
        <v>2870782946294305.5</v>
      </c>
      <c r="U885">
        <f t="shared" si="192"/>
        <v>7590731596.0802269</v>
      </c>
      <c r="V885" s="48">
        <v>0.86499999999999999</v>
      </c>
      <c r="W885">
        <f t="shared" si="193"/>
        <v>7590750220.5449152</v>
      </c>
      <c r="Y885">
        <f t="shared" si="194"/>
        <v>6604.2354374846436</v>
      </c>
      <c r="Z885" s="28">
        <v>0.86499999999999999</v>
      </c>
      <c r="AA885">
        <f t="shared" si="195"/>
        <v>693.6415551122484</v>
      </c>
    </row>
    <row r="886" spans="1:27" x14ac:dyDescent="0.2">
      <c r="A886">
        <f t="shared" si="182"/>
        <v>3399288678109519.5</v>
      </c>
      <c r="B886" s="28">
        <v>0.86599999999999999</v>
      </c>
      <c r="C886">
        <f t="shared" si="183"/>
        <v>3399288678215493.5</v>
      </c>
      <c r="E886">
        <f t="shared" si="184"/>
        <v>10086.550725576239</v>
      </c>
      <c r="F886" s="28">
        <v>0.86599999999999999</v>
      </c>
      <c r="G886">
        <f t="shared" si="185"/>
        <v>692.84064665112896</v>
      </c>
      <c r="I886">
        <f t="shared" si="186"/>
        <v>6343072673438839</v>
      </c>
      <c r="J886" s="28">
        <v>0.86599999999999999</v>
      </c>
      <c r="K886">
        <f t="shared" si="187"/>
        <v>6343072673550112</v>
      </c>
      <c r="M886">
        <f t="shared" si="188"/>
        <v>10025.520294187732</v>
      </c>
      <c r="N886" s="28">
        <v>0.86599999999999999</v>
      </c>
      <c r="O886">
        <f t="shared" si="189"/>
        <v>1292.8406466510069</v>
      </c>
      <c r="Q886">
        <f t="shared" si="190"/>
        <v>2943783995329319</v>
      </c>
      <c r="R886" s="28">
        <v>0.86599999999999999</v>
      </c>
      <c r="S886">
        <f t="shared" si="191"/>
        <v>2943783995335217.5</v>
      </c>
      <c r="U886">
        <f t="shared" si="192"/>
        <v>7725375807.7160788</v>
      </c>
      <c r="V886" s="48">
        <v>0.86599999999999999</v>
      </c>
      <c r="W886">
        <f t="shared" si="193"/>
        <v>7725394432.1807671</v>
      </c>
      <c r="Y886">
        <f t="shared" si="194"/>
        <v>6605.0364080820109</v>
      </c>
      <c r="Z886" s="28">
        <v>0.86599999999999999</v>
      </c>
      <c r="AA886">
        <f t="shared" si="195"/>
        <v>692.84058451488056</v>
      </c>
    </row>
    <row r="887" spans="1:27" x14ac:dyDescent="0.2">
      <c r="A887">
        <f t="shared" si="182"/>
        <v>3481661792986690.5</v>
      </c>
      <c r="B887" s="28">
        <v>0.86699999999999999</v>
      </c>
      <c r="C887">
        <f t="shared" si="183"/>
        <v>3481661793092664.5</v>
      </c>
      <c r="E887">
        <f t="shared" si="184"/>
        <v>10087.349849736156</v>
      </c>
      <c r="F887" s="28">
        <v>0.86699999999999999</v>
      </c>
      <c r="G887">
        <f t="shared" si="185"/>
        <v>692.04152249121194</v>
      </c>
      <c r="I887">
        <f t="shared" si="186"/>
        <v>6500262567592732</v>
      </c>
      <c r="J887" s="28">
        <v>0.86699999999999999</v>
      </c>
      <c r="K887">
        <f t="shared" si="187"/>
        <v>6500262567704005</v>
      </c>
      <c r="M887">
        <f t="shared" si="188"/>
        <v>10026.319418347646</v>
      </c>
      <c r="N887" s="28">
        <v>0.86699999999999999</v>
      </c>
      <c r="O887">
        <f t="shared" si="189"/>
        <v>1292.0415224910928</v>
      </c>
      <c r="Q887">
        <f t="shared" si="190"/>
        <v>3018600774606041.5</v>
      </c>
      <c r="R887" s="28">
        <v>0.86699999999999999</v>
      </c>
      <c r="S887">
        <f t="shared" si="191"/>
        <v>3018600774611940</v>
      </c>
      <c r="U887">
        <f t="shared" si="192"/>
        <v>7862418812.8465099</v>
      </c>
      <c r="V887" s="48">
        <v>0.86699999999999999</v>
      </c>
      <c r="W887">
        <f t="shared" si="193"/>
        <v>7862437437.3111982</v>
      </c>
      <c r="Y887">
        <f t="shared" si="194"/>
        <v>6605.8355310181323</v>
      </c>
      <c r="Z887" s="28">
        <v>0.86699999999999999</v>
      </c>
      <c r="AA887">
        <f t="shared" si="195"/>
        <v>692.04146157875971</v>
      </c>
    </row>
    <row r="888" spans="1:27" x14ac:dyDescent="0.2">
      <c r="A888">
        <f t="shared" si="182"/>
        <v>3565987830711771.5</v>
      </c>
      <c r="B888" s="28">
        <v>0.86799999999999999</v>
      </c>
      <c r="C888">
        <f t="shared" si="183"/>
        <v>3565987830817745.5</v>
      </c>
      <c r="E888">
        <f t="shared" si="184"/>
        <v>10088.147132596167</v>
      </c>
      <c r="F888" s="28">
        <v>0.86799999999999999</v>
      </c>
      <c r="G888">
        <f t="shared" si="185"/>
        <v>691.2442396312025</v>
      </c>
      <c r="I888">
        <f t="shared" si="186"/>
        <v>6661265267856275</v>
      </c>
      <c r="J888" s="28">
        <v>0.86799999999999999</v>
      </c>
      <c r="K888">
        <f t="shared" si="187"/>
        <v>6661265267967548</v>
      </c>
      <c r="M888">
        <f t="shared" si="188"/>
        <v>10027.116701207653</v>
      </c>
      <c r="N888" s="28">
        <v>0.86799999999999999</v>
      </c>
      <c r="O888">
        <f t="shared" si="189"/>
        <v>1291.244239631086</v>
      </c>
      <c r="Q888">
        <f t="shared" si="190"/>
        <v>3095277437144504.5</v>
      </c>
      <c r="R888" s="28">
        <v>0.86799999999999999</v>
      </c>
      <c r="S888">
        <f t="shared" si="191"/>
        <v>3095277437150403</v>
      </c>
      <c r="U888">
        <f t="shared" si="192"/>
        <v>8001903508.4711342</v>
      </c>
      <c r="V888" s="48">
        <v>0.86799999999999999</v>
      </c>
      <c r="W888">
        <f t="shared" si="193"/>
        <v>8001922132.9358225</v>
      </c>
      <c r="Y888">
        <f t="shared" si="194"/>
        <v>6606.6328126785284</v>
      </c>
      <c r="Z888" s="28">
        <v>0.86799999999999999</v>
      </c>
      <c r="AA888">
        <f t="shared" si="195"/>
        <v>691.24417991836378</v>
      </c>
    </row>
    <row r="889" spans="1:27" x14ac:dyDescent="0.2">
      <c r="A889">
        <f t="shared" si="182"/>
        <v>3652312065640172</v>
      </c>
      <c r="B889" s="28">
        <v>0.86899999999999999</v>
      </c>
      <c r="C889">
        <f t="shared" si="183"/>
        <v>3652312065746146</v>
      </c>
      <c r="E889">
        <f t="shared" si="184"/>
        <v>10088.942580512885</v>
      </c>
      <c r="F889" s="28">
        <v>0.86899999999999999</v>
      </c>
      <c r="G889">
        <f t="shared" si="185"/>
        <v>690.44879171448395</v>
      </c>
      <c r="I889">
        <f t="shared" si="186"/>
        <v>6826171250768275</v>
      </c>
      <c r="J889" s="28">
        <v>0.86899999999999999</v>
      </c>
      <c r="K889">
        <f t="shared" si="187"/>
        <v>6826171250879548</v>
      </c>
      <c r="M889">
        <f t="shared" si="188"/>
        <v>10027.912149124368</v>
      </c>
      <c r="N889" s="28">
        <v>0.86899999999999999</v>
      </c>
      <c r="O889">
        <f t="shared" si="189"/>
        <v>1290.4487917143708</v>
      </c>
      <c r="Q889">
        <f t="shared" si="190"/>
        <v>3173859185128102.5</v>
      </c>
      <c r="R889" s="28">
        <v>0.86899999999999999</v>
      </c>
      <c r="S889">
        <f t="shared" si="191"/>
        <v>3173859185134001</v>
      </c>
      <c r="U889">
        <f t="shared" si="192"/>
        <v>8143873561.2121658</v>
      </c>
      <c r="V889" s="48">
        <v>0.86899999999999999</v>
      </c>
      <c r="W889">
        <f t="shared" si="193"/>
        <v>8143892185.6768541</v>
      </c>
      <c r="Y889">
        <f t="shared" si="194"/>
        <v>6607.4282594193355</v>
      </c>
      <c r="Z889" s="28">
        <v>0.86899999999999999</v>
      </c>
      <c r="AA889">
        <f t="shared" si="195"/>
        <v>690.44873317755594</v>
      </c>
    </row>
    <row r="890" spans="1:27" x14ac:dyDescent="0.2">
      <c r="A890">
        <f t="shared" si="182"/>
        <v>3740680797883752</v>
      </c>
      <c r="B890" s="28">
        <v>0.87</v>
      </c>
      <c r="C890">
        <f t="shared" si="183"/>
        <v>3740680797989726</v>
      </c>
      <c r="E890">
        <f t="shared" si="184"/>
        <v>10089.736199813702</v>
      </c>
      <c r="F890" s="28">
        <v>0.87</v>
      </c>
      <c r="G890">
        <f t="shared" si="185"/>
        <v>689.65517241366592</v>
      </c>
      <c r="I890">
        <f t="shared" si="186"/>
        <v>6995073092129514</v>
      </c>
      <c r="J890" s="28">
        <v>0.87</v>
      </c>
      <c r="K890">
        <f t="shared" si="187"/>
        <v>6995073092240787</v>
      </c>
      <c r="M890">
        <f t="shared" si="188"/>
        <v>10028.705768425183</v>
      </c>
      <c r="N890" s="28">
        <v>0.87</v>
      </c>
      <c r="O890">
        <f t="shared" si="189"/>
        <v>1289.6551724135552</v>
      </c>
      <c r="Q890">
        <f t="shared" si="190"/>
        <v>3254392294245763</v>
      </c>
      <c r="R890" s="28">
        <v>0.87</v>
      </c>
      <c r="S890">
        <f t="shared" si="191"/>
        <v>3254392294251661.5</v>
      </c>
      <c r="U890">
        <f t="shared" si="192"/>
        <v>8288373421.16189</v>
      </c>
      <c r="V890" s="48">
        <v>0.87</v>
      </c>
      <c r="W890">
        <f t="shared" si="193"/>
        <v>8288392045.6265783</v>
      </c>
      <c r="Y890">
        <f t="shared" si="194"/>
        <v>6608.2218775674764</v>
      </c>
      <c r="Z890" s="28">
        <v>0.87</v>
      </c>
      <c r="AA890">
        <f t="shared" si="195"/>
        <v>689.6551150294157</v>
      </c>
    </row>
    <row r="891" spans="1:27" x14ac:dyDescent="0.2">
      <c r="A891">
        <f t="shared" si="182"/>
        <v>3831141376009955</v>
      </c>
      <c r="B891" s="28">
        <v>0.871</v>
      </c>
      <c r="C891">
        <f t="shared" si="183"/>
        <v>3831141376115929</v>
      </c>
      <c r="E891">
        <f t="shared" si="184"/>
        <v>10090.527996796953</v>
      </c>
      <c r="F891" s="28">
        <v>0.871</v>
      </c>
      <c r="G891">
        <f t="shared" si="185"/>
        <v>688.86337543041577</v>
      </c>
      <c r="I891">
        <f t="shared" si="186"/>
        <v>7168065514601629</v>
      </c>
      <c r="J891" s="28">
        <v>0.871</v>
      </c>
      <c r="K891">
        <f t="shared" si="187"/>
        <v>7168065514712902</v>
      </c>
      <c r="M891">
        <f t="shared" si="188"/>
        <v>10029.49756540843</v>
      </c>
      <c r="N891" s="28">
        <v>0.871</v>
      </c>
      <c r="O891">
        <f t="shared" si="189"/>
        <v>1288.8633754303078</v>
      </c>
      <c r="Q891">
        <f t="shared" si="190"/>
        <v>3336924138591675.5</v>
      </c>
      <c r="R891" s="28">
        <v>0.871</v>
      </c>
      <c r="S891">
        <f t="shared" si="191"/>
        <v>3336924138597574</v>
      </c>
      <c r="U891">
        <f t="shared" si="192"/>
        <v>8435448335.9802113</v>
      </c>
      <c r="V891" s="48">
        <v>0.871</v>
      </c>
      <c r="W891">
        <f t="shared" si="193"/>
        <v>8435466960.4448996</v>
      </c>
      <c r="Y891">
        <f t="shared" si="194"/>
        <v>6609.0136734208209</v>
      </c>
      <c r="Z891" s="28">
        <v>0.871</v>
      </c>
      <c r="AA891">
        <f t="shared" si="195"/>
        <v>688.86331917607106</v>
      </c>
    </row>
    <row r="892" spans="1:27" x14ac:dyDescent="0.2">
      <c r="A892">
        <f t="shared" si="182"/>
        <v>3923742220231430.5</v>
      </c>
      <c r="B892" s="28">
        <v>0.872</v>
      </c>
      <c r="C892">
        <f t="shared" si="183"/>
        <v>3923742220337404.5</v>
      </c>
      <c r="E892">
        <f t="shared" si="184"/>
        <v>10091.317977732077</v>
      </c>
      <c r="F892" s="28">
        <v>0.872</v>
      </c>
      <c r="G892">
        <f t="shared" si="185"/>
        <v>688.07339449529218</v>
      </c>
      <c r="I892">
        <f t="shared" si="186"/>
        <v>7345245436360346</v>
      </c>
      <c r="J892" s="28">
        <v>0.872</v>
      </c>
      <c r="K892">
        <f t="shared" si="187"/>
        <v>7345245436471619</v>
      </c>
      <c r="M892">
        <f t="shared" si="188"/>
        <v>10030.287546343552</v>
      </c>
      <c r="N892" s="28">
        <v>0.872</v>
      </c>
      <c r="O892">
        <f t="shared" si="189"/>
        <v>1288.0733944951867</v>
      </c>
      <c r="Q892">
        <f t="shared" si="190"/>
        <v>3421503216128918</v>
      </c>
      <c r="R892" s="28">
        <v>0.872</v>
      </c>
      <c r="S892">
        <f t="shared" si="191"/>
        <v>3421503216134816.5</v>
      </c>
      <c r="U892">
        <f t="shared" si="192"/>
        <v>8585144365.2463474</v>
      </c>
      <c r="V892" s="48">
        <v>0.872</v>
      </c>
      <c r="W892">
        <f t="shared" si="193"/>
        <v>8585162989.7110357</v>
      </c>
      <c r="Y892">
        <f t="shared" si="194"/>
        <v>6609.8036532483593</v>
      </c>
      <c r="Z892" s="28">
        <v>0.872</v>
      </c>
      <c r="AA892">
        <f t="shared" si="195"/>
        <v>688.07333934853227</v>
      </c>
    </row>
    <row r="893" spans="1:27" x14ac:dyDescent="0.2">
      <c r="A893">
        <f t="shared" si="182"/>
        <v>4018532846095971.5</v>
      </c>
      <c r="B893" s="28">
        <v>0.873</v>
      </c>
      <c r="C893">
        <f t="shared" si="183"/>
        <v>4018532846201945.5</v>
      </c>
      <c r="E893">
        <f t="shared" si="184"/>
        <v>10092.106148859788</v>
      </c>
      <c r="F893" s="28">
        <v>0.873</v>
      </c>
      <c r="G893">
        <f t="shared" si="185"/>
        <v>687.2852233675801</v>
      </c>
      <c r="I893">
        <f t="shared" si="186"/>
        <v>7526712020824971</v>
      </c>
      <c r="J893" s="28">
        <v>0.873</v>
      </c>
      <c r="K893">
        <f t="shared" si="187"/>
        <v>7526712020936244</v>
      </c>
      <c r="M893">
        <f t="shared" si="188"/>
        <v>10031.07571747126</v>
      </c>
      <c r="N893" s="28">
        <v>0.873</v>
      </c>
      <c r="O893">
        <f t="shared" si="189"/>
        <v>1287.2852233674776</v>
      </c>
      <c r="Q893">
        <f t="shared" si="190"/>
        <v>3508179174729000</v>
      </c>
      <c r="R893" s="28">
        <v>0.873</v>
      </c>
      <c r="S893">
        <f t="shared" si="191"/>
        <v>3508179174734898.5</v>
      </c>
      <c r="U893">
        <f t="shared" si="192"/>
        <v>8737508395.0695972</v>
      </c>
      <c r="V893" s="48">
        <v>0.873</v>
      </c>
      <c r="W893">
        <f t="shared" si="193"/>
        <v>8737527019.5342846</v>
      </c>
      <c r="Y893">
        <f t="shared" si="194"/>
        <v>6610.591823290365</v>
      </c>
      <c r="Z893" s="28">
        <v>0.873</v>
      </c>
      <c r="AA893">
        <f t="shared" si="195"/>
        <v>687.28516930652665</v>
      </c>
    </row>
    <row r="894" spans="1:27" x14ac:dyDescent="0.2">
      <c r="A894">
        <f t="shared" si="182"/>
        <v>4115563888687875.5</v>
      </c>
      <c r="B894" s="28">
        <v>0.874</v>
      </c>
      <c r="C894">
        <f t="shared" si="183"/>
        <v>4115563888793849.5</v>
      </c>
      <c r="E894">
        <f t="shared" si="184"/>
        <v>10092.892516392243</v>
      </c>
      <c r="F894" s="28">
        <v>0.874</v>
      </c>
      <c r="G894">
        <f t="shared" si="185"/>
        <v>686.49885583512571</v>
      </c>
      <c r="I894">
        <f t="shared" si="186"/>
        <v>7712566727488402</v>
      </c>
      <c r="J894" s="28">
        <v>0.874</v>
      </c>
      <c r="K894">
        <f t="shared" si="187"/>
        <v>7712566727599675</v>
      </c>
      <c r="M894">
        <f t="shared" si="188"/>
        <v>10031.862085003713</v>
      </c>
      <c r="N894" s="28">
        <v>0.874</v>
      </c>
      <c r="O894">
        <f t="shared" si="189"/>
        <v>1286.4988558350258</v>
      </c>
      <c r="Q894">
        <f t="shared" si="190"/>
        <v>3597002838800526</v>
      </c>
      <c r="R894" s="28">
        <v>0.874</v>
      </c>
      <c r="S894">
        <f t="shared" si="191"/>
        <v>3597002838806424.5</v>
      </c>
      <c r="U894">
        <f t="shared" si="192"/>
        <v>8892588152.9634132</v>
      </c>
      <c r="V894" s="48">
        <v>0.874</v>
      </c>
      <c r="W894">
        <f t="shared" si="193"/>
        <v>8892606777.4281006</v>
      </c>
      <c r="Y894">
        <f t="shared" si="194"/>
        <v>6611.3781897585577</v>
      </c>
      <c r="Z894" s="28">
        <v>0.874</v>
      </c>
      <c r="AA894">
        <f t="shared" si="195"/>
        <v>686.49880283833454</v>
      </c>
    </row>
    <row r="895" spans="1:27" x14ac:dyDescent="0.2">
      <c r="A895">
        <f t="shared" si="182"/>
        <v>4214887127351193.5</v>
      </c>
      <c r="B895" s="28">
        <v>0.875</v>
      </c>
      <c r="C895">
        <f t="shared" si="183"/>
        <v>4214887127457167.5</v>
      </c>
      <c r="E895">
        <f t="shared" si="184"/>
        <v>10093.677086513195</v>
      </c>
      <c r="F895" s="28">
        <v>0.875</v>
      </c>
      <c r="G895">
        <f t="shared" si="185"/>
        <v>685.71428571417414</v>
      </c>
      <c r="I895">
        <f t="shared" si="186"/>
        <v>7902913363870916</v>
      </c>
      <c r="J895" s="28">
        <v>0.875</v>
      </c>
      <c r="K895">
        <f t="shared" si="187"/>
        <v>7902913363982189</v>
      </c>
      <c r="M895">
        <f t="shared" si="188"/>
        <v>10032.646655124661</v>
      </c>
      <c r="N895" s="28">
        <v>0.875</v>
      </c>
      <c r="O895">
        <f t="shared" si="189"/>
        <v>1285.7142857140766</v>
      </c>
      <c r="Q895">
        <f t="shared" si="190"/>
        <v>3688026236519723</v>
      </c>
      <c r="R895" s="28">
        <v>0.875</v>
      </c>
      <c r="S895">
        <f t="shared" si="191"/>
        <v>3688026236525621.5</v>
      </c>
      <c r="U895">
        <f t="shared" si="192"/>
        <v>9050432222.9881191</v>
      </c>
      <c r="V895" s="48">
        <v>0.875</v>
      </c>
      <c r="W895">
        <f t="shared" si="193"/>
        <v>9050450847.4528065</v>
      </c>
      <c r="Y895">
        <f t="shared" si="194"/>
        <v>6612.1627588362662</v>
      </c>
      <c r="Z895" s="28">
        <v>0.875</v>
      </c>
      <c r="AA895">
        <f t="shared" si="195"/>
        <v>685.71423376062569</v>
      </c>
    </row>
    <row r="896" spans="1:27" x14ac:dyDescent="0.2">
      <c r="A896">
        <f t="shared" si="182"/>
        <v>4316555510946092</v>
      </c>
      <c r="B896" s="28">
        <v>0.876</v>
      </c>
      <c r="C896">
        <f t="shared" si="183"/>
        <v>4316555511052066</v>
      </c>
      <c r="E896">
        <f t="shared" si="184"/>
        <v>10094.459865378161</v>
      </c>
      <c r="F896" s="28">
        <v>0.876</v>
      </c>
      <c r="G896">
        <f t="shared" si="185"/>
        <v>684.93150684920636</v>
      </c>
      <c r="I896">
        <f t="shared" si="186"/>
        <v>8097858138622403</v>
      </c>
      <c r="J896" s="28">
        <v>0.876</v>
      </c>
      <c r="K896">
        <f t="shared" si="187"/>
        <v>8097858138733676</v>
      </c>
      <c r="M896">
        <f t="shared" si="188"/>
        <v>10033.429433989628</v>
      </c>
      <c r="N896" s="28">
        <v>0.876</v>
      </c>
      <c r="O896">
        <f t="shared" si="189"/>
        <v>1284.9315068491112</v>
      </c>
      <c r="Q896">
        <f t="shared" si="190"/>
        <v>3781302627676311.5</v>
      </c>
      <c r="R896" s="28">
        <v>0.876</v>
      </c>
      <c r="S896">
        <f t="shared" si="191"/>
        <v>3781302627682210</v>
      </c>
      <c r="U896">
        <f t="shared" si="192"/>
        <v>9211090061.1666603</v>
      </c>
      <c r="V896" s="48">
        <v>0.876</v>
      </c>
      <c r="W896">
        <f t="shared" si="193"/>
        <v>9211108685.6313477</v>
      </c>
      <c r="Y896">
        <f t="shared" si="194"/>
        <v>6612.9455366785933</v>
      </c>
      <c r="Z896" s="28">
        <v>0.876</v>
      </c>
      <c r="AA896">
        <f t="shared" si="195"/>
        <v>684.93145591829807</v>
      </c>
    </row>
    <row r="897" spans="1:27" x14ac:dyDescent="0.2">
      <c r="A897">
        <f t="shared" si="182"/>
        <v>4420623183649111</v>
      </c>
      <c r="B897" s="28">
        <v>0.877</v>
      </c>
      <c r="C897">
        <f t="shared" si="183"/>
        <v>4420623183755085</v>
      </c>
      <c r="E897">
        <f t="shared" si="184"/>
        <v>10095.240859114589</v>
      </c>
      <c r="F897" s="28">
        <v>0.877</v>
      </c>
      <c r="G897">
        <f t="shared" si="185"/>
        <v>684.15051311277898</v>
      </c>
      <c r="I897">
        <f t="shared" si="186"/>
        <v>8297509715797022</v>
      </c>
      <c r="J897" s="28">
        <v>0.877</v>
      </c>
      <c r="K897">
        <f t="shared" si="187"/>
        <v>8297509715908295</v>
      </c>
      <c r="M897">
        <f t="shared" si="188"/>
        <v>10034.210427726051</v>
      </c>
      <c r="N897" s="28">
        <v>0.877</v>
      </c>
      <c r="O897">
        <f t="shared" si="189"/>
        <v>1284.150513112686</v>
      </c>
      <c r="Q897">
        <f t="shared" si="190"/>
        <v>3876886532147911</v>
      </c>
      <c r="R897" s="28">
        <v>0.877</v>
      </c>
      <c r="S897">
        <f t="shared" si="191"/>
        <v>3876886532153809.5</v>
      </c>
      <c r="U897">
        <f t="shared" si="192"/>
        <v>9374612011.1786957</v>
      </c>
      <c r="V897" s="48">
        <v>0.877</v>
      </c>
      <c r="W897">
        <f t="shared" si="193"/>
        <v>9374630635.643383</v>
      </c>
      <c r="Y897">
        <f t="shared" si="194"/>
        <v>6613.7265294125755</v>
      </c>
      <c r="Z897" s="28">
        <v>0.877</v>
      </c>
      <c r="AA897">
        <f t="shared" si="195"/>
        <v>684.1504631843161</v>
      </c>
    </row>
    <row r="898" spans="1:27" x14ac:dyDescent="0.2">
      <c r="A898">
        <f t="shared" si="182"/>
        <v>4527145511309098</v>
      </c>
      <c r="B898" s="28">
        <v>0.878</v>
      </c>
      <c r="C898">
        <f t="shared" si="183"/>
        <v>4527145511415072</v>
      </c>
      <c r="E898">
        <f t="shared" si="184"/>
        <v>10096.020073822005</v>
      </c>
      <c r="F898" s="28">
        <v>0.878</v>
      </c>
      <c r="G898">
        <f t="shared" si="185"/>
        <v>683.37129840536386</v>
      </c>
      <c r="I898">
        <f t="shared" si="186"/>
        <v>8501979270326233</v>
      </c>
      <c r="J898" s="28">
        <v>0.878</v>
      </c>
      <c r="K898">
        <f t="shared" si="187"/>
        <v>8501979270437506</v>
      </c>
      <c r="M898">
        <f t="shared" si="188"/>
        <v>10034.989642433466</v>
      </c>
      <c r="N898" s="28">
        <v>0.878</v>
      </c>
      <c r="O898">
        <f t="shared" si="189"/>
        <v>1283.3712984052734</v>
      </c>
      <c r="Q898">
        <f t="shared" si="190"/>
        <v>3974833759017134.5</v>
      </c>
      <c r="R898" s="28">
        <v>0.878</v>
      </c>
      <c r="S898">
        <f t="shared" si="191"/>
        <v>3974833759023033</v>
      </c>
      <c r="U898">
        <f t="shared" si="192"/>
        <v>9541049320.3375359</v>
      </c>
      <c r="V898" s="48">
        <v>0.878</v>
      </c>
      <c r="W898">
        <f t="shared" si="193"/>
        <v>9541067944.8022232</v>
      </c>
      <c r="Y898">
        <f t="shared" si="194"/>
        <v>6614.5057431373398</v>
      </c>
      <c r="Z898" s="28">
        <v>0.878</v>
      </c>
      <c r="AA898">
        <f t="shared" si="195"/>
        <v>683.37124945955225</v>
      </c>
    </row>
    <row r="899" spans="1:27" x14ac:dyDescent="0.2">
      <c r="A899">
        <f t="shared" si="182"/>
        <v>4636179108370523</v>
      </c>
      <c r="B899" s="28">
        <v>0.879</v>
      </c>
      <c r="C899">
        <f t="shared" si="183"/>
        <v>4636179108476497</v>
      </c>
      <c r="E899">
        <f t="shared" si="184"/>
        <v>10096.797515572178</v>
      </c>
      <c r="F899" s="28">
        <v>0.879</v>
      </c>
      <c r="G899">
        <f t="shared" si="185"/>
        <v>682.5938566551896</v>
      </c>
      <c r="I899">
        <f t="shared" si="186"/>
        <v>8711380544716066</v>
      </c>
      <c r="J899" s="28">
        <v>0.879</v>
      </c>
      <c r="K899">
        <f t="shared" si="187"/>
        <v>8711380544827339</v>
      </c>
      <c r="M899">
        <f t="shared" si="188"/>
        <v>10035.767084183637</v>
      </c>
      <c r="N899" s="28">
        <v>0.879</v>
      </c>
      <c r="O899">
        <f t="shared" si="189"/>
        <v>1282.5938566551013</v>
      </c>
      <c r="Q899">
        <f t="shared" si="190"/>
        <v>4075201436345542.5</v>
      </c>
      <c r="R899" s="28">
        <v>0.879</v>
      </c>
      <c r="S899">
        <f t="shared" si="191"/>
        <v>4075201436351441</v>
      </c>
      <c r="U899">
        <f t="shared" si="192"/>
        <v>9710454155.8557281</v>
      </c>
      <c r="V899" s="48">
        <v>0.879</v>
      </c>
      <c r="W899">
        <f t="shared" si="193"/>
        <v>9710472780.3204155</v>
      </c>
      <c r="Y899">
        <f t="shared" si="194"/>
        <v>6615.2831839242644</v>
      </c>
      <c r="Z899" s="28">
        <v>0.879</v>
      </c>
      <c r="AA899">
        <f t="shared" si="195"/>
        <v>682.59380867262735</v>
      </c>
    </row>
    <row r="900" spans="1:27" x14ac:dyDescent="0.2">
      <c r="A900">
        <f t="shared" si="182"/>
        <v>4747781865375857</v>
      </c>
      <c r="B900" s="28">
        <v>0.88</v>
      </c>
      <c r="C900">
        <f t="shared" si="183"/>
        <v>4747781865481831</v>
      </c>
      <c r="E900">
        <f t="shared" si="184"/>
        <v>10097.573190409285</v>
      </c>
      <c r="F900" s="28">
        <v>0.88</v>
      </c>
      <c r="G900">
        <f t="shared" si="185"/>
        <v>681.81818181808387</v>
      </c>
      <c r="I900">
        <f t="shared" si="186"/>
        <v>8925829906994569</v>
      </c>
      <c r="J900" s="28">
        <v>0.88</v>
      </c>
      <c r="K900">
        <f t="shared" si="187"/>
        <v>8925829907105842</v>
      </c>
      <c r="M900">
        <f t="shared" si="188"/>
        <v>10036.54275902074</v>
      </c>
      <c r="N900" s="28">
        <v>0.88</v>
      </c>
      <c r="O900">
        <f t="shared" si="189"/>
        <v>1281.8181818179976</v>
      </c>
      <c r="Q900">
        <f t="shared" si="190"/>
        <v>4178048041618713</v>
      </c>
      <c r="R900" s="28">
        <v>0.88</v>
      </c>
      <c r="S900">
        <f t="shared" si="191"/>
        <v>4178048041624611.5</v>
      </c>
      <c r="U900">
        <f t="shared" si="192"/>
        <v>9882879621.4039268</v>
      </c>
      <c r="V900" s="48">
        <v>0.88</v>
      </c>
      <c r="W900">
        <f t="shared" si="193"/>
        <v>9882898245.8686142</v>
      </c>
      <c r="Y900">
        <f t="shared" si="194"/>
        <v>6616.0588578171382</v>
      </c>
      <c r="Z900" s="28">
        <v>0.88</v>
      </c>
      <c r="AA900">
        <f t="shared" si="195"/>
        <v>681.81813477975334</v>
      </c>
    </row>
    <row r="901" spans="1:27" x14ac:dyDescent="0.2">
      <c r="A901">
        <f t="shared" si="182"/>
        <v>4862012977059374</v>
      </c>
      <c r="B901" s="28">
        <v>0.88100000000000001</v>
      </c>
      <c r="C901">
        <f t="shared" si="183"/>
        <v>4862012977165348</v>
      </c>
      <c r="E901">
        <f t="shared" si="184"/>
        <v>10098.347104350052</v>
      </c>
      <c r="F901" s="28">
        <v>0.88100000000000001</v>
      </c>
      <c r="G901">
        <f t="shared" si="185"/>
        <v>681.04426787731666</v>
      </c>
      <c r="I901">
        <f t="shared" si="186"/>
        <v>9145446409936748</v>
      </c>
      <c r="J901" s="28">
        <v>0.88100000000000001</v>
      </c>
      <c r="K901">
        <f t="shared" si="187"/>
        <v>9145446410048020</v>
      </c>
      <c r="M901">
        <f t="shared" si="188"/>
        <v>10037.316672961506</v>
      </c>
      <c r="N901" s="28">
        <v>0.88100000000000001</v>
      </c>
      <c r="O901">
        <f t="shared" si="189"/>
        <v>1281.0442678772326</v>
      </c>
      <c r="Q901">
        <f t="shared" si="190"/>
        <v>4283433432877373.5</v>
      </c>
      <c r="R901" s="28">
        <v>0.88100000000000001</v>
      </c>
      <c r="S901">
        <f t="shared" si="191"/>
        <v>4283433432883272</v>
      </c>
      <c r="U901">
        <f t="shared" si="192"/>
        <v>10058379773.968826</v>
      </c>
      <c r="V901" s="48">
        <v>0.88100000000000001</v>
      </c>
      <c r="W901">
        <f t="shared" si="193"/>
        <v>10058398398.433514</v>
      </c>
      <c r="Y901">
        <f t="shared" si="194"/>
        <v>6616.8327708323141</v>
      </c>
      <c r="Z901" s="28">
        <v>0.88100000000000001</v>
      </c>
      <c r="AA901">
        <f t="shared" si="195"/>
        <v>681.04422176457729</v>
      </c>
    </row>
    <row r="902" spans="1:27" x14ac:dyDescent="0.2">
      <c r="A902">
        <f t="shared" si="182"/>
        <v>4978932971044417</v>
      </c>
      <c r="B902" s="28">
        <v>0.88200000000000001</v>
      </c>
      <c r="C902">
        <f t="shared" si="183"/>
        <v>4978932971150391</v>
      </c>
      <c r="E902">
        <f t="shared" si="184"/>
        <v>10099.119263383924</v>
      </c>
      <c r="F902" s="28">
        <v>0.88200000000000001</v>
      </c>
      <c r="G902">
        <f t="shared" si="185"/>
        <v>680.27210884344447</v>
      </c>
      <c r="I902">
        <f t="shared" si="186"/>
        <v>9370351851593764</v>
      </c>
      <c r="J902" s="28">
        <v>0.88200000000000001</v>
      </c>
      <c r="K902">
        <f t="shared" si="187"/>
        <v>9370351851705036</v>
      </c>
      <c r="M902">
        <f t="shared" si="188"/>
        <v>10038.088831995376</v>
      </c>
      <c r="N902" s="28">
        <v>0.88200000000000001</v>
      </c>
      <c r="O902">
        <f t="shared" si="189"/>
        <v>1280.2721088433625</v>
      </c>
      <c r="Q902">
        <f t="shared" si="190"/>
        <v>4391418880549346.5</v>
      </c>
      <c r="R902" s="28">
        <v>0.88200000000000001</v>
      </c>
      <c r="S902">
        <f t="shared" si="191"/>
        <v>4391418880555245</v>
      </c>
      <c r="U902">
        <f t="shared" si="192"/>
        <v>10237009641.014957</v>
      </c>
      <c r="V902" s="48">
        <v>0.88200000000000001</v>
      </c>
      <c r="W902">
        <f t="shared" si="193"/>
        <v>10237028265.479645</v>
      </c>
      <c r="Y902">
        <f t="shared" si="194"/>
        <v>6617.6049289588673</v>
      </c>
      <c r="Z902" s="28">
        <v>0.88200000000000001</v>
      </c>
      <c r="AA902">
        <f t="shared" si="195"/>
        <v>680.27206363802475</v>
      </c>
    </row>
    <row r="903" spans="1:27" x14ac:dyDescent="0.2">
      <c r="A903">
        <f t="shared" si="182"/>
        <v>5098603737157356</v>
      </c>
      <c r="B903" s="28">
        <v>0.88300000000000001</v>
      </c>
      <c r="C903">
        <f t="shared" si="183"/>
        <v>5098603737263330</v>
      </c>
      <c r="E903">
        <f t="shared" si="184"/>
        <v>10099.889673473212</v>
      </c>
      <c r="F903" s="28">
        <v>0.88300000000000001</v>
      </c>
      <c r="G903">
        <f t="shared" si="185"/>
        <v>679.50169875415634</v>
      </c>
      <c r="I903">
        <f t="shared" si="186"/>
        <v>9600670837155578</v>
      </c>
      <c r="J903" s="28">
        <v>0.88300000000000001</v>
      </c>
      <c r="K903">
        <f t="shared" si="187"/>
        <v>9600670837266850</v>
      </c>
      <c r="M903">
        <f t="shared" si="188"/>
        <v>10038.859242084662</v>
      </c>
      <c r="N903" s="28">
        <v>0.88300000000000001</v>
      </c>
      <c r="O903">
        <f t="shared" si="189"/>
        <v>1279.5016987540764</v>
      </c>
      <c r="Q903">
        <f t="shared" si="190"/>
        <v>4502067099998222</v>
      </c>
      <c r="R903" s="28">
        <v>0.88300000000000001</v>
      </c>
      <c r="S903">
        <f t="shared" si="191"/>
        <v>4502067100004120.5</v>
      </c>
      <c r="U903">
        <f t="shared" si="192"/>
        <v>10418825237.95656</v>
      </c>
      <c r="V903" s="48">
        <v>0.88300000000000001</v>
      </c>
      <c r="W903">
        <f t="shared" si="193"/>
        <v>10418843862.421247</v>
      </c>
      <c r="Y903">
        <f t="shared" si="194"/>
        <v>6618.3753381587449</v>
      </c>
      <c r="Z903" s="28">
        <v>0.88300000000000001</v>
      </c>
      <c r="AA903">
        <f t="shared" si="195"/>
        <v>679.5016544381466</v>
      </c>
    </row>
    <row r="904" spans="1:27" x14ac:dyDescent="0.2">
      <c r="A904">
        <f t="shared" si="182"/>
        <v>5221088557370783</v>
      </c>
      <c r="B904" s="28">
        <v>0.88400000000000001</v>
      </c>
      <c r="C904">
        <f t="shared" si="183"/>
        <v>5221088557476757</v>
      </c>
      <c r="E904">
        <f t="shared" si="184"/>
        <v>10100.658340553247</v>
      </c>
      <c r="F904" s="28">
        <v>0.88400000000000001</v>
      </c>
      <c r="G904">
        <f t="shared" si="185"/>
        <v>678.73303167411996</v>
      </c>
      <c r="I904">
        <f t="shared" si="186"/>
        <v>9836530842174936</v>
      </c>
      <c r="J904" s="28">
        <v>0.88400000000000001</v>
      </c>
      <c r="K904">
        <f t="shared" si="187"/>
        <v>9836530842286208</v>
      </c>
      <c r="M904">
        <f t="shared" si="188"/>
        <v>10039.627909164697</v>
      </c>
      <c r="N904" s="28">
        <v>0.88400000000000001</v>
      </c>
      <c r="O904">
        <f t="shared" si="189"/>
        <v>1278.7330316740417</v>
      </c>
      <c r="Q904">
        <f t="shared" si="190"/>
        <v>4615442284804154</v>
      </c>
      <c r="R904" s="28">
        <v>0.88400000000000001</v>
      </c>
      <c r="S904">
        <f t="shared" si="191"/>
        <v>4615442284810053</v>
      </c>
      <c r="U904">
        <f t="shared" si="192"/>
        <v>10603883585.94458</v>
      </c>
      <c r="V904" s="48">
        <v>0.88400000000000001</v>
      </c>
      <c r="W904">
        <f t="shared" si="193"/>
        <v>10603902210.409267</v>
      </c>
      <c r="Y904">
        <f t="shared" si="194"/>
        <v>6619.1440043669263</v>
      </c>
      <c r="Z904" s="28">
        <v>0.88400000000000001</v>
      </c>
      <c r="AA904">
        <f t="shared" si="195"/>
        <v>678.7329882299656</v>
      </c>
    </row>
    <row r="905" spans="1:27" x14ac:dyDescent="0.2">
      <c r="A905">
        <f t="shared" si="182"/>
        <v>5346452136389106</v>
      </c>
      <c r="B905" s="28">
        <v>0.88500000000000001</v>
      </c>
      <c r="C905">
        <f t="shared" si="183"/>
        <v>5346452136495080</v>
      </c>
      <c r="E905">
        <f t="shared" si="184"/>
        <v>10101.425270532538</v>
      </c>
      <c r="F905" s="28">
        <v>0.88500000000000001</v>
      </c>
      <c r="G905">
        <f t="shared" si="185"/>
        <v>677.96610169482938</v>
      </c>
      <c r="I905">
        <f t="shared" si="186"/>
        <v>1.0078062277181954E+16</v>
      </c>
      <c r="J905" s="28">
        <v>0.88500000000000001</v>
      </c>
      <c r="K905">
        <f t="shared" si="187"/>
        <v>1.0078062277293226E+16</v>
      </c>
      <c r="M905">
        <f t="shared" si="188"/>
        <v>10040.394839143984</v>
      </c>
      <c r="N905" s="28">
        <v>0.88500000000000001</v>
      </c>
      <c r="O905">
        <f t="shared" si="189"/>
        <v>1277.9661016947532</v>
      </c>
      <c r="Q905">
        <f t="shared" si="190"/>
        <v>4731610140792847</v>
      </c>
      <c r="R905" s="28">
        <v>0.88500000000000001</v>
      </c>
      <c r="S905">
        <f t="shared" si="191"/>
        <v>4731610140798746</v>
      </c>
      <c r="U905">
        <f t="shared" si="192"/>
        <v>10792242729.974937</v>
      </c>
      <c r="V905" s="48">
        <v>0.88500000000000001</v>
      </c>
      <c r="W905">
        <f t="shared" si="193"/>
        <v>10792261354.439625</v>
      </c>
      <c r="Y905">
        <f t="shared" si="194"/>
        <v>6619.9109334915684</v>
      </c>
      <c r="Z905" s="28">
        <v>0.88500000000000001</v>
      </c>
      <c r="AA905">
        <f t="shared" si="195"/>
        <v>677.96605910532344</v>
      </c>
    </row>
    <row r="906" spans="1:27" x14ac:dyDescent="0.2">
      <c r="A906">
        <f t="shared" si="182"/>
        <v>5474760632889923</v>
      </c>
      <c r="B906" s="28">
        <v>0.88600000000000001</v>
      </c>
      <c r="C906">
        <f t="shared" si="183"/>
        <v>5474760632995897</v>
      </c>
      <c r="E906">
        <f t="shared" si="184"/>
        <v>10102.190469292915</v>
      </c>
      <c r="F906" s="28">
        <v>0.88600000000000001</v>
      </c>
      <c r="G906">
        <f t="shared" si="185"/>
        <v>677.20090293445355</v>
      </c>
      <c r="I906">
        <f t="shared" si="186"/>
        <v>1.0325398553718992E+16</v>
      </c>
      <c r="J906" s="28">
        <v>0.88600000000000001</v>
      </c>
      <c r="K906">
        <f t="shared" si="187"/>
        <v>1.0325398553830264E+16</v>
      </c>
      <c r="M906">
        <f t="shared" si="188"/>
        <v>10041.160037904359</v>
      </c>
      <c r="N906" s="28">
        <v>0.88600000000000001</v>
      </c>
      <c r="O906">
        <f t="shared" si="189"/>
        <v>1277.2009029343792</v>
      </c>
      <c r="Q906">
        <f t="shared" si="190"/>
        <v>4850637920829066</v>
      </c>
      <c r="R906" s="28">
        <v>0.88600000000000001</v>
      </c>
      <c r="S906">
        <f t="shared" si="191"/>
        <v>4850637920834965</v>
      </c>
      <c r="U906">
        <f t="shared" si="192"/>
        <v>10983961757.323242</v>
      </c>
      <c r="V906" s="48">
        <v>0.88600000000000001</v>
      </c>
      <c r="W906">
        <f t="shared" si="193"/>
        <v>10983980381.78793</v>
      </c>
      <c r="Y906">
        <f t="shared" si="194"/>
        <v>6620.6761314141622</v>
      </c>
      <c r="Z906" s="28">
        <v>0.88600000000000001</v>
      </c>
      <c r="AA906">
        <f t="shared" si="195"/>
        <v>677.2008611827298</v>
      </c>
    </row>
    <row r="907" spans="1:27" x14ac:dyDescent="0.2">
      <c r="A907">
        <f t="shared" si="182"/>
        <v>5606081691435448</v>
      </c>
      <c r="B907" s="28">
        <v>0.88700000000000001</v>
      </c>
      <c r="C907">
        <f t="shared" si="183"/>
        <v>5606081691541422</v>
      </c>
      <c r="E907">
        <f t="shared" si="184"/>
        <v>10102.953942689683</v>
      </c>
      <c r="F907" s="28">
        <v>0.88700000000000001</v>
      </c>
      <c r="G907">
        <f t="shared" si="185"/>
        <v>676.43742953768617</v>
      </c>
      <c r="I907">
        <f t="shared" si="186"/>
        <v>1.057867615182739E+16</v>
      </c>
      <c r="J907" s="28">
        <v>0.88700000000000001</v>
      </c>
      <c r="K907">
        <f t="shared" si="187"/>
        <v>1.0578676151938662E+16</v>
      </c>
      <c r="M907">
        <f t="shared" si="188"/>
        <v>10041.923511301124</v>
      </c>
      <c r="N907" s="28">
        <v>0.88700000000000001</v>
      </c>
      <c r="O907">
        <f t="shared" si="189"/>
        <v>1276.4374295376138</v>
      </c>
      <c r="Q907">
        <f t="shared" si="190"/>
        <v>4972594460391942</v>
      </c>
      <c r="R907" s="28">
        <v>0.88700000000000001</v>
      </c>
      <c r="S907">
        <f t="shared" si="191"/>
        <v>4972594460397841</v>
      </c>
      <c r="U907">
        <f t="shared" si="192"/>
        <v>11179100816.312666</v>
      </c>
      <c r="V907" s="48">
        <v>0.88700000000000001</v>
      </c>
      <c r="W907">
        <f t="shared" si="193"/>
        <v>11179119440.777353</v>
      </c>
      <c r="Y907">
        <f t="shared" si="194"/>
        <v>6621.4396039896792</v>
      </c>
      <c r="Z907" s="28">
        <v>0.88700000000000001</v>
      </c>
      <c r="AA907">
        <f t="shared" si="195"/>
        <v>676.43738860721237</v>
      </c>
    </row>
    <row r="908" spans="1:27" x14ac:dyDescent="0.2">
      <c r="A908">
        <f t="shared" si="182"/>
        <v>5740484475067258</v>
      </c>
      <c r="B908" s="28">
        <v>0.88800000000000001</v>
      </c>
      <c r="C908">
        <f t="shared" si="183"/>
        <v>5740484475173232</v>
      </c>
      <c r="E908">
        <f t="shared" si="184"/>
        <v>10103.715696551772</v>
      </c>
      <c r="F908" s="28">
        <v>0.88800000000000001</v>
      </c>
      <c r="G908">
        <f t="shared" si="185"/>
        <v>675.67567567559615</v>
      </c>
      <c r="I908">
        <f t="shared" si="186"/>
        <v>1.083803468901579E+16</v>
      </c>
      <c r="J908" s="28">
        <v>0.88800000000000001</v>
      </c>
      <c r="K908">
        <f t="shared" si="187"/>
        <v>1.0838034689127062E+16</v>
      </c>
      <c r="M908">
        <f t="shared" si="188"/>
        <v>10042.685265163213</v>
      </c>
      <c r="N908" s="28">
        <v>0.88800000000000001</v>
      </c>
      <c r="O908">
        <f t="shared" si="189"/>
        <v>1275.6756756755256</v>
      </c>
      <c r="Q908">
        <f t="shared" si="190"/>
        <v>5097550213948531</v>
      </c>
      <c r="R908" s="28">
        <v>0.88800000000000001</v>
      </c>
      <c r="S908">
        <f t="shared" si="191"/>
        <v>5097550213954430</v>
      </c>
      <c r="U908">
        <f t="shared" si="192"/>
        <v>11377721135.420389</v>
      </c>
      <c r="V908" s="48">
        <v>0.88800000000000001</v>
      </c>
      <c r="W908">
        <f t="shared" si="193"/>
        <v>11377739759.885077</v>
      </c>
      <c r="Y908">
        <f t="shared" si="194"/>
        <v>6622.2013570467243</v>
      </c>
      <c r="Z908" s="28">
        <v>0.88800000000000001</v>
      </c>
      <c r="AA908">
        <f t="shared" si="195"/>
        <v>675.67563555016739</v>
      </c>
    </row>
    <row r="909" spans="1:27" x14ac:dyDescent="0.2">
      <c r="A909">
        <f t="shared" si="182"/>
        <v>5878039698599080</v>
      </c>
      <c r="B909" s="28">
        <v>0.88900000000000001</v>
      </c>
      <c r="C909">
        <f t="shared" si="183"/>
        <v>5878039698705054</v>
      </c>
      <c r="E909">
        <f t="shared" si="184"/>
        <v>10104.475736681889</v>
      </c>
      <c r="F909" s="28">
        <v>0.88900000000000001</v>
      </c>
      <c r="G909">
        <f t="shared" si="185"/>
        <v>674.91563554547929</v>
      </c>
      <c r="I909">
        <f t="shared" si="186"/>
        <v>1.1103616990742578E+16</v>
      </c>
      <c r="J909" s="28">
        <v>0.88900000000000001</v>
      </c>
      <c r="K909">
        <f t="shared" si="187"/>
        <v>1.110361699085385E+16</v>
      </c>
      <c r="M909">
        <f t="shared" si="188"/>
        <v>10043.445305293328</v>
      </c>
      <c r="N909" s="28">
        <v>0.88900000000000001</v>
      </c>
      <c r="O909">
        <f t="shared" si="189"/>
        <v>1274.9156355454106</v>
      </c>
      <c r="Q909">
        <f t="shared" si="190"/>
        <v>5225577292143494</v>
      </c>
      <c r="R909" s="28">
        <v>0.88900000000000001</v>
      </c>
      <c r="S909">
        <f t="shared" si="191"/>
        <v>5225577292149393</v>
      </c>
      <c r="U909">
        <f t="shared" si="192"/>
        <v>11579885042.728939</v>
      </c>
      <c r="V909" s="48">
        <v>0.88900000000000001</v>
      </c>
      <c r="W909">
        <f t="shared" si="193"/>
        <v>11579903667.193626</v>
      </c>
      <c r="Y909">
        <f t="shared" si="194"/>
        <v>6622.96139638768</v>
      </c>
      <c r="Z909" s="28">
        <v>0.88900000000000001</v>
      </c>
      <c r="AA909">
        <f t="shared" si="195"/>
        <v>674.91559620921157</v>
      </c>
    </row>
    <row r="910" spans="1:27" x14ac:dyDescent="0.2">
      <c r="A910">
        <f t="shared" si="182"/>
        <v>6018819662622078</v>
      </c>
      <c r="B910" s="28">
        <v>0.89</v>
      </c>
      <c r="C910">
        <f t="shared" si="183"/>
        <v>6018819662728052</v>
      </c>
      <c r="E910">
        <f t="shared" si="184"/>
        <v>10105.234068856656</v>
      </c>
      <c r="F910" s="28">
        <v>0.89</v>
      </c>
      <c r="G910">
        <f t="shared" si="185"/>
        <v>674.15730337071102</v>
      </c>
      <c r="I910">
        <f t="shared" si="186"/>
        <v>1.1375569162444746E+16</v>
      </c>
      <c r="J910" s="28">
        <v>0.89</v>
      </c>
      <c r="K910">
        <f t="shared" si="187"/>
        <v>1.1375569162556018E+16</v>
      </c>
      <c r="M910">
        <f t="shared" si="188"/>
        <v>10044.203637468094</v>
      </c>
      <c r="N910" s="28">
        <v>0.89</v>
      </c>
      <c r="O910">
        <f t="shared" si="189"/>
        <v>1274.1573033706436</v>
      </c>
      <c r="Q910">
        <f t="shared" si="190"/>
        <v>5356749499822667</v>
      </c>
      <c r="R910" s="28">
        <v>0.89</v>
      </c>
      <c r="S910">
        <f t="shared" si="191"/>
        <v>5356749499828566</v>
      </c>
      <c r="U910">
        <f t="shared" si="192"/>
        <v>11785655985.728903</v>
      </c>
      <c r="V910" s="48">
        <v>0.89</v>
      </c>
      <c r="W910">
        <f t="shared" si="193"/>
        <v>11785674610.19359</v>
      </c>
      <c r="Y910">
        <f t="shared" si="194"/>
        <v>6623.7197277888572</v>
      </c>
      <c r="Z910" s="28">
        <v>0.89</v>
      </c>
      <c r="AA910">
        <f t="shared" si="195"/>
        <v>674.15726480803471</v>
      </c>
    </row>
    <row r="911" spans="1:27" x14ac:dyDescent="0.2">
      <c r="A911">
        <f t="shared" si="182"/>
        <v>6162898288237475</v>
      </c>
      <c r="B911" s="28">
        <v>0.89100000000000001</v>
      </c>
      <c r="C911">
        <f t="shared" si="183"/>
        <v>6162898288343449</v>
      </c>
      <c r="E911">
        <f t="shared" si="184"/>
        <v>10105.990698826768</v>
      </c>
      <c r="F911" s="28">
        <v>0.89100000000000001</v>
      </c>
      <c r="G911">
        <f t="shared" si="185"/>
        <v>673.40067340059989</v>
      </c>
      <c r="I911">
        <f t="shared" si="186"/>
        <v>1.165404066314619E+16</v>
      </c>
      <c r="J911" s="28">
        <v>0.89100000000000001</v>
      </c>
      <c r="K911">
        <f t="shared" si="187"/>
        <v>1.1654040663257462E+16</v>
      </c>
      <c r="M911">
        <f t="shared" si="188"/>
        <v>10044.960267438204</v>
      </c>
      <c r="N911" s="28">
        <v>0.89100000000000001</v>
      </c>
      <c r="O911">
        <f t="shared" si="189"/>
        <v>1273.4006734005343</v>
      </c>
      <c r="Q911">
        <f t="shared" si="190"/>
        <v>5491142374908714</v>
      </c>
      <c r="R911" s="28">
        <v>0.89100000000000001</v>
      </c>
      <c r="S911">
        <f t="shared" si="191"/>
        <v>5491142374914613</v>
      </c>
      <c r="U911">
        <f t="shared" si="192"/>
        <v>11995098551.478727</v>
      </c>
      <c r="V911" s="48">
        <v>0.89100000000000001</v>
      </c>
      <c r="W911">
        <f t="shared" si="193"/>
        <v>11995117175.943415</v>
      </c>
      <c r="Y911">
        <f t="shared" si="194"/>
        <v>6624.476357000638</v>
      </c>
      <c r="Z911" s="28">
        <v>0.89100000000000001</v>
      </c>
      <c r="AA911">
        <f t="shared" si="195"/>
        <v>673.40063559625401</v>
      </c>
    </row>
    <row r="912" spans="1:27" x14ac:dyDescent="0.2">
      <c r="A912">
        <f t="shared" si="182"/>
        <v>6310351152532037</v>
      </c>
      <c r="B912" s="28">
        <v>0.89200000000000002</v>
      </c>
      <c r="C912">
        <f t="shared" si="183"/>
        <v>6310351152638011</v>
      </c>
      <c r="E912">
        <f t="shared" si="184"/>
        <v>10106.745632317126</v>
      </c>
      <c r="F912" s="28">
        <v>0.89200000000000002</v>
      </c>
      <c r="G912">
        <f t="shared" si="185"/>
        <v>672.64573991024213</v>
      </c>
      <c r="I912">
        <f t="shared" si="186"/>
        <v>1.1939184380679844E+16</v>
      </c>
      <c r="J912" s="28">
        <v>0.89200000000000002</v>
      </c>
      <c r="K912">
        <f t="shared" si="187"/>
        <v>1.1939184380791116E+16</v>
      </c>
      <c r="M912">
        <f t="shared" si="188"/>
        <v>10045.71520092856</v>
      </c>
      <c r="N912" s="28">
        <v>0.89200000000000002</v>
      </c>
      <c r="O912">
        <f t="shared" si="189"/>
        <v>1272.6457399101782</v>
      </c>
      <c r="Q912">
        <f t="shared" si="190"/>
        <v>5628833228147807</v>
      </c>
      <c r="R912" s="28">
        <v>0.89200000000000002</v>
      </c>
      <c r="S912">
        <f t="shared" si="191"/>
        <v>5628833228153706</v>
      </c>
      <c r="U912">
        <f t="shared" si="192"/>
        <v>12208278487.128864</v>
      </c>
      <c r="V912" s="48">
        <v>0.89200000000000002</v>
      </c>
      <c r="W912">
        <f t="shared" si="193"/>
        <v>12208297111.593552</v>
      </c>
      <c r="Y912">
        <f t="shared" si="194"/>
        <v>6625.231289747624</v>
      </c>
      <c r="Z912" s="28">
        <v>0.89200000000000002</v>
      </c>
      <c r="AA912">
        <f t="shared" si="195"/>
        <v>672.64570284926742</v>
      </c>
    </row>
    <row r="913" spans="1:27" x14ac:dyDescent="0.2">
      <c r="A913">
        <f t="shared" si="182"/>
        <v>6461255524811264</v>
      </c>
      <c r="B913" s="28">
        <v>0.89300000000000002</v>
      </c>
      <c r="C913">
        <f t="shared" si="183"/>
        <v>6461255524917238</v>
      </c>
      <c r="E913">
        <f t="shared" si="184"/>
        <v>10107.498875026989</v>
      </c>
      <c r="F913" s="28">
        <v>0.89300000000000002</v>
      </c>
      <c r="G913">
        <f t="shared" si="185"/>
        <v>671.89249720037799</v>
      </c>
      <c r="I913">
        <f t="shared" si="186"/>
        <v>1.223115670855706E+16</v>
      </c>
      <c r="J913" s="28">
        <v>0.89300000000000002</v>
      </c>
      <c r="K913">
        <f t="shared" si="187"/>
        <v>1.2231156708668332E+16</v>
      </c>
      <c r="M913">
        <f t="shared" si="188"/>
        <v>10046.468443638423</v>
      </c>
      <c r="N913" s="28">
        <v>0.89300000000000002</v>
      </c>
      <c r="O913">
        <f t="shared" si="189"/>
        <v>1271.8924972003153</v>
      </c>
      <c r="Q913">
        <f t="shared" si="190"/>
        <v>5769901183745795</v>
      </c>
      <c r="R913" s="28">
        <v>0.89300000000000002</v>
      </c>
      <c r="S913">
        <f t="shared" si="191"/>
        <v>5769901183751694</v>
      </c>
      <c r="U913">
        <f t="shared" si="192"/>
        <v>12425262720.816257</v>
      </c>
      <c r="V913" s="48">
        <v>0.89300000000000002</v>
      </c>
      <c r="W913">
        <f t="shared" si="193"/>
        <v>12425281345.280945</v>
      </c>
      <c r="Y913">
        <f t="shared" si="194"/>
        <v>6625.98453172878</v>
      </c>
      <c r="Z913" s="28">
        <v>0.89300000000000002</v>
      </c>
      <c r="AA913">
        <f t="shared" si="195"/>
        <v>671.89246086811147</v>
      </c>
    </row>
    <row r="914" spans="1:27" x14ac:dyDescent="0.2">
      <c r="A914">
        <f t="shared" si="182"/>
        <v>6615690403606430</v>
      </c>
      <c r="B914" s="28">
        <v>0.89400000000000002</v>
      </c>
      <c r="C914">
        <f t="shared" si="183"/>
        <v>6615690403712404</v>
      </c>
      <c r="E914">
        <f t="shared" si="184"/>
        <v>10108.25043263012</v>
      </c>
      <c r="F914" s="28">
        <v>0.89400000000000002</v>
      </c>
      <c r="G914">
        <f t="shared" si="185"/>
        <v>671.14093959724732</v>
      </c>
      <c r="I914">
        <f t="shared" si="186"/>
        <v>1.2530117624520024E+16</v>
      </c>
      <c r="J914" s="28">
        <v>0.89400000000000002</v>
      </c>
      <c r="K914">
        <f t="shared" si="187"/>
        <v>1.2530117624631296E+16</v>
      </c>
      <c r="M914">
        <f t="shared" si="188"/>
        <v>10047.220001241552</v>
      </c>
      <c r="N914" s="28">
        <v>0.89400000000000002</v>
      </c>
      <c r="O914">
        <f t="shared" si="189"/>
        <v>1271.1409395971866</v>
      </c>
      <c r="Q914">
        <f t="shared" si="190"/>
        <v>5914427220913590</v>
      </c>
      <c r="R914" s="28">
        <v>0.89400000000000002</v>
      </c>
      <c r="S914">
        <f t="shared" si="191"/>
        <v>5914427220919489</v>
      </c>
      <c r="U914">
        <f t="shared" si="192"/>
        <v>12646119382.936335</v>
      </c>
      <c r="V914" s="48">
        <v>0.89400000000000002</v>
      </c>
      <c r="W914">
        <f t="shared" si="193"/>
        <v>12646138007.401022</v>
      </c>
      <c r="Y914">
        <f t="shared" si="194"/>
        <v>6626.7360886175757</v>
      </c>
      <c r="Z914" s="28">
        <v>0.89400000000000002</v>
      </c>
      <c r="AA914">
        <f t="shared" si="195"/>
        <v>671.14090397931602</v>
      </c>
    </row>
    <row r="915" spans="1:27" x14ac:dyDescent="0.2">
      <c r="A915">
        <f t="shared" si="182"/>
        <v>6773736554471923</v>
      </c>
      <c r="B915" s="28">
        <v>0.89500000000000002</v>
      </c>
      <c r="C915">
        <f t="shared" si="183"/>
        <v>6773736554577897</v>
      </c>
      <c r="E915">
        <f t="shared" si="184"/>
        <v>10109.00031077492</v>
      </c>
      <c r="F915" s="28">
        <v>0.89500000000000002</v>
      </c>
      <c r="G915">
        <f t="shared" si="185"/>
        <v>670.39106145244762</v>
      </c>
      <c r="I915">
        <f t="shared" si="186"/>
        <v>1.2836230770813842E+16</v>
      </c>
      <c r="J915" s="28">
        <v>0.89500000000000002</v>
      </c>
      <c r="K915">
        <f t="shared" si="187"/>
        <v>1.2836230770925114E+16</v>
      </c>
      <c r="M915">
        <f t="shared" si="188"/>
        <v>10047.96987938635</v>
      </c>
      <c r="N915" s="28">
        <v>0.89500000000000002</v>
      </c>
      <c r="O915">
        <f t="shared" si="189"/>
        <v>1270.3910614523882</v>
      </c>
      <c r="Q915">
        <f t="shared" si="190"/>
        <v>6062494216341919</v>
      </c>
      <c r="R915" s="28">
        <v>0.89500000000000002</v>
      </c>
      <c r="S915">
        <f t="shared" si="191"/>
        <v>6062494216347818</v>
      </c>
      <c r="U915">
        <f t="shared" si="192"/>
        <v>12870917827.798622</v>
      </c>
      <c r="V915" s="48">
        <v>0.89500000000000002</v>
      </c>
      <c r="W915">
        <f t="shared" si="193"/>
        <v>12870936452.263309</v>
      </c>
      <c r="Y915">
        <f t="shared" si="194"/>
        <v>6627.4859660621287</v>
      </c>
      <c r="Z915" s="28">
        <v>0.89500000000000002</v>
      </c>
      <c r="AA915">
        <f t="shared" si="195"/>
        <v>670.39102653476311</v>
      </c>
    </row>
    <row r="916" spans="1:27" x14ac:dyDescent="0.2">
      <c r="A916">
        <f t="shared" si="182"/>
        <v>6935476548588900</v>
      </c>
      <c r="B916" s="28">
        <v>0.89600000000000002</v>
      </c>
      <c r="C916">
        <f t="shared" si="183"/>
        <v>6935476548694874</v>
      </c>
      <c r="E916">
        <f t="shared" si="184"/>
        <v>10109.748515084575</v>
      </c>
      <c r="F916" s="28">
        <v>0.89600000000000002</v>
      </c>
      <c r="G916">
        <f t="shared" si="185"/>
        <v>669.64285714279242</v>
      </c>
      <c r="I916">
        <f t="shared" si="186"/>
        <v>1.3149663536214208E+16</v>
      </c>
      <c r="J916" s="28">
        <v>0.89600000000000002</v>
      </c>
      <c r="K916">
        <f t="shared" si="187"/>
        <v>1.314966353632548E+16</v>
      </c>
      <c r="M916">
        <f t="shared" si="188"/>
        <v>10048.718083696003</v>
      </c>
      <c r="N916" s="28">
        <v>0.89600000000000002</v>
      </c>
      <c r="O916">
        <f t="shared" si="189"/>
        <v>1269.6428571427346</v>
      </c>
      <c r="Q916">
        <f t="shared" si="190"/>
        <v>6214186987625308</v>
      </c>
      <c r="R916" s="28">
        <v>0.89600000000000002</v>
      </c>
      <c r="S916">
        <f t="shared" si="191"/>
        <v>6214186987631207</v>
      </c>
      <c r="U916">
        <f t="shared" si="192"/>
        <v>13099728655.67388</v>
      </c>
      <c r="V916" s="48">
        <v>0.89600000000000002</v>
      </c>
      <c r="W916">
        <f t="shared" si="193"/>
        <v>13099747280.138567</v>
      </c>
      <c r="Y916">
        <f t="shared" si="194"/>
        <v>6628.2341696853464</v>
      </c>
      <c r="Z916" s="28">
        <v>0.89600000000000002</v>
      </c>
      <c r="AA916">
        <f t="shared" si="195"/>
        <v>669.64282291154541</v>
      </c>
    </row>
    <row r="917" spans="1:27" x14ac:dyDescent="0.2">
      <c r="A917">
        <f t="shared" si="182"/>
        <v>7100994802191957</v>
      </c>
      <c r="B917" s="28">
        <v>0.89700000000000002</v>
      </c>
      <c r="C917">
        <f t="shared" si="183"/>
        <v>7100994802297931</v>
      </c>
      <c r="E917">
        <f t="shared" si="184"/>
        <v>10110.495051157197</v>
      </c>
      <c r="F917" s="28">
        <v>0.89700000000000002</v>
      </c>
      <c r="G917">
        <f t="shared" si="185"/>
        <v>668.8963210701711</v>
      </c>
      <c r="I917">
        <f t="shared" si="186"/>
        <v>1.3470587139847902E+16</v>
      </c>
      <c r="J917" s="28">
        <v>0.89700000000000002</v>
      </c>
      <c r="K917">
        <f t="shared" si="187"/>
        <v>1.3470587139959174E+16</v>
      </c>
      <c r="M917">
        <f t="shared" si="188"/>
        <v>10049.464619768623</v>
      </c>
      <c r="N917" s="28">
        <v>0.89700000000000002</v>
      </c>
      <c r="O917">
        <f t="shared" si="189"/>
        <v>1268.8963210701147</v>
      </c>
      <c r="Q917">
        <f t="shared" si="190"/>
        <v>6369592337655945</v>
      </c>
      <c r="R917" s="28">
        <v>0.89700000000000002</v>
      </c>
      <c r="S917">
        <f t="shared" si="191"/>
        <v>6369592337661844</v>
      </c>
      <c r="U917">
        <f t="shared" si="192"/>
        <v>13332623735.239029</v>
      </c>
      <c r="V917" s="48">
        <v>0.89700000000000002</v>
      </c>
      <c r="W917">
        <f t="shared" si="193"/>
        <v>13332642359.703716</v>
      </c>
      <c r="Y917">
        <f t="shared" si="194"/>
        <v>6628.9807050850668</v>
      </c>
      <c r="Z917" s="28">
        <v>0.89700000000000002</v>
      </c>
      <c r="AA917">
        <f t="shared" si="195"/>
        <v>668.89628751182511</v>
      </c>
    </row>
    <row r="918" spans="1:27" x14ac:dyDescent="0.2">
      <c r="A918">
        <f t="shared" ref="A918:A981" si="196">ABS($D$11-C918)</f>
        <v>7270377616836292</v>
      </c>
      <c r="B918" s="28">
        <v>0.89800000000000002</v>
      </c>
      <c r="C918">
        <f t="shared" ref="C918:C981" si="197">($B$4)*(((1+B918)^($B$6*$B$5))-1)/B918</f>
        <v>7270377616942266</v>
      </c>
      <c r="E918">
        <f t="shared" ref="E918:E981" si="198">ABS($E$12-G918)</f>
        <v>10111.23992456596</v>
      </c>
      <c r="F918" s="28">
        <v>0.89800000000000002</v>
      </c>
      <c r="G918">
        <f t="shared" ref="G918:G981" si="199">$B$4*(((1-(1+F918)^(-$B$5*$B$6)))/F918)</f>
        <v>668.1514476614085</v>
      </c>
      <c r="I918">
        <f t="shared" ref="I918:I981" si="200">ABS($F$11-K918)</f>
        <v>1.3799176716845154E+16</v>
      </c>
      <c r="J918" s="28">
        <v>0.89800000000000002</v>
      </c>
      <c r="K918">
        <f t="shared" ref="K918:K981" si="201">($B$4*(1+J918)*(((1+J918)^($B$6*$B$5))-1))/J918</f>
        <v>1.3799176716956426E+16</v>
      </c>
      <c r="M918">
        <f t="shared" ref="M918:M981" si="202">ABS($G$12-O918)</f>
        <v>10050.209493177385</v>
      </c>
      <c r="N918" s="28">
        <v>0.89800000000000002</v>
      </c>
      <c r="O918">
        <f t="shared" ref="O918:O981" si="203">($B$4*(1+N918)*(1-((1+N918)^(-$B$6*$B$5))))/N918</f>
        <v>1268.1514476613536</v>
      </c>
      <c r="Q918">
        <f t="shared" ref="Q918:Q981" si="204">ABS($H$11-S918)</f>
        <v>6528799100008856</v>
      </c>
      <c r="R918" s="28">
        <v>0.89800000000000002</v>
      </c>
      <c r="S918">
        <f t="shared" ref="S918:S981" si="205">$B$3*((1+R918)^($B$6*$B$5))</f>
        <v>6528799100014755</v>
      </c>
      <c r="U918">
        <f t="shared" ref="U918:U981" si="206">ABS($I$11-W918)</f>
        <v>13569676226.427713</v>
      </c>
      <c r="V918" s="48">
        <v>0.89800000000000002</v>
      </c>
      <c r="W918">
        <f t="shared" ref="W918:W981" si="207">($B$4*(EXP(V918*$B$6)-1))/V918</f>
        <v>13569694850.892401</v>
      </c>
      <c r="Y918">
        <f t="shared" ref="Y918:Y981" si="208">ABS($I$12-AA918)</f>
        <v>6629.7255778341969</v>
      </c>
      <c r="Z918" s="28">
        <v>0.89800000000000002</v>
      </c>
      <c r="AA918">
        <f t="shared" ref="AA918:AA981" si="209">$B$4*(1-EXP(-Z918*$B$6))/Z918</f>
        <v>668.15141476269514</v>
      </c>
    </row>
    <row r="919" spans="1:27" x14ac:dyDescent="0.2">
      <c r="A919">
        <f t="shared" si="196"/>
        <v>7443713220522750</v>
      </c>
      <c r="B919" s="28">
        <v>0.89900000000000002</v>
      </c>
      <c r="C919">
        <f t="shared" si="197"/>
        <v>7443713220628724</v>
      </c>
      <c r="E919">
        <f t="shared" si="198"/>
        <v>10111.983140859242</v>
      </c>
      <c r="F919" s="28">
        <v>0.89900000000000002</v>
      </c>
      <c r="G919">
        <f t="shared" si="199"/>
        <v>667.40823136812696</v>
      </c>
      <c r="I919">
        <f t="shared" si="200"/>
        <v>1.4135611405862676E+16</v>
      </c>
      <c r="J919" s="28">
        <v>0.89900000000000002</v>
      </c>
      <c r="K919">
        <f t="shared" si="201"/>
        <v>1.4135611405973948E+16</v>
      </c>
      <c r="M919">
        <f t="shared" si="202"/>
        <v>10050.952709470665</v>
      </c>
      <c r="N919" s="28">
        <v>0.89900000000000002</v>
      </c>
      <c r="O919">
        <f t="shared" si="203"/>
        <v>1267.4082313680731</v>
      </c>
      <c r="Q919">
        <f t="shared" si="204"/>
        <v>6691898185339924</v>
      </c>
      <c r="R919" s="28">
        <v>0.89900000000000002</v>
      </c>
      <c r="S919">
        <f t="shared" si="205"/>
        <v>6691898185345823</v>
      </c>
      <c r="U919">
        <f t="shared" si="206"/>
        <v>13810960603.693016</v>
      </c>
      <c r="V919" s="48">
        <v>0.89900000000000002</v>
      </c>
      <c r="W919">
        <f t="shared" si="207"/>
        <v>13810979228.157703</v>
      </c>
      <c r="Y919">
        <f t="shared" si="208"/>
        <v>6630.4687934808517</v>
      </c>
      <c r="Z919" s="28">
        <v>0.89900000000000002</v>
      </c>
      <c r="AA919">
        <f t="shared" si="209"/>
        <v>667.40819911604035</v>
      </c>
    </row>
    <row r="920" spans="1:27" x14ac:dyDescent="0.2">
      <c r="A920">
        <f t="shared" si="196"/>
        <v>7621091809698389</v>
      </c>
      <c r="B920" s="28">
        <v>0.9</v>
      </c>
      <c r="C920">
        <f t="shared" si="197"/>
        <v>7621091809804363</v>
      </c>
      <c r="E920">
        <f t="shared" si="198"/>
        <v>10112.72470556076</v>
      </c>
      <c r="F920" s="28">
        <v>0.9</v>
      </c>
      <c r="G920">
        <f t="shared" si="199"/>
        <v>666.66666666660831</v>
      </c>
      <c r="I920">
        <f t="shared" si="200"/>
        <v>1.4480074438517018E+16</v>
      </c>
      <c r="J920" s="28">
        <v>0.9</v>
      </c>
      <c r="K920">
        <f t="shared" si="201"/>
        <v>1.448007443862829E+16</v>
      </c>
      <c r="M920">
        <f t="shared" si="202"/>
        <v>10051.694274172183</v>
      </c>
      <c r="N920" s="28">
        <v>0.9</v>
      </c>
      <c r="O920">
        <f t="shared" si="203"/>
        <v>1266.6666666665558</v>
      </c>
      <c r="Q920">
        <f t="shared" si="204"/>
        <v>6858982628818628</v>
      </c>
      <c r="R920" s="28">
        <v>0.9</v>
      </c>
      <c r="S920">
        <f t="shared" si="205"/>
        <v>6858982628824527</v>
      </c>
      <c r="U920">
        <f t="shared" si="206"/>
        <v>14056552679.690783</v>
      </c>
      <c r="V920" s="48">
        <v>0.9</v>
      </c>
      <c r="W920">
        <f t="shared" si="207"/>
        <v>14056571304.15547</v>
      </c>
      <c r="Y920">
        <f t="shared" si="208"/>
        <v>6631.2103575484916</v>
      </c>
      <c r="Z920" s="28">
        <v>0.9</v>
      </c>
      <c r="AA920">
        <f t="shared" si="209"/>
        <v>666.66663504839983</v>
      </c>
    </row>
    <row r="921" spans="1:27" x14ac:dyDescent="0.2">
      <c r="A921">
        <f t="shared" si="196"/>
        <v>7802605592151094</v>
      </c>
      <c r="B921" s="28">
        <v>0.90100000000000002</v>
      </c>
      <c r="C921">
        <f t="shared" si="197"/>
        <v>7802605592257068</v>
      </c>
      <c r="E921">
        <f t="shared" si="198"/>
        <v>10113.464624169712</v>
      </c>
      <c r="F921" s="28">
        <v>0.90100000000000002</v>
      </c>
      <c r="G921">
        <f t="shared" si="199"/>
        <v>665.92674805765671</v>
      </c>
      <c r="I921">
        <f t="shared" si="200"/>
        <v>1.4832753230769412E+16</v>
      </c>
      <c r="J921" s="28">
        <v>0.90100000000000002</v>
      </c>
      <c r="K921">
        <f t="shared" si="201"/>
        <v>1.4832753230880684E+16</v>
      </c>
      <c r="M921">
        <f t="shared" si="202"/>
        <v>10052.434192781133</v>
      </c>
      <c r="N921" s="28">
        <v>0.90100000000000002</v>
      </c>
      <c r="O921">
        <f t="shared" si="203"/>
        <v>1265.9267480576054</v>
      </c>
      <c r="Q921">
        <f t="shared" si="204"/>
        <v>7030147638618319</v>
      </c>
      <c r="R921" s="28">
        <v>0.90100000000000002</v>
      </c>
      <c r="S921">
        <f t="shared" si="205"/>
        <v>7030147638624218</v>
      </c>
      <c r="U921">
        <f t="shared" si="206"/>
        <v>14306529629.390369</v>
      </c>
      <c r="V921" s="48">
        <v>0.90100000000000002</v>
      </c>
      <c r="W921">
        <f t="shared" si="207"/>
        <v>14306548253.855057</v>
      </c>
      <c r="Y921">
        <f t="shared" si="208"/>
        <v>6631.9502755360618</v>
      </c>
      <c r="Z921" s="28">
        <v>0.90100000000000002</v>
      </c>
      <c r="AA921">
        <f t="shared" si="209"/>
        <v>665.9267170608299</v>
      </c>
    </row>
    <row r="922" spans="1:27" x14ac:dyDescent="0.2">
      <c r="A922">
        <f t="shared" si="196"/>
        <v>7988348830816005</v>
      </c>
      <c r="B922" s="28">
        <v>0.90200000000000002</v>
      </c>
      <c r="C922">
        <f t="shared" si="197"/>
        <v>7988348830921979</v>
      </c>
      <c r="E922">
        <f t="shared" si="198"/>
        <v>10114.202902160905</v>
      </c>
      <c r="F922" s="28">
        <v>0.90200000000000002</v>
      </c>
      <c r="G922">
        <f t="shared" si="199"/>
        <v>665.18847006646342</v>
      </c>
      <c r="I922">
        <f t="shared" si="200"/>
        <v>1.5193839476302332E+16</v>
      </c>
      <c r="J922" s="28">
        <v>0.90200000000000002</v>
      </c>
      <c r="K922">
        <f t="shared" si="201"/>
        <v>1.5193839476413604E+16</v>
      </c>
      <c r="M922">
        <f t="shared" si="202"/>
        <v>10053.172470772324</v>
      </c>
      <c r="N922" s="28">
        <v>0.90200000000000002</v>
      </c>
      <c r="O922">
        <f t="shared" si="203"/>
        <v>1265.1884700664134</v>
      </c>
      <c r="Q922">
        <f t="shared" si="204"/>
        <v>7205490645486326</v>
      </c>
      <c r="R922" s="28">
        <v>0.90200000000000002</v>
      </c>
      <c r="S922">
        <f t="shared" si="205"/>
        <v>7205490645492225</v>
      </c>
      <c r="U922">
        <f t="shared" si="206"/>
        <v>14560970014.621151</v>
      </c>
      <c r="V922" s="48">
        <v>0.90200000000000002</v>
      </c>
      <c r="W922">
        <f t="shared" si="207"/>
        <v>14560988639.085838</v>
      </c>
      <c r="Y922">
        <f t="shared" si="208"/>
        <v>6632.6885529181227</v>
      </c>
      <c r="Z922" s="28">
        <v>0.90200000000000002</v>
      </c>
      <c r="AA922">
        <f t="shared" si="209"/>
        <v>665.18843967876899</v>
      </c>
    </row>
    <row r="923" spans="1:27" x14ac:dyDescent="0.2">
      <c r="A923">
        <f t="shared" si="196"/>
        <v>8178417888514048</v>
      </c>
      <c r="B923" s="28">
        <v>0.90300000000000002</v>
      </c>
      <c r="C923">
        <f t="shared" si="197"/>
        <v>8178417888620022</v>
      </c>
      <c r="E923">
        <f t="shared" si="198"/>
        <v>10114.939544984898</v>
      </c>
      <c r="F923" s="28">
        <v>0.90300000000000002</v>
      </c>
      <c r="G923">
        <f t="shared" si="199"/>
        <v>664.45182724247093</v>
      </c>
      <c r="I923">
        <f t="shared" si="200"/>
        <v>1.5563529241932628E+16</v>
      </c>
      <c r="J923" s="28">
        <v>0.90300000000000002</v>
      </c>
      <c r="K923">
        <f t="shared" si="201"/>
        <v>1.55635292420439E+16</v>
      </c>
      <c r="M923">
        <f t="shared" si="202"/>
        <v>10053.909113596317</v>
      </c>
      <c r="N923" s="28">
        <v>0.90300000000000002</v>
      </c>
      <c r="O923">
        <f t="shared" si="203"/>
        <v>1264.451827242422</v>
      </c>
      <c r="Q923">
        <f t="shared" si="204"/>
        <v>7385111353418581</v>
      </c>
      <c r="R923" s="28">
        <v>0.90300000000000002</v>
      </c>
      <c r="S923">
        <f t="shared" si="205"/>
        <v>7385111353424480</v>
      </c>
      <c r="U923">
        <f t="shared" si="206"/>
        <v>14819953809.061895</v>
      </c>
      <c r="V923" s="48">
        <v>0.90300000000000002</v>
      </c>
      <c r="W923">
        <f t="shared" si="207"/>
        <v>14819972433.526583</v>
      </c>
      <c r="Y923">
        <f t="shared" si="208"/>
        <v>6633.4251951449896</v>
      </c>
      <c r="Z923" s="28">
        <v>0.90300000000000002</v>
      </c>
      <c r="AA923">
        <f t="shared" si="209"/>
        <v>664.45179745190194</v>
      </c>
    </row>
    <row r="924" spans="1:27" x14ac:dyDescent="0.2">
      <c r="A924">
        <f t="shared" si="196"/>
        <v>8372911273640580</v>
      </c>
      <c r="B924" s="28">
        <v>0.90400000000000003</v>
      </c>
      <c r="C924">
        <f t="shared" si="197"/>
        <v>8372911273746554</v>
      </c>
      <c r="E924">
        <f t="shared" si="198"/>
        <v>10115.674558068129</v>
      </c>
      <c r="F924" s="28">
        <v>0.90400000000000003</v>
      </c>
      <c r="G924">
        <f t="shared" si="199"/>
        <v>663.71681415923933</v>
      </c>
      <c r="I924">
        <f t="shared" si="200"/>
        <v>1.5942023065102164E+16</v>
      </c>
      <c r="J924" s="28">
        <v>0.90400000000000003</v>
      </c>
      <c r="K924">
        <f t="shared" si="201"/>
        <v>1.5942023065213436E+16</v>
      </c>
      <c r="M924">
        <f t="shared" si="202"/>
        <v>10054.644126679546</v>
      </c>
      <c r="N924" s="28">
        <v>0.90400000000000003</v>
      </c>
      <c r="O924">
        <f t="shared" si="203"/>
        <v>1263.7168141591917</v>
      </c>
      <c r="Q924">
        <f t="shared" si="204"/>
        <v>7569111791461586</v>
      </c>
      <c r="R924" s="28">
        <v>0.90400000000000003</v>
      </c>
      <c r="S924">
        <f t="shared" si="205"/>
        <v>7569111791467485</v>
      </c>
      <c r="U924">
        <f t="shared" si="206"/>
        <v>15083562423.681974</v>
      </c>
      <c r="V924" s="48">
        <v>0.90400000000000003</v>
      </c>
      <c r="W924">
        <f t="shared" si="207"/>
        <v>15083581048.146662</v>
      </c>
      <c r="Y924">
        <f t="shared" si="208"/>
        <v>6634.1602076428653</v>
      </c>
      <c r="Z924" s="28">
        <v>0.90400000000000003</v>
      </c>
      <c r="AA924">
        <f t="shared" si="209"/>
        <v>663.71678495402648</v>
      </c>
    </row>
    <row r="925" spans="1:27" x14ac:dyDescent="0.2">
      <c r="A925">
        <f t="shared" si="196"/>
        <v>8571929686824609</v>
      </c>
      <c r="B925" s="28">
        <v>0.90500000000000003</v>
      </c>
      <c r="C925">
        <f t="shared" si="197"/>
        <v>8571929686930583</v>
      </c>
      <c r="E925">
        <f t="shared" si="198"/>
        <v>10116.407946813055</v>
      </c>
      <c r="F925" s="28">
        <v>0.90500000000000003</v>
      </c>
      <c r="G925">
        <f t="shared" si="199"/>
        <v>662.98342541431327</v>
      </c>
      <c r="I925">
        <f t="shared" si="200"/>
        <v>1.6329526053491488E+16</v>
      </c>
      <c r="J925" s="28">
        <v>0.90500000000000003</v>
      </c>
      <c r="K925">
        <f t="shared" si="201"/>
        <v>1.632952605360276E+16</v>
      </c>
      <c r="M925">
        <f t="shared" si="202"/>
        <v>10055.377515424472</v>
      </c>
      <c r="N925" s="28">
        <v>0.90500000000000003</v>
      </c>
      <c r="O925">
        <f t="shared" si="203"/>
        <v>1262.9834254142668</v>
      </c>
      <c r="Q925">
        <f t="shared" si="204"/>
        <v>7757596366666879</v>
      </c>
      <c r="R925" s="28">
        <v>0.90500000000000003</v>
      </c>
      <c r="S925">
        <f t="shared" si="205"/>
        <v>7757596366672778</v>
      </c>
      <c r="U925">
        <f t="shared" si="206"/>
        <v>15351878732.64184</v>
      </c>
      <c r="V925" s="48">
        <v>0.90500000000000003</v>
      </c>
      <c r="W925">
        <f t="shared" si="207"/>
        <v>15351897357.106527</v>
      </c>
      <c r="Y925">
        <f t="shared" si="208"/>
        <v>6634.8935958139718</v>
      </c>
      <c r="Z925" s="28">
        <v>0.90500000000000003</v>
      </c>
      <c r="AA925">
        <f t="shared" si="209"/>
        <v>662.98339678291973</v>
      </c>
    </row>
    <row r="926" spans="1:27" x14ac:dyDescent="0.2">
      <c r="A926">
        <f t="shared" si="196"/>
        <v>8775576068578019</v>
      </c>
      <c r="B926" s="28">
        <v>0.90600000000000003</v>
      </c>
      <c r="C926">
        <f t="shared" si="197"/>
        <v>8775576068683993</v>
      </c>
      <c r="E926">
        <f t="shared" si="198"/>
        <v>10117.13971659828</v>
      </c>
      <c r="F926" s="28">
        <v>0.90600000000000003</v>
      </c>
      <c r="G926">
        <f t="shared" si="199"/>
        <v>662.25165562908899</v>
      </c>
      <c r="I926">
        <f t="shared" si="200"/>
        <v>1.672624798680042E+16</v>
      </c>
      <c r="J926" s="28">
        <v>0.90600000000000003</v>
      </c>
      <c r="K926">
        <f t="shared" si="201"/>
        <v>1.6726247986911692E+16</v>
      </c>
      <c r="M926">
        <f t="shared" si="202"/>
        <v>10056.109285209695</v>
      </c>
      <c r="N926" s="28">
        <v>0.90600000000000003</v>
      </c>
      <c r="O926">
        <f t="shared" si="203"/>
        <v>1262.2516556290439</v>
      </c>
      <c r="Q926">
        <f t="shared" si="204"/>
        <v>7950671918222399</v>
      </c>
      <c r="R926" s="28">
        <v>0.90600000000000003</v>
      </c>
      <c r="S926">
        <f t="shared" si="205"/>
        <v>7950671918228298</v>
      </c>
      <c r="U926">
        <f t="shared" si="206"/>
        <v>15624987099.661682</v>
      </c>
      <c r="V926" s="48">
        <v>0.90600000000000003</v>
      </c>
      <c r="W926">
        <f t="shared" si="207"/>
        <v>15625005724.126369</v>
      </c>
      <c r="Y926">
        <f t="shared" si="208"/>
        <v>6635.6253650366853</v>
      </c>
      <c r="Z926" s="28">
        <v>0.90600000000000003</v>
      </c>
      <c r="AA926">
        <f t="shared" si="209"/>
        <v>662.2516275602062</v>
      </c>
    </row>
    <row r="927" spans="1:27" x14ac:dyDescent="0.2">
      <c r="A927">
        <f t="shared" si="196"/>
        <v>8983955647956343</v>
      </c>
      <c r="B927" s="28">
        <v>0.90700000000000003</v>
      </c>
      <c r="C927">
        <f t="shared" si="197"/>
        <v>8983955648062317</v>
      </c>
      <c r="E927">
        <f t="shared" si="198"/>
        <v>10117.869872778685</v>
      </c>
      <c r="F927" s="28">
        <v>0.90700000000000003</v>
      </c>
      <c r="G927">
        <f t="shared" si="199"/>
        <v>661.52149944868336</v>
      </c>
      <c r="I927">
        <f t="shared" si="200"/>
        <v>1.7132403420743568E+16</v>
      </c>
      <c r="J927" s="28">
        <v>0.90700000000000003</v>
      </c>
      <c r="K927">
        <f t="shared" si="201"/>
        <v>1.713240342085484E+16</v>
      </c>
      <c r="M927">
        <f t="shared" si="202"/>
        <v>10056.839441390099</v>
      </c>
      <c r="N927" s="28">
        <v>0.90700000000000003</v>
      </c>
      <c r="O927">
        <f t="shared" si="203"/>
        <v>1261.5214994486394</v>
      </c>
      <c r="Q927">
        <f t="shared" si="204"/>
        <v>8148447772787223</v>
      </c>
      <c r="R927" s="28">
        <v>0.90700000000000003</v>
      </c>
      <c r="S927">
        <f t="shared" si="205"/>
        <v>8148447772793122</v>
      </c>
      <c r="U927">
        <f t="shared" si="206"/>
        <v>15902973404.865847</v>
      </c>
      <c r="V927" s="48">
        <v>0.90700000000000003</v>
      </c>
      <c r="W927">
        <f t="shared" si="207"/>
        <v>15902992029.330534</v>
      </c>
      <c r="Y927">
        <f t="shared" si="208"/>
        <v>6636.3555206656656</v>
      </c>
      <c r="Z927" s="28">
        <v>0.90700000000000003</v>
      </c>
      <c r="AA927">
        <f t="shared" si="209"/>
        <v>661.5214719312263</v>
      </c>
    </row>
    <row r="928" spans="1:27" x14ac:dyDescent="0.2">
      <c r="A928">
        <f t="shared" si="196"/>
        <v>9197175992251156</v>
      </c>
      <c r="B928" s="28">
        <v>0.90800000000000003</v>
      </c>
      <c r="C928">
        <f t="shared" si="197"/>
        <v>9197175992357130</v>
      </c>
      <c r="E928">
        <f t="shared" si="198"/>
        <v>10118.598420685565</v>
      </c>
      <c r="F928" s="28">
        <v>0.90800000000000003</v>
      </c>
      <c r="G928">
        <f t="shared" si="199"/>
        <v>660.79295154180272</v>
      </c>
      <c r="I928">
        <f t="shared" si="200"/>
        <v>1.7548211793306132E+16</v>
      </c>
      <c r="J928" s="28">
        <v>0.90800000000000003</v>
      </c>
      <c r="K928">
        <f t="shared" si="201"/>
        <v>1.7548211793417404E+16</v>
      </c>
      <c r="M928">
        <f t="shared" si="202"/>
        <v>10057.567989296978</v>
      </c>
      <c r="N928" s="28">
        <v>0.90800000000000003</v>
      </c>
      <c r="O928">
        <f t="shared" si="203"/>
        <v>1260.7929515417595</v>
      </c>
      <c r="Q928">
        <f t="shared" si="204"/>
        <v>8351035801054976</v>
      </c>
      <c r="R928" s="28">
        <v>0.90800000000000003</v>
      </c>
      <c r="S928">
        <f t="shared" si="205"/>
        <v>8351035801060875</v>
      </c>
      <c r="U928">
        <f t="shared" si="206"/>
        <v>16185925072.112778</v>
      </c>
      <c r="V928" s="48">
        <v>0.90800000000000003</v>
      </c>
      <c r="W928">
        <f t="shared" si="207"/>
        <v>16185943696.577465</v>
      </c>
      <c r="Y928">
        <f t="shared" si="208"/>
        <v>6637.0840680319861</v>
      </c>
      <c r="Z928" s="28">
        <v>0.90800000000000003</v>
      </c>
      <c r="AA928">
        <f t="shared" si="209"/>
        <v>660.79292456490555</v>
      </c>
    </row>
    <row r="929" spans="1:27" x14ac:dyDescent="0.2">
      <c r="A929">
        <f t="shared" si="196"/>
        <v>9415347057735576</v>
      </c>
      <c r="B929" s="28">
        <v>0.90900000000000003</v>
      </c>
      <c r="C929">
        <f t="shared" si="197"/>
        <v>9415347057841550</v>
      </c>
      <c r="E929">
        <f t="shared" si="198"/>
        <v>10119.325365626755</v>
      </c>
      <c r="F929" s="28">
        <v>0.90900000000000003</v>
      </c>
      <c r="G929">
        <f t="shared" si="199"/>
        <v>660.06600660061372</v>
      </c>
      <c r="I929">
        <f t="shared" si="200"/>
        <v>1.797389753330825E+16</v>
      </c>
      <c r="J929" s="28">
        <v>0.90900000000000003</v>
      </c>
      <c r="K929">
        <f t="shared" si="201"/>
        <v>1.7973897533419522E+16</v>
      </c>
      <c r="M929">
        <f t="shared" si="202"/>
        <v>10058.294934238167</v>
      </c>
      <c r="N929" s="28">
        <v>0.90900000000000003</v>
      </c>
      <c r="O929">
        <f t="shared" si="203"/>
        <v>1260.0660066005719</v>
      </c>
      <c r="Q929">
        <f t="shared" si="204"/>
        <v>8558550475572671</v>
      </c>
      <c r="R929" s="28">
        <v>0.90900000000000003</v>
      </c>
      <c r="S929">
        <f t="shared" si="205"/>
        <v>8558550475578570</v>
      </c>
      <c r="U929">
        <f t="shared" si="206"/>
        <v>16473931096.818344</v>
      </c>
      <c r="V929" s="48">
        <v>0.90900000000000003</v>
      </c>
      <c r="W929">
        <f t="shared" si="207"/>
        <v>16473949721.283031</v>
      </c>
      <c r="Y929">
        <f t="shared" si="208"/>
        <v>6637.811012443266</v>
      </c>
      <c r="Z929" s="28">
        <v>0.90900000000000003</v>
      </c>
      <c r="AA929">
        <f t="shared" si="209"/>
        <v>660.06598015362556</v>
      </c>
    </row>
    <row r="930" spans="1:27" x14ac:dyDescent="0.2">
      <c r="A930">
        <f t="shared" si="196"/>
        <v>9638581241484726</v>
      </c>
      <c r="B930" s="28">
        <v>0.91</v>
      </c>
      <c r="C930">
        <f t="shared" si="197"/>
        <v>9638581241590700</v>
      </c>
      <c r="E930">
        <f t="shared" si="198"/>
        <v>10120.050712886754</v>
      </c>
      <c r="F930" s="28">
        <v>0.91</v>
      </c>
      <c r="G930">
        <f t="shared" si="199"/>
        <v>659.34065934061425</v>
      </c>
      <c r="I930">
        <f t="shared" si="200"/>
        <v>1.8409690171326964E+16</v>
      </c>
      <c r="J930" s="28">
        <v>0.91</v>
      </c>
      <c r="K930">
        <f t="shared" si="201"/>
        <v>1.8409690171438236E+16</v>
      </c>
      <c r="M930">
        <f t="shared" si="202"/>
        <v>10059.020281498166</v>
      </c>
      <c r="N930" s="28">
        <v>0.91</v>
      </c>
      <c r="O930">
        <f t="shared" si="203"/>
        <v>1259.340659340573</v>
      </c>
      <c r="Q930">
        <f t="shared" si="204"/>
        <v>8771108929842238</v>
      </c>
      <c r="R930" s="28">
        <v>0.91</v>
      </c>
      <c r="S930">
        <f t="shared" si="205"/>
        <v>8771108929848137</v>
      </c>
      <c r="U930">
        <f t="shared" si="206"/>
        <v>16767082074.282196</v>
      </c>
      <c r="V930" s="48">
        <v>0.91</v>
      </c>
      <c r="W930">
        <f t="shared" si="207"/>
        <v>16767100698.746883</v>
      </c>
      <c r="Y930">
        <f t="shared" si="208"/>
        <v>6638.5363591837977</v>
      </c>
      <c r="Z930" s="28">
        <v>0.91</v>
      </c>
      <c r="AA930">
        <f t="shared" si="209"/>
        <v>659.34063341309457</v>
      </c>
    </row>
    <row r="931" spans="1:27" x14ac:dyDescent="0.2">
      <c r="A931">
        <f t="shared" si="196"/>
        <v>9866993434293690</v>
      </c>
      <c r="B931" s="28">
        <v>0.91100000000000003</v>
      </c>
      <c r="C931">
        <f t="shared" si="197"/>
        <v>9866993434399664</v>
      </c>
      <c r="E931">
        <f t="shared" si="198"/>
        <v>10120.774467726864</v>
      </c>
      <c r="F931" s="28">
        <v>0.91100000000000003</v>
      </c>
      <c r="G931">
        <f t="shared" si="199"/>
        <v>658.61690450050492</v>
      </c>
      <c r="I931">
        <f t="shared" si="200"/>
        <v>1.8855824453026484E+16</v>
      </c>
      <c r="J931" s="28">
        <v>0.91100000000000003</v>
      </c>
      <c r="K931">
        <f t="shared" si="201"/>
        <v>1.8855824453137756E+16</v>
      </c>
      <c r="M931">
        <f t="shared" si="202"/>
        <v>10059.744036338274</v>
      </c>
      <c r="N931" s="28">
        <v>0.91100000000000003</v>
      </c>
      <c r="O931">
        <f t="shared" si="203"/>
        <v>1258.6169045004649</v>
      </c>
      <c r="Q931">
        <f t="shared" si="204"/>
        <v>8988831018732795</v>
      </c>
      <c r="R931" s="28">
        <v>0.91100000000000003</v>
      </c>
      <c r="S931">
        <f t="shared" si="205"/>
        <v>8988831018738694</v>
      </c>
      <c r="U931">
        <f t="shared" si="206"/>
        <v>17065470228.525293</v>
      </c>
      <c r="V931" s="48">
        <v>0.91100000000000003</v>
      </c>
      <c r="W931">
        <f t="shared" si="207"/>
        <v>17065488852.989981</v>
      </c>
      <c r="Y931">
        <f t="shared" si="208"/>
        <v>6639.2601135146724</v>
      </c>
      <c r="Z931" s="28">
        <v>0.91100000000000003</v>
      </c>
      <c r="AA931">
        <f t="shared" si="209"/>
        <v>658.61687908221984</v>
      </c>
    </row>
    <row r="932" spans="1:27" x14ac:dyDescent="0.2">
      <c r="A932">
        <f t="shared" si="196"/>
        <v>1.0100701074715192E+16</v>
      </c>
      <c r="B932" s="28">
        <v>0.91200000000000003</v>
      </c>
      <c r="C932">
        <f t="shared" si="197"/>
        <v>1.0100701074821166E+16</v>
      </c>
      <c r="E932">
        <f t="shared" si="198"/>
        <v>10121.496635385305</v>
      </c>
      <c r="F932" s="28">
        <v>0.91200000000000003</v>
      </c>
      <c r="G932">
        <f t="shared" si="199"/>
        <v>657.89473684206246</v>
      </c>
      <c r="I932">
        <f t="shared" si="200"/>
        <v>1.9312540454946796E+16</v>
      </c>
      <c r="J932" s="28">
        <v>0.91200000000000003</v>
      </c>
      <c r="K932">
        <f t="shared" si="201"/>
        <v>1.9312540455058068E+16</v>
      </c>
      <c r="M932">
        <f t="shared" si="202"/>
        <v>10060.466203996715</v>
      </c>
      <c r="N932" s="28">
        <v>0.91200000000000003</v>
      </c>
      <c r="O932">
        <f t="shared" si="203"/>
        <v>1257.8947368420233</v>
      </c>
      <c r="Q932">
        <f t="shared" si="204"/>
        <v>9211839380231606</v>
      </c>
      <c r="R932" s="28">
        <v>0.91200000000000003</v>
      </c>
      <c r="S932">
        <f t="shared" si="205"/>
        <v>9211839380237504</v>
      </c>
      <c r="U932">
        <f t="shared" si="206"/>
        <v>17369189441.649082</v>
      </c>
      <c r="V932" s="48">
        <v>0.91200000000000003</v>
      </c>
      <c r="W932">
        <f t="shared" si="207"/>
        <v>17369208066.11377</v>
      </c>
      <c r="Y932">
        <f t="shared" si="208"/>
        <v>6639.9822806739121</v>
      </c>
      <c r="Z932" s="28">
        <v>0.91200000000000003</v>
      </c>
      <c r="AA932">
        <f t="shared" si="209"/>
        <v>657.89471192298015</v>
      </c>
    </row>
    <row r="933" spans="1:27" x14ac:dyDescent="0.2">
      <c r="A933">
        <f t="shared" si="196"/>
        <v>1.033982420423997E+16</v>
      </c>
      <c r="B933" s="28">
        <v>0.91300000000000003</v>
      </c>
      <c r="C933">
        <f t="shared" si="197"/>
        <v>1.0339824204345944E+16</v>
      </c>
      <c r="E933">
        <f t="shared" si="198"/>
        <v>10122.217221077355</v>
      </c>
      <c r="F933" s="28">
        <v>0.91300000000000003</v>
      </c>
      <c r="G933">
        <f t="shared" si="199"/>
        <v>657.17415115001302</v>
      </c>
      <c r="I933">
        <f t="shared" si="200"/>
        <v>1.978008370280252E+16</v>
      </c>
      <c r="J933" s="28">
        <v>0.91300000000000003</v>
      </c>
      <c r="K933">
        <f t="shared" si="201"/>
        <v>1.9780083702913792E+16</v>
      </c>
      <c r="M933">
        <f t="shared" si="202"/>
        <v>10061.186789688763</v>
      </c>
      <c r="N933" s="28">
        <v>0.91300000000000003</v>
      </c>
      <c r="O933">
        <f t="shared" si="203"/>
        <v>1257.1741511499747</v>
      </c>
      <c r="Q933">
        <f t="shared" si="204"/>
        <v>9440259498562550</v>
      </c>
      <c r="R933" s="28">
        <v>0.91300000000000003</v>
      </c>
      <c r="S933">
        <f t="shared" si="205"/>
        <v>9440259498568448</v>
      </c>
      <c r="U933">
        <f t="shared" si="206"/>
        <v>17678335283.724754</v>
      </c>
      <c r="V933" s="48">
        <v>0.91300000000000003</v>
      </c>
      <c r="W933">
        <f t="shared" si="207"/>
        <v>17678353908.189442</v>
      </c>
      <c r="Y933">
        <f t="shared" si="208"/>
        <v>6640.7028658765921</v>
      </c>
      <c r="Z933" s="28">
        <v>0.91300000000000003</v>
      </c>
      <c r="AA933">
        <f t="shared" si="209"/>
        <v>657.17412672030014</v>
      </c>
    </row>
    <row r="934" spans="1:27" x14ac:dyDescent="0.2">
      <c r="A934">
        <f t="shared" si="196"/>
        <v>1.0584485523644322E+16</v>
      </c>
      <c r="B934" s="28">
        <v>0.91400000000000003</v>
      </c>
      <c r="C934">
        <f t="shared" si="197"/>
        <v>1.0584485523750296E+16</v>
      </c>
      <c r="E934">
        <f t="shared" si="198"/>
        <v>10122.936229995461</v>
      </c>
      <c r="F934" s="28">
        <v>0.91400000000000003</v>
      </c>
      <c r="G934">
        <f t="shared" si="199"/>
        <v>656.45514223190662</v>
      </c>
      <c r="I934">
        <f t="shared" si="200"/>
        <v>2.0258705292346796E+16</v>
      </c>
      <c r="J934" s="28">
        <v>0.91400000000000003</v>
      </c>
      <c r="K934">
        <f t="shared" si="201"/>
        <v>2.0258705292458068E+16</v>
      </c>
      <c r="M934">
        <f t="shared" si="202"/>
        <v>10061.905798606869</v>
      </c>
      <c r="N934" s="28">
        <v>0.91400000000000003</v>
      </c>
      <c r="O934">
        <f t="shared" si="203"/>
        <v>1256.4551422318696</v>
      </c>
      <c r="Q934">
        <f t="shared" si="204"/>
        <v>9674219768702472</v>
      </c>
      <c r="R934" s="28">
        <v>0.91400000000000003</v>
      </c>
      <c r="S934">
        <f t="shared" si="205"/>
        <v>9674219768708370</v>
      </c>
      <c r="U934">
        <f t="shared" si="206"/>
        <v>17993005043.222984</v>
      </c>
      <c r="V934" s="48">
        <v>0.91400000000000003</v>
      </c>
      <c r="W934">
        <f t="shared" si="207"/>
        <v>17993023667.687672</v>
      </c>
      <c r="Y934">
        <f t="shared" si="208"/>
        <v>6641.4218743149677</v>
      </c>
      <c r="Z934" s="28">
        <v>0.91400000000000003</v>
      </c>
      <c r="AA934">
        <f t="shared" si="209"/>
        <v>656.455118281924</v>
      </c>
    </row>
    <row r="935" spans="1:27" x14ac:dyDescent="0.2">
      <c r="A935">
        <f t="shared" si="196"/>
        <v>1.0834810450527516E+16</v>
      </c>
      <c r="B935" s="28">
        <v>0.91500000000000004</v>
      </c>
      <c r="C935">
        <f t="shared" si="197"/>
        <v>1.083481045063349E+16</v>
      </c>
      <c r="E935">
        <f t="shared" si="198"/>
        <v>10123.653667309376</v>
      </c>
      <c r="F935" s="28">
        <v>0.91500000000000004</v>
      </c>
      <c r="G935">
        <f t="shared" si="199"/>
        <v>655.73770491799314</v>
      </c>
      <c r="I935">
        <f t="shared" si="200"/>
        <v>2.074866201285186E+16</v>
      </c>
      <c r="J935" s="28">
        <v>0.91500000000000004</v>
      </c>
      <c r="K935">
        <f t="shared" si="201"/>
        <v>2.0748662012963132E+16</v>
      </c>
      <c r="M935">
        <f t="shared" si="202"/>
        <v>10062.623235920782</v>
      </c>
      <c r="N935" s="28">
        <v>0.91500000000000004</v>
      </c>
      <c r="O935">
        <f t="shared" si="203"/>
        <v>1255.7377049179568</v>
      </c>
      <c r="Q935">
        <f t="shared" si="204"/>
        <v>9913851562324346</v>
      </c>
      <c r="R935" s="28">
        <v>0.91500000000000004</v>
      </c>
      <c r="S935">
        <f t="shared" si="205"/>
        <v>9913851562330244</v>
      </c>
      <c r="U935">
        <f t="shared" si="206"/>
        <v>18313297757.992882</v>
      </c>
      <c r="V935" s="48">
        <v>0.91500000000000004</v>
      </c>
      <c r="W935">
        <f t="shared" si="207"/>
        <v>18313316382.457569</v>
      </c>
      <c r="Y935">
        <f t="shared" si="208"/>
        <v>6642.1393111586003</v>
      </c>
      <c r="Z935" s="28">
        <v>0.91500000000000004</v>
      </c>
      <c r="AA935">
        <f t="shared" si="209"/>
        <v>655.73768143829193</v>
      </c>
    </row>
    <row r="936" spans="1:27" x14ac:dyDescent="0.2">
      <c r="A936">
        <f t="shared" si="196"/>
        <v>1.1090927178065318E+16</v>
      </c>
      <c r="B936" s="28">
        <v>0.91600000000000004</v>
      </c>
      <c r="C936">
        <f t="shared" si="197"/>
        <v>1.1090927178171292E+16</v>
      </c>
      <c r="E936">
        <f t="shared" si="198"/>
        <v>10124.369538166271</v>
      </c>
      <c r="F936" s="28">
        <v>0.91600000000000004</v>
      </c>
      <c r="G936">
        <f t="shared" si="199"/>
        <v>655.02183406109668</v>
      </c>
      <c r="I936">
        <f t="shared" si="200"/>
        <v>2.125021647326492E+16</v>
      </c>
      <c r="J936" s="28">
        <v>0.91600000000000004</v>
      </c>
      <c r="K936">
        <f t="shared" si="201"/>
        <v>2.1250216473376192E+16</v>
      </c>
      <c r="M936">
        <f t="shared" si="202"/>
        <v>10063.339106777677</v>
      </c>
      <c r="N936" s="28">
        <v>0.91600000000000004</v>
      </c>
      <c r="O936">
        <f t="shared" si="203"/>
        <v>1255.0218340610611</v>
      </c>
      <c r="Q936">
        <f t="shared" si="204"/>
        <v>1.0159289295199606E+16</v>
      </c>
      <c r="R936" s="28">
        <v>0.91600000000000004</v>
      </c>
      <c r="S936">
        <f t="shared" si="205"/>
        <v>1.0159289295205504E+16</v>
      </c>
      <c r="U936">
        <f t="shared" si="206"/>
        <v>18639314246.801403</v>
      </c>
      <c r="V936" s="48">
        <v>0.91600000000000004</v>
      </c>
      <c r="W936">
        <f t="shared" si="207"/>
        <v>18639332871.26609</v>
      </c>
      <c r="Y936">
        <f t="shared" si="208"/>
        <v>6642.855181554477</v>
      </c>
      <c r="Z936" s="28">
        <v>0.91600000000000004</v>
      </c>
      <c r="AA936">
        <f t="shared" si="209"/>
        <v>655.02181104241504</v>
      </c>
    </row>
    <row r="937" spans="1:27" x14ac:dyDescent="0.2">
      <c r="A937">
        <f t="shared" si="196"/>
        <v>1.135296673500287E+16</v>
      </c>
      <c r="B937" s="28">
        <v>0.91700000000000004</v>
      </c>
      <c r="C937">
        <f t="shared" si="197"/>
        <v>1.1352966735108844E+16</v>
      </c>
      <c r="E937">
        <f t="shared" si="198"/>
        <v>10125.083847690874</v>
      </c>
      <c r="F937" s="28">
        <v>0.91700000000000004</v>
      </c>
      <c r="G937">
        <f t="shared" si="199"/>
        <v>654.30752453649438</v>
      </c>
      <c r="I937">
        <f t="shared" si="200"/>
        <v>2.1763637231092384E+16</v>
      </c>
      <c r="J937" s="28">
        <v>0.91700000000000004</v>
      </c>
      <c r="K937">
        <f t="shared" si="201"/>
        <v>2.1763637231203656E+16</v>
      </c>
      <c r="M937">
        <f t="shared" si="202"/>
        <v>10064.053416302278</v>
      </c>
      <c r="N937" s="28">
        <v>0.91700000000000004</v>
      </c>
      <c r="O937">
        <f t="shared" si="203"/>
        <v>1254.3075245364601</v>
      </c>
      <c r="Q937">
        <f t="shared" si="204"/>
        <v>1.0410670496089512E+16</v>
      </c>
      <c r="R937" s="28">
        <v>0.91700000000000004</v>
      </c>
      <c r="S937">
        <f t="shared" si="205"/>
        <v>1.041067049609541E+16</v>
      </c>
      <c r="U937">
        <f t="shared" si="206"/>
        <v>18971157141.442364</v>
      </c>
      <c r="V937" s="48">
        <v>0.91700000000000004</v>
      </c>
      <c r="W937">
        <f t="shared" si="207"/>
        <v>18971175765.907051</v>
      </c>
      <c r="Y937">
        <f t="shared" si="208"/>
        <v>6643.5694906271383</v>
      </c>
      <c r="Z937" s="28">
        <v>0.91700000000000004</v>
      </c>
      <c r="AA937">
        <f t="shared" si="209"/>
        <v>654.30750196975362</v>
      </c>
    </row>
    <row r="938" spans="1:27" x14ac:dyDescent="0.2">
      <c r="A938">
        <f t="shared" si="196"/>
        <v>1.1621063046913648E+16</v>
      </c>
      <c r="B938" s="28">
        <v>0.91800000000000004</v>
      </c>
      <c r="C938">
        <f t="shared" si="197"/>
        <v>1.1621063047019622E+16</v>
      </c>
      <c r="E938">
        <f t="shared" si="198"/>
        <v>10125.796600985575</v>
      </c>
      <c r="F938" s="28">
        <v>0.91800000000000004</v>
      </c>
      <c r="G938">
        <f t="shared" si="199"/>
        <v>653.5947712417933</v>
      </c>
      <c r="I938">
        <f t="shared" si="200"/>
        <v>2.2289198924072368E+16</v>
      </c>
      <c r="J938" s="28">
        <v>0.91800000000000004</v>
      </c>
      <c r="K938">
        <f t="shared" si="201"/>
        <v>2.228919892418364E+16</v>
      </c>
      <c r="M938">
        <f t="shared" si="202"/>
        <v>10064.766169596978</v>
      </c>
      <c r="N938" s="28">
        <v>0.91800000000000004</v>
      </c>
      <c r="O938">
        <f t="shared" si="203"/>
        <v>1253.5947712417596</v>
      </c>
      <c r="Q938">
        <f t="shared" si="204"/>
        <v>1.0668135877158716E+16</v>
      </c>
      <c r="R938" s="28">
        <v>0.91800000000000004</v>
      </c>
      <c r="S938">
        <f t="shared" si="205"/>
        <v>1.0668135877164614E+16</v>
      </c>
      <c r="U938">
        <f t="shared" si="206"/>
        <v>19308930919.42577</v>
      </c>
      <c r="V938" s="48">
        <v>0.91800000000000004</v>
      </c>
      <c r="W938">
        <f t="shared" si="207"/>
        <v>19308949543.890457</v>
      </c>
      <c r="Y938">
        <f t="shared" si="208"/>
        <v>6644.2822434787986</v>
      </c>
      <c r="Z938" s="28">
        <v>0.91800000000000004</v>
      </c>
      <c r="AA938">
        <f t="shared" si="209"/>
        <v>653.59474911809355</v>
      </c>
    </row>
    <row r="939" spans="1:27" x14ac:dyDescent="0.2">
      <c r="A939">
        <f t="shared" si="196"/>
        <v>1.1895352998750174E+16</v>
      </c>
      <c r="B939" s="28">
        <v>0.91900000000000004</v>
      </c>
      <c r="C939">
        <f t="shared" si="197"/>
        <v>1.1895352998856148E+16</v>
      </c>
      <c r="E939">
        <f t="shared" si="198"/>
        <v>10126.50780313056</v>
      </c>
      <c r="F939" s="28">
        <v>0.91900000000000004</v>
      </c>
      <c r="G939">
        <f t="shared" si="199"/>
        <v>652.88356909680851</v>
      </c>
      <c r="I939">
        <f t="shared" si="200"/>
        <v>2.2827182404693676E+16</v>
      </c>
      <c r="J939" s="28">
        <v>0.91900000000000004</v>
      </c>
      <c r="K939">
        <f t="shared" si="201"/>
        <v>2.2827182404804948E+16</v>
      </c>
      <c r="M939">
        <f t="shared" si="202"/>
        <v>10065.477371741963</v>
      </c>
      <c r="N939" s="28">
        <v>0.91900000000000004</v>
      </c>
      <c r="O939">
        <f t="shared" si="203"/>
        <v>1252.8835690967758</v>
      </c>
      <c r="Q939">
        <f t="shared" si="204"/>
        <v>1.0931829405943502E+16</v>
      </c>
      <c r="R939" s="28">
        <v>0.91900000000000004</v>
      </c>
      <c r="S939">
        <f t="shared" si="205"/>
        <v>1.09318294059494E+16</v>
      </c>
      <c r="U939">
        <f t="shared" si="206"/>
        <v>19652741937.258213</v>
      </c>
      <c r="V939" s="48">
        <v>0.91900000000000004</v>
      </c>
      <c r="W939">
        <f t="shared" si="207"/>
        <v>19652760561.7229</v>
      </c>
      <c r="Y939">
        <f t="shared" si="208"/>
        <v>6644.993445189466</v>
      </c>
      <c r="Z939" s="28">
        <v>0.91900000000000004</v>
      </c>
      <c r="AA939">
        <f t="shared" si="209"/>
        <v>652.88354740742625</v>
      </c>
    </row>
    <row r="940" spans="1:27" x14ac:dyDescent="0.2">
      <c r="A940">
        <f t="shared" si="196"/>
        <v>1.2175976498713264E+16</v>
      </c>
      <c r="B940" s="28">
        <v>0.92</v>
      </c>
      <c r="C940">
        <f t="shared" si="197"/>
        <v>1.2175976498819238E+16</v>
      </c>
      <c r="E940">
        <f t="shared" si="198"/>
        <v>10127.217459183925</v>
      </c>
      <c r="F940" s="28">
        <v>0.92</v>
      </c>
      <c r="G940">
        <f t="shared" si="199"/>
        <v>652.17391304344335</v>
      </c>
      <c r="I940">
        <f t="shared" si="200"/>
        <v>2.3377874877621668E+16</v>
      </c>
      <c r="J940" s="28">
        <v>0.92</v>
      </c>
      <c r="K940">
        <f t="shared" si="201"/>
        <v>2.337787487773294E+16</v>
      </c>
      <c r="M940">
        <f t="shared" si="202"/>
        <v>10066.187027795328</v>
      </c>
      <c r="N940" s="28">
        <v>0.92</v>
      </c>
      <c r="O940">
        <f t="shared" si="203"/>
        <v>1252.1739130434112</v>
      </c>
      <c r="Q940">
        <f t="shared" si="204"/>
        <v>1.1201898378908402E+16</v>
      </c>
      <c r="R940" s="28">
        <v>0.92</v>
      </c>
      <c r="S940">
        <f t="shared" si="205"/>
        <v>1.12018983789143E+16</v>
      </c>
      <c r="U940">
        <f t="shared" si="206"/>
        <v>20002698464.324139</v>
      </c>
      <c r="V940" s="48">
        <v>0.92</v>
      </c>
      <c r="W940">
        <f t="shared" si="207"/>
        <v>20002717088.788826</v>
      </c>
      <c r="Y940">
        <f t="shared" si="208"/>
        <v>6645.7031008170652</v>
      </c>
      <c r="Z940" s="28">
        <v>0.92</v>
      </c>
      <c r="AA940">
        <f t="shared" si="209"/>
        <v>652.17389177982693</v>
      </c>
    </row>
    <row r="941" spans="1:27" x14ac:dyDescent="0.2">
      <c r="A941">
        <f t="shared" si="196"/>
        <v>1.2463076543466722E+16</v>
      </c>
      <c r="B941" s="28">
        <v>0.92100000000000004</v>
      </c>
      <c r="C941">
        <f t="shared" si="197"/>
        <v>1.2463076543572696E+16</v>
      </c>
      <c r="E941">
        <f t="shared" si="198"/>
        <v>10127.9255741818</v>
      </c>
      <c r="F941" s="28">
        <v>0.92100000000000004</v>
      </c>
      <c r="G941">
        <f t="shared" si="199"/>
        <v>651.46579804556848</v>
      </c>
      <c r="I941">
        <f t="shared" si="200"/>
        <v>2.394157004009188E+16</v>
      </c>
      <c r="J941" s="28">
        <v>0.92100000000000004</v>
      </c>
      <c r="K941">
        <f t="shared" si="201"/>
        <v>2.3941570040203152E+16</v>
      </c>
      <c r="M941">
        <f t="shared" si="202"/>
        <v>10066.895142793201</v>
      </c>
      <c r="N941" s="28">
        <v>0.92100000000000004</v>
      </c>
      <c r="O941">
        <f t="shared" si="203"/>
        <v>1251.4657980455372</v>
      </c>
      <c r="Q941">
        <f t="shared" si="204"/>
        <v>1.1478493496625156E+16</v>
      </c>
      <c r="R941" s="28">
        <v>0.92100000000000004</v>
      </c>
      <c r="S941">
        <f t="shared" si="205"/>
        <v>1.1478493496631054E+16</v>
      </c>
      <c r="U941">
        <f t="shared" si="206"/>
        <v>20358910717.380096</v>
      </c>
      <c r="V941" s="48">
        <v>0.92100000000000004</v>
      </c>
      <c r="W941">
        <f t="shared" si="207"/>
        <v>20358929341.844784</v>
      </c>
      <c r="Y941">
        <f t="shared" si="208"/>
        <v>6646.4112153975566</v>
      </c>
      <c r="Z941" s="28">
        <v>0.92100000000000004</v>
      </c>
      <c r="AA941">
        <f t="shared" si="209"/>
        <v>651.46577719933566</v>
      </c>
    </row>
    <row r="942" spans="1:27" x14ac:dyDescent="0.2">
      <c r="A942">
        <f t="shared" si="196"/>
        <v>1.2756799284724574E+16</v>
      </c>
      <c r="B942" s="28">
        <v>0.92200000000000004</v>
      </c>
      <c r="C942">
        <f t="shared" si="197"/>
        <v>1.2756799284830548E+16</v>
      </c>
      <c r="E942">
        <f t="shared" si="198"/>
        <v>10128.632153138464</v>
      </c>
      <c r="F942" s="28">
        <v>0.92200000000000004</v>
      </c>
      <c r="G942">
        <f t="shared" si="199"/>
        <v>650.75921908890393</v>
      </c>
      <c r="I942">
        <f t="shared" si="200"/>
        <v>2.4518568225333044E+16</v>
      </c>
      <c r="J942" s="28">
        <v>0.92200000000000004</v>
      </c>
      <c r="K942">
        <f t="shared" si="201"/>
        <v>2.4518568225444316E+16</v>
      </c>
      <c r="M942">
        <f t="shared" si="202"/>
        <v>10067.601721749865</v>
      </c>
      <c r="N942" s="28">
        <v>0.92200000000000004</v>
      </c>
      <c r="O942">
        <f t="shared" si="203"/>
        <v>1250.7592190888734</v>
      </c>
      <c r="Q942">
        <f t="shared" si="204"/>
        <v>1.1761768940608468E+16</v>
      </c>
      <c r="R942" s="28">
        <v>0.92200000000000004</v>
      </c>
      <c r="S942">
        <f t="shared" si="205"/>
        <v>1.1761768940614366E+16</v>
      </c>
      <c r="U942">
        <f t="shared" si="206"/>
        <v>20721490895.672077</v>
      </c>
      <c r="V942" s="48">
        <v>0.92200000000000004</v>
      </c>
      <c r="W942">
        <f t="shared" si="207"/>
        <v>20721509520.136765</v>
      </c>
      <c r="Y942">
        <f t="shared" si="208"/>
        <v>6647.1177939450536</v>
      </c>
      <c r="Z942" s="28">
        <v>0.92200000000000004</v>
      </c>
      <c r="AA942">
        <f t="shared" si="209"/>
        <v>650.75919865183778</v>
      </c>
    </row>
    <row r="943" spans="1:27" x14ac:dyDescent="0.2">
      <c r="A943">
        <f t="shared" si="196"/>
        <v>1.305729409724047E+16</v>
      </c>
      <c r="B943" s="28">
        <v>0.92300000000000004</v>
      </c>
      <c r="C943">
        <f t="shared" si="197"/>
        <v>1.3057294097346444E+16</v>
      </c>
      <c r="E943">
        <f t="shared" si="198"/>
        <v>10129.337201046468</v>
      </c>
      <c r="F943" s="28">
        <v>0.92300000000000004</v>
      </c>
      <c r="G943">
        <f t="shared" si="199"/>
        <v>650.0541711808994</v>
      </c>
      <c r="I943">
        <f t="shared" si="200"/>
        <v>2.5109176549085936E+16</v>
      </c>
      <c r="J943" s="28">
        <v>0.92300000000000004</v>
      </c>
      <c r="K943">
        <f t="shared" si="201"/>
        <v>2.5109176549197208E+16</v>
      </c>
      <c r="M943">
        <f t="shared" si="202"/>
        <v>10068.306769657869</v>
      </c>
      <c r="N943" s="28">
        <v>0.92300000000000004</v>
      </c>
      <c r="O943">
        <f t="shared" si="203"/>
        <v>1250.0541711808696</v>
      </c>
      <c r="Q943">
        <f t="shared" si="204"/>
        <v>1.205188245184547E+16</v>
      </c>
      <c r="R943" s="28">
        <v>0.92300000000000004</v>
      </c>
      <c r="S943">
        <f t="shared" si="205"/>
        <v>1.2051882451851368E+16</v>
      </c>
      <c r="U943">
        <f t="shared" si="206"/>
        <v>21090553216.688068</v>
      </c>
      <c r="V943" s="48">
        <v>0.92300000000000004</v>
      </c>
      <c r="W943">
        <f t="shared" si="207"/>
        <v>21090571841.152756</v>
      </c>
      <c r="Y943">
        <f t="shared" si="208"/>
        <v>6647.8228414519463</v>
      </c>
      <c r="Z943" s="28">
        <v>0.92300000000000004</v>
      </c>
      <c r="AA943">
        <f t="shared" si="209"/>
        <v>650.05415114494519</v>
      </c>
    </row>
    <row r="944" spans="1:27" x14ac:dyDescent="0.2">
      <c r="A944">
        <f t="shared" si="196"/>
        <v>1.336471364822666E+16</v>
      </c>
      <c r="B944" s="28">
        <v>0.92400000000000004</v>
      </c>
      <c r="C944">
        <f t="shared" si="197"/>
        <v>1.3364713648332634E+16</v>
      </c>
      <c r="E944">
        <f t="shared" si="198"/>
        <v>10130.040722876751</v>
      </c>
      <c r="F944" s="28">
        <v>0.92400000000000004</v>
      </c>
      <c r="G944">
        <f t="shared" si="199"/>
        <v>649.3506493506178</v>
      </c>
      <c r="I944">
        <f t="shared" si="200"/>
        <v>2.5713709059280712E+16</v>
      </c>
      <c r="J944" s="28">
        <v>0.92400000000000004</v>
      </c>
      <c r="K944">
        <f t="shared" si="201"/>
        <v>2.5713709059391984E+16</v>
      </c>
      <c r="M944">
        <f t="shared" si="202"/>
        <v>10069.01029148815</v>
      </c>
      <c r="N944" s="28">
        <v>0.92400000000000004</v>
      </c>
      <c r="O944">
        <f t="shared" si="203"/>
        <v>1249.3506493505884</v>
      </c>
      <c r="Q944">
        <f t="shared" si="204"/>
        <v>1.2348995411054056E+16</v>
      </c>
      <c r="R944" s="28">
        <v>0.92400000000000004</v>
      </c>
      <c r="S944">
        <f t="shared" si="205"/>
        <v>1.2348995411059954E+16</v>
      </c>
      <c r="U944">
        <f t="shared" si="206"/>
        <v>21466213952.556087</v>
      </c>
      <c r="V944" s="48">
        <v>0.92400000000000004</v>
      </c>
      <c r="W944">
        <f t="shared" si="207"/>
        <v>21466232577.020775</v>
      </c>
      <c r="Y944">
        <f t="shared" si="208"/>
        <v>6648.5263628890116</v>
      </c>
      <c r="Z944" s="28">
        <v>0.92400000000000004</v>
      </c>
      <c r="AA944">
        <f t="shared" si="209"/>
        <v>649.3506297078801</v>
      </c>
    </row>
    <row r="945" spans="1:27" x14ac:dyDescent="0.2">
      <c r="A945">
        <f t="shared" si="196"/>
        <v>1.3679213968232678E+16</v>
      </c>
      <c r="B945" s="28">
        <v>0.92500000000000004</v>
      </c>
      <c r="C945">
        <f t="shared" si="197"/>
        <v>1.3679213968338652E+16</v>
      </c>
      <c r="E945">
        <f t="shared" si="198"/>
        <v>10130.742723578751</v>
      </c>
      <c r="F945" s="28">
        <v>0.92500000000000004</v>
      </c>
      <c r="G945">
        <f t="shared" si="199"/>
        <v>648.64864864861795</v>
      </c>
      <c r="I945">
        <f t="shared" si="200"/>
        <v>2.6332486888940636E+16</v>
      </c>
      <c r="J945" s="28">
        <v>0.92500000000000004</v>
      </c>
      <c r="K945">
        <f t="shared" si="201"/>
        <v>2.6332486889051908E+16</v>
      </c>
      <c r="M945">
        <f t="shared" si="202"/>
        <v>10069.712292190148</v>
      </c>
      <c r="N945" s="28">
        <v>0.92500000000000004</v>
      </c>
      <c r="O945">
        <f t="shared" si="203"/>
        <v>1248.6486486485894</v>
      </c>
      <c r="Q945">
        <f t="shared" si="204"/>
        <v>1.2653272920707956E+16</v>
      </c>
      <c r="R945" s="28">
        <v>0.92500000000000004</v>
      </c>
      <c r="S945">
        <f t="shared" si="205"/>
        <v>1.2653272920713854E+16</v>
      </c>
      <c r="U945">
        <f t="shared" si="206"/>
        <v>21848591467.100948</v>
      </c>
      <c r="V945" s="48">
        <v>0.92500000000000004</v>
      </c>
      <c r="W945">
        <f t="shared" si="207"/>
        <v>21848610091.565636</v>
      </c>
      <c r="Y945">
        <f t="shared" si="208"/>
        <v>6649.2283632055351</v>
      </c>
      <c r="Z945" s="28">
        <v>0.92500000000000004</v>
      </c>
      <c r="AA945">
        <f t="shared" si="209"/>
        <v>648.64862939135696</v>
      </c>
    </row>
    <row r="946" spans="1:27" x14ac:dyDescent="0.2">
      <c r="A946">
        <f t="shared" si="196"/>
        <v>1.4000954523513106E+16</v>
      </c>
      <c r="B946" s="28">
        <v>0.92600000000000005</v>
      </c>
      <c r="C946">
        <f t="shared" si="197"/>
        <v>1.400095452361908E+16</v>
      </c>
      <c r="E946">
        <f t="shared" si="198"/>
        <v>10131.443208080531</v>
      </c>
      <c r="F946" s="28">
        <v>0.92600000000000005</v>
      </c>
      <c r="G946">
        <f t="shared" si="199"/>
        <v>647.94816414683828</v>
      </c>
      <c r="I946">
        <f t="shared" si="200"/>
        <v>2.6965838412379076E+16</v>
      </c>
      <c r="J946" s="28">
        <v>0.92600000000000005</v>
      </c>
      <c r="K946">
        <f t="shared" si="201"/>
        <v>2.6965838412490348E+16</v>
      </c>
      <c r="M946">
        <f t="shared" si="202"/>
        <v>10070.412776691928</v>
      </c>
      <c r="N946" s="28">
        <v>0.92600000000000005</v>
      </c>
      <c r="O946">
        <f t="shared" si="203"/>
        <v>1247.9481641468105</v>
      </c>
      <c r="Q946">
        <f t="shared" si="204"/>
        <v>1.296488388886597E+16</v>
      </c>
      <c r="R946" s="28">
        <v>0.92600000000000005</v>
      </c>
      <c r="S946">
        <f t="shared" si="205"/>
        <v>1.2964883888871868E+16</v>
      </c>
      <c r="U946">
        <f t="shared" si="206"/>
        <v>22237806253.570431</v>
      </c>
      <c r="V946" s="48">
        <v>0.92600000000000005</v>
      </c>
      <c r="W946">
        <f t="shared" si="207"/>
        <v>22237824878.035118</v>
      </c>
      <c r="Y946">
        <f t="shared" si="208"/>
        <v>6649.9288473294246</v>
      </c>
      <c r="Z946" s="28">
        <v>0.92600000000000005</v>
      </c>
      <c r="AA946">
        <f t="shared" si="209"/>
        <v>647.94814526746734</v>
      </c>
    </row>
    <row r="947" spans="1:27" x14ac:dyDescent="0.2">
      <c r="A947">
        <f t="shared" si="196"/>
        <v>1.4330098289915108E+16</v>
      </c>
      <c r="B947" s="28">
        <v>0.92700000000000005</v>
      </c>
      <c r="C947">
        <f t="shared" si="197"/>
        <v>1.4330098290021082E+16</v>
      </c>
      <c r="E947">
        <f t="shared" si="198"/>
        <v>10132.142181288886</v>
      </c>
      <c r="F947" s="28">
        <v>0.92700000000000005</v>
      </c>
      <c r="G947">
        <f t="shared" si="199"/>
        <v>647.249190938482</v>
      </c>
      <c r="I947">
        <f t="shared" si="200"/>
        <v>2.7614099404759356E+16</v>
      </c>
      <c r="J947" s="28">
        <v>0.92700000000000005</v>
      </c>
      <c r="K947">
        <f t="shared" si="201"/>
        <v>2.7614099404870628E+16</v>
      </c>
      <c r="M947">
        <f t="shared" si="202"/>
        <v>10071.111749900283</v>
      </c>
      <c r="N947" s="28">
        <v>0.92700000000000005</v>
      </c>
      <c r="O947">
        <f t="shared" si="203"/>
        <v>1247.2491909384548</v>
      </c>
      <c r="Q947">
        <f t="shared" si="204"/>
        <v>1.3284001114844246E+16</v>
      </c>
      <c r="R947" s="28">
        <v>0.92700000000000005</v>
      </c>
      <c r="S947">
        <f t="shared" si="205"/>
        <v>1.3284001114850144E+16</v>
      </c>
      <c r="U947">
        <f t="shared" si="206"/>
        <v>22633980973.043957</v>
      </c>
      <c r="V947" s="48">
        <v>0.92700000000000005</v>
      </c>
      <c r="W947">
        <f t="shared" si="207"/>
        <v>22633999597.508644</v>
      </c>
      <c r="Y947">
        <f t="shared" si="208"/>
        <v>6650.6278201673276</v>
      </c>
      <c r="Z947" s="28">
        <v>0.92700000000000005</v>
      </c>
      <c r="AA947">
        <f t="shared" si="209"/>
        <v>647.24917242956406</v>
      </c>
    </row>
    <row r="948" spans="1:27" x14ac:dyDescent="0.2">
      <c r="A948">
        <f t="shared" si="196"/>
        <v>1.4666811828317918E+16</v>
      </c>
      <c r="B948" s="28">
        <v>0.92800000000000005</v>
      </c>
      <c r="C948">
        <f t="shared" si="197"/>
        <v>1.4666811828423892E+16</v>
      </c>
      <c r="E948">
        <f t="shared" si="198"/>
        <v>10132.839648089466</v>
      </c>
      <c r="F948" s="28">
        <v>0.92800000000000005</v>
      </c>
      <c r="G948">
        <f t="shared" si="199"/>
        <v>646.5517241379024</v>
      </c>
      <c r="I948">
        <f t="shared" si="200"/>
        <v>2.8277613205089988E+16</v>
      </c>
      <c r="J948" s="28">
        <v>0.92800000000000005</v>
      </c>
      <c r="K948">
        <f t="shared" si="201"/>
        <v>2.827761320520126E+16</v>
      </c>
      <c r="M948">
        <f t="shared" si="202"/>
        <v>10071.809216700862</v>
      </c>
      <c r="N948" s="28">
        <v>0.92800000000000005</v>
      </c>
      <c r="O948">
        <f t="shared" si="203"/>
        <v>1246.5517241378761</v>
      </c>
      <c r="Q948">
        <f t="shared" si="204"/>
        <v>1.3610801376772074E+16</v>
      </c>
      <c r="R948" s="28">
        <v>0.92800000000000005</v>
      </c>
      <c r="S948">
        <f t="shared" si="205"/>
        <v>1.3610801376777972E+16</v>
      </c>
      <c r="U948">
        <f t="shared" si="206"/>
        <v>23037240493.534859</v>
      </c>
      <c r="V948" s="48">
        <v>0.92800000000000005</v>
      </c>
      <c r="W948">
        <f t="shared" si="207"/>
        <v>23037259117.999546</v>
      </c>
      <c r="Y948">
        <f t="shared" si="208"/>
        <v>6651.3252866047442</v>
      </c>
      <c r="Z948" s="28">
        <v>0.92800000000000005</v>
      </c>
      <c r="AA948">
        <f t="shared" si="209"/>
        <v>646.55170599214739</v>
      </c>
    </row>
    <row r="949" spans="1:27" x14ac:dyDescent="0.2">
      <c r="A949">
        <f t="shared" si="196"/>
        <v>1.5011265361654014E+16</v>
      </c>
      <c r="B949" s="28">
        <v>0.92900000000000005</v>
      </c>
      <c r="C949">
        <f t="shared" si="197"/>
        <v>1.5011265361759988E+16</v>
      </c>
      <c r="E949">
        <f t="shared" si="198"/>
        <v>10133.535613346879</v>
      </c>
      <c r="F949" s="28">
        <v>0.92900000000000005</v>
      </c>
      <c r="G949">
        <f t="shared" si="199"/>
        <v>645.85575888048879</v>
      </c>
      <c r="I949">
        <f t="shared" si="200"/>
        <v>2.8956730882723748E+16</v>
      </c>
      <c r="J949" s="28">
        <v>0.92900000000000005</v>
      </c>
      <c r="K949">
        <f t="shared" si="201"/>
        <v>2.895673088283502E+16</v>
      </c>
      <c r="M949">
        <f t="shared" si="202"/>
        <v>10072.505181958275</v>
      </c>
      <c r="N949" s="28">
        <v>0.92900000000000005</v>
      </c>
      <c r="O949">
        <f t="shared" si="203"/>
        <v>1245.8557588804631</v>
      </c>
      <c r="Q949">
        <f t="shared" si="204"/>
        <v>1.3945465521069732E+16</v>
      </c>
      <c r="R949" s="28">
        <v>0.92900000000000005</v>
      </c>
      <c r="S949">
        <f t="shared" si="205"/>
        <v>1.394546552107563E+16</v>
      </c>
      <c r="U949">
        <f t="shared" si="206"/>
        <v>23447711929.800358</v>
      </c>
      <c r="V949" s="48">
        <v>0.92900000000000005</v>
      </c>
      <c r="W949">
        <f t="shared" si="207"/>
        <v>23447730554.265045</v>
      </c>
      <c r="Y949">
        <f t="shared" si="208"/>
        <v>6652.0212515061412</v>
      </c>
      <c r="Z949" s="28">
        <v>0.92900000000000005</v>
      </c>
      <c r="AA949">
        <f t="shared" si="209"/>
        <v>645.85574109075026</v>
      </c>
    </row>
    <row r="950" spans="1:27" x14ac:dyDescent="0.2">
      <c r="A950">
        <f t="shared" si="196"/>
        <v>1.5363632853545758E+16</v>
      </c>
      <c r="B950" s="28">
        <v>0.93</v>
      </c>
      <c r="C950">
        <f t="shared" si="197"/>
        <v>1.5363632853651732E+16</v>
      </c>
      <c r="E950">
        <f t="shared" si="198"/>
        <v>10134.230081904814</v>
      </c>
      <c r="F950" s="28">
        <v>0.93</v>
      </c>
      <c r="G950">
        <f t="shared" si="199"/>
        <v>645.16129032255355</v>
      </c>
      <c r="I950">
        <f t="shared" si="200"/>
        <v>2.9651811407436572E+16</v>
      </c>
      <c r="J950" s="28">
        <v>0.93</v>
      </c>
      <c r="K950">
        <f t="shared" si="201"/>
        <v>2.9651811407547844E+16</v>
      </c>
      <c r="M950">
        <f t="shared" si="202"/>
        <v>10073.19965051621</v>
      </c>
      <c r="N950" s="28">
        <v>0.93</v>
      </c>
      <c r="O950">
        <f t="shared" si="203"/>
        <v>1245.1612903225282</v>
      </c>
      <c r="Q950">
        <f t="shared" si="204"/>
        <v>1.4288178553890814E+16</v>
      </c>
      <c r="R950" s="28">
        <v>0.93</v>
      </c>
      <c r="S950">
        <f t="shared" si="205"/>
        <v>1.4288178553896712E+16</v>
      </c>
      <c r="U950">
        <f t="shared" si="206"/>
        <v>23865524683.870846</v>
      </c>
      <c r="V950" s="48">
        <v>0.93</v>
      </c>
      <c r="W950">
        <f t="shared" si="207"/>
        <v>23865543308.335533</v>
      </c>
      <c r="Y950">
        <f t="shared" si="208"/>
        <v>6652.7157197150655</v>
      </c>
      <c r="Z950" s="28">
        <v>0.93</v>
      </c>
      <c r="AA950">
        <f t="shared" si="209"/>
        <v>645.16127288182622</v>
      </c>
    </row>
    <row r="951" spans="1:27" x14ac:dyDescent="0.2">
      <c r="A951">
        <f t="shared" si="196"/>
        <v>1.5724092088590856E+16</v>
      </c>
      <c r="B951" s="28">
        <v>0.93100000000000005</v>
      </c>
      <c r="C951">
        <f t="shared" si="197"/>
        <v>1.572409208869683E+16</v>
      </c>
      <c r="E951">
        <f t="shared" si="198"/>
        <v>10134.923058586148</v>
      </c>
      <c r="F951" s="28">
        <v>0.93100000000000005</v>
      </c>
      <c r="G951">
        <f t="shared" si="199"/>
        <v>644.46831364121954</v>
      </c>
      <c r="I951">
        <f t="shared" si="200"/>
        <v>3.0363221823162312E+16</v>
      </c>
      <c r="J951" s="28">
        <v>0.93100000000000005</v>
      </c>
      <c r="K951">
        <f t="shared" si="201"/>
        <v>3.0363221823273584E+16</v>
      </c>
      <c r="M951">
        <f t="shared" si="202"/>
        <v>10073.892627197543</v>
      </c>
      <c r="N951" s="28">
        <v>0.93100000000000005</v>
      </c>
      <c r="O951">
        <f t="shared" si="203"/>
        <v>1244.468313641195</v>
      </c>
      <c r="Q951">
        <f t="shared" si="204"/>
        <v>1.4639129734571452E+16</v>
      </c>
      <c r="R951" s="28">
        <v>0.93100000000000005</v>
      </c>
      <c r="S951">
        <f t="shared" si="205"/>
        <v>1.463912973457735E+16</v>
      </c>
      <c r="U951">
        <f t="shared" si="206"/>
        <v>24290810486.312477</v>
      </c>
      <c r="V951" s="48">
        <v>0.93100000000000005</v>
      </c>
      <c r="W951">
        <f t="shared" si="207"/>
        <v>24290829110.777164</v>
      </c>
      <c r="Y951">
        <f t="shared" si="208"/>
        <v>6653.4086960542554</v>
      </c>
      <c r="Z951" s="28">
        <v>0.93100000000000005</v>
      </c>
      <c r="AA951">
        <f t="shared" si="209"/>
        <v>644.46829654263661</v>
      </c>
    </row>
    <row r="952" spans="1:27" x14ac:dyDescent="0.2">
      <c r="A952">
        <f t="shared" si="196"/>
        <v>1.6092824754329058E+16</v>
      </c>
      <c r="B952" s="28">
        <v>0.93200000000000005</v>
      </c>
      <c r="C952">
        <f t="shared" si="197"/>
        <v>1.6092824754435032E+16</v>
      </c>
      <c r="E952">
        <f t="shared" si="198"/>
        <v>10135.61454819306</v>
      </c>
      <c r="F952" s="28">
        <v>0.93200000000000005</v>
      </c>
      <c r="G952">
        <f t="shared" si="199"/>
        <v>643.77682403430902</v>
      </c>
      <c r="I952">
        <f t="shared" si="200"/>
        <v>3.1091337425457212E+16</v>
      </c>
      <c r="J952" s="28">
        <v>0.93200000000000005</v>
      </c>
      <c r="K952">
        <f t="shared" si="201"/>
        <v>3.1091337425568484E+16</v>
      </c>
      <c r="M952">
        <f t="shared" si="202"/>
        <v>10074.584116804454</v>
      </c>
      <c r="N952" s="28">
        <v>0.93200000000000005</v>
      </c>
      <c r="O952">
        <f t="shared" si="203"/>
        <v>1243.776824034285</v>
      </c>
      <c r="Q952">
        <f t="shared" si="204"/>
        <v>1.4998512671128152E+16</v>
      </c>
      <c r="R952" s="28">
        <v>0.93200000000000005</v>
      </c>
      <c r="S952">
        <f t="shared" si="205"/>
        <v>1.499851267113405E+16</v>
      </c>
      <c r="U952">
        <f t="shared" si="206"/>
        <v>24723703438.234932</v>
      </c>
      <c r="V952" s="48">
        <v>0.93200000000000005</v>
      </c>
      <c r="W952">
        <f t="shared" si="207"/>
        <v>24723722062.699619</v>
      </c>
      <c r="Y952">
        <f t="shared" si="208"/>
        <v>6654.100185325753</v>
      </c>
      <c r="Z952" s="28">
        <v>0.93200000000000005</v>
      </c>
      <c r="AA952">
        <f t="shared" si="209"/>
        <v>643.77680727113909</v>
      </c>
    </row>
    <row r="953" spans="1:27" x14ac:dyDescent="0.2">
      <c r="A953">
        <f t="shared" si="196"/>
        <v>1.6470016524925534E+16</v>
      </c>
      <c r="B953" s="28">
        <v>0.93300000000000005</v>
      </c>
      <c r="C953">
        <f t="shared" si="197"/>
        <v>1.6470016525031508E+16</v>
      </c>
      <c r="E953">
        <f t="shared" si="198"/>
        <v>10136.304555507137</v>
      </c>
      <c r="F953" s="28">
        <v>0.93300000000000005</v>
      </c>
      <c r="G953">
        <f t="shared" si="199"/>
        <v>643.08681672023204</v>
      </c>
      <c r="I953">
        <f t="shared" si="200"/>
        <v>3.1836541942774628E+16</v>
      </c>
      <c r="J953" s="28">
        <v>0.93300000000000005</v>
      </c>
      <c r="K953">
        <f t="shared" si="201"/>
        <v>3.18365419428859E+16</v>
      </c>
      <c r="M953">
        <f t="shared" si="202"/>
        <v>10075.27412411853</v>
      </c>
      <c r="N953" s="28">
        <v>0.93300000000000005</v>
      </c>
      <c r="O953">
        <f t="shared" si="203"/>
        <v>1243.0868167202086</v>
      </c>
      <c r="Q953">
        <f t="shared" si="204"/>
        <v>1.53665254178491E+16</v>
      </c>
      <c r="R953" s="28">
        <v>0.93300000000000005</v>
      </c>
      <c r="S953">
        <f t="shared" si="205"/>
        <v>1.5366525417854998E+16</v>
      </c>
      <c r="U953">
        <f t="shared" si="206"/>
        <v>25164340054.059715</v>
      </c>
      <c r="V953" s="48">
        <v>0.93300000000000005</v>
      </c>
      <c r="W953">
        <f t="shared" si="207"/>
        <v>25164358678.524403</v>
      </c>
      <c r="Y953">
        <f t="shared" si="208"/>
        <v>6654.7901923110148</v>
      </c>
      <c r="Z953" s="28">
        <v>0.93300000000000005</v>
      </c>
      <c r="AA953">
        <f t="shared" si="209"/>
        <v>643.08680028587685</v>
      </c>
    </row>
    <row r="954" spans="1:27" x14ac:dyDescent="0.2">
      <c r="A954">
        <f t="shared" si="196"/>
        <v>1.685585714660539E+16</v>
      </c>
      <c r="B954" s="28">
        <v>0.93400000000000005</v>
      </c>
      <c r="C954">
        <f t="shared" si="197"/>
        <v>1.6855857146711364E+16</v>
      </c>
      <c r="E954">
        <f t="shared" si="198"/>
        <v>10136.99308528949</v>
      </c>
      <c r="F954" s="28">
        <v>0.93400000000000005</v>
      </c>
      <c r="G954">
        <f t="shared" si="199"/>
        <v>642.39828693787706</v>
      </c>
      <c r="I954">
        <f t="shared" si="200"/>
        <v>3.2599227721628508E+16</v>
      </c>
      <c r="J954" s="28">
        <v>0.93400000000000005</v>
      </c>
      <c r="K954">
        <f t="shared" si="201"/>
        <v>3.259922772173978E+16</v>
      </c>
      <c r="M954">
        <f t="shared" si="202"/>
        <v>10075.962653900884</v>
      </c>
      <c r="N954" s="28">
        <v>0.93400000000000005</v>
      </c>
      <c r="O954">
        <f t="shared" si="203"/>
        <v>1242.3982869378542</v>
      </c>
      <c r="Q954">
        <f t="shared" si="204"/>
        <v>1.5743370575023116E+16</v>
      </c>
      <c r="R954" s="28">
        <v>0.93400000000000005</v>
      </c>
      <c r="S954">
        <f t="shared" si="205"/>
        <v>1.5743370575029014E+16</v>
      </c>
      <c r="U954">
        <f t="shared" si="206"/>
        <v>25612859305.061218</v>
      </c>
      <c r="V954" s="48">
        <v>0.93400000000000005</v>
      </c>
      <c r="W954">
        <f t="shared" si="207"/>
        <v>25612877929.525906</v>
      </c>
      <c r="Y954">
        <f t="shared" si="208"/>
        <v>6655.4787217710236</v>
      </c>
      <c r="Z954" s="28">
        <v>0.93400000000000005</v>
      </c>
      <c r="AA954">
        <f t="shared" si="209"/>
        <v>642.39827082586794</v>
      </c>
    </row>
    <row r="955" spans="1:27" x14ac:dyDescent="0.2">
      <c r="A955">
        <f t="shared" si="196"/>
        <v>1.725054052487521E+16</v>
      </c>
      <c r="B955" s="28">
        <v>0.93500000000000005</v>
      </c>
      <c r="C955">
        <f t="shared" si="197"/>
        <v>1.7250540524981184E+16</v>
      </c>
      <c r="E955">
        <f t="shared" si="198"/>
        <v>10137.680142280868</v>
      </c>
      <c r="F955" s="28">
        <v>0.93500000000000005</v>
      </c>
      <c r="G955">
        <f t="shared" si="199"/>
        <v>641.71122994650011</v>
      </c>
      <c r="I955">
        <f t="shared" si="200"/>
        <v>3.337979591572732E+16</v>
      </c>
      <c r="J955" s="28">
        <v>0.93500000000000005</v>
      </c>
      <c r="K955">
        <f t="shared" si="201"/>
        <v>3.3379795915838592E+16</v>
      </c>
      <c r="M955">
        <f t="shared" si="202"/>
        <v>10076.649710892261</v>
      </c>
      <c r="N955" s="28">
        <v>0.93500000000000005</v>
      </c>
      <c r="O955">
        <f t="shared" si="203"/>
        <v>1241.7112299464777</v>
      </c>
      <c r="Q955">
        <f t="shared" si="204"/>
        <v>1.612925539085211E+16</v>
      </c>
      <c r="R955" s="28">
        <v>0.93500000000000005</v>
      </c>
      <c r="S955">
        <f t="shared" si="205"/>
        <v>1.6129255390858008E+16</v>
      </c>
      <c r="U955">
        <f t="shared" si="206"/>
        <v>26069402663.695709</v>
      </c>
      <c r="V955" s="48">
        <v>0.93500000000000005</v>
      </c>
      <c r="W955">
        <f t="shared" si="207"/>
        <v>26069421288.160397</v>
      </c>
      <c r="Y955">
        <f t="shared" si="208"/>
        <v>6656.1657784463951</v>
      </c>
      <c r="Z955" s="28">
        <v>0.93500000000000005</v>
      </c>
      <c r="AA955">
        <f t="shared" si="209"/>
        <v>641.71121415049663</v>
      </c>
    </row>
    <row r="956" spans="1:27" x14ac:dyDescent="0.2">
      <c r="A956">
        <f t="shared" si="196"/>
        <v>1.765426481356883E+16</v>
      </c>
      <c r="B956" s="28">
        <v>0.93600000000000005</v>
      </c>
      <c r="C956">
        <f t="shared" si="197"/>
        <v>1.7654264813674804E+16</v>
      </c>
      <c r="E956">
        <f t="shared" si="198"/>
        <v>10138.365731201751</v>
      </c>
      <c r="F956" s="28">
        <v>0.93600000000000005</v>
      </c>
      <c r="G956">
        <f t="shared" si="199"/>
        <v>641.02564102561769</v>
      </c>
      <c r="I956">
        <f t="shared" si="200"/>
        <v>3.4178656679163144E+16</v>
      </c>
      <c r="J956" s="28">
        <v>0.93600000000000005</v>
      </c>
      <c r="K956">
        <f t="shared" si="201"/>
        <v>3.4178656679274416E+16</v>
      </c>
      <c r="M956">
        <f t="shared" si="202"/>
        <v>10077.335299813143</v>
      </c>
      <c r="N956" s="28">
        <v>0.93600000000000005</v>
      </c>
      <c r="O956">
        <f t="shared" si="203"/>
        <v>1241.0256410255959</v>
      </c>
      <c r="Q956">
        <f t="shared" si="204"/>
        <v>1.652439186559432E+16</v>
      </c>
      <c r="R956" s="28">
        <v>0.93600000000000005</v>
      </c>
      <c r="S956">
        <f t="shared" si="205"/>
        <v>1.6524391865600218E+16</v>
      </c>
      <c r="U956">
        <f t="shared" si="206"/>
        <v>26534114148.731121</v>
      </c>
      <c r="V956" s="48">
        <v>0.93600000000000005</v>
      </c>
      <c r="W956">
        <f t="shared" si="207"/>
        <v>26534132773.195808</v>
      </c>
      <c r="Y956">
        <f t="shared" si="208"/>
        <v>6656.8513670574876</v>
      </c>
      <c r="Z956" s="28">
        <v>0.93600000000000005</v>
      </c>
      <c r="AA956">
        <f t="shared" si="209"/>
        <v>641.02562553940425</v>
      </c>
    </row>
    <row r="957" spans="1:27" x14ac:dyDescent="0.2">
      <c r="A957">
        <f t="shared" si="196"/>
        <v>1.8067232505753212E+16</v>
      </c>
      <c r="B957" s="28">
        <v>0.93700000000000006</v>
      </c>
      <c r="C957">
        <f t="shared" si="197"/>
        <v>1.8067232505859184E+16</v>
      </c>
      <c r="E957">
        <f t="shared" si="198"/>
        <v>10139.04985675247</v>
      </c>
      <c r="F957" s="28">
        <v>0.93700000000000006</v>
      </c>
      <c r="G957">
        <f t="shared" si="199"/>
        <v>640.34151547489728</v>
      </c>
      <c r="I957">
        <f t="shared" si="200"/>
        <v>3.4996229363737968E+16</v>
      </c>
      <c r="J957" s="28">
        <v>0.93700000000000006</v>
      </c>
      <c r="K957">
        <f t="shared" si="201"/>
        <v>3.499622936384924E+16</v>
      </c>
      <c r="M957">
        <f t="shared" si="202"/>
        <v>10078.019425363862</v>
      </c>
      <c r="N957" s="28">
        <v>0.93700000000000006</v>
      </c>
      <c r="O957">
        <f t="shared" si="203"/>
        <v>1240.3415154748759</v>
      </c>
      <c r="Q957">
        <f t="shared" si="204"/>
        <v>1.692899685798476E+16</v>
      </c>
      <c r="R957" s="28">
        <v>0.93700000000000006</v>
      </c>
      <c r="S957">
        <f t="shared" si="205"/>
        <v>1.6928996857990658E+16</v>
      </c>
      <c r="U957">
        <f t="shared" si="206"/>
        <v>27007140371.193771</v>
      </c>
      <c r="V957" s="48">
        <v>0.93700000000000006</v>
      </c>
      <c r="W957">
        <f t="shared" si="207"/>
        <v>27007158995.658459</v>
      </c>
      <c r="Y957">
        <f t="shared" si="208"/>
        <v>6657.5354923045106</v>
      </c>
      <c r="Z957" s="28">
        <v>0.93700000000000006</v>
      </c>
      <c r="AA957">
        <f t="shared" si="209"/>
        <v>640.34150029238094</v>
      </c>
    </row>
    <row r="958" spans="1:27" x14ac:dyDescent="0.2">
      <c r="A958">
        <f t="shared" si="196"/>
        <v>1.8489650526532492E+16</v>
      </c>
      <c r="B958" s="28">
        <v>0.93799999999999994</v>
      </c>
      <c r="C958">
        <f t="shared" si="197"/>
        <v>1.8489650526638464E+16</v>
      </c>
      <c r="E958">
        <f t="shared" si="198"/>
        <v>10139.732523613318</v>
      </c>
      <c r="F958" s="28">
        <v>0.93799999999999994</v>
      </c>
      <c r="G958">
        <f t="shared" si="199"/>
        <v>639.65884861405038</v>
      </c>
      <c r="I958">
        <f t="shared" si="200"/>
        <v>3.5832942720514072E+16</v>
      </c>
      <c r="J958" s="28">
        <v>0.93799999999999994</v>
      </c>
      <c r="K958">
        <f t="shared" si="201"/>
        <v>3.5832942720625344E+16</v>
      </c>
      <c r="M958">
        <f t="shared" si="202"/>
        <v>10078.702092224708</v>
      </c>
      <c r="N958" s="28">
        <v>0.93799999999999994</v>
      </c>
      <c r="O958">
        <f t="shared" si="203"/>
        <v>1239.6588486140297</v>
      </c>
      <c r="Q958">
        <f t="shared" si="204"/>
        <v>1.7343292193981582E+16</v>
      </c>
      <c r="R958" s="28">
        <v>0.93799999999999994</v>
      </c>
      <c r="S958">
        <f t="shared" si="205"/>
        <v>1.734329219398748E+16</v>
      </c>
      <c r="U958">
        <f t="shared" si="206"/>
        <v>27488630581.145641</v>
      </c>
      <c r="V958" s="48">
        <v>0.93799999999999994</v>
      </c>
      <c r="W958">
        <f t="shared" si="207"/>
        <v>27488649205.610329</v>
      </c>
      <c r="Y958">
        <f t="shared" si="208"/>
        <v>6658.2181588676331</v>
      </c>
      <c r="Z958" s="28">
        <v>0.93799999999999994</v>
      </c>
      <c r="AA958">
        <f t="shared" si="209"/>
        <v>639.6588337292585</v>
      </c>
    </row>
    <row r="959" spans="1:27" x14ac:dyDescent="0.2">
      <c r="A959">
        <f t="shared" si="196"/>
        <v>1.8921730327791476E+16</v>
      </c>
      <c r="B959" s="28">
        <v>0.93899999999999995</v>
      </c>
      <c r="C959">
        <f t="shared" si="197"/>
        <v>1.8921730327897448E+16</v>
      </c>
      <c r="E959">
        <f t="shared" si="198"/>
        <v>10140.413736444641</v>
      </c>
      <c r="F959" s="28">
        <v>0.93899999999999995</v>
      </c>
      <c r="G959">
        <f t="shared" si="199"/>
        <v>638.977635782726</v>
      </c>
      <c r="I959">
        <f t="shared" si="200"/>
        <v>3.668923510568188E+16</v>
      </c>
      <c r="J959" s="28">
        <v>0.93899999999999995</v>
      </c>
      <c r="K959">
        <f t="shared" si="201"/>
        <v>3.6689235105793152E+16</v>
      </c>
      <c r="M959">
        <f t="shared" si="202"/>
        <v>10079.383305056032</v>
      </c>
      <c r="N959" s="28">
        <v>0.93899999999999995</v>
      </c>
      <c r="O959">
        <f t="shared" si="203"/>
        <v>1238.9776357827059</v>
      </c>
      <c r="Q959">
        <f t="shared" si="204"/>
        <v>1.7767504777890404E+16</v>
      </c>
      <c r="R959" s="28">
        <v>0.93899999999999995</v>
      </c>
      <c r="S959">
        <f t="shared" si="205"/>
        <v>1.7767504777896302E+16</v>
      </c>
      <c r="U959">
        <f t="shared" si="206"/>
        <v>27978736715.308159</v>
      </c>
      <c r="V959" s="48">
        <v>0.93899999999999995</v>
      </c>
      <c r="W959">
        <f t="shared" si="207"/>
        <v>27978755339.772846</v>
      </c>
      <c r="Y959">
        <f t="shared" si="208"/>
        <v>6658.8993714070884</v>
      </c>
      <c r="Z959" s="28">
        <v>0.93899999999999995</v>
      </c>
      <c r="AA959">
        <f t="shared" si="209"/>
        <v>638.9776211898037</v>
      </c>
    </row>
    <row r="960" spans="1:27" x14ac:dyDescent="0.2">
      <c r="A960">
        <f t="shared" si="196"/>
        <v>1.9363687984913352E+16</v>
      </c>
      <c r="B960" s="28">
        <v>0.94</v>
      </c>
      <c r="C960">
        <f t="shared" si="197"/>
        <v>1.9363687985019324E+16</v>
      </c>
      <c r="E960">
        <f t="shared" si="198"/>
        <v>10141.093499886963</v>
      </c>
      <c r="F960" s="28">
        <v>0.94</v>
      </c>
      <c r="G960">
        <f t="shared" si="199"/>
        <v>638.29787234040452</v>
      </c>
      <c r="I960">
        <f t="shared" si="200"/>
        <v>3.7565554690826216E+16</v>
      </c>
      <c r="J960" s="28">
        <v>0.94</v>
      </c>
      <c r="K960">
        <f t="shared" si="201"/>
        <v>3.7565554690937488E+16</v>
      </c>
      <c r="M960">
        <f t="shared" si="202"/>
        <v>10080.063068498353</v>
      </c>
      <c r="N960" s="28">
        <v>0.94</v>
      </c>
      <c r="O960">
        <f t="shared" si="203"/>
        <v>1238.2978723403846</v>
      </c>
      <c r="Q960">
        <f t="shared" si="204"/>
        <v>1.8201866705912864E+16</v>
      </c>
      <c r="R960" s="28">
        <v>0.94</v>
      </c>
      <c r="S960">
        <f t="shared" si="205"/>
        <v>1.8201866705918764E+16</v>
      </c>
      <c r="U960">
        <f t="shared" si="206"/>
        <v>28477613445.546234</v>
      </c>
      <c r="V960" s="48">
        <v>0.94</v>
      </c>
      <c r="W960">
        <f t="shared" si="207"/>
        <v>28477632070.010921</v>
      </c>
      <c r="Y960">
        <f t="shared" si="208"/>
        <v>6659.5791345632797</v>
      </c>
      <c r="Z960" s="28">
        <v>0.94</v>
      </c>
      <c r="AA960">
        <f t="shared" si="209"/>
        <v>638.29785803361221</v>
      </c>
    </row>
    <row r="961" spans="1:27" x14ac:dyDescent="0.2">
      <c r="A961">
        <f t="shared" si="196"/>
        <v>1.981574429551626E+16</v>
      </c>
      <c r="B961" s="28">
        <v>0.94099999999999995</v>
      </c>
      <c r="C961">
        <f t="shared" si="197"/>
        <v>1.9815744295622232E+16</v>
      </c>
      <c r="E961">
        <f t="shared" si="198"/>
        <v>10141.771818561076</v>
      </c>
      <c r="F961" s="28">
        <v>0.94099999999999995</v>
      </c>
      <c r="G961">
        <f t="shared" si="199"/>
        <v>637.61955366629195</v>
      </c>
      <c r="I961">
        <f t="shared" si="200"/>
        <v>3.846235967769148E+16</v>
      </c>
      <c r="J961" s="28">
        <v>0.94099999999999995</v>
      </c>
      <c r="K961">
        <f t="shared" si="201"/>
        <v>3.8462359677802752E+16</v>
      </c>
      <c r="M961">
        <f t="shared" si="202"/>
        <v>10080.741387172466</v>
      </c>
      <c r="N961" s="28">
        <v>0.94099999999999995</v>
      </c>
      <c r="O961">
        <f t="shared" si="203"/>
        <v>1237.6195536662726</v>
      </c>
      <c r="Q961">
        <f t="shared" si="204"/>
        <v>1.864661538217522E+16</v>
      </c>
      <c r="R961" s="28">
        <v>0.94099999999999995</v>
      </c>
      <c r="S961">
        <f t="shared" si="205"/>
        <v>1.864661538218112E+16</v>
      </c>
      <c r="U961">
        <f t="shared" si="206"/>
        <v>28985418228.230827</v>
      </c>
      <c r="V961" s="48">
        <v>0.94099999999999995</v>
      </c>
      <c r="W961">
        <f t="shared" si="207"/>
        <v>28985436852.695515</v>
      </c>
      <c r="Y961">
        <f t="shared" si="208"/>
        <v>6660.2574529568883</v>
      </c>
      <c r="Z961" s="28">
        <v>0.94099999999999995</v>
      </c>
      <c r="AA961">
        <f t="shared" si="209"/>
        <v>637.61953964000372</v>
      </c>
    </row>
    <row r="962" spans="1:27" x14ac:dyDescent="0.2">
      <c r="A962">
        <f t="shared" si="196"/>
        <v>2.0278124880247676E+16</v>
      </c>
      <c r="B962" s="28">
        <v>0.94199999999999995</v>
      </c>
      <c r="C962">
        <f t="shared" si="197"/>
        <v>2.0278124880353648E+16</v>
      </c>
      <c r="E962">
        <f t="shared" si="198"/>
        <v>10142.448697068152</v>
      </c>
      <c r="F962" s="28">
        <v>0.94199999999999995</v>
      </c>
      <c r="G962">
        <f t="shared" si="199"/>
        <v>636.9426751592157</v>
      </c>
      <c r="I962">
        <f t="shared" si="200"/>
        <v>3.9380118517535512E+16</v>
      </c>
      <c r="J962" s="28">
        <v>0.94199999999999995</v>
      </c>
      <c r="K962">
        <f t="shared" si="201"/>
        <v>3.9380118517646784E+16</v>
      </c>
      <c r="M962">
        <f t="shared" si="202"/>
        <v>10081.418265679542</v>
      </c>
      <c r="N962" s="28">
        <v>0.94199999999999995</v>
      </c>
      <c r="O962">
        <f t="shared" si="203"/>
        <v>1236.9426751591968</v>
      </c>
      <c r="Q962">
        <f t="shared" si="204"/>
        <v>1.9101993637287836E+16</v>
      </c>
      <c r="R962" s="28">
        <v>0.94199999999999995</v>
      </c>
      <c r="S962">
        <f t="shared" si="205"/>
        <v>1.9101993637293736E+16</v>
      </c>
      <c r="U962">
        <f t="shared" si="206"/>
        <v>29502311354.492783</v>
      </c>
      <c r="V962" s="48">
        <v>0.94199999999999995</v>
      </c>
      <c r="W962">
        <f t="shared" si="207"/>
        <v>29502329978.95747</v>
      </c>
      <c r="Y962">
        <f t="shared" si="208"/>
        <v>6660.9343311889752</v>
      </c>
      <c r="Z962" s="28">
        <v>0.94199999999999995</v>
      </c>
      <c r="AA962">
        <f t="shared" si="209"/>
        <v>636.94266140791638</v>
      </c>
    </row>
    <row r="963" spans="1:27" x14ac:dyDescent="0.2">
      <c r="A963">
        <f t="shared" si="196"/>
        <v>2.0751060285677908E+16</v>
      </c>
      <c r="B963" s="28">
        <v>0.94299999999999995</v>
      </c>
      <c r="C963">
        <f t="shared" si="197"/>
        <v>2.075106028578388E+16</v>
      </c>
      <c r="E963">
        <f t="shared" si="198"/>
        <v>10143.124139989848</v>
      </c>
      <c r="F963" s="28">
        <v>0.94299999999999995</v>
      </c>
      <c r="G963">
        <f t="shared" si="199"/>
        <v>636.26723223752037</v>
      </c>
      <c r="I963">
        <f t="shared" si="200"/>
        <v>4.0319310135166808E+16</v>
      </c>
      <c r="J963" s="28">
        <v>0.94299999999999995</v>
      </c>
      <c r="K963">
        <f t="shared" si="201"/>
        <v>4.031931013527808E+16</v>
      </c>
      <c r="M963">
        <f t="shared" si="202"/>
        <v>10082.093708601236</v>
      </c>
      <c r="N963" s="28">
        <v>0.94299999999999995</v>
      </c>
      <c r="O963">
        <f t="shared" si="203"/>
        <v>1236.267232237502</v>
      </c>
      <c r="Q963">
        <f t="shared" si="204"/>
        <v>1.9568249849488896E+16</v>
      </c>
      <c r="R963" s="28">
        <v>0.94299999999999995</v>
      </c>
      <c r="S963">
        <f t="shared" si="205"/>
        <v>1.9568249849494796E+16</v>
      </c>
      <c r="U963">
        <f t="shared" si="206"/>
        <v>30028456001.386822</v>
      </c>
      <c r="V963" s="48">
        <v>0.94299999999999995</v>
      </c>
      <c r="W963">
        <f t="shared" si="207"/>
        <v>30028474625.851509</v>
      </c>
      <c r="Y963">
        <f t="shared" si="208"/>
        <v>6661.6097738410881</v>
      </c>
      <c r="Z963" s="28">
        <v>0.94299999999999995</v>
      </c>
      <c r="AA963">
        <f t="shared" si="209"/>
        <v>636.26721875580336</v>
      </c>
    </row>
    <row r="964" spans="1:27" x14ac:dyDescent="0.2">
      <c r="A964">
        <f t="shared" si="196"/>
        <v>2.1234786089336952E+16</v>
      </c>
      <c r="B964" s="28">
        <v>0.94399999999999995</v>
      </c>
      <c r="C964">
        <f t="shared" si="197"/>
        <v>2.1234786089442924E+16</v>
      </c>
      <c r="E964">
        <f t="shared" si="198"/>
        <v>10143.798151888404</v>
      </c>
      <c r="F964" s="28">
        <v>0.94399999999999995</v>
      </c>
      <c r="G964">
        <f t="shared" si="199"/>
        <v>635.59322033896399</v>
      </c>
      <c r="I964">
        <f t="shared" si="200"/>
        <v>4.1280424157765776E+16</v>
      </c>
      <c r="J964" s="28">
        <v>0.94399999999999995</v>
      </c>
      <c r="K964">
        <f t="shared" si="201"/>
        <v>4.1280424157877048E+16</v>
      </c>
      <c r="M964">
        <f t="shared" si="202"/>
        <v>10082.767720499793</v>
      </c>
      <c r="N964" s="28">
        <v>0.94399999999999995</v>
      </c>
      <c r="O964">
        <f t="shared" si="203"/>
        <v>1235.5932203389459</v>
      </c>
      <c r="Q964">
        <f t="shared" si="204"/>
        <v>2.004563806842882E+16</v>
      </c>
      <c r="R964" s="28">
        <v>0.94399999999999995</v>
      </c>
      <c r="S964">
        <f t="shared" si="205"/>
        <v>2.004563806843472E+16</v>
      </c>
      <c r="U964">
        <f t="shared" si="206"/>
        <v>30564018283.98048</v>
      </c>
      <c r="V964" s="48">
        <v>0.94399999999999995</v>
      </c>
      <c r="W964">
        <f t="shared" si="207"/>
        <v>30564036908.445168</v>
      </c>
      <c r="Y964">
        <f t="shared" si="208"/>
        <v>6662.2837854753616</v>
      </c>
      <c r="Z964" s="28">
        <v>0.94399999999999995</v>
      </c>
      <c r="AA964">
        <f t="shared" si="209"/>
        <v>635.59320712152976</v>
      </c>
    </row>
    <row r="965" spans="1:27" x14ac:dyDescent="0.2">
      <c r="A965">
        <f t="shared" si="196"/>
        <v>2.1729543006938032E+16</v>
      </c>
      <c r="B965" s="28">
        <v>0.94499999999999995</v>
      </c>
      <c r="C965">
        <f t="shared" si="197"/>
        <v>2.1729543007044004E+16</v>
      </c>
      <c r="E965">
        <f t="shared" si="198"/>
        <v>10144.470737306752</v>
      </c>
      <c r="F965" s="28">
        <v>0.94499999999999995</v>
      </c>
      <c r="G965">
        <f t="shared" si="199"/>
        <v>634.92063492061641</v>
      </c>
      <c r="I965">
        <f t="shared" si="200"/>
        <v>4.226396114858932E+16</v>
      </c>
      <c r="J965" s="28">
        <v>0.94499999999999995</v>
      </c>
      <c r="K965">
        <f t="shared" si="201"/>
        <v>4.2263961148700592E+16</v>
      </c>
      <c r="M965">
        <f t="shared" si="202"/>
        <v>10083.440305918139</v>
      </c>
      <c r="N965" s="28">
        <v>0.94499999999999995</v>
      </c>
      <c r="O965">
        <f t="shared" si="203"/>
        <v>1234.9206349205988</v>
      </c>
      <c r="Q965">
        <f t="shared" si="204"/>
        <v>2.0534418141651284E+16</v>
      </c>
      <c r="R965" s="28">
        <v>0.94499999999999995</v>
      </c>
      <c r="S965">
        <f t="shared" si="205"/>
        <v>2.0534418141657184E+16</v>
      </c>
      <c r="U965">
        <f t="shared" si="206"/>
        <v>31109167308.385895</v>
      </c>
      <c r="V965" s="48">
        <v>0.94499999999999995</v>
      </c>
      <c r="W965">
        <f t="shared" si="207"/>
        <v>31109185932.850582</v>
      </c>
      <c r="Y965">
        <f t="shared" si="208"/>
        <v>6662.9563706346225</v>
      </c>
      <c r="Z965" s="28">
        <v>0.94499999999999995</v>
      </c>
      <c r="AA965">
        <f t="shared" si="209"/>
        <v>634.92062196226937</v>
      </c>
    </row>
    <row r="966" spans="1:27" x14ac:dyDescent="0.2">
      <c r="A966">
        <f t="shared" si="196"/>
        <v>2.2235577001830052E+16</v>
      </c>
      <c r="B966" s="28">
        <v>0.94599999999999995</v>
      </c>
      <c r="C966">
        <f t="shared" si="197"/>
        <v>2.2235577001936024E+16</v>
      </c>
      <c r="E966">
        <f t="shared" si="198"/>
        <v>10145.141900768613</v>
      </c>
      <c r="F966" s="28">
        <v>0.94599999999999995</v>
      </c>
      <c r="G966">
        <f t="shared" si="199"/>
        <v>634.24947145875569</v>
      </c>
      <c r="I966">
        <f t="shared" si="200"/>
        <v>4.3270432845656224E+16</v>
      </c>
      <c r="J966" s="28">
        <v>0.94599999999999995</v>
      </c>
      <c r="K966">
        <f t="shared" si="201"/>
        <v>4.3270432845767496E+16</v>
      </c>
      <c r="M966">
        <f t="shared" si="202"/>
        <v>10084.111469379999</v>
      </c>
      <c r="N966" s="28">
        <v>0.94599999999999995</v>
      </c>
      <c r="O966">
        <f t="shared" si="203"/>
        <v>1234.2494714587385</v>
      </c>
      <c r="Q966">
        <f t="shared" si="204"/>
        <v>2.1034855843826176E+16</v>
      </c>
      <c r="R966" s="28">
        <v>0.94599999999999995</v>
      </c>
      <c r="S966">
        <f t="shared" si="205"/>
        <v>2.1034855843832076E+16</v>
      </c>
      <c r="U966">
        <f t="shared" si="206"/>
        <v>31664075225.749973</v>
      </c>
      <c r="V966" s="48">
        <v>0.94599999999999995</v>
      </c>
      <c r="W966">
        <f t="shared" si="207"/>
        <v>31664093850.214661</v>
      </c>
      <c r="Y966">
        <f t="shared" si="208"/>
        <v>6663.6275338424884</v>
      </c>
      <c r="Z966" s="28">
        <v>0.94599999999999995</v>
      </c>
      <c r="AA966">
        <f t="shared" si="209"/>
        <v>634.24945875440324</v>
      </c>
    </row>
    <row r="967" spans="1:27" x14ac:dyDescent="0.2">
      <c r="A967">
        <f t="shared" si="196"/>
        <v>2.2753139396727348E+16</v>
      </c>
      <c r="B967" s="28">
        <v>0.94699999999999995</v>
      </c>
      <c r="C967">
        <f t="shared" si="197"/>
        <v>2.275313939683332E+16</v>
      </c>
      <c r="E967">
        <f t="shared" si="198"/>
        <v>10145.8116467786</v>
      </c>
      <c r="F967" s="28">
        <v>0.94699999999999995</v>
      </c>
      <c r="G967">
        <f t="shared" si="199"/>
        <v>633.57972544876804</v>
      </c>
      <c r="I967">
        <f t="shared" si="200"/>
        <v>4.4300362405523208E+16</v>
      </c>
      <c r="J967" s="28">
        <v>0.94699999999999995</v>
      </c>
      <c r="K967">
        <f t="shared" si="201"/>
        <v>4.430036240563448E+16</v>
      </c>
      <c r="M967">
        <f t="shared" si="202"/>
        <v>10084.781215389987</v>
      </c>
      <c r="N967" s="28">
        <v>0.94699999999999995</v>
      </c>
      <c r="O967">
        <f t="shared" si="203"/>
        <v>1233.5797254487513</v>
      </c>
      <c r="Q967">
        <f t="shared" si="204"/>
        <v>2.1547223008795852E+16</v>
      </c>
      <c r="R967" s="28">
        <v>0.94699999999999995</v>
      </c>
      <c r="S967">
        <f t="shared" si="205"/>
        <v>2.1547223008801752E+16</v>
      </c>
      <c r="U967">
        <f t="shared" si="206"/>
        <v>32228917287.222305</v>
      </c>
      <c r="V967" s="48">
        <v>0.94699999999999995</v>
      </c>
      <c r="W967">
        <f t="shared" si="207"/>
        <v>32228935911.686993</v>
      </c>
      <c r="Y967">
        <f t="shared" si="208"/>
        <v>6664.2972796034746</v>
      </c>
      <c r="Z967" s="28">
        <v>0.94699999999999995</v>
      </c>
      <c r="AA967">
        <f t="shared" si="209"/>
        <v>633.5797129934175</v>
      </c>
    </row>
    <row r="968" spans="1:27" x14ac:dyDescent="0.2">
      <c r="A968">
        <f t="shared" si="196"/>
        <v>2.3282486987760468E+16</v>
      </c>
      <c r="B968" s="28">
        <v>0.94799999999999995</v>
      </c>
      <c r="C968">
        <f t="shared" si="197"/>
        <v>2.328248698786644E+16</v>
      </c>
      <c r="E968">
        <f t="shared" si="198"/>
        <v>10146.479979822323</v>
      </c>
      <c r="F968" s="28">
        <v>0.94799999999999995</v>
      </c>
      <c r="G968">
        <f t="shared" si="199"/>
        <v>632.91139240504606</v>
      </c>
      <c r="I968">
        <f t="shared" si="200"/>
        <v>4.5354284652252552E+16</v>
      </c>
      <c r="J968" s="28">
        <v>0.94799999999999995</v>
      </c>
      <c r="K968">
        <f t="shared" si="201"/>
        <v>4.5354284652363824E+16</v>
      </c>
      <c r="M968">
        <f t="shared" si="202"/>
        <v>10085.449548433709</v>
      </c>
      <c r="N968" s="28">
        <v>0.94799999999999995</v>
      </c>
      <c r="O968">
        <f t="shared" si="203"/>
        <v>1232.9113924050298</v>
      </c>
      <c r="Q968">
        <f t="shared" si="204"/>
        <v>2.2071797664492084E+16</v>
      </c>
      <c r="R968" s="28">
        <v>0.94799999999999995</v>
      </c>
      <c r="S968">
        <f t="shared" si="205"/>
        <v>2.2071797664497984E+16</v>
      </c>
      <c r="U968">
        <f t="shared" si="206"/>
        <v>32803871899.916954</v>
      </c>
      <c r="V968" s="48">
        <v>0.94799999999999995</v>
      </c>
      <c r="W968">
        <f t="shared" si="207"/>
        <v>32803890524.381641</v>
      </c>
      <c r="Y968">
        <f t="shared" si="208"/>
        <v>6664.965612403088</v>
      </c>
      <c r="Z968" s="28">
        <v>0.94799999999999995</v>
      </c>
      <c r="AA968">
        <f t="shared" si="209"/>
        <v>632.91138019380367</v>
      </c>
    </row>
    <row r="969" spans="1:27" x14ac:dyDescent="0.2">
      <c r="A969">
        <f t="shared" si="196"/>
        <v>2.3823882160897188E+16</v>
      </c>
      <c r="B969" s="28">
        <v>0.94899999999999995</v>
      </c>
      <c r="C969">
        <f t="shared" si="197"/>
        <v>2.382388216100316E+16</v>
      </c>
      <c r="E969">
        <f t="shared" si="198"/>
        <v>10147.146904366478</v>
      </c>
      <c r="F969" s="28">
        <v>0.94899999999999995</v>
      </c>
      <c r="G969">
        <f t="shared" si="199"/>
        <v>632.24446786088947</v>
      </c>
      <c r="I969">
        <f t="shared" si="200"/>
        <v>4.643274633168388E+16</v>
      </c>
      <c r="J969" s="28">
        <v>0.94899999999999995</v>
      </c>
      <c r="K969">
        <f t="shared" si="201"/>
        <v>4.6432746331795152E+16</v>
      </c>
      <c r="M969">
        <f t="shared" si="202"/>
        <v>10086.116472977865</v>
      </c>
      <c r="N969" s="28">
        <v>0.94899999999999995</v>
      </c>
      <c r="O969">
        <f t="shared" si="203"/>
        <v>1232.2444678608736</v>
      </c>
      <c r="Q969">
        <f t="shared" si="204"/>
        <v>2.2608864170786696E+16</v>
      </c>
      <c r="R969" s="28">
        <v>0.94899999999999995</v>
      </c>
      <c r="S969">
        <f t="shared" si="205"/>
        <v>2.2608864170792596E+16</v>
      </c>
      <c r="U969">
        <f t="shared" si="206"/>
        <v>33389120683.887383</v>
      </c>
      <c r="V969" s="48">
        <v>0.94899999999999995</v>
      </c>
      <c r="W969">
        <f t="shared" si="207"/>
        <v>33389139308.35207</v>
      </c>
      <c r="Y969">
        <f t="shared" si="208"/>
        <v>6665.6325367079344</v>
      </c>
      <c r="Z969" s="28">
        <v>0.94899999999999995</v>
      </c>
      <c r="AA969">
        <f t="shared" si="209"/>
        <v>632.24445588895753</v>
      </c>
    </row>
    <row r="970" spans="1:27" x14ac:dyDescent="0.2">
      <c r="A970">
        <f t="shared" si="196"/>
        <v>2.437759301077856E+16</v>
      </c>
      <c r="B970" s="28">
        <v>0.95</v>
      </c>
      <c r="C970">
        <f t="shared" si="197"/>
        <v>2.4377593010884532E+16</v>
      </c>
      <c r="E970">
        <f t="shared" si="198"/>
        <v>10147.812424858963</v>
      </c>
      <c r="F970" s="28">
        <v>0.95</v>
      </c>
      <c r="G970">
        <f t="shared" si="199"/>
        <v>631.57894736840478</v>
      </c>
      <c r="I970">
        <f t="shared" si="200"/>
        <v>4.753630637111356E+16</v>
      </c>
      <c r="J970" s="28">
        <v>0.95</v>
      </c>
      <c r="K970">
        <f t="shared" si="201"/>
        <v>4.7536306371224832E+16</v>
      </c>
      <c r="M970">
        <f t="shared" si="202"/>
        <v>10086.781993470349</v>
      </c>
      <c r="N970" s="28">
        <v>0.95</v>
      </c>
      <c r="O970">
        <f t="shared" si="203"/>
        <v>1231.5789473683892</v>
      </c>
      <c r="Q970">
        <f t="shared" si="204"/>
        <v>2.3158713360335004E+16</v>
      </c>
      <c r="R970" s="28">
        <v>0.95</v>
      </c>
      <c r="S970">
        <f t="shared" si="205"/>
        <v>2.3158713360340904E+16</v>
      </c>
      <c r="U970">
        <f t="shared" si="206"/>
        <v>33984848530.131092</v>
      </c>
      <c r="V970" s="48">
        <v>0.95</v>
      </c>
      <c r="W970">
        <f t="shared" si="207"/>
        <v>33984867154.595779</v>
      </c>
      <c r="Y970">
        <f t="shared" si="208"/>
        <v>6666.2980569658112</v>
      </c>
      <c r="Z970" s="28">
        <v>0.95</v>
      </c>
      <c r="AA970">
        <f t="shared" si="209"/>
        <v>631.57893563108041</v>
      </c>
    </row>
    <row r="971" spans="1:27" x14ac:dyDescent="0.2">
      <c r="A971">
        <f t="shared" si="196"/>
        <v>2.4943893462022928E+16</v>
      </c>
      <c r="B971" s="28">
        <v>0.95099999999999996</v>
      </c>
      <c r="C971">
        <f t="shared" si="197"/>
        <v>2.49438934621289E+16</v>
      </c>
      <c r="E971">
        <f t="shared" si="198"/>
        <v>10148.476545728961</v>
      </c>
      <c r="F971" s="28">
        <v>0.95099999999999996</v>
      </c>
      <c r="G971">
        <f t="shared" si="199"/>
        <v>630.9148264984068</v>
      </c>
      <c r="I971">
        <f t="shared" si="200"/>
        <v>4.8665536144502216E+16</v>
      </c>
      <c r="J971" s="28">
        <v>0.95099999999999996</v>
      </c>
      <c r="K971">
        <f t="shared" si="201"/>
        <v>4.8665536144613488E+16</v>
      </c>
      <c r="M971">
        <f t="shared" si="202"/>
        <v>10087.446114340346</v>
      </c>
      <c r="N971" s="28">
        <v>0.95099999999999996</v>
      </c>
      <c r="O971">
        <f t="shared" si="203"/>
        <v>1230.9148264983919</v>
      </c>
      <c r="Q971">
        <f t="shared" si="204"/>
        <v>2.3721642682479284E+16</v>
      </c>
      <c r="R971" s="28">
        <v>0.95099999999999996</v>
      </c>
      <c r="S971">
        <f t="shared" si="205"/>
        <v>2.3721642682485184E+16</v>
      </c>
      <c r="U971">
        <f t="shared" si="206"/>
        <v>34591243659.644951</v>
      </c>
      <c r="V971" s="48">
        <v>0.95099999999999996</v>
      </c>
      <c r="W971">
        <f t="shared" si="207"/>
        <v>34591262284.109642</v>
      </c>
      <c r="Y971">
        <f t="shared" si="208"/>
        <v>6666.962177605812</v>
      </c>
      <c r="Z971" s="28">
        <v>0.95099999999999996</v>
      </c>
      <c r="AA971">
        <f t="shared" si="209"/>
        <v>630.91481499107999</v>
      </c>
    </row>
    <row r="972" spans="1:27" x14ac:dyDescent="0.2">
      <c r="A972">
        <f t="shared" si="196"/>
        <v>2.5523063393044544E+16</v>
      </c>
      <c r="B972" s="28">
        <v>0.95199999999999996</v>
      </c>
      <c r="C972">
        <f t="shared" si="197"/>
        <v>2.5523063393150516E+16</v>
      </c>
      <c r="E972">
        <f t="shared" si="198"/>
        <v>10149.139271387048</v>
      </c>
      <c r="F972" s="28">
        <v>0.95199999999999996</v>
      </c>
      <c r="G972">
        <f t="shared" si="199"/>
        <v>630.25210084032062</v>
      </c>
      <c r="I972">
        <f t="shared" si="200"/>
        <v>4.9821019743318544E+16</v>
      </c>
      <c r="J972" s="28">
        <v>0.95199999999999996</v>
      </c>
      <c r="K972">
        <f t="shared" si="201"/>
        <v>4.9821019743429816E+16</v>
      </c>
      <c r="M972">
        <f t="shared" si="202"/>
        <v>10088.108839998433</v>
      </c>
      <c r="N972" s="28">
        <v>0.95199999999999996</v>
      </c>
      <c r="O972">
        <f t="shared" si="203"/>
        <v>1230.252100840306</v>
      </c>
      <c r="Q972">
        <f t="shared" si="204"/>
        <v>2.4297956350273992E+16</v>
      </c>
      <c r="R972" s="28">
        <v>0.95199999999999996</v>
      </c>
      <c r="S972">
        <f t="shared" si="205"/>
        <v>2.4297956350279892E+16</v>
      </c>
      <c r="U972">
        <f t="shared" si="206"/>
        <v>35208497683.548508</v>
      </c>
      <c r="V972" s="48">
        <v>0.95199999999999996</v>
      </c>
      <c r="W972">
        <f t="shared" si="207"/>
        <v>35208516308.013199</v>
      </c>
      <c r="Y972">
        <f t="shared" si="208"/>
        <v>6667.6249030384197</v>
      </c>
      <c r="Z972" s="28">
        <v>0.95199999999999996</v>
      </c>
      <c r="AA972">
        <f t="shared" si="209"/>
        <v>630.25208955847188</v>
      </c>
    </row>
    <row r="973" spans="1:27" x14ac:dyDescent="0.2">
      <c r="A973">
        <f t="shared" si="196"/>
        <v>2.6115388762440084E+16</v>
      </c>
      <c r="B973" s="28">
        <v>0.95299999999999996</v>
      </c>
      <c r="C973">
        <f t="shared" si="197"/>
        <v>2.6115388762546056E+16</v>
      </c>
      <c r="E973">
        <f t="shared" si="198"/>
        <v>10149.800606225284</v>
      </c>
      <c r="F973" s="28">
        <v>0.95299999999999996</v>
      </c>
      <c r="G973">
        <f t="shared" si="199"/>
        <v>629.59076600208346</v>
      </c>
      <c r="I973">
        <f t="shared" si="200"/>
        <v>5.1003354253141176E+16</v>
      </c>
      <c r="J973" s="28">
        <v>0.95299999999999996</v>
      </c>
      <c r="K973">
        <f t="shared" si="201"/>
        <v>5.1003354253252448E+16</v>
      </c>
      <c r="M973">
        <f t="shared" si="202"/>
        <v>10088.770174836669</v>
      </c>
      <c r="N973" s="28">
        <v>0.95299999999999996</v>
      </c>
      <c r="O973">
        <f t="shared" si="203"/>
        <v>1229.5907660020691</v>
      </c>
      <c r="Q973">
        <f t="shared" si="204"/>
        <v>2.4887965490701092E+16</v>
      </c>
      <c r="R973" s="28">
        <v>0.95299999999999996</v>
      </c>
      <c r="S973">
        <f t="shared" si="205"/>
        <v>2.4887965490706992E+16</v>
      </c>
      <c r="U973">
        <f t="shared" si="206"/>
        <v>35836805664.295227</v>
      </c>
      <c r="V973" s="48">
        <v>0.95299999999999996</v>
      </c>
      <c r="W973">
        <f t="shared" si="207"/>
        <v>35836824288.759918</v>
      </c>
      <c r="Y973">
        <f t="shared" si="208"/>
        <v>6668.2862376556095</v>
      </c>
      <c r="Z973" s="28">
        <v>0.95299999999999996</v>
      </c>
      <c r="AA973">
        <f t="shared" si="209"/>
        <v>629.5907549412824</v>
      </c>
    </row>
    <row r="974" spans="1:27" x14ac:dyDescent="0.2">
      <c r="A974">
        <f t="shared" si="196"/>
        <v>2.6721161737992676E+16</v>
      </c>
      <c r="B974" s="28">
        <v>0.95399999999999996</v>
      </c>
      <c r="C974">
        <f t="shared" si="197"/>
        <v>2.6721161738098648E+16</v>
      </c>
      <c r="E974">
        <f t="shared" si="198"/>
        <v>10150.460554617321</v>
      </c>
      <c r="F974" s="28">
        <v>0.95399999999999996</v>
      </c>
      <c r="G974">
        <f t="shared" si="199"/>
        <v>628.93081761004817</v>
      </c>
      <c r="I974">
        <f t="shared" si="200"/>
        <v>5.221315003613348E+16</v>
      </c>
      <c r="J974" s="28">
        <v>0.95399999999999996</v>
      </c>
      <c r="K974">
        <f t="shared" si="201"/>
        <v>5.2213150036244752E+16</v>
      </c>
      <c r="M974">
        <f t="shared" si="202"/>
        <v>10089.430123228703</v>
      </c>
      <c r="N974" s="28">
        <v>0.95399999999999996</v>
      </c>
      <c r="O974">
        <f t="shared" si="203"/>
        <v>1228.930817610034</v>
      </c>
      <c r="Q974">
        <f t="shared" si="204"/>
        <v>2.5491988298140808E+16</v>
      </c>
      <c r="R974" s="28">
        <v>0.95399999999999996</v>
      </c>
      <c r="S974">
        <f t="shared" si="205"/>
        <v>2.5491988298146708E+16</v>
      </c>
      <c r="U974">
        <f t="shared" si="206"/>
        <v>36476366177.991997</v>
      </c>
      <c r="V974" s="48">
        <v>0.95399999999999996</v>
      </c>
      <c r="W974">
        <f t="shared" si="207"/>
        <v>36476384802.456688</v>
      </c>
      <c r="Y974">
        <f t="shared" si="208"/>
        <v>6668.9461858309396</v>
      </c>
      <c r="Z974" s="28">
        <v>0.95399999999999996</v>
      </c>
      <c r="AA974">
        <f t="shared" si="209"/>
        <v>628.93080676595196</v>
      </c>
    </row>
    <row r="975" spans="1:27" x14ac:dyDescent="0.2">
      <c r="A975">
        <f t="shared" si="196"/>
        <v>2.7340680828347976E+16</v>
      </c>
      <c r="B975" s="28">
        <v>0.95499999999999996</v>
      </c>
      <c r="C975">
        <f t="shared" si="197"/>
        <v>2.7340680828453948E+16</v>
      </c>
      <c r="E975">
        <f t="shared" si="198"/>
        <v>10151.119120918482</v>
      </c>
      <c r="F975" s="28">
        <v>0.95499999999999996</v>
      </c>
      <c r="G975">
        <f t="shared" si="199"/>
        <v>628.2722513088861</v>
      </c>
      <c r="I975">
        <f t="shared" si="200"/>
        <v>5.34510310195162E+16</v>
      </c>
      <c r="J975" s="28">
        <v>0.95499999999999996</v>
      </c>
      <c r="K975">
        <f t="shared" si="201"/>
        <v>5.3451031019627472E+16</v>
      </c>
      <c r="M975">
        <f t="shared" si="202"/>
        <v>10090.088689529866</v>
      </c>
      <c r="N975" s="28">
        <v>0.95499999999999996</v>
      </c>
      <c r="O975">
        <f t="shared" si="203"/>
        <v>1228.2722513088722</v>
      </c>
      <c r="Q975">
        <f t="shared" si="204"/>
        <v>2.611035019116822E+16</v>
      </c>
      <c r="R975" s="28">
        <v>0.95499999999999996</v>
      </c>
      <c r="S975">
        <f t="shared" si="205"/>
        <v>2.611035019117412E+16</v>
      </c>
      <c r="U975">
        <f t="shared" si="206"/>
        <v>37127381377.845215</v>
      </c>
      <c r="V975" s="48">
        <v>0.95499999999999996</v>
      </c>
      <c r="W975">
        <f t="shared" si="207"/>
        <v>37127400002.309906</v>
      </c>
      <c r="Y975">
        <f t="shared" si="208"/>
        <v>6669.6047519196545</v>
      </c>
      <c r="Z975" s="28">
        <v>0.95499999999999996</v>
      </c>
      <c r="AA975">
        <f t="shared" si="209"/>
        <v>628.27224067723728</v>
      </c>
    </row>
    <row r="976" spans="1:27" x14ac:dyDescent="0.2">
      <c r="A976">
        <f t="shared" si="196"/>
        <v>2.7974251017416592E+16</v>
      </c>
      <c r="B976" s="28">
        <v>0.95599999999999996</v>
      </c>
      <c r="C976">
        <f t="shared" si="197"/>
        <v>2.7974251017522564E+16</v>
      </c>
      <c r="E976">
        <f t="shared" si="198"/>
        <v>10151.776309465877</v>
      </c>
      <c r="F976" s="28">
        <v>0.95599999999999996</v>
      </c>
      <c r="G976">
        <f t="shared" si="199"/>
        <v>627.61506276149225</v>
      </c>
      <c r="I976">
        <f t="shared" si="200"/>
        <v>5.4717634990162856E+16</v>
      </c>
      <c r="J976" s="28">
        <v>0.95599999999999996</v>
      </c>
      <c r="K976">
        <f t="shared" si="201"/>
        <v>5.4717634990274128E+16</v>
      </c>
      <c r="M976">
        <f t="shared" si="202"/>
        <v>10090.745878077259</v>
      </c>
      <c r="N976" s="28">
        <v>0.95599999999999996</v>
      </c>
      <c r="O976">
        <f t="shared" si="203"/>
        <v>1227.6150627614786</v>
      </c>
      <c r="Q976">
        <f t="shared" si="204"/>
        <v>2.6743383972746272E+16</v>
      </c>
      <c r="R976" s="28">
        <v>0.95599999999999996</v>
      </c>
      <c r="S976">
        <f t="shared" si="205"/>
        <v>2.6743383972752172E+16</v>
      </c>
      <c r="U976">
        <f t="shared" si="206"/>
        <v>37790057058.756195</v>
      </c>
      <c r="V976" s="48">
        <v>0.95599999999999996</v>
      </c>
      <c r="W976">
        <f t="shared" si="207"/>
        <v>37790075683.220886</v>
      </c>
      <c r="Y976">
        <f t="shared" si="208"/>
        <v>6670.2619402587743</v>
      </c>
      <c r="Z976" s="28">
        <v>0.95599999999999996</v>
      </c>
      <c r="AA976">
        <f t="shared" si="209"/>
        <v>627.61505233811727</v>
      </c>
    </row>
    <row r="977" spans="1:27" x14ac:dyDescent="0.2">
      <c r="A977">
        <f t="shared" si="196"/>
        <v>2.8622183901556304E+16</v>
      </c>
      <c r="B977" s="28">
        <v>0.95699999999999996</v>
      </c>
      <c r="C977">
        <f t="shared" si="197"/>
        <v>2.8622183901662276E+16</v>
      </c>
      <c r="E977">
        <f t="shared" si="198"/>
        <v>10152.432124578479</v>
      </c>
      <c r="F977" s="28">
        <v>0.95699999999999996</v>
      </c>
      <c r="G977">
        <f t="shared" si="199"/>
        <v>626.95924764888912</v>
      </c>
      <c r="I977">
        <f t="shared" si="200"/>
        <v>5.6013613895441792E+16</v>
      </c>
      <c r="J977" s="28">
        <v>0.95699999999999996</v>
      </c>
      <c r="K977">
        <f t="shared" si="201"/>
        <v>5.6013613895553064E+16</v>
      </c>
      <c r="M977">
        <f t="shared" si="202"/>
        <v>10091.401693189862</v>
      </c>
      <c r="N977" s="28">
        <v>0.95699999999999996</v>
      </c>
      <c r="O977">
        <f t="shared" si="203"/>
        <v>1226.9592476488758</v>
      </c>
      <c r="Q977">
        <f t="shared" si="204"/>
        <v>2.7391429993885496E+16</v>
      </c>
      <c r="R977" s="28">
        <v>0.95699999999999996</v>
      </c>
      <c r="S977">
        <f t="shared" si="205"/>
        <v>2.7391429993891396E+16</v>
      </c>
      <c r="U977">
        <f t="shared" si="206"/>
        <v>38464602723.08493</v>
      </c>
      <c r="V977" s="48">
        <v>0.95699999999999996</v>
      </c>
      <c r="W977">
        <f t="shared" si="207"/>
        <v>38464621347.549622</v>
      </c>
      <c r="Y977">
        <f t="shared" si="208"/>
        <v>6670.9177551671946</v>
      </c>
      <c r="Z977" s="28">
        <v>0.95699999999999996</v>
      </c>
      <c r="AA977">
        <f t="shared" si="209"/>
        <v>626.95923742969683</v>
      </c>
    </row>
    <row r="978" spans="1:27" x14ac:dyDescent="0.2">
      <c r="A978">
        <f t="shared" si="196"/>
        <v>2.928479782959108E+16</v>
      </c>
      <c r="B978" s="28">
        <v>0.95799999999999996</v>
      </c>
      <c r="C978">
        <f t="shared" si="197"/>
        <v>2.9284797829697052E+16</v>
      </c>
      <c r="E978">
        <f t="shared" si="198"/>
        <v>10153.086570557236</v>
      </c>
      <c r="F978" s="28">
        <v>0.95799999999999996</v>
      </c>
      <c r="G978">
        <f t="shared" si="199"/>
        <v>626.30480167013275</v>
      </c>
      <c r="I978">
        <f t="shared" si="200"/>
        <v>5.7339634150435552E+16</v>
      </c>
      <c r="J978" s="28">
        <v>0.95799999999999996</v>
      </c>
      <c r="K978">
        <f t="shared" si="201"/>
        <v>5.7339634150546824E+16</v>
      </c>
      <c r="M978">
        <f t="shared" si="202"/>
        <v>10092.056139168619</v>
      </c>
      <c r="N978" s="28">
        <v>0.95799999999999996</v>
      </c>
      <c r="O978">
        <f t="shared" si="203"/>
        <v>1226.3048016701198</v>
      </c>
      <c r="Q978">
        <f t="shared" si="204"/>
        <v>2.8054836320844476E+16</v>
      </c>
      <c r="R978" s="28">
        <v>0.95799999999999996</v>
      </c>
      <c r="S978">
        <f t="shared" si="205"/>
        <v>2.8054836320850376E+16</v>
      </c>
      <c r="U978">
        <f t="shared" si="206"/>
        <v>39151231647.604851</v>
      </c>
      <c r="V978" s="48">
        <v>0.95799999999999996</v>
      </c>
      <c r="W978">
        <f t="shared" si="207"/>
        <v>39151250272.069542</v>
      </c>
      <c r="Y978">
        <f t="shared" si="208"/>
        <v>6671.5722009457795</v>
      </c>
      <c r="Z978" s="28">
        <v>0.95799999999999996</v>
      </c>
      <c r="AA978">
        <f t="shared" si="209"/>
        <v>626.3047916511124</v>
      </c>
    </row>
    <row r="979" spans="1:27" x14ac:dyDescent="0.2">
      <c r="A979">
        <f t="shared" si="196"/>
        <v>2.996241804572436E+16</v>
      </c>
      <c r="B979" s="28">
        <v>0.95899999999999996</v>
      </c>
      <c r="C979">
        <f t="shared" si="197"/>
        <v>2.9962418045830332E+16</v>
      </c>
      <c r="E979">
        <f t="shared" si="198"/>
        <v>10153.73965168515</v>
      </c>
      <c r="F979" s="28">
        <v>0.95899999999999996</v>
      </c>
      <c r="G979">
        <f t="shared" si="199"/>
        <v>625.65172054221853</v>
      </c>
      <c r="I979">
        <f t="shared" si="200"/>
        <v>5.8696376951670352E+16</v>
      </c>
      <c r="J979" s="28">
        <v>0.95899999999999996</v>
      </c>
      <c r="K979">
        <f t="shared" si="201"/>
        <v>5.8696376951781624E+16</v>
      </c>
      <c r="M979">
        <f t="shared" si="202"/>
        <v>10092.709220296532</v>
      </c>
      <c r="N979" s="28">
        <v>0.95899999999999996</v>
      </c>
      <c r="O979">
        <f t="shared" si="203"/>
        <v>1225.651720542206</v>
      </c>
      <c r="Q979">
        <f t="shared" si="204"/>
        <v>2.8733958905945988E+16</v>
      </c>
      <c r="R979" s="28">
        <v>0.95899999999999996</v>
      </c>
      <c r="S979">
        <f t="shared" si="205"/>
        <v>2.8733958905951888E+16</v>
      </c>
      <c r="U979">
        <f t="shared" si="206"/>
        <v>39850160951.667992</v>
      </c>
      <c r="V979" s="48">
        <v>0.95899999999999996</v>
      </c>
      <c r="W979">
        <f t="shared" si="207"/>
        <v>39850179576.132683</v>
      </c>
      <c r="Y979">
        <f t="shared" si="208"/>
        <v>6672.2252818774532</v>
      </c>
      <c r="Z979" s="28">
        <v>0.95899999999999996</v>
      </c>
      <c r="AA979">
        <f t="shared" si="209"/>
        <v>625.65171071943837</v>
      </c>
    </row>
    <row r="980" spans="1:27" x14ac:dyDescent="0.2">
      <c r="A980">
        <f t="shared" si="196"/>
        <v>3.065537683540408E+16</v>
      </c>
      <c r="B980" s="28">
        <v>0.96</v>
      </c>
      <c r="C980">
        <f t="shared" si="197"/>
        <v>3.0655376835510052E+16</v>
      </c>
      <c r="E980">
        <f t="shared" si="198"/>
        <v>10154.391372227381</v>
      </c>
      <c r="F980" s="28">
        <v>0.96</v>
      </c>
      <c r="G980">
        <f t="shared" si="199"/>
        <v>624.99999999998727</v>
      </c>
      <c r="I980">
        <f t="shared" si="200"/>
        <v>6.0084538597488424E+16</v>
      </c>
      <c r="J980" s="28">
        <v>0.96</v>
      </c>
      <c r="K980">
        <f t="shared" si="201"/>
        <v>6.0084538597599696E+16</v>
      </c>
      <c r="M980">
        <f t="shared" si="202"/>
        <v>10093.360940838764</v>
      </c>
      <c r="N980" s="28">
        <v>0.96</v>
      </c>
      <c r="O980">
        <f t="shared" si="203"/>
        <v>1224.999999999975</v>
      </c>
      <c r="Q980">
        <f t="shared" si="204"/>
        <v>2.9429161762084348E+16</v>
      </c>
      <c r="R980" s="28">
        <v>0.96</v>
      </c>
      <c r="S980">
        <f t="shared" si="205"/>
        <v>2.9429161762090248E+16</v>
      </c>
      <c r="U980">
        <f t="shared" si="206"/>
        <v>40561611666.605309</v>
      </c>
      <c r="V980" s="48">
        <v>0.96</v>
      </c>
      <c r="W980">
        <f t="shared" si="207"/>
        <v>40561630291.07</v>
      </c>
      <c r="Y980">
        <f t="shared" si="208"/>
        <v>6672.8770022272984</v>
      </c>
      <c r="Z980" s="28">
        <v>0.96</v>
      </c>
      <c r="AA980">
        <f t="shared" si="209"/>
        <v>624.99999036959332</v>
      </c>
    </row>
    <row r="981" spans="1:27" x14ac:dyDescent="0.2">
      <c r="A981">
        <f t="shared" si="196"/>
        <v>3.1364013674201608E+16</v>
      </c>
      <c r="B981" s="28">
        <v>0.96099999999999997</v>
      </c>
      <c r="C981">
        <f t="shared" si="197"/>
        <v>3.136401367430758E+16</v>
      </c>
      <c r="E981">
        <f t="shared" si="198"/>
        <v>10155.041736431334</v>
      </c>
      <c r="F981" s="28">
        <v>0.96099999999999997</v>
      </c>
      <c r="G981">
        <f t="shared" si="199"/>
        <v>624.34963579603345</v>
      </c>
      <c r="I981">
        <f t="shared" si="200"/>
        <v>6.1504830815205888E+16</v>
      </c>
      <c r="J981" s="28">
        <v>0.96099999999999997</v>
      </c>
      <c r="K981">
        <f t="shared" si="201"/>
        <v>6.150483081531716E+16</v>
      </c>
      <c r="M981">
        <f t="shared" si="202"/>
        <v>10094.011305042717</v>
      </c>
      <c r="N981" s="28">
        <v>0.96099999999999997</v>
      </c>
      <c r="O981">
        <f t="shared" si="203"/>
        <v>1224.3496357960214</v>
      </c>
      <c r="Q981">
        <f t="shared" si="204"/>
        <v>3.0140817141004284E+16</v>
      </c>
      <c r="R981" s="28">
        <v>0.96099999999999997</v>
      </c>
      <c r="S981">
        <f t="shared" si="205"/>
        <v>3.0140817141010184E+16</v>
      </c>
      <c r="U981">
        <f t="shared" si="206"/>
        <v>41285808806.38237</v>
      </c>
      <c r="V981" s="48">
        <v>0.96099999999999997</v>
      </c>
      <c r="W981">
        <f t="shared" si="207"/>
        <v>41285827430.847061</v>
      </c>
      <c r="Y981">
        <f t="shared" si="208"/>
        <v>6673.5273662426443</v>
      </c>
      <c r="Z981" s="28">
        <v>0.96099999999999997</v>
      </c>
      <c r="AA981">
        <f t="shared" si="209"/>
        <v>624.34962635424733</v>
      </c>
    </row>
    <row r="982" spans="1:27" x14ac:dyDescent="0.2">
      <c r="A982">
        <f t="shared" ref="A982:A1020" si="210">ABS($D$11-C982)</f>
        <v>3.2088675379759544E+16</v>
      </c>
      <c r="B982" s="28">
        <v>0.96199999999999997</v>
      </c>
      <c r="C982">
        <f t="shared" ref="C982:C1020" si="211">($B$4)*(((1+B982)^($B$6*$B$5))-1)/B982</f>
        <v>3.2088675379865516E+16</v>
      </c>
      <c r="E982">
        <f t="shared" ref="E982:E1020" si="212">ABS($E$12-G982)</f>
        <v>10155.690748526757</v>
      </c>
      <c r="F982" s="28">
        <v>0.96199999999999997</v>
      </c>
      <c r="G982">
        <f t="shared" ref="G982:G1020" si="213">$B$4*(((1-(1+F982)^(-$B$5*$B$6)))/F982)</f>
        <v>623.70062370061157</v>
      </c>
      <c r="I982">
        <f t="shared" ref="I982:I1020" si="214">ABS($F$11-K982)</f>
        <v>6.2957981095184872E+16</v>
      </c>
      <c r="J982" s="28">
        <v>0.96199999999999997</v>
      </c>
      <c r="K982">
        <f t="shared" ref="K982:K1020" si="215">($B$4*(1+J982)*(((1+J982)^($B$6*$B$5))-1))/J982</f>
        <v>6.2957981095296144E+16</v>
      </c>
      <c r="M982">
        <f t="shared" ref="M982:M1020" si="216">ABS($G$12-O982)</f>
        <v>10094.660317138139</v>
      </c>
      <c r="N982" s="28">
        <v>0.96199999999999997</v>
      </c>
      <c r="O982">
        <f t="shared" ref="O982:O1020" si="217">($B$4*(1+N982)*(1-((1+N982)^(-$B$6*$B$5))))/N982</f>
        <v>1223.7006237005999</v>
      </c>
      <c r="Q982">
        <f t="shared" ref="Q982:Q1020" si="218">ABS($H$11-S982)</f>
        <v>3.0869305715425324E+16</v>
      </c>
      <c r="R982" s="28">
        <v>0.96199999999999997</v>
      </c>
      <c r="S982">
        <f t="shared" ref="S982:S1020" si="219">$B$3*((1+R982)^($B$6*$B$5))</f>
        <v>3.0869305715431224E+16</v>
      </c>
      <c r="U982">
        <f t="shared" ref="U982:U1020" si="220">ABS($I$11-W982)</f>
        <v>42022981439.53476</v>
      </c>
      <c r="V982" s="48">
        <v>0.96199999999999997</v>
      </c>
      <c r="W982">
        <f t="shared" ref="W982:W1020" si="221">($B$4*(EXP(V982*$B$6)-1))/V982</f>
        <v>42023000063.999451</v>
      </c>
      <c r="Y982">
        <f t="shared" ref="Y982:Y1020" si="222">ABS($I$12-AA982)</f>
        <v>6674.1763781531627</v>
      </c>
      <c r="Z982" s="28">
        <v>0.96199999999999997</v>
      </c>
      <c r="AA982">
        <f t="shared" ref="AA982:AA1020" si="223">$B$4*(1-EXP(-Z982*$B$6))/Z982</f>
        <v>623.70061444372959</v>
      </c>
    </row>
    <row r="983" spans="1:27" x14ac:dyDescent="0.2">
      <c r="A983">
        <f t="shared" si="210"/>
        <v>3.28297162668767E+16</v>
      </c>
      <c r="B983" s="28">
        <v>0.96299999999999997</v>
      </c>
      <c r="C983">
        <f t="shared" si="211"/>
        <v>3.2829716266982672E+16</v>
      </c>
      <c r="E983">
        <f t="shared" si="212"/>
        <v>10156.338412725823</v>
      </c>
      <c r="F983" s="28">
        <v>0.96299999999999997</v>
      </c>
      <c r="G983">
        <f t="shared" si="213"/>
        <v>623.05295950154584</v>
      </c>
      <c r="I983">
        <f t="shared" si="214"/>
        <v>6.4444733031975712E+16</v>
      </c>
      <c r="J983" s="28">
        <v>0.96299999999999997</v>
      </c>
      <c r="K983">
        <f t="shared" si="215"/>
        <v>6.4444733032086984E+16</v>
      </c>
      <c r="M983">
        <f t="shared" si="216"/>
        <v>10095.307981337204</v>
      </c>
      <c r="N983" s="28">
        <v>0.96299999999999997</v>
      </c>
      <c r="O983">
        <f t="shared" si="217"/>
        <v>1223.0529595015346</v>
      </c>
      <c r="Q983">
        <f t="shared" si="218"/>
        <v>3.1615016765099012E+16</v>
      </c>
      <c r="R983" s="28">
        <v>0.96299999999999997</v>
      </c>
      <c r="S983">
        <f t="shared" si="219"/>
        <v>3.1615016765104912E+16</v>
      </c>
      <c r="U983">
        <f t="shared" si="220"/>
        <v>42773362762.404175</v>
      </c>
      <c r="V983" s="48">
        <v>0.96299999999999997</v>
      </c>
      <c r="W983">
        <f t="shared" si="221"/>
        <v>42773381386.868866</v>
      </c>
      <c r="Y983">
        <f t="shared" si="222"/>
        <v>6674.8240421709552</v>
      </c>
      <c r="Z983" s="28">
        <v>0.96299999999999997</v>
      </c>
      <c r="AA983">
        <f t="shared" si="223"/>
        <v>623.05295042593696</v>
      </c>
    </row>
    <row r="984" spans="1:27" x14ac:dyDescent="0.2">
      <c r="A984">
        <f t="shared" si="210"/>
        <v>3.358749830578968E+16</v>
      </c>
      <c r="B984" s="28">
        <v>0.96399999999999997</v>
      </c>
      <c r="C984">
        <f t="shared" si="211"/>
        <v>3.3587498305895652E+16</v>
      </c>
      <c r="E984">
        <f t="shared" si="212"/>
        <v>10156.984733223231</v>
      </c>
      <c r="F984" s="28">
        <v>0.96399999999999997</v>
      </c>
      <c r="G984">
        <f t="shared" si="213"/>
        <v>622.40663900413779</v>
      </c>
      <c r="I984">
        <f t="shared" si="214"/>
        <v>6.5965846672667792E+16</v>
      </c>
      <c r="J984" s="28">
        <v>0.96399999999999997</v>
      </c>
      <c r="K984">
        <f t="shared" si="215"/>
        <v>6.5965846672779064E+16</v>
      </c>
      <c r="M984">
        <f t="shared" si="216"/>
        <v>10095.954301834612</v>
      </c>
      <c r="N984" s="28">
        <v>0.96399999999999997</v>
      </c>
      <c r="O984">
        <f t="shared" si="217"/>
        <v>1222.4066390041269</v>
      </c>
      <c r="Q984">
        <f t="shared" si="218"/>
        <v>3.2378348366878108E+16</v>
      </c>
      <c r="R984" s="28">
        <v>0.96399999999999997</v>
      </c>
      <c r="S984">
        <f t="shared" si="219"/>
        <v>3.2378348366884008E+16</v>
      </c>
      <c r="U984">
        <f t="shared" si="220"/>
        <v>43537190173.701805</v>
      </c>
      <c r="V984" s="48">
        <v>0.96399999999999997</v>
      </c>
      <c r="W984">
        <f t="shared" si="221"/>
        <v>43537208798.166496</v>
      </c>
      <c r="Y984">
        <f t="shared" si="222"/>
        <v>6675.4703624906488</v>
      </c>
      <c r="Z984" s="28">
        <v>0.96399999999999997</v>
      </c>
      <c r="AA984">
        <f t="shared" si="223"/>
        <v>622.4066301062428</v>
      </c>
    </row>
    <row r="985" spans="1:27" x14ac:dyDescent="0.2">
      <c r="A985">
        <f t="shared" si="210"/>
        <v>3.4362391283716088E+16</v>
      </c>
      <c r="B985" s="28">
        <v>0.96499999999999997</v>
      </c>
      <c r="C985">
        <f t="shared" si="211"/>
        <v>3.436239128382206E+16</v>
      </c>
      <c r="E985">
        <f t="shared" si="212"/>
        <v>10157.629714196291</v>
      </c>
      <c r="F985" s="28">
        <v>0.96499999999999997</v>
      </c>
      <c r="G985">
        <f t="shared" si="213"/>
        <v>621.76165803107688</v>
      </c>
      <c r="I985">
        <f t="shared" si="214"/>
        <v>6.752209887259908E+16</v>
      </c>
      <c r="J985" s="28">
        <v>0.96499999999999997</v>
      </c>
      <c r="K985">
        <f t="shared" si="215"/>
        <v>6.7522098872710352E+16</v>
      </c>
      <c r="M985">
        <f t="shared" si="216"/>
        <v>10096.599282807672</v>
      </c>
      <c r="N985" s="28">
        <v>0.96499999999999997</v>
      </c>
      <c r="O985">
        <f t="shared" si="217"/>
        <v>1221.761658031066</v>
      </c>
      <c r="Q985">
        <f t="shared" si="218"/>
        <v>3.3159707588882988E+16</v>
      </c>
      <c r="R985" s="28">
        <v>0.96499999999999997</v>
      </c>
      <c r="S985">
        <f t="shared" si="219"/>
        <v>3.3159707588888888E+16</v>
      </c>
      <c r="U985">
        <f t="shared" si="220"/>
        <v>44314705350.420471</v>
      </c>
      <c r="V985" s="48">
        <v>0.96499999999999997</v>
      </c>
      <c r="W985">
        <f t="shared" si="221"/>
        <v>44314723974.885162</v>
      </c>
      <c r="Y985">
        <f t="shared" si="222"/>
        <v>6676.1153432894853</v>
      </c>
      <c r="Z985" s="28">
        <v>0.96499999999999997</v>
      </c>
      <c r="AA985">
        <f t="shared" si="223"/>
        <v>621.76164930740629</v>
      </c>
    </row>
    <row r="986" spans="1:27" x14ac:dyDescent="0.2">
      <c r="A986">
        <f t="shared" si="210"/>
        <v>3.5154772969724892E+16</v>
      </c>
      <c r="B986" s="28">
        <v>0.96599999999999997</v>
      </c>
      <c r="C986">
        <f t="shared" si="211"/>
        <v>3.5154772969830864E+16</v>
      </c>
      <c r="E986">
        <f t="shared" si="212"/>
        <v>10158.273359805018</v>
      </c>
      <c r="F986" s="28">
        <v>0.96599999999999997</v>
      </c>
      <c r="G986">
        <f t="shared" si="213"/>
        <v>621.11801242234935</v>
      </c>
      <c r="I986">
        <f t="shared" si="214"/>
        <v>6.91142836585762E+16</v>
      </c>
      <c r="J986" s="28">
        <v>0.96599999999999997</v>
      </c>
      <c r="K986">
        <f t="shared" si="215"/>
        <v>6.9114283658687472E+16</v>
      </c>
      <c r="M986">
        <f t="shared" si="216"/>
        <v>10097.242928416399</v>
      </c>
      <c r="N986" s="28">
        <v>0.96599999999999997</v>
      </c>
      <c r="O986">
        <f t="shared" si="217"/>
        <v>1221.1180124223386</v>
      </c>
      <c r="Q986">
        <f t="shared" si="218"/>
        <v>3.3959510688851312E+16</v>
      </c>
      <c r="R986" s="28">
        <v>0.96599999999999997</v>
      </c>
      <c r="S986">
        <f t="shared" si="219"/>
        <v>3.3959510688857212E+16</v>
      </c>
      <c r="U986">
        <f t="shared" si="220"/>
        <v>45106154325.122101</v>
      </c>
      <c r="V986" s="48">
        <v>0.96599999999999997</v>
      </c>
      <c r="W986">
        <f t="shared" si="221"/>
        <v>45106172949.586792</v>
      </c>
      <c r="Y986">
        <f t="shared" si="222"/>
        <v>6676.7589887274089</v>
      </c>
      <c r="Z986" s="28">
        <v>0.96599999999999997</v>
      </c>
      <c r="AA986">
        <f t="shared" si="223"/>
        <v>621.11800386948255</v>
      </c>
    </row>
    <row r="987" spans="1:27" x14ac:dyDescent="0.2">
      <c r="A987">
        <f t="shared" si="210"/>
        <v>3.59650292830006E+16</v>
      </c>
      <c r="B987" s="28">
        <v>0.96699999999999997</v>
      </c>
      <c r="C987">
        <f t="shared" si="211"/>
        <v>3.5965029283106572E+16</v>
      </c>
      <c r="E987">
        <f t="shared" si="212"/>
        <v>10158.915674192218</v>
      </c>
      <c r="F987" s="28">
        <v>0.96699999999999997</v>
      </c>
      <c r="G987">
        <f t="shared" si="213"/>
        <v>620.47569803514966</v>
      </c>
      <c r="I987">
        <f t="shared" si="214"/>
        <v>7.0743212599759368E+16</v>
      </c>
      <c r="J987" s="28">
        <v>0.96699999999999997</v>
      </c>
      <c r="K987">
        <f t="shared" si="215"/>
        <v>7.074321259987064E+16</v>
      </c>
      <c r="M987">
        <f t="shared" si="216"/>
        <v>10097.885242803599</v>
      </c>
      <c r="N987" s="28">
        <v>0.96699999999999997</v>
      </c>
      <c r="O987">
        <f t="shared" si="217"/>
        <v>1220.4756980351394</v>
      </c>
      <c r="Q987">
        <f t="shared" si="218"/>
        <v>3.4778183316758756E+16</v>
      </c>
      <c r="R987" s="28">
        <v>0.96699999999999997</v>
      </c>
      <c r="S987">
        <f t="shared" si="219"/>
        <v>3.4778183316764656E+16</v>
      </c>
      <c r="U987">
        <f t="shared" si="220"/>
        <v>45911787564.622742</v>
      </c>
      <c r="V987" s="48">
        <v>0.96699999999999997</v>
      </c>
      <c r="W987">
        <f t="shared" si="221"/>
        <v>45911806189.087433</v>
      </c>
      <c r="Y987">
        <f t="shared" si="222"/>
        <v>6677.401302947158</v>
      </c>
      <c r="Z987" s="28">
        <v>0.96699999999999997</v>
      </c>
      <c r="AA987">
        <f t="shared" si="223"/>
        <v>620.47568964973357</v>
      </c>
    </row>
    <row r="988" spans="1:27" x14ac:dyDescent="0.2">
      <c r="A988">
        <f t="shared" si="210"/>
        <v>3.6793554464570528E+16</v>
      </c>
      <c r="B988" s="28">
        <v>0.96799999999999997</v>
      </c>
      <c r="C988">
        <f t="shared" si="211"/>
        <v>3.6793554464676504E+16</v>
      </c>
      <c r="E988">
        <f t="shared" si="212"/>
        <v>10159.556661483577</v>
      </c>
      <c r="F988" s="28">
        <v>0.96799999999999997</v>
      </c>
      <c r="G988">
        <f t="shared" si="213"/>
        <v>619.83471074379122</v>
      </c>
      <c r="I988">
        <f t="shared" si="214"/>
        <v>7.240971518637208E+16</v>
      </c>
      <c r="J988" s="28">
        <v>0.96799999999999997</v>
      </c>
      <c r="K988">
        <f t="shared" si="215"/>
        <v>7.240971518648336E+16</v>
      </c>
      <c r="M988">
        <f t="shared" si="216"/>
        <v>10098.526230094958</v>
      </c>
      <c r="N988" s="28">
        <v>0.96799999999999997</v>
      </c>
      <c r="O988">
        <f t="shared" si="217"/>
        <v>1219.834710743781</v>
      </c>
      <c r="Q988">
        <f t="shared" si="218"/>
        <v>3.5616160721801556E+16</v>
      </c>
      <c r="R988" s="28">
        <v>0.96799999999999997</v>
      </c>
      <c r="S988">
        <f t="shared" si="219"/>
        <v>3.5616160721807456E+16</v>
      </c>
      <c r="U988">
        <f t="shared" si="220"/>
        <v>46731860050.103783</v>
      </c>
      <c r="V988" s="48">
        <v>0.96799999999999997</v>
      </c>
      <c r="W988">
        <f t="shared" si="221"/>
        <v>46731878674.568474</v>
      </c>
      <c r="Y988">
        <f t="shared" si="222"/>
        <v>6678.0422900743533</v>
      </c>
      <c r="Z988" s="28">
        <v>0.96799999999999997</v>
      </c>
      <c r="AA988">
        <f t="shared" si="223"/>
        <v>619.83470252253869</v>
      </c>
    </row>
    <row r="989" spans="1:27" x14ac:dyDescent="0.2">
      <c r="A989">
        <f t="shared" si="210"/>
        <v>3.7640751252563656E+16</v>
      </c>
      <c r="B989" s="28">
        <v>0.96899999999999997</v>
      </c>
      <c r="C989">
        <f t="shared" si="211"/>
        <v>3.7640751252669632E+16</v>
      </c>
      <c r="E989">
        <f t="shared" si="212"/>
        <v>10160.196325787751</v>
      </c>
      <c r="F989" s="28">
        <v>0.96899999999999997</v>
      </c>
      <c r="G989">
        <f t="shared" si="213"/>
        <v>619.1950464396183</v>
      </c>
      <c r="I989">
        <f t="shared" si="214"/>
        <v>7.4114639216395216E+16</v>
      </c>
      <c r="J989" s="28">
        <v>0.96899999999999997</v>
      </c>
      <c r="K989">
        <f t="shared" si="215"/>
        <v>7.4114639216506496E+16</v>
      </c>
      <c r="M989">
        <f t="shared" si="216"/>
        <v>10099.16589439913</v>
      </c>
      <c r="N989" s="28">
        <v>0.96899999999999997</v>
      </c>
      <c r="O989">
        <f t="shared" si="217"/>
        <v>1219.1950464396084</v>
      </c>
      <c r="Q989">
        <f t="shared" si="218"/>
        <v>3.6473887963831576E+16</v>
      </c>
      <c r="R989" s="28">
        <v>0.96899999999999997</v>
      </c>
      <c r="S989">
        <f t="shared" si="219"/>
        <v>3.6473887963837472E+16</v>
      </c>
      <c r="U989">
        <f t="shared" si="220"/>
        <v>47566631358.672623</v>
      </c>
      <c r="V989" s="48">
        <v>0.96899999999999997</v>
      </c>
      <c r="W989">
        <f t="shared" si="221"/>
        <v>47566649983.137314</v>
      </c>
      <c r="Y989">
        <f t="shared" si="222"/>
        <v>6678.6819542175854</v>
      </c>
      <c r="Z989" s="28">
        <v>0.96899999999999997</v>
      </c>
      <c r="AA989">
        <f t="shared" si="223"/>
        <v>619.19503837930677</v>
      </c>
    </row>
    <row r="990" spans="1:27" x14ac:dyDescent="0.2">
      <c r="A990">
        <f t="shared" si="210"/>
        <v>3.8507031061071232E+16</v>
      </c>
      <c r="B990" s="28">
        <v>0.97</v>
      </c>
      <c r="C990">
        <f t="shared" si="211"/>
        <v>3.8507031061177208E+16</v>
      </c>
      <c r="E990">
        <f t="shared" si="212"/>
        <v>10160.83467119645</v>
      </c>
      <c r="F990" s="28">
        <v>0.97</v>
      </c>
      <c r="G990">
        <f t="shared" si="213"/>
        <v>618.55670103091791</v>
      </c>
      <c r="I990">
        <f t="shared" si="214"/>
        <v>7.5858851190407808E+16</v>
      </c>
      <c r="J990" s="28">
        <v>0.97</v>
      </c>
      <c r="K990">
        <f t="shared" si="215"/>
        <v>7.5858851190519088E+16</v>
      </c>
      <c r="M990">
        <f t="shared" si="216"/>
        <v>10099.804239807831</v>
      </c>
      <c r="N990" s="28">
        <v>0.97</v>
      </c>
      <c r="O990">
        <f t="shared" si="217"/>
        <v>1218.5567010309082</v>
      </c>
      <c r="Q990">
        <f t="shared" si="218"/>
        <v>3.7351820129336592E+16</v>
      </c>
      <c r="R990" s="28">
        <v>0.97</v>
      </c>
      <c r="S990">
        <f t="shared" si="219"/>
        <v>3.7351820129342488E+16</v>
      </c>
      <c r="U990">
        <f t="shared" si="220"/>
        <v>48416365746.401009</v>
      </c>
      <c r="V990" s="48">
        <v>0.97</v>
      </c>
      <c r="W990">
        <f t="shared" si="221"/>
        <v>48416384370.8657</v>
      </c>
      <c r="Y990">
        <f t="shared" si="222"/>
        <v>6679.3202994685034</v>
      </c>
      <c r="Z990" s="28">
        <v>0.97</v>
      </c>
      <c r="AA990">
        <f t="shared" si="223"/>
        <v>618.55669312838836</v>
      </c>
    </row>
    <row r="991" spans="1:27" x14ac:dyDescent="0.2">
      <c r="A991">
        <f t="shared" si="210"/>
        <v>3.9392814162682808E+16</v>
      </c>
      <c r="B991" s="28">
        <v>0.97099999999999997</v>
      </c>
      <c r="C991">
        <f t="shared" si="211"/>
        <v>3.9392814162788784E+16</v>
      </c>
      <c r="E991">
        <f t="shared" si="212"/>
        <v>10161.471701784536</v>
      </c>
      <c r="F991" s="28">
        <v>0.97099999999999997</v>
      </c>
      <c r="G991">
        <f t="shared" si="213"/>
        <v>617.91967044283274</v>
      </c>
      <c r="I991">
        <f t="shared" si="214"/>
        <v>7.7643236714745424E+16</v>
      </c>
      <c r="J991" s="28">
        <v>0.97099999999999997</v>
      </c>
      <c r="K991">
        <f t="shared" si="215"/>
        <v>7.7643236714856704E+16</v>
      </c>
      <c r="M991">
        <f t="shared" si="216"/>
        <v>10100.441270395915</v>
      </c>
      <c r="N991" s="28">
        <v>0.97099999999999997</v>
      </c>
      <c r="O991">
        <f t="shared" si="217"/>
        <v>1217.9196704428236</v>
      </c>
      <c r="Q991">
        <f t="shared" si="218"/>
        <v>3.8250422552062616E+16</v>
      </c>
      <c r="R991" s="28">
        <v>0.97099999999999997</v>
      </c>
      <c r="S991">
        <f t="shared" si="219"/>
        <v>3.8250422552068512E+16</v>
      </c>
      <c r="U991">
        <f t="shared" si="220"/>
        <v>49281332232.865395</v>
      </c>
      <c r="V991" s="48">
        <v>0.97099999999999997</v>
      </c>
      <c r="W991">
        <f t="shared" si="221"/>
        <v>49281350857.330086</v>
      </c>
      <c r="Y991">
        <f t="shared" si="222"/>
        <v>6679.957329901903</v>
      </c>
      <c r="Z991" s="28">
        <v>0.97099999999999997</v>
      </c>
      <c r="AA991">
        <f t="shared" si="223"/>
        <v>617.91966269498835</v>
      </c>
    </row>
    <row r="992" spans="1:27" x14ac:dyDescent="0.2">
      <c r="A992">
        <f t="shared" si="210"/>
        <v>4.0298529874771168E+16</v>
      </c>
      <c r="B992" s="28">
        <v>0.97199999999999998</v>
      </c>
      <c r="C992">
        <f t="shared" si="211"/>
        <v>4.0298529874877144E+16</v>
      </c>
      <c r="E992">
        <f t="shared" si="212"/>
        <v>10162.107421610093</v>
      </c>
      <c r="F992" s="28">
        <v>0.97199999999999998</v>
      </c>
      <c r="G992">
        <f t="shared" si="213"/>
        <v>617.28395061727451</v>
      </c>
      <c r="I992">
        <f t="shared" si="214"/>
        <v>7.9468700913146448E+16</v>
      </c>
      <c r="J992" s="28">
        <v>0.97199999999999998</v>
      </c>
      <c r="K992">
        <f t="shared" si="215"/>
        <v>7.9468700913257728E+16</v>
      </c>
      <c r="M992">
        <f t="shared" si="216"/>
        <v>10101.076990221472</v>
      </c>
      <c r="N992" s="28">
        <v>0.97199999999999998</v>
      </c>
      <c r="O992">
        <f t="shared" si="217"/>
        <v>1217.2839506172654</v>
      </c>
      <c r="Q992">
        <f t="shared" si="218"/>
        <v>3.9170171038375288E+16</v>
      </c>
      <c r="R992" s="28">
        <v>0.97199999999999998</v>
      </c>
      <c r="S992">
        <f t="shared" si="219"/>
        <v>3.9170171038381184E+16</v>
      </c>
      <c r="U992">
        <f t="shared" si="220"/>
        <v>50161804687.219551</v>
      </c>
      <c r="V992" s="48">
        <v>0.97199999999999998</v>
      </c>
      <c r="W992">
        <f t="shared" si="221"/>
        <v>50161823311.684242</v>
      </c>
      <c r="Y992">
        <f t="shared" si="222"/>
        <v>6680.5930495758121</v>
      </c>
      <c r="Z992" s="28">
        <v>0.97199999999999998</v>
      </c>
      <c r="AA992">
        <f t="shared" si="223"/>
        <v>617.28394302107938</v>
      </c>
    </row>
    <row r="993" spans="1:27" x14ac:dyDescent="0.2">
      <c r="A993">
        <f t="shared" si="210"/>
        <v>4.1224616749600592E+16</v>
      </c>
      <c r="B993" s="28">
        <v>0.97299999999999998</v>
      </c>
      <c r="C993">
        <f t="shared" si="211"/>
        <v>4.1224616749706568E+16</v>
      </c>
      <c r="E993">
        <f t="shared" si="212"/>
        <v>10162.74183471453</v>
      </c>
      <c r="F993" s="28">
        <v>0.97299999999999998</v>
      </c>
      <c r="G993">
        <f t="shared" si="213"/>
        <v>616.6495375128377</v>
      </c>
      <c r="I993">
        <f t="shared" si="214"/>
        <v>8.133616884705976E+16</v>
      </c>
      <c r="J993" s="28">
        <v>0.97299999999999998</v>
      </c>
      <c r="K993">
        <f t="shared" si="215"/>
        <v>8.133616884717104E+16</v>
      </c>
      <c r="M993">
        <f t="shared" si="216"/>
        <v>10101.711403325909</v>
      </c>
      <c r="N993" s="28">
        <v>0.97299999999999998</v>
      </c>
      <c r="O993">
        <f t="shared" si="217"/>
        <v>1216.6495375128286</v>
      </c>
      <c r="Q993">
        <f t="shared" si="218"/>
        <v>4.0111552097459192E+16</v>
      </c>
      <c r="R993" s="28">
        <v>0.97299999999999998</v>
      </c>
      <c r="S993">
        <f t="shared" si="219"/>
        <v>4.0111552097465088E+16</v>
      </c>
      <c r="U993">
        <f t="shared" si="220"/>
        <v>51058061915.824898</v>
      </c>
      <c r="V993" s="48">
        <v>0.97299999999999998</v>
      </c>
      <c r="W993">
        <f t="shared" si="221"/>
        <v>51058080540.289589</v>
      </c>
      <c r="Y993">
        <f t="shared" si="222"/>
        <v>6681.2274625315758</v>
      </c>
      <c r="Z993" s="28">
        <v>0.97299999999999998</v>
      </c>
      <c r="AA993">
        <f t="shared" si="223"/>
        <v>616.64953006531573</v>
      </c>
    </row>
    <row r="994" spans="1:27" x14ac:dyDescent="0.2">
      <c r="A994">
        <f t="shared" si="210"/>
        <v>4.2171522768334944E+16</v>
      </c>
      <c r="B994" s="28">
        <v>0.97399999999999998</v>
      </c>
      <c r="C994">
        <f t="shared" si="211"/>
        <v>4.217152276844092E+16</v>
      </c>
      <c r="E994">
        <f t="shared" si="212"/>
        <v>10163.374945122654</v>
      </c>
      <c r="F994" s="28">
        <v>0.97399999999999998</v>
      </c>
      <c r="G994">
        <f t="shared" si="213"/>
        <v>616.01642710471378</v>
      </c>
      <c r="I994">
        <f t="shared" si="214"/>
        <v>8.3246585944791088E+16</v>
      </c>
      <c r="J994" s="28">
        <v>0.97399999999999998</v>
      </c>
      <c r="K994">
        <f t="shared" si="215"/>
        <v>8.3246585944902368E+16</v>
      </c>
      <c r="M994">
        <f t="shared" si="216"/>
        <v>10102.344513734033</v>
      </c>
      <c r="N994" s="28">
        <v>0.97399999999999998</v>
      </c>
      <c r="O994">
        <f t="shared" si="217"/>
        <v>1216.0164271047051</v>
      </c>
      <c r="Q994">
        <f t="shared" si="218"/>
        <v>4.107506317645616E+16</v>
      </c>
      <c r="R994" s="28">
        <v>0.97399999999999998</v>
      </c>
      <c r="S994">
        <f t="shared" si="219"/>
        <v>4.1075063176462056E+16</v>
      </c>
      <c r="U994">
        <f t="shared" si="220"/>
        <v>51970387751.468666</v>
      </c>
      <c r="V994" s="48">
        <v>0.97399999999999998</v>
      </c>
      <c r="W994">
        <f t="shared" si="221"/>
        <v>51970406375.933357</v>
      </c>
      <c r="Y994">
        <f t="shared" si="222"/>
        <v>6681.8605727939448</v>
      </c>
      <c r="Z994" s="28">
        <v>0.97399999999999998</v>
      </c>
      <c r="AA994">
        <f t="shared" si="223"/>
        <v>616.01641980294744</v>
      </c>
    </row>
    <row r="995" spans="1:27" x14ac:dyDescent="0.2">
      <c r="A995">
        <f t="shared" si="210"/>
        <v>4.3139705539023472E+16</v>
      </c>
      <c r="B995" s="28">
        <v>0.97499999999999998</v>
      </c>
      <c r="C995">
        <f t="shared" si="211"/>
        <v>4.3139705539129448E+16</v>
      </c>
      <c r="E995">
        <f t="shared" si="212"/>
        <v>10164.006756842762</v>
      </c>
      <c r="F995" s="28">
        <v>0.97499999999999998</v>
      </c>
      <c r="G995">
        <f t="shared" si="213"/>
        <v>615.38461538460672</v>
      </c>
      <c r="I995">
        <f t="shared" si="214"/>
        <v>8.5200918439669376E+16</v>
      </c>
      <c r="J995" s="28">
        <v>0.97499999999999998</v>
      </c>
      <c r="K995">
        <f t="shared" si="215"/>
        <v>8.5200918439780656E+16</v>
      </c>
      <c r="M995">
        <f t="shared" si="216"/>
        <v>10102.976325454139</v>
      </c>
      <c r="N995" s="28">
        <v>0.97499999999999998</v>
      </c>
      <c r="O995">
        <f t="shared" si="217"/>
        <v>1215.3846153845982</v>
      </c>
      <c r="Q995">
        <f t="shared" si="218"/>
        <v>4.2061212900645912E+16</v>
      </c>
      <c r="R995" s="28">
        <v>0.97499999999999998</v>
      </c>
      <c r="S995">
        <f t="shared" si="219"/>
        <v>4.2061212900651808E+16</v>
      </c>
      <c r="U995">
        <f t="shared" si="220"/>
        <v>52899071144.195969</v>
      </c>
      <c r="V995" s="48">
        <v>0.97499999999999998</v>
      </c>
      <c r="W995">
        <f t="shared" si="221"/>
        <v>52899089768.66066</v>
      </c>
      <c r="Y995">
        <f t="shared" si="222"/>
        <v>6682.4923843711558</v>
      </c>
      <c r="Z995" s="28">
        <v>0.97499999999999998</v>
      </c>
      <c r="AA995">
        <f t="shared" si="223"/>
        <v>615.38460822573563</v>
      </c>
    </row>
    <row r="996" spans="1:27" x14ac:dyDescent="0.2">
      <c r="A996">
        <f t="shared" si="210"/>
        <v>4.4129632498645632E+16</v>
      </c>
      <c r="B996" s="28">
        <v>0.97599999999999998</v>
      </c>
      <c r="C996">
        <f t="shared" si="211"/>
        <v>4.4129632498751608E+16</v>
      </c>
      <c r="E996">
        <f t="shared" si="212"/>
        <v>10164.637273866721</v>
      </c>
      <c r="F996" s="28">
        <v>0.97599999999999998</v>
      </c>
      <c r="G996">
        <f t="shared" si="213"/>
        <v>614.75409836064716</v>
      </c>
      <c r="I996">
        <f t="shared" si="214"/>
        <v>8.7200153817421888E+16</v>
      </c>
      <c r="J996" s="28">
        <v>0.97599999999999998</v>
      </c>
      <c r="K996">
        <f t="shared" si="215"/>
        <v>8.7200153817533168E+16</v>
      </c>
      <c r="M996">
        <f t="shared" si="216"/>
        <v>10103.606842478099</v>
      </c>
      <c r="N996" s="28">
        <v>0.97599999999999998</v>
      </c>
      <c r="O996">
        <f t="shared" si="217"/>
        <v>1214.7540983606389</v>
      </c>
      <c r="Q996">
        <f t="shared" si="218"/>
        <v>4.3070521318776272E+16</v>
      </c>
      <c r="R996" s="28">
        <v>0.97599999999999998</v>
      </c>
      <c r="S996">
        <f t="shared" si="219"/>
        <v>4.3070521318782168E+16</v>
      </c>
      <c r="U996">
        <f t="shared" si="220"/>
        <v>53844406253.788528</v>
      </c>
      <c r="V996" s="48">
        <v>0.97599999999999998</v>
      </c>
      <c r="W996">
        <f t="shared" si="221"/>
        <v>53844424878.25322</v>
      </c>
      <c r="Y996">
        <f t="shared" si="222"/>
        <v>6683.1229012550239</v>
      </c>
      <c r="Z996" s="28">
        <v>0.97599999999999998</v>
      </c>
      <c r="AA996">
        <f t="shared" si="223"/>
        <v>614.75409134186793</v>
      </c>
    </row>
    <row r="997" spans="1:27" x14ac:dyDescent="0.2">
      <c r="A997">
        <f t="shared" si="210"/>
        <v>4.5141781119294928E+16</v>
      </c>
      <c r="B997" s="28">
        <v>0.97699999999999998</v>
      </c>
      <c r="C997">
        <f t="shared" si="211"/>
        <v>4.5141781119400904E+16</v>
      </c>
      <c r="E997">
        <f t="shared" si="212"/>
        <v>10165.266500170059</v>
      </c>
      <c r="F997" s="28">
        <v>0.97699999999999998</v>
      </c>
      <c r="G997">
        <f t="shared" si="213"/>
        <v>614.12487205730986</v>
      </c>
      <c r="I997">
        <f t="shared" si="214"/>
        <v>8.9245301272944272E+16</v>
      </c>
      <c r="J997" s="28">
        <v>0.97699999999999998</v>
      </c>
      <c r="K997">
        <f t="shared" si="215"/>
        <v>8.9245301273055552E+16</v>
      </c>
      <c r="M997">
        <f t="shared" si="216"/>
        <v>10104.236068781436</v>
      </c>
      <c r="N997" s="28">
        <v>0.97699999999999998</v>
      </c>
      <c r="O997">
        <f t="shared" si="217"/>
        <v>1214.1248720573017</v>
      </c>
      <c r="Q997">
        <f t="shared" si="218"/>
        <v>4.4103520153649384E+16</v>
      </c>
      <c r="R997" s="28">
        <v>0.97699999999999998</v>
      </c>
      <c r="S997">
        <f t="shared" si="219"/>
        <v>4.410352015365528E+16</v>
      </c>
      <c r="U997">
        <f t="shared" si="220"/>
        <v>54806692543.917404</v>
      </c>
      <c r="V997" s="48">
        <v>0.97699999999999998</v>
      </c>
      <c r="W997">
        <f t="shared" si="221"/>
        <v>54806711168.382095</v>
      </c>
      <c r="Y997">
        <f t="shared" si="222"/>
        <v>6683.7521274210185</v>
      </c>
      <c r="Z997" s="28">
        <v>0.97699999999999998</v>
      </c>
      <c r="AA997">
        <f t="shared" si="223"/>
        <v>614.12486517587365</v>
      </c>
    </row>
    <row r="998" spans="1:27" x14ac:dyDescent="0.2">
      <c r="A998">
        <f t="shared" si="210"/>
        <v>4.6176639118582472E+16</v>
      </c>
      <c r="B998" s="28">
        <v>0.97799999999999998</v>
      </c>
      <c r="C998">
        <f t="shared" si="211"/>
        <v>4.6176639118688448E+16</v>
      </c>
      <c r="E998">
        <f t="shared" si="212"/>
        <v>10165.894439712039</v>
      </c>
      <c r="F998" s="28">
        <v>0.97799999999999998</v>
      </c>
      <c r="G998">
        <f t="shared" si="213"/>
        <v>613.49693251532926</v>
      </c>
      <c r="I998">
        <f t="shared" si="214"/>
        <v>9.1337392176654464E+16</v>
      </c>
      <c r="J998" s="28">
        <v>0.97799999999999998</v>
      </c>
      <c r="K998">
        <f t="shared" si="215"/>
        <v>9.1337392176765744E+16</v>
      </c>
      <c r="M998">
        <f t="shared" si="216"/>
        <v>10104.864008323417</v>
      </c>
      <c r="N998" s="28">
        <v>0.97799999999999998</v>
      </c>
      <c r="O998">
        <f t="shared" si="217"/>
        <v>1213.4969325153211</v>
      </c>
      <c r="Q998">
        <f t="shared" si="218"/>
        <v>4.5160753058072008E+16</v>
      </c>
      <c r="R998" s="28">
        <v>0.97799999999999998</v>
      </c>
      <c r="S998">
        <f t="shared" si="219"/>
        <v>4.5160753058077904E+16</v>
      </c>
      <c r="U998">
        <f t="shared" si="220"/>
        <v>55786234878.000816</v>
      </c>
      <c r="V998" s="48">
        <v>0.97799999999999998</v>
      </c>
      <c r="W998">
        <f t="shared" si="221"/>
        <v>55786253502.465508</v>
      </c>
      <c r="Y998">
        <f t="shared" si="222"/>
        <v>6684.3800668283502</v>
      </c>
      <c r="Z998" s="28">
        <v>0.97799999999999998</v>
      </c>
      <c r="AA998">
        <f t="shared" si="223"/>
        <v>613.49692576854125</v>
      </c>
    </row>
    <row r="999" spans="1:27" x14ac:dyDescent="0.2">
      <c r="A999">
        <f t="shared" si="210"/>
        <v>4.7234704674348128E+16</v>
      </c>
      <c r="B999" s="28">
        <v>0.97899999999999998</v>
      </c>
      <c r="C999">
        <f t="shared" si="211"/>
        <v>4.7234704674454104E+16</v>
      </c>
      <c r="E999">
        <f t="shared" si="212"/>
        <v>10166.521096435752</v>
      </c>
      <c r="F999" s="28">
        <v>0.97899999999999998</v>
      </c>
      <c r="G999">
        <f t="shared" si="213"/>
        <v>612.87027579161622</v>
      </c>
      <c r="I999">
        <f t="shared" si="214"/>
        <v>9.3477480550633424E+16</v>
      </c>
      <c r="J999" s="28">
        <v>0.97899999999999998</v>
      </c>
      <c r="K999">
        <f t="shared" si="215"/>
        <v>9.3477480550744704E+16</v>
      </c>
      <c r="M999">
        <f t="shared" si="216"/>
        <v>10105.490665047129</v>
      </c>
      <c r="N999" s="28">
        <v>0.97899999999999998</v>
      </c>
      <c r="O999">
        <f t="shared" si="217"/>
        <v>1212.8702757916085</v>
      </c>
      <c r="Q999">
        <f t="shared" si="218"/>
        <v>4.6242775876285272E+16</v>
      </c>
      <c r="R999" s="28">
        <v>0.97899999999999998</v>
      </c>
      <c r="S999">
        <f t="shared" si="219"/>
        <v>4.6242775876291168E+16</v>
      </c>
      <c r="U999">
        <f t="shared" si="220"/>
        <v>56783343616.799141</v>
      </c>
      <c r="V999" s="48">
        <v>0.97899999999999998</v>
      </c>
      <c r="W999">
        <f t="shared" si="221"/>
        <v>56783362241.263832</v>
      </c>
      <c r="Y999">
        <f t="shared" si="222"/>
        <v>6685.0067234200569</v>
      </c>
      <c r="Z999" s="28">
        <v>0.97899999999999998</v>
      </c>
      <c r="AA999">
        <f t="shared" si="223"/>
        <v>612.87026917683488</v>
      </c>
    </row>
    <row r="1000" spans="1:27" x14ac:dyDescent="0.2">
      <c r="A1000">
        <f t="shared" si="210"/>
        <v>4.8316486643762264E+16</v>
      </c>
      <c r="B1000" s="28">
        <v>0.98</v>
      </c>
      <c r="C1000">
        <f t="shared" si="211"/>
        <v>4.831648664386824E+16</v>
      </c>
      <c r="E1000">
        <f t="shared" si="212"/>
        <v>10167.146474268193</v>
      </c>
      <c r="F1000" s="28">
        <v>0.98</v>
      </c>
      <c r="G1000">
        <f t="shared" si="213"/>
        <v>612.244897959176</v>
      </c>
      <c r="I1000">
        <f t="shared" si="214"/>
        <v>9.5666643554747824E+16</v>
      </c>
      <c r="J1000" s="28">
        <v>0.98</v>
      </c>
      <c r="K1000">
        <f t="shared" si="215"/>
        <v>9.5666643554859104E+16</v>
      </c>
      <c r="M1000">
        <f t="shared" si="216"/>
        <v>10106.11604287957</v>
      </c>
      <c r="N1000" s="28">
        <v>0.98</v>
      </c>
      <c r="O1000">
        <f t="shared" si="217"/>
        <v>1212.2448979591684</v>
      </c>
      <c r="Q1000">
        <f t="shared" si="218"/>
        <v>4.7350156910985576E+16</v>
      </c>
      <c r="R1000" s="28">
        <v>0.98</v>
      </c>
      <c r="S1000">
        <f t="shared" si="219"/>
        <v>4.7350156910991472E+16</v>
      </c>
      <c r="U1000">
        <f t="shared" si="220"/>
        <v>57798334717.775566</v>
      </c>
      <c r="V1000" s="48">
        <v>0.98</v>
      </c>
      <c r="W1000">
        <f t="shared" si="221"/>
        <v>57798353342.240257</v>
      </c>
      <c r="Y1000">
        <f t="shared" si="222"/>
        <v>6685.6321011230802</v>
      </c>
      <c r="Z1000" s="28">
        <v>0.98</v>
      </c>
      <c r="AA1000">
        <f t="shared" si="223"/>
        <v>612.24489147381189</v>
      </c>
    </row>
    <row r="1001" spans="1:27" x14ac:dyDescent="0.2">
      <c r="A1001">
        <f t="shared" si="210"/>
        <v>4.9422504786909056E+16</v>
      </c>
      <c r="B1001" s="28">
        <v>0.98099999999999998</v>
      </c>
      <c r="C1001">
        <f t="shared" si="211"/>
        <v>4.9422504787015032E+16</v>
      </c>
      <c r="E1001">
        <f t="shared" si="212"/>
        <v>10167.770577120342</v>
      </c>
      <c r="F1001" s="28">
        <v>0.98099999999999998</v>
      </c>
      <c r="G1001">
        <f t="shared" si="213"/>
        <v>611.62079510702608</v>
      </c>
      <c r="I1001">
        <f t="shared" si="214"/>
        <v>9.7905981982965504E+16</v>
      </c>
      <c r="J1001" s="28">
        <v>0.98099999999999998</v>
      </c>
      <c r="K1001">
        <f t="shared" si="215"/>
        <v>9.7905981983076784E+16</v>
      </c>
      <c r="M1001">
        <f t="shared" si="216"/>
        <v>10106.740145731719</v>
      </c>
      <c r="N1001" s="28">
        <v>0.98099999999999998</v>
      </c>
      <c r="O1001">
        <f t="shared" si="217"/>
        <v>1211.6207951070187</v>
      </c>
      <c r="Q1001">
        <f t="shared" si="218"/>
        <v>4.8483477196056448E+16</v>
      </c>
      <c r="R1001" s="28">
        <v>0.98099999999999998</v>
      </c>
      <c r="S1001">
        <f t="shared" si="219"/>
        <v>4.8483477196062344E+16</v>
      </c>
      <c r="U1001">
        <f t="shared" si="220"/>
        <v>58831529836.258392</v>
      </c>
      <c r="V1001" s="48">
        <v>0.98099999999999998</v>
      </c>
      <c r="W1001">
        <f t="shared" si="221"/>
        <v>58831548460.723083</v>
      </c>
      <c r="Y1001">
        <f t="shared" si="222"/>
        <v>6686.2562038483511</v>
      </c>
      <c r="Z1001" s="28">
        <v>0.98099999999999998</v>
      </c>
      <c r="AA1001">
        <f t="shared" si="223"/>
        <v>611.62078874854058</v>
      </c>
    </row>
    <row r="1002" spans="1:27" x14ac:dyDescent="0.2">
      <c r="A1002">
        <f t="shared" si="210"/>
        <v>5.0553289994936344E+16</v>
      </c>
      <c r="B1002" s="28">
        <v>0.98199999999999998</v>
      </c>
      <c r="C1002">
        <f t="shared" si="211"/>
        <v>5.055328999504232E+16</v>
      </c>
      <c r="E1002">
        <f t="shared" si="212"/>
        <v>10168.393408887254</v>
      </c>
      <c r="F1002" s="28">
        <v>0.98199999999999998</v>
      </c>
      <c r="G1002">
        <f t="shared" si="213"/>
        <v>610.99796334011489</v>
      </c>
      <c r="I1002">
        <f t="shared" si="214"/>
        <v>1.0019662077006261E+17</v>
      </c>
      <c r="J1002" s="28">
        <v>0.98199999999999998</v>
      </c>
      <c r="K1002">
        <f t="shared" si="215"/>
        <v>1.0019662077017389E+17</v>
      </c>
      <c r="M1002">
        <f t="shared" si="216"/>
        <v>10107.362977498631</v>
      </c>
      <c r="N1002" s="28">
        <v>0.98199999999999998</v>
      </c>
      <c r="O1002">
        <f t="shared" si="217"/>
        <v>1210.9979633401076</v>
      </c>
      <c r="Q1002">
        <f t="shared" si="218"/>
        <v>4.9643330775126264E+16</v>
      </c>
      <c r="R1002" s="28">
        <v>0.98199999999999998</v>
      </c>
      <c r="S1002">
        <f t="shared" si="219"/>
        <v>4.964333077513216E+16</v>
      </c>
      <c r="U1002">
        <f t="shared" si="220"/>
        <v>59883256428.434517</v>
      </c>
      <c r="V1002" s="48">
        <v>0.98199999999999998</v>
      </c>
      <c r="W1002">
        <f t="shared" si="221"/>
        <v>59883275052.899208</v>
      </c>
      <c r="Y1002">
        <f t="shared" si="222"/>
        <v>6686.8790354908724</v>
      </c>
      <c r="Z1002" s="28">
        <v>0.98199999999999998</v>
      </c>
      <c r="AA1002">
        <f t="shared" si="223"/>
        <v>610.99795710601916</v>
      </c>
    </row>
    <row r="1003" spans="1:27" x14ac:dyDescent="0.2">
      <c r="A1003">
        <f t="shared" si="210"/>
        <v>5.1709384522866488E+16</v>
      </c>
      <c r="B1003" s="28">
        <v>0.98299999999999998</v>
      </c>
      <c r="C1003">
        <f t="shared" si="211"/>
        <v>5.1709384522972464E+16</v>
      </c>
      <c r="E1003">
        <f t="shared" si="212"/>
        <v>10169.014973448127</v>
      </c>
      <c r="F1003" s="28">
        <v>0.98299999999999998</v>
      </c>
      <c r="G1003">
        <f t="shared" si="213"/>
        <v>610.37639877924005</v>
      </c>
      <c r="I1003">
        <f t="shared" si="214"/>
        <v>1.025397095089431E+17</v>
      </c>
      <c r="J1003" s="28">
        <v>0.98299999999999998</v>
      </c>
      <c r="K1003">
        <f t="shared" si="215"/>
        <v>1.0253970950905438E+17</v>
      </c>
      <c r="M1003">
        <f t="shared" si="216"/>
        <v>10107.984542059505</v>
      </c>
      <c r="N1003" s="28">
        <v>0.98299999999999998</v>
      </c>
      <c r="O1003">
        <f t="shared" si="217"/>
        <v>1210.3763987792329</v>
      </c>
      <c r="Q1003">
        <f t="shared" si="218"/>
        <v>5.0830324986076632E+16</v>
      </c>
      <c r="R1003" s="28">
        <v>0.98299999999999998</v>
      </c>
      <c r="S1003">
        <f t="shared" si="219"/>
        <v>5.0830324986082528E+16</v>
      </c>
      <c r="U1003">
        <f t="shared" si="220"/>
        <v>60953847856.209862</v>
      </c>
      <c r="V1003" s="48">
        <v>0.98299999999999998</v>
      </c>
      <c r="W1003">
        <f t="shared" si="221"/>
        <v>60953866480.674553</v>
      </c>
      <c r="Y1003">
        <f t="shared" si="222"/>
        <v>6687.5005999297973</v>
      </c>
      <c r="Z1003" s="28">
        <v>0.98299999999999998</v>
      </c>
      <c r="AA1003">
        <f t="shared" si="223"/>
        <v>610.37639266709448</v>
      </c>
    </row>
    <row r="1004" spans="1:27" x14ac:dyDescent="0.2">
      <c r="A1004">
        <f t="shared" si="210"/>
        <v>5.2891342227158992E+16</v>
      </c>
      <c r="B1004" s="28">
        <v>0.98399999999999999</v>
      </c>
      <c r="C1004">
        <f t="shared" si="211"/>
        <v>5.2891342227264968E+16</v>
      </c>
      <c r="E1004">
        <f t="shared" si="212"/>
        <v>10169.6352746664</v>
      </c>
      <c r="F1004" s="28">
        <v>0.98399999999999999</v>
      </c>
      <c r="G1004">
        <f t="shared" si="213"/>
        <v>609.75609756096856</v>
      </c>
      <c r="I1004">
        <f t="shared" si="214"/>
        <v>1.0493642297878243E+17</v>
      </c>
      <c r="J1004" s="28">
        <v>0.98399999999999999</v>
      </c>
      <c r="K1004">
        <f t="shared" si="215"/>
        <v>1.0493642297889371E+17</v>
      </c>
      <c r="M1004">
        <f t="shared" si="216"/>
        <v>10108.604843277777</v>
      </c>
      <c r="N1004" s="28">
        <v>0.98399999999999999</v>
      </c>
      <c r="O1004">
        <f t="shared" si="217"/>
        <v>1209.756097560962</v>
      </c>
      <c r="Q1004">
        <f t="shared" si="218"/>
        <v>5.2045080751623432E+16</v>
      </c>
      <c r="R1004" s="28">
        <v>0.98399999999999999</v>
      </c>
      <c r="S1004">
        <f t="shared" si="219"/>
        <v>5.2045080751629328E+16</v>
      </c>
      <c r="U1004">
        <f t="shared" si="220"/>
        <v>62043643493.967094</v>
      </c>
      <c r="V1004" s="48">
        <v>0.98399999999999999</v>
      </c>
      <c r="W1004">
        <f t="shared" si="221"/>
        <v>62043662118.431786</v>
      </c>
      <c r="Y1004">
        <f t="shared" si="222"/>
        <v>6688.1209010285102</v>
      </c>
      <c r="Z1004" s="28">
        <v>0.98399999999999999</v>
      </c>
      <c r="AA1004">
        <f t="shared" si="223"/>
        <v>609.75609156838129</v>
      </c>
    </row>
    <row r="1005" spans="1:27" x14ac:dyDescent="0.2">
      <c r="A1005">
        <f t="shared" si="210"/>
        <v>5.4099728808123664E+16</v>
      </c>
      <c r="B1005" s="28">
        <v>0.98499999999999999</v>
      </c>
      <c r="C1005">
        <f t="shared" si="211"/>
        <v>5.409972880822964E+16</v>
      </c>
      <c r="E1005">
        <f t="shared" si="212"/>
        <v>10170.254316389812</v>
      </c>
      <c r="F1005" s="28">
        <v>0.98499999999999999</v>
      </c>
      <c r="G1005">
        <f t="shared" si="213"/>
        <v>609.13705583755666</v>
      </c>
      <c r="I1005">
        <f t="shared" si="214"/>
        <v>1.0738796168422454E+17</v>
      </c>
      <c r="J1005" s="28">
        <v>0.98499999999999999</v>
      </c>
      <c r="K1005">
        <f t="shared" si="215"/>
        <v>1.0738796168433582E+17</v>
      </c>
      <c r="M1005">
        <f t="shared" si="216"/>
        <v>10109.223885001189</v>
      </c>
      <c r="N1005" s="28">
        <v>0.98499999999999999</v>
      </c>
      <c r="O1005">
        <f t="shared" si="217"/>
        <v>1209.13705583755</v>
      </c>
      <c r="Q1005">
        <f t="shared" si="218"/>
        <v>5.3288232876100896E+16</v>
      </c>
      <c r="R1005" s="28">
        <v>0.98499999999999999</v>
      </c>
      <c r="S1005">
        <f t="shared" si="219"/>
        <v>5.3288232876106792E+16</v>
      </c>
      <c r="U1005">
        <f t="shared" si="220"/>
        <v>63152988837.259453</v>
      </c>
      <c r="V1005" s="48">
        <v>0.98499999999999999</v>
      </c>
      <c r="W1005">
        <f t="shared" si="221"/>
        <v>63153007461.724144</v>
      </c>
      <c r="Y1005">
        <f t="shared" si="222"/>
        <v>6688.7399426347092</v>
      </c>
      <c r="Z1005" s="28">
        <v>0.98499999999999999</v>
      </c>
      <c r="AA1005">
        <f t="shared" si="223"/>
        <v>609.13704996218291</v>
      </c>
    </row>
    <row r="1006" spans="1:27" x14ac:dyDescent="0.2">
      <c r="A1006">
        <f t="shared" si="210"/>
        <v>5.5335122057272616E+16</v>
      </c>
      <c r="B1006" s="28">
        <v>0.98599999999999999</v>
      </c>
      <c r="C1006">
        <f t="shared" si="211"/>
        <v>5.5335122057378592E+16</v>
      </c>
      <c r="E1006">
        <f t="shared" si="212"/>
        <v>10170.872102450499</v>
      </c>
      <c r="F1006" s="28">
        <v>0.98599999999999999</v>
      </c>
      <c r="G1006">
        <f t="shared" si="213"/>
        <v>608.51926977686958</v>
      </c>
      <c r="I1006">
        <f t="shared" si="214"/>
        <v>1.0989555240584259E+17</v>
      </c>
      <c r="J1006" s="28">
        <v>0.98599999999999999</v>
      </c>
      <c r="K1006">
        <f t="shared" si="215"/>
        <v>1.0989555240595387E+17</v>
      </c>
      <c r="M1006">
        <f t="shared" si="216"/>
        <v>10109.841671061875</v>
      </c>
      <c r="N1006" s="28">
        <v>0.98599999999999999</v>
      </c>
      <c r="O1006">
        <f t="shared" si="217"/>
        <v>1208.5192697768628</v>
      </c>
      <c r="Q1006">
        <f t="shared" si="218"/>
        <v>5.4560430348569992E+16</v>
      </c>
      <c r="R1006" s="28">
        <v>0.98599999999999999</v>
      </c>
      <c r="S1006">
        <f t="shared" si="219"/>
        <v>5.4560430348575888E+16</v>
      </c>
      <c r="U1006">
        <f t="shared" si="220"/>
        <v>64282235613.472382</v>
      </c>
      <c r="V1006" s="48">
        <v>0.98599999999999999</v>
      </c>
      <c r="W1006">
        <f t="shared" si="221"/>
        <v>64282254237.937073</v>
      </c>
      <c r="Y1006">
        <f t="shared" si="222"/>
        <v>6689.3577285804804</v>
      </c>
      <c r="Z1006" s="28">
        <v>0.98599999999999999</v>
      </c>
      <c r="AA1006">
        <f t="shared" si="223"/>
        <v>608.51926401641094</v>
      </c>
    </row>
    <row r="1007" spans="1:27" x14ac:dyDescent="0.2">
      <c r="A1007">
        <f t="shared" si="210"/>
        <v>5.6598112109719368E+16</v>
      </c>
      <c r="B1007" s="28">
        <v>0.98699999999999999</v>
      </c>
      <c r="C1007">
        <f t="shared" si="211"/>
        <v>5.6598112109825344E+16</v>
      </c>
      <c r="E1007">
        <f t="shared" si="212"/>
        <v>10171.488636665064</v>
      </c>
      <c r="F1007" s="28">
        <v>0.98699999999999999</v>
      </c>
      <c r="G1007">
        <f t="shared" si="213"/>
        <v>607.90273556230352</v>
      </c>
      <c r="I1007">
        <f t="shared" si="214"/>
        <v>1.1246044876211168E+17</v>
      </c>
      <c r="J1007" s="28">
        <v>0.98699999999999999</v>
      </c>
      <c r="K1007">
        <f t="shared" si="215"/>
        <v>1.1246044876222296E+17</v>
      </c>
      <c r="M1007">
        <f t="shared" si="216"/>
        <v>10110.458205276442</v>
      </c>
      <c r="N1007" s="28">
        <v>0.98699999999999999</v>
      </c>
      <c r="O1007">
        <f t="shared" si="217"/>
        <v>1207.9027355622973</v>
      </c>
      <c r="Q1007">
        <f t="shared" si="218"/>
        <v>5.586233665239232E+16</v>
      </c>
      <c r="R1007" s="28">
        <v>0.98699999999999999</v>
      </c>
      <c r="S1007">
        <f t="shared" si="219"/>
        <v>5.5862336652398216E+16</v>
      </c>
      <c r="U1007">
        <f t="shared" si="220"/>
        <v>65431741894.491241</v>
      </c>
      <c r="V1007" s="48">
        <v>0.98699999999999999</v>
      </c>
      <c r="W1007">
        <f t="shared" si="221"/>
        <v>65431760518.955933</v>
      </c>
      <c r="Y1007">
        <f t="shared" si="222"/>
        <v>6689.9742626823854</v>
      </c>
      <c r="Z1007" s="28">
        <v>0.98699999999999999</v>
      </c>
      <c r="AA1007">
        <f t="shared" si="223"/>
        <v>607.90272991450638</v>
      </c>
    </row>
    <row r="1008" spans="1:27" x14ac:dyDescent="0.2">
      <c r="A1008">
        <f t="shared" si="210"/>
        <v>5.7889301701714552E+16</v>
      </c>
      <c r="B1008" s="28">
        <v>0.98799999999999999</v>
      </c>
      <c r="C1008">
        <f t="shared" si="211"/>
        <v>5.7889301701820528E+16</v>
      </c>
      <c r="E1008">
        <f t="shared" si="212"/>
        <v>10172.103922834662</v>
      </c>
      <c r="F1008" s="28">
        <v>0.98799999999999999</v>
      </c>
      <c r="G1008">
        <f t="shared" si="213"/>
        <v>607.28744939270621</v>
      </c>
      <c r="I1008">
        <f t="shared" si="214"/>
        <v>1.150839317831079E+17</v>
      </c>
      <c r="J1008" s="28">
        <v>0.98799999999999999</v>
      </c>
      <c r="K1008">
        <f t="shared" si="215"/>
        <v>1.1508393178321918E+17</v>
      </c>
      <c r="M1008">
        <f t="shared" si="216"/>
        <v>10111.073491446039</v>
      </c>
      <c r="N1008" s="28">
        <v>0.98799999999999999</v>
      </c>
      <c r="O1008">
        <f t="shared" si="217"/>
        <v>1207.2874493927</v>
      </c>
      <c r="Q1008">
        <f t="shared" si="218"/>
        <v>5.7194630081393384E+16</v>
      </c>
      <c r="R1008" s="28">
        <v>0.98799999999999999</v>
      </c>
      <c r="S1008">
        <f t="shared" si="219"/>
        <v>5.719463008139928E+16</v>
      </c>
      <c r="U1008">
        <f t="shared" si="220"/>
        <v>66601872211.407997</v>
      </c>
      <c r="V1008" s="48">
        <v>0.98799999999999999</v>
      </c>
      <c r="W1008">
        <f t="shared" si="221"/>
        <v>66601890835.872688</v>
      </c>
      <c r="Y1008">
        <f t="shared" si="222"/>
        <v>6690.5895487415301</v>
      </c>
      <c r="Z1008" s="28">
        <v>0.98799999999999999</v>
      </c>
      <c r="AA1008">
        <f t="shared" si="223"/>
        <v>607.28744385536163</v>
      </c>
    </row>
    <row r="1009" spans="1:27" x14ac:dyDescent="0.2">
      <c r="A1009">
        <f t="shared" si="210"/>
        <v>5.9209306433434648E+16</v>
      </c>
      <c r="B1009" s="28">
        <v>0.98899999999999999</v>
      </c>
      <c r="C1009">
        <f t="shared" si="211"/>
        <v>5.9209306433540624E+16</v>
      </c>
      <c r="E1009">
        <f t="shared" si="212"/>
        <v>10172.717964745068</v>
      </c>
      <c r="F1009" s="28">
        <v>0.98899999999999999</v>
      </c>
      <c r="G1009">
        <f t="shared" si="213"/>
        <v>606.67340748229913</v>
      </c>
      <c r="I1009">
        <f t="shared" si="214"/>
        <v>1.1776731049620101E+17</v>
      </c>
      <c r="J1009" s="28">
        <v>0.98899999999999999</v>
      </c>
      <c r="K1009">
        <f t="shared" si="215"/>
        <v>1.1776731049631229E+17</v>
      </c>
      <c r="M1009">
        <f t="shared" si="216"/>
        <v>10111.687533356446</v>
      </c>
      <c r="N1009" s="28">
        <v>0.98899999999999999</v>
      </c>
      <c r="O1009">
        <f t="shared" si="217"/>
        <v>1206.6734074822928</v>
      </c>
      <c r="Q1009">
        <f t="shared" si="218"/>
        <v>5.8558004062766384E+16</v>
      </c>
      <c r="R1009" s="28">
        <v>0.98899999999999999</v>
      </c>
      <c r="S1009">
        <f t="shared" si="219"/>
        <v>5.855800406277228E+16</v>
      </c>
      <c r="U1009">
        <f t="shared" si="220"/>
        <v>67792997671.308403</v>
      </c>
      <c r="V1009" s="48">
        <v>0.98899999999999999</v>
      </c>
      <c r="W1009">
        <f t="shared" si="221"/>
        <v>67793016295.773094</v>
      </c>
      <c r="Y1009">
        <f t="shared" si="222"/>
        <v>6691.2035905436505</v>
      </c>
      <c r="Z1009" s="28">
        <v>0.98899999999999999</v>
      </c>
      <c r="AA1009">
        <f t="shared" si="223"/>
        <v>606.67340205324149</v>
      </c>
    </row>
    <row r="1010" spans="1:27" x14ac:dyDescent="0.2">
      <c r="A1010">
        <f t="shared" si="210"/>
        <v>6.055875503711292E+16</v>
      </c>
      <c r="B1010" s="28">
        <v>0.99</v>
      </c>
      <c r="C1010">
        <f t="shared" si="211"/>
        <v>6.0558755037218896E+16</v>
      </c>
      <c r="E1010">
        <f t="shared" si="212"/>
        <v>10173.330766166768</v>
      </c>
      <c r="F1010" s="28">
        <v>0.99</v>
      </c>
      <c r="G1010">
        <f t="shared" si="213"/>
        <v>606.06060606059998</v>
      </c>
      <c r="I1010">
        <f t="shared" si="214"/>
        <v>1.2051192252395432E+17</v>
      </c>
      <c r="J1010" s="28">
        <v>0.99</v>
      </c>
      <c r="K1010">
        <f t="shared" si="215"/>
        <v>1.205119225240656E+17</v>
      </c>
      <c r="M1010">
        <f t="shared" si="216"/>
        <v>10112.300334778145</v>
      </c>
      <c r="N1010" s="28">
        <v>0.99</v>
      </c>
      <c r="O1010">
        <f t="shared" si="217"/>
        <v>1206.0606060605942</v>
      </c>
      <c r="Q1010">
        <f t="shared" si="218"/>
        <v>5.9953167486841408E+16</v>
      </c>
      <c r="R1010" s="28">
        <v>0.99</v>
      </c>
      <c r="S1010">
        <f t="shared" si="219"/>
        <v>5.9953167486847304E+16</v>
      </c>
      <c r="U1010">
        <f t="shared" si="220"/>
        <v>69005496076.173721</v>
      </c>
      <c r="V1010" s="48">
        <v>0.99</v>
      </c>
      <c r="W1010">
        <f t="shared" si="221"/>
        <v>69005514700.638412</v>
      </c>
      <c r="Y1010">
        <f t="shared" si="222"/>
        <v>6691.8163918591854</v>
      </c>
      <c r="Z1010" s="28">
        <v>0.99</v>
      </c>
      <c r="AA1010">
        <f t="shared" si="223"/>
        <v>606.06060073770595</v>
      </c>
    </row>
    <row r="1011" spans="1:27" x14ac:dyDescent="0.2">
      <c r="A1011">
        <f t="shared" si="210"/>
        <v>6.193828965062556E+16</v>
      </c>
      <c r="B1011" s="28">
        <v>0.99099999999999999</v>
      </c>
      <c r="C1011">
        <f t="shared" si="211"/>
        <v>6.1938289650731536E+16</v>
      </c>
      <c r="E1011">
        <f t="shared" si="212"/>
        <v>10173.942330855023</v>
      </c>
      <c r="F1011" s="28">
        <v>0.99099999999999999</v>
      </c>
      <c r="G1011">
        <f t="shared" si="213"/>
        <v>605.44904137234528</v>
      </c>
      <c r="I1011">
        <f t="shared" si="214"/>
        <v>1.2331913469449522E+17</v>
      </c>
      <c r="J1011" s="28">
        <v>0.99099999999999999</v>
      </c>
      <c r="K1011">
        <f t="shared" si="215"/>
        <v>1.233191346946065E+17</v>
      </c>
      <c r="M1011">
        <f t="shared" si="216"/>
        <v>10112.911899466399</v>
      </c>
      <c r="N1011" s="28">
        <v>0.99099999999999999</v>
      </c>
      <c r="O1011">
        <f t="shared" si="217"/>
        <v>1205.4490413723397</v>
      </c>
      <c r="Q1011">
        <f t="shared" si="218"/>
        <v>6.1380845043869656E+16</v>
      </c>
      <c r="R1011" s="28">
        <v>0.99099999999999999</v>
      </c>
      <c r="S1011">
        <f t="shared" si="219"/>
        <v>6.1380845043875552E+16</v>
      </c>
      <c r="U1011">
        <f t="shared" si="220"/>
        <v>70239752043.938309</v>
      </c>
      <c r="V1011" s="48">
        <v>0.99099999999999999</v>
      </c>
      <c r="W1011">
        <f t="shared" si="221"/>
        <v>70239770668.403</v>
      </c>
      <c r="Y1011">
        <f t="shared" si="222"/>
        <v>6692.4279564433582</v>
      </c>
      <c r="Z1011" s="28">
        <v>0.99099999999999999</v>
      </c>
      <c r="AA1011">
        <f t="shared" si="223"/>
        <v>605.44903615353371</v>
      </c>
    </row>
    <row r="1012" spans="1:27" x14ac:dyDescent="0.2">
      <c r="A1012">
        <f t="shared" si="210"/>
        <v>6.3348566096645432E+16</v>
      </c>
      <c r="B1012" s="28">
        <v>0.99199999999999999</v>
      </c>
      <c r="C1012">
        <f t="shared" si="211"/>
        <v>6.3348566096751408E+16</v>
      </c>
      <c r="E1012">
        <f t="shared" si="212"/>
        <v>10174.552662549955</v>
      </c>
      <c r="F1012" s="28">
        <v>0.99199999999999999</v>
      </c>
      <c r="G1012">
        <f t="shared" si="213"/>
        <v>604.83870967741359</v>
      </c>
      <c r="I1012">
        <f t="shared" si="214"/>
        <v>1.2619034366461754E+17</v>
      </c>
      <c r="J1012" s="28">
        <v>0.99199999999999999</v>
      </c>
      <c r="K1012">
        <f t="shared" si="215"/>
        <v>1.2619034366472882E+17</v>
      </c>
      <c r="M1012">
        <f t="shared" si="216"/>
        <v>10113.522231161331</v>
      </c>
      <c r="N1012" s="28">
        <v>0.99199999999999999</v>
      </c>
      <c r="O1012">
        <f t="shared" si="217"/>
        <v>1204.8387096774079</v>
      </c>
      <c r="Q1012">
        <f t="shared" si="218"/>
        <v>6.2841777567972104E+16</v>
      </c>
      <c r="R1012" s="28">
        <v>0.99199999999999999</v>
      </c>
      <c r="S1012">
        <f t="shared" si="219"/>
        <v>6.2841777567978E+16</v>
      </c>
      <c r="U1012">
        <f t="shared" si="220"/>
        <v>71496157131.738281</v>
      </c>
      <c r="V1012" s="48">
        <v>0.99199999999999999</v>
      </c>
      <c r="W1012">
        <f t="shared" si="221"/>
        <v>71496175756.202972</v>
      </c>
      <c r="Y1012">
        <f t="shared" si="222"/>
        <v>6693.0382880362476</v>
      </c>
      <c r="Z1012" s="28">
        <v>0.99199999999999999</v>
      </c>
      <c r="AA1012">
        <f t="shared" si="223"/>
        <v>604.83870456064415</v>
      </c>
    </row>
    <row r="1013" spans="1:27" x14ac:dyDescent="0.2">
      <c r="A1013">
        <f t="shared" si="210"/>
        <v>6.4790254167464304E+16</v>
      </c>
      <c r="B1013" s="28">
        <v>0.99299999999999999</v>
      </c>
      <c r="C1013">
        <f t="shared" si="211"/>
        <v>6.479025416757028E+16</v>
      </c>
      <c r="E1013">
        <f t="shared" si="212"/>
        <v>10175.161764976619</v>
      </c>
      <c r="F1013" s="28">
        <v>0.99299999999999999</v>
      </c>
      <c r="G1013">
        <f t="shared" si="213"/>
        <v>604.22960725074972</v>
      </c>
      <c r="I1013">
        <f t="shared" si="214"/>
        <v>1.2912697655585629E+17</v>
      </c>
      <c r="J1013" s="28">
        <v>0.99299999999999999</v>
      </c>
      <c r="K1013">
        <f t="shared" si="215"/>
        <v>1.2912697655596757E+17</v>
      </c>
      <c r="M1013">
        <f t="shared" si="216"/>
        <v>10114.131333587995</v>
      </c>
      <c r="N1013" s="28">
        <v>0.99299999999999999</v>
      </c>
      <c r="O1013">
        <f t="shared" si="217"/>
        <v>1204.229607250744</v>
      </c>
      <c r="Q1013">
        <f t="shared" si="218"/>
        <v>6.4336722388391992E+16</v>
      </c>
      <c r="R1013" s="28">
        <v>0.99299999999999999</v>
      </c>
      <c r="S1013">
        <f t="shared" si="219"/>
        <v>6.4336722388397888E+16</v>
      </c>
      <c r="U1013">
        <f t="shared" si="220"/>
        <v>72775109961.395798</v>
      </c>
      <c r="V1013" s="48">
        <v>0.99299999999999999</v>
      </c>
      <c r="W1013">
        <f t="shared" si="221"/>
        <v>72775128585.860489</v>
      </c>
      <c r="Y1013">
        <f t="shared" si="222"/>
        <v>6693.6473903628703</v>
      </c>
      <c r="Z1013" s="28">
        <v>0.99299999999999999</v>
      </c>
      <c r="AA1013">
        <f t="shared" si="223"/>
        <v>604.22960223402185</v>
      </c>
    </row>
    <row r="1014" spans="1:27" x14ac:dyDescent="0.2">
      <c r="A1014">
        <f t="shared" si="210"/>
        <v>6.6264037915608848E+16</v>
      </c>
      <c r="B1014" s="28">
        <v>0.99399999999999999</v>
      </c>
      <c r="C1014">
        <f t="shared" si="211"/>
        <v>6.6264037915714824E+16</v>
      </c>
      <c r="E1014">
        <f t="shared" si="212"/>
        <v>10175.76964184508</v>
      </c>
      <c r="F1014" s="28">
        <v>0.99399999999999999</v>
      </c>
      <c r="G1014">
        <f t="shared" si="213"/>
        <v>603.62173038228821</v>
      </c>
      <c r="I1014">
        <f t="shared" si="214"/>
        <v>1.321304916038241E+17</v>
      </c>
      <c r="J1014" s="28">
        <v>0.99399999999999999</v>
      </c>
      <c r="K1014">
        <f t="shared" si="215"/>
        <v>1.3213049160393538E+17</v>
      </c>
      <c r="M1014">
        <f t="shared" si="216"/>
        <v>10114.739210456455</v>
      </c>
      <c r="N1014" s="28">
        <v>0.99399999999999999</v>
      </c>
      <c r="O1014">
        <f t="shared" si="217"/>
        <v>1203.621730382283</v>
      </c>
      <c r="Q1014">
        <f t="shared" si="218"/>
        <v>6.586645368821524E+16</v>
      </c>
      <c r="R1014" s="28">
        <v>0.99399999999999999</v>
      </c>
      <c r="S1014">
        <f t="shared" si="219"/>
        <v>6.5866453688221136E+16</v>
      </c>
      <c r="U1014">
        <f t="shared" si="220"/>
        <v>74077016347.175812</v>
      </c>
      <c r="V1014" s="48">
        <v>0.99399999999999999</v>
      </c>
      <c r="W1014">
        <f t="shared" si="221"/>
        <v>74077034971.640503</v>
      </c>
      <c r="Y1014">
        <f t="shared" si="222"/>
        <v>6694.2552671332505</v>
      </c>
      <c r="Z1014" s="28">
        <v>0.99399999999999999</v>
      </c>
      <c r="AA1014">
        <f t="shared" si="223"/>
        <v>603.62172546364127</v>
      </c>
    </row>
    <row r="1015" spans="1:27" x14ac:dyDescent="0.2">
      <c r="A1015">
        <f t="shared" si="210"/>
        <v>6.7770615950346144E+16</v>
      </c>
      <c r="B1015" s="28">
        <v>0.995</v>
      </c>
      <c r="C1015">
        <f t="shared" si="211"/>
        <v>6.777061595045212E+16</v>
      </c>
      <c r="E1015">
        <f t="shared" si="212"/>
        <v>10176.376296850489</v>
      </c>
      <c r="F1015" s="28">
        <v>0.995</v>
      </c>
      <c r="G1015">
        <f t="shared" si="213"/>
        <v>603.01507537687905</v>
      </c>
      <c r="I1015">
        <f t="shared" si="214"/>
        <v>1.3520237882104069E+17</v>
      </c>
      <c r="J1015" s="28">
        <v>0.995</v>
      </c>
      <c r="K1015">
        <f t="shared" si="215"/>
        <v>1.3520237882115197E+17</v>
      </c>
      <c r="M1015">
        <f t="shared" si="216"/>
        <v>10115.345865461864</v>
      </c>
      <c r="N1015" s="28">
        <v>0.995</v>
      </c>
      <c r="O1015">
        <f t="shared" si="217"/>
        <v>1203.0150753768737</v>
      </c>
      <c r="Q1015">
        <f t="shared" si="218"/>
        <v>6.743176287069456E+16</v>
      </c>
      <c r="R1015" s="28">
        <v>0.995</v>
      </c>
      <c r="S1015">
        <f t="shared" si="219"/>
        <v>6.7431762870700456E+16</v>
      </c>
      <c r="U1015">
        <f t="shared" si="220"/>
        <v>75402289425.859436</v>
      </c>
      <c r="V1015" s="48">
        <v>0.995</v>
      </c>
      <c r="W1015">
        <f t="shared" si="221"/>
        <v>75402308050.324127</v>
      </c>
      <c r="Y1015">
        <f t="shared" si="222"/>
        <v>6694.8619220425016</v>
      </c>
      <c r="Z1015" s="28">
        <v>0.995</v>
      </c>
      <c r="AA1015">
        <f t="shared" si="223"/>
        <v>603.01507055439038</v>
      </c>
    </row>
    <row r="1016" spans="1:27" x14ac:dyDescent="0.2">
      <c r="A1016">
        <f t="shared" si="210"/>
        <v>6.9310701740216752E+16</v>
      </c>
      <c r="B1016" s="28">
        <v>0.996</v>
      </c>
      <c r="C1016">
        <f t="shared" si="211"/>
        <v>6.9310701740322728E+16</v>
      </c>
      <c r="E1016">
        <f t="shared" si="212"/>
        <v>10176.981733673156</v>
      </c>
      <c r="F1016" s="28">
        <v>0.996</v>
      </c>
      <c r="G1016">
        <f t="shared" si="213"/>
        <v>602.40963855421171</v>
      </c>
      <c r="I1016">
        <f t="shared" si="214"/>
        <v>1.3834416067357288E+17</v>
      </c>
      <c r="J1016" s="28">
        <v>0.996</v>
      </c>
      <c r="K1016">
        <f t="shared" si="215"/>
        <v>1.3834416067368416E+17</v>
      </c>
      <c r="M1016">
        <f t="shared" si="216"/>
        <v>10115.951302284531</v>
      </c>
      <c r="N1016" s="28">
        <v>0.996</v>
      </c>
      <c r="O1016">
        <f t="shared" si="217"/>
        <v>1202.4096385542064</v>
      </c>
      <c r="Q1016">
        <f t="shared" si="218"/>
        <v>6.9033458933356144E+16</v>
      </c>
      <c r="R1016" s="28">
        <v>0.996</v>
      </c>
      <c r="S1016">
        <f t="shared" si="219"/>
        <v>6.903345893336204E+16</v>
      </c>
      <c r="U1016">
        <f t="shared" si="220"/>
        <v>76751349789.171936</v>
      </c>
      <c r="V1016" s="48">
        <v>0.996</v>
      </c>
      <c r="W1016">
        <f t="shared" si="221"/>
        <v>76751368413.636627</v>
      </c>
      <c r="Y1016">
        <f t="shared" si="222"/>
        <v>6695.4673587708949</v>
      </c>
      <c r="Z1016" s="28">
        <v>0.996</v>
      </c>
      <c r="AA1016">
        <f t="shared" si="223"/>
        <v>602.40963382599671</v>
      </c>
    </row>
    <row r="1017" spans="1:27" x14ac:dyDescent="0.2">
      <c r="A1017">
        <f t="shared" si="210"/>
        <v>7.0885023921701648E+16</v>
      </c>
      <c r="B1017" s="28">
        <v>0.997</v>
      </c>
      <c r="C1017">
        <f t="shared" si="211"/>
        <v>7.0885023921807624E+16</v>
      </c>
      <c r="E1017">
        <f t="shared" si="212"/>
        <v>10177.585955978628</v>
      </c>
      <c r="F1017" s="28">
        <v>0.997</v>
      </c>
      <c r="G1017">
        <f t="shared" si="213"/>
        <v>601.80541624874115</v>
      </c>
      <c r="I1017">
        <f t="shared" si="214"/>
        <v>1.4155739277173853E+17</v>
      </c>
      <c r="J1017" s="28">
        <v>0.997</v>
      </c>
      <c r="K1017">
        <f t="shared" si="215"/>
        <v>1.4155739277184981E+17</v>
      </c>
      <c r="M1017">
        <f t="shared" si="216"/>
        <v>10116.555524590003</v>
      </c>
      <c r="N1017" s="28">
        <v>0.997</v>
      </c>
      <c r="O1017">
        <f t="shared" si="217"/>
        <v>1201.805416248736</v>
      </c>
      <c r="Q1017">
        <f t="shared" si="218"/>
        <v>7.0672368850036904E+16</v>
      </c>
      <c r="R1017" s="28">
        <v>0.997</v>
      </c>
      <c r="S1017">
        <f t="shared" si="219"/>
        <v>7.06723688500428E+16</v>
      </c>
      <c r="U1017">
        <f t="shared" si="220"/>
        <v>78124625618.613159</v>
      </c>
      <c r="V1017" s="48">
        <v>0.997</v>
      </c>
      <c r="W1017">
        <f t="shared" si="221"/>
        <v>78124644243.07785</v>
      </c>
      <c r="Y1017">
        <f t="shared" si="222"/>
        <v>6696.0715809839394</v>
      </c>
      <c r="Z1017" s="28">
        <v>0.997</v>
      </c>
      <c r="AA1017">
        <f t="shared" si="223"/>
        <v>601.80541161295218</v>
      </c>
    </row>
    <row r="1018" spans="1:27" x14ac:dyDescent="0.2">
      <c r="A1018">
        <f t="shared" si="210"/>
        <v>7.2494326614145872E+16</v>
      </c>
      <c r="B1018" s="28">
        <v>0.998</v>
      </c>
      <c r="C1018">
        <f t="shared" si="211"/>
        <v>7.249432661425184E+16</v>
      </c>
      <c r="E1018">
        <f t="shared" si="212"/>
        <v>10178.188967417755</v>
      </c>
      <c r="F1018" s="28">
        <v>0.998</v>
      </c>
      <c r="G1018">
        <f t="shared" si="213"/>
        <v>601.20240480961422</v>
      </c>
      <c r="I1018">
        <f t="shared" si="214"/>
        <v>1.4484366457516394E+17</v>
      </c>
      <c r="J1018" s="28">
        <v>0.998</v>
      </c>
      <c r="K1018">
        <f t="shared" si="215"/>
        <v>1.448436645752752E+17</v>
      </c>
      <c r="M1018">
        <f t="shared" si="216"/>
        <v>10117.158536029128</v>
      </c>
      <c r="N1018" s="28">
        <v>0.998</v>
      </c>
      <c r="O1018">
        <f t="shared" si="217"/>
        <v>1201.2024048096091</v>
      </c>
      <c r="Q1018">
        <f t="shared" si="218"/>
        <v>7.2349337961018032E+16</v>
      </c>
      <c r="R1018" s="28">
        <v>0.998</v>
      </c>
      <c r="S1018">
        <f t="shared" si="219"/>
        <v>7.2349337961023936E+16</v>
      </c>
      <c r="U1018">
        <f t="shared" si="220"/>
        <v>79522552822.729965</v>
      </c>
      <c r="V1018" s="48">
        <v>0.998</v>
      </c>
      <c r="W1018">
        <f t="shared" si="221"/>
        <v>79522571447.194656</v>
      </c>
      <c r="Y1018">
        <f t="shared" si="222"/>
        <v>6696.6745923324515</v>
      </c>
      <c r="Z1018" s="28">
        <v>0.998</v>
      </c>
      <c r="AA1018">
        <f t="shared" si="223"/>
        <v>601.20240026444014</v>
      </c>
    </row>
    <row r="1019" spans="1:27" x14ac:dyDescent="0.2">
      <c r="A1019">
        <f t="shared" si="210"/>
        <v>7.4139369741064608E+16</v>
      </c>
      <c r="B1019" s="28">
        <v>0.999</v>
      </c>
      <c r="C1019">
        <f t="shared" si="211"/>
        <v>7.4139369741170576E+16</v>
      </c>
      <c r="E1019">
        <f t="shared" si="212"/>
        <v>10178.790771626773</v>
      </c>
      <c r="F1019" s="28">
        <v>0.999</v>
      </c>
      <c r="G1019">
        <f t="shared" si="213"/>
        <v>600.60060060059573</v>
      </c>
      <c r="I1019">
        <f t="shared" si="214"/>
        <v>1.4820460011248874E+17</v>
      </c>
      <c r="J1019" s="28">
        <v>0.999</v>
      </c>
      <c r="K1019">
        <f t="shared" si="215"/>
        <v>1.482046001126E+17</v>
      </c>
      <c r="M1019">
        <f t="shared" si="216"/>
        <v>10117.760340238146</v>
      </c>
      <c r="N1019" s="28">
        <v>0.999</v>
      </c>
      <c r="O1019">
        <f t="shared" si="217"/>
        <v>1200.600600600591</v>
      </c>
      <c r="Q1019">
        <f t="shared" si="218"/>
        <v>7.4065230371424112E+16</v>
      </c>
      <c r="R1019" s="28">
        <v>0.999</v>
      </c>
      <c r="S1019">
        <f t="shared" si="219"/>
        <v>7.4065230371430016E+16</v>
      </c>
      <c r="U1019">
        <f t="shared" si="220"/>
        <v>80945575176.87825</v>
      </c>
      <c r="V1019" s="48">
        <v>0.999</v>
      </c>
      <c r="W1019">
        <f t="shared" si="221"/>
        <v>80945593801.342941</v>
      </c>
      <c r="Y1019">
        <f t="shared" si="222"/>
        <v>6697.2763964526312</v>
      </c>
      <c r="Z1019" s="28">
        <v>0.999</v>
      </c>
      <c r="AA1019">
        <f t="shared" si="223"/>
        <v>600.60059614426075</v>
      </c>
    </row>
    <row r="1020" spans="1:27" x14ac:dyDescent="0.2">
      <c r="A1020">
        <f t="shared" si="210"/>
        <v>7.5820929357956288E+16</v>
      </c>
      <c r="B1020" s="28">
        <v>1</v>
      </c>
      <c r="C1020">
        <f t="shared" si="211"/>
        <v>7.5820929358062256E+16</v>
      </c>
      <c r="E1020">
        <f t="shared" si="212"/>
        <v>10179.391372227374</v>
      </c>
      <c r="F1020" s="28">
        <v>1</v>
      </c>
      <c r="G1020">
        <f t="shared" si="213"/>
        <v>599.99999999999523</v>
      </c>
      <c r="I1020">
        <f t="shared" si="214"/>
        <v>1.5164185871601325E+17</v>
      </c>
      <c r="J1020" s="28">
        <v>1</v>
      </c>
      <c r="K1020">
        <f t="shared" si="215"/>
        <v>1.5164185871612451E+17</v>
      </c>
      <c r="M1020">
        <f t="shared" si="216"/>
        <v>10118.360940838747</v>
      </c>
      <c r="N1020" s="28">
        <v>1</v>
      </c>
      <c r="O1020">
        <f t="shared" si="217"/>
        <v>1199.9999999999905</v>
      </c>
      <c r="Q1020">
        <f t="shared" si="218"/>
        <v>7.5820929358056944E+16</v>
      </c>
      <c r="R1020" s="28">
        <v>1</v>
      </c>
      <c r="S1020">
        <f t="shared" si="219"/>
        <v>7.5820929358062848E+16</v>
      </c>
      <c r="U1020">
        <f t="shared" si="220"/>
        <v>82394144465.515198</v>
      </c>
      <c r="V1020" s="48">
        <v>1</v>
      </c>
      <c r="W1020">
        <f t="shared" si="221"/>
        <v>82394163089.979889</v>
      </c>
      <c r="Y1020">
        <f t="shared" si="222"/>
        <v>6697.8769969661334</v>
      </c>
      <c r="Z1020" s="28">
        <v>1</v>
      </c>
      <c r="AA1020">
        <f t="shared" si="223"/>
        <v>599.99999563075846</v>
      </c>
    </row>
    <row r="1021" spans="1:27" x14ac:dyDescent="0.2">
      <c r="A1021" s="28"/>
    </row>
    <row r="1022" spans="1:27" x14ac:dyDescent="0.2">
      <c r="A1022" s="28"/>
    </row>
    <row r="1023" spans="1:27" x14ac:dyDescent="0.2">
      <c r="A1023" s="28"/>
    </row>
    <row r="1024" spans="1:27" x14ac:dyDescent="0.2">
      <c r="A1024" s="28"/>
    </row>
    <row r="1025" spans="1:1" x14ac:dyDescent="0.2">
      <c r="A1025" s="28"/>
    </row>
    <row r="1026" spans="1:1" x14ac:dyDescent="0.2">
      <c r="A1026" s="28"/>
    </row>
    <row r="1027" spans="1:1" x14ac:dyDescent="0.2">
      <c r="A1027" s="28"/>
    </row>
    <row r="1028" spans="1:1" x14ac:dyDescent="0.2">
      <c r="A1028" s="28"/>
    </row>
    <row r="1029" spans="1:1" x14ac:dyDescent="0.2">
      <c r="A1029" s="28"/>
    </row>
    <row r="1030" spans="1:1" x14ac:dyDescent="0.2">
      <c r="A1030" s="28"/>
    </row>
    <row r="1031" spans="1:1" x14ac:dyDescent="0.2">
      <c r="A1031" s="28"/>
    </row>
    <row r="1032" spans="1:1" x14ac:dyDescent="0.2">
      <c r="A1032" s="28"/>
    </row>
    <row r="1033" spans="1:1" x14ac:dyDescent="0.2">
      <c r="A1033" s="28"/>
    </row>
    <row r="1034" spans="1:1" x14ac:dyDescent="0.2">
      <c r="A1034" s="28"/>
    </row>
    <row r="1035" spans="1:1" x14ac:dyDescent="0.2">
      <c r="A1035" s="28"/>
    </row>
    <row r="1036" spans="1:1" x14ac:dyDescent="0.2">
      <c r="A1036" s="28"/>
    </row>
    <row r="1037" spans="1:1" x14ac:dyDescent="0.2">
      <c r="A1037" s="28"/>
    </row>
    <row r="1038" spans="1:1" x14ac:dyDescent="0.2">
      <c r="A1038" s="28"/>
    </row>
    <row r="1039" spans="1:1" x14ac:dyDescent="0.2">
      <c r="A1039" s="28"/>
    </row>
    <row r="1040" spans="1:1" x14ac:dyDescent="0.2">
      <c r="A1040" s="28"/>
    </row>
    <row r="1041" spans="1:1" x14ac:dyDescent="0.2">
      <c r="A1041" s="28"/>
    </row>
    <row r="1042" spans="1:1" x14ac:dyDescent="0.2">
      <c r="A1042" s="28"/>
    </row>
    <row r="1043" spans="1:1" x14ac:dyDescent="0.2">
      <c r="A1043" s="28"/>
    </row>
    <row r="1044" spans="1:1" x14ac:dyDescent="0.2">
      <c r="A1044" s="28"/>
    </row>
    <row r="1045" spans="1:1" x14ac:dyDescent="0.2">
      <c r="A1045" s="28"/>
    </row>
    <row r="1046" spans="1:1" x14ac:dyDescent="0.2">
      <c r="A1046" s="28"/>
    </row>
    <row r="1047" spans="1:1" x14ac:dyDescent="0.2">
      <c r="A1047" s="28"/>
    </row>
    <row r="1048" spans="1:1" x14ac:dyDescent="0.2">
      <c r="A1048" s="28"/>
    </row>
    <row r="1049" spans="1:1" x14ac:dyDescent="0.2">
      <c r="A1049" s="28"/>
    </row>
    <row r="1050" spans="1:1" x14ac:dyDescent="0.2">
      <c r="A1050" s="28"/>
    </row>
    <row r="1051" spans="1:1" x14ac:dyDescent="0.2">
      <c r="A1051" s="28"/>
    </row>
    <row r="1052" spans="1:1" x14ac:dyDescent="0.2">
      <c r="A1052" s="28"/>
    </row>
    <row r="1053" spans="1:1" x14ac:dyDescent="0.2">
      <c r="A1053" s="28"/>
    </row>
    <row r="1054" spans="1:1" x14ac:dyDescent="0.2">
      <c r="A1054" s="28"/>
    </row>
    <row r="1055" spans="1:1" x14ac:dyDescent="0.2">
      <c r="A1055" s="28"/>
    </row>
    <row r="1056" spans="1:1" x14ac:dyDescent="0.2">
      <c r="A1056" s="28"/>
    </row>
    <row r="1057" spans="1:1" x14ac:dyDescent="0.2">
      <c r="A1057" s="28"/>
    </row>
    <row r="1058" spans="1:1" x14ac:dyDescent="0.2">
      <c r="A1058" s="28"/>
    </row>
    <row r="1059" spans="1:1" x14ac:dyDescent="0.2">
      <c r="A1059" s="28"/>
    </row>
    <row r="1060" spans="1:1" x14ac:dyDescent="0.2">
      <c r="A1060" s="28"/>
    </row>
    <row r="1061" spans="1:1" x14ac:dyDescent="0.2">
      <c r="A1061" s="28"/>
    </row>
    <row r="1062" spans="1:1" x14ac:dyDescent="0.2">
      <c r="A1062" s="28"/>
    </row>
    <row r="1063" spans="1:1" x14ac:dyDescent="0.2">
      <c r="A1063" s="28"/>
    </row>
    <row r="1064" spans="1:1" x14ac:dyDescent="0.2">
      <c r="A1064" s="28"/>
    </row>
    <row r="1065" spans="1:1" x14ac:dyDescent="0.2">
      <c r="A1065" s="28"/>
    </row>
    <row r="1066" spans="1:1" x14ac:dyDescent="0.2">
      <c r="A1066" s="28"/>
    </row>
    <row r="1067" spans="1:1" x14ac:dyDescent="0.2">
      <c r="A1067" s="28"/>
    </row>
    <row r="1068" spans="1:1" x14ac:dyDescent="0.2">
      <c r="A1068" s="28"/>
    </row>
    <row r="1069" spans="1:1" x14ac:dyDescent="0.2">
      <c r="A1069" s="28"/>
    </row>
    <row r="1070" spans="1:1" x14ac:dyDescent="0.2">
      <c r="A1070" s="28"/>
    </row>
    <row r="1071" spans="1:1" x14ac:dyDescent="0.2">
      <c r="A1071" s="28"/>
    </row>
    <row r="1072" spans="1:1" x14ac:dyDescent="0.2">
      <c r="A1072" s="28"/>
    </row>
    <row r="1073" spans="1:1" x14ac:dyDescent="0.2">
      <c r="A1073" s="28"/>
    </row>
    <row r="1074" spans="1:1" x14ac:dyDescent="0.2">
      <c r="A1074" s="28"/>
    </row>
    <row r="1075" spans="1:1" x14ac:dyDescent="0.2">
      <c r="A1075" s="28"/>
    </row>
    <row r="1076" spans="1:1" x14ac:dyDescent="0.2">
      <c r="A1076" s="28"/>
    </row>
    <row r="1077" spans="1:1" x14ac:dyDescent="0.2">
      <c r="A1077" s="28"/>
    </row>
    <row r="1078" spans="1:1" x14ac:dyDescent="0.2">
      <c r="A1078" s="28"/>
    </row>
    <row r="1079" spans="1:1" x14ac:dyDescent="0.2">
      <c r="A1079" s="28"/>
    </row>
    <row r="1080" spans="1:1" x14ac:dyDescent="0.2">
      <c r="A1080" s="28"/>
    </row>
    <row r="1081" spans="1:1" x14ac:dyDescent="0.2">
      <c r="A1081" s="28"/>
    </row>
    <row r="1082" spans="1:1" x14ac:dyDescent="0.2">
      <c r="A1082" s="28"/>
    </row>
    <row r="1083" spans="1:1" x14ac:dyDescent="0.2">
      <c r="A1083" s="28"/>
    </row>
    <row r="1084" spans="1:1" x14ac:dyDescent="0.2">
      <c r="A1084" s="28"/>
    </row>
    <row r="1085" spans="1:1" x14ac:dyDescent="0.2">
      <c r="A1085" s="28"/>
    </row>
    <row r="1086" spans="1:1" x14ac:dyDescent="0.2">
      <c r="A1086" s="28"/>
    </row>
    <row r="1087" spans="1:1" x14ac:dyDescent="0.2">
      <c r="A1087" s="28"/>
    </row>
    <row r="1088" spans="1:1" x14ac:dyDescent="0.2">
      <c r="A1088" s="28"/>
    </row>
    <row r="1089" spans="1:1" x14ac:dyDescent="0.2">
      <c r="A1089" s="28"/>
    </row>
    <row r="1090" spans="1:1" x14ac:dyDescent="0.2">
      <c r="A1090" s="28"/>
    </row>
    <row r="1091" spans="1:1" x14ac:dyDescent="0.2">
      <c r="A1091" s="28"/>
    </row>
    <row r="1092" spans="1:1" x14ac:dyDescent="0.2">
      <c r="A1092" s="28"/>
    </row>
    <row r="1093" spans="1:1" x14ac:dyDescent="0.2">
      <c r="A1093" s="28"/>
    </row>
    <row r="1094" spans="1:1" x14ac:dyDescent="0.2">
      <c r="A1094" s="28"/>
    </row>
    <row r="1095" spans="1:1" x14ac:dyDescent="0.2">
      <c r="A1095" s="28"/>
    </row>
    <row r="1096" spans="1:1" x14ac:dyDescent="0.2">
      <c r="A1096" s="28"/>
    </row>
    <row r="1097" spans="1:1" x14ac:dyDescent="0.2">
      <c r="A1097" s="28"/>
    </row>
    <row r="1098" spans="1:1" x14ac:dyDescent="0.2">
      <c r="A1098" s="28"/>
    </row>
    <row r="1099" spans="1:1" x14ac:dyDescent="0.2">
      <c r="A1099" s="28"/>
    </row>
    <row r="1100" spans="1:1" x14ac:dyDescent="0.2">
      <c r="A1100" s="28"/>
    </row>
    <row r="1101" spans="1:1" x14ac:dyDescent="0.2">
      <c r="A1101" s="28"/>
    </row>
    <row r="1102" spans="1:1" x14ac:dyDescent="0.2">
      <c r="A1102" s="28"/>
    </row>
    <row r="1103" spans="1:1" x14ac:dyDescent="0.2">
      <c r="A1103" s="28"/>
    </row>
    <row r="1104" spans="1:1" x14ac:dyDescent="0.2">
      <c r="A1104" s="28"/>
    </row>
    <row r="1105" spans="1:1" x14ac:dyDescent="0.2">
      <c r="A1105" s="28"/>
    </row>
    <row r="1106" spans="1:1" x14ac:dyDescent="0.2">
      <c r="A1106" s="28"/>
    </row>
    <row r="1107" spans="1:1" x14ac:dyDescent="0.2">
      <c r="A1107" s="28"/>
    </row>
    <row r="1108" spans="1:1" x14ac:dyDescent="0.2">
      <c r="A1108" s="28"/>
    </row>
    <row r="1109" spans="1:1" x14ac:dyDescent="0.2">
      <c r="A1109" s="28"/>
    </row>
    <row r="1110" spans="1:1" x14ac:dyDescent="0.2">
      <c r="A1110" s="28"/>
    </row>
    <row r="1111" spans="1:1" x14ac:dyDescent="0.2">
      <c r="A1111" s="28"/>
    </row>
    <row r="1112" spans="1:1" x14ac:dyDescent="0.2">
      <c r="A1112" s="28"/>
    </row>
    <row r="1113" spans="1:1" x14ac:dyDescent="0.2">
      <c r="A1113" s="28"/>
    </row>
    <row r="1114" spans="1:1" x14ac:dyDescent="0.2">
      <c r="A1114" s="28"/>
    </row>
    <row r="1115" spans="1:1" x14ac:dyDescent="0.2">
      <c r="A1115" s="28"/>
    </row>
    <row r="1116" spans="1:1" x14ac:dyDescent="0.2">
      <c r="A1116" s="28"/>
    </row>
    <row r="1117" spans="1:1" x14ac:dyDescent="0.2">
      <c r="A1117" s="28"/>
    </row>
    <row r="1118" spans="1:1" x14ac:dyDescent="0.2">
      <c r="A1118" s="28"/>
    </row>
    <row r="1119" spans="1:1" x14ac:dyDescent="0.2">
      <c r="A1119" s="28"/>
    </row>
    <row r="1120" spans="1:1" x14ac:dyDescent="0.2">
      <c r="A1120" s="28"/>
    </row>
    <row r="1121" spans="1:1" x14ac:dyDescent="0.2">
      <c r="A1121" s="28"/>
    </row>
    <row r="1122" spans="1:1" x14ac:dyDescent="0.2">
      <c r="A1122" s="28"/>
    </row>
    <row r="1123" spans="1:1" x14ac:dyDescent="0.2">
      <c r="A1123" s="28"/>
    </row>
    <row r="1124" spans="1:1" x14ac:dyDescent="0.2">
      <c r="A1124" s="28"/>
    </row>
    <row r="1125" spans="1:1" x14ac:dyDescent="0.2">
      <c r="A1125" s="28"/>
    </row>
    <row r="1126" spans="1:1" x14ac:dyDescent="0.2">
      <c r="A1126" s="28"/>
    </row>
    <row r="1127" spans="1:1" x14ac:dyDescent="0.2">
      <c r="A1127" s="28"/>
    </row>
    <row r="1128" spans="1:1" x14ac:dyDescent="0.2">
      <c r="A1128" s="28"/>
    </row>
    <row r="1129" spans="1:1" x14ac:dyDescent="0.2">
      <c r="A1129" s="28"/>
    </row>
    <row r="1130" spans="1:1" x14ac:dyDescent="0.2">
      <c r="A1130" s="28"/>
    </row>
    <row r="1131" spans="1:1" x14ac:dyDescent="0.2">
      <c r="A1131" s="28"/>
    </row>
    <row r="1132" spans="1:1" x14ac:dyDescent="0.2">
      <c r="A1132" s="28"/>
    </row>
    <row r="1133" spans="1:1" x14ac:dyDescent="0.2">
      <c r="A1133" s="28"/>
    </row>
    <row r="1134" spans="1:1" x14ac:dyDescent="0.2">
      <c r="A1134" s="28"/>
    </row>
    <row r="1135" spans="1:1" x14ac:dyDescent="0.2">
      <c r="A1135" s="28"/>
    </row>
    <row r="1136" spans="1:1" x14ac:dyDescent="0.2">
      <c r="A1136" s="28"/>
    </row>
    <row r="1137" spans="1:1" x14ac:dyDescent="0.2">
      <c r="A1137" s="28"/>
    </row>
    <row r="1138" spans="1:1" x14ac:dyDescent="0.2">
      <c r="A1138" s="28"/>
    </row>
    <row r="1139" spans="1:1" x14ac:dyDescent="0.2">
      <c r="A1139" s="28"/>
    </row>
    <row r="1140" spans="1:1" x14ac:dyDescent="0.2">
      <c r="A1140" s="28"/>
    </row>
    <row r="1141" spans="1:1" x14ac:dyDescent="0.2">
      <c r="A1141" s="28"/>
    </row>
    <row r="1142" spans="1:1" x14ac:dyDescent="0.2">
      <c r="A1142" s="28"/>
    </row>
    <row r="1143" spans="1:1" x14ac:dyDescent="0.2">
      <c r="A1143" s="28"/>
    </row>
    <row r="1144" spans="1:1" x14ac:dyDescent="0.2">
      <c r="A1144" s="28"/>
    </row>
    <row r="1145" spans="1:1" x14ac:dyDescent="0.2">
      <c r="A1145" s="28"/>
    </row>
    <row r="1146" spans="1:1" x14ac:dyDescent="0.2">
      <c r="A1146" s="28"/>
    </row>
    <row r="1147" spans="1:1" x14ac:dyDescent="0.2">
      <c r="A1147" s="28"/>
    </row>
    <row r="1148" spans="1:1" x14ac:dyDescent="0.2">
      <c r="A1148" s="28"/>
    </row>
    <row r="1149" spans="1:1" x14ac:dyDescent="0.2">
      <c r="A1149" s="28"/>
    </row>
    <row r="1150" spans="1:1" x14ac:dyDescent="0.2">
      <c r="A1150" s="28"/>
    </row>
    <row r="1151" spans="1:1" x14ac:dyDescent="0.2">
      <c r="A1151" s="28"/>
    </row>
    <row r="1152" spans="1:1" x14ac:dyDescent="0.2">
      <c r="A1152" s="28"/>
    </row>
    <row r="1153" spans="1:1" x14ac:dyDescent="0.2">
      <c r="A1153" s="28"/>
    </row>
    <row r="1154" spans="1:1" x14ac:dyDescent="0.2">
      <c r="A1154" s="28"/>
    </row>
    <row r="1155" spans="1:1" x14ac:dyDescent="0.2">
      <c r="A1155" s="28"/>
    </row>
    <row r="1156" spans="1:1" x14ac:dyDescent="0.2">
      <c r="A1156" s="28"/>
    </row>
    <row r="1157" spans="1:1" x14ac:dyDescent="0.2">
      <c r="A1157" s="28"/>
    </row>
    <row r="1158" spans="1:1" x14ac:dyDescent="0.2">
      <c r="A1158" s="28"/>
    </row>
    <row r="1159" spans="1:1" x14ac:dyDescent="0.2">
      <c r="A1159" s="28"/>
    </row>
    <row r="1160" spans="1:1" x14ac:dyDescent="0.2">
      <c r="A1160" s="28"/>
    </row>
    <row r="1161" spans="1:1" x14ac:dyDescent="0.2">
      <c r="A1161" s="28"/>
    </row>
    <row r="1162" spans="1:1" x14ac:dyDescent="0.2">
      <c r="A1162" s="28"/>
    </row>
    <row r="1163" spans="1:1" x14ac:dyDescent="0.2">
      <c r="A1163" s="28"/>
    </row>
    <row r="1164" spans="1:1" x14ac:dyDescent="0.2">
      <c r="A1164" s="28"/>
    </row>
    <row r="1165" spans="1:1" x14ac:dyDescent="0.2">
      <c r="A1165" s="28"/>
    </row>
    <row r="1166" spans="1:1" x14ac:dyDescent="0.2">
      <c r="A1166" s="28"/>
    </row>
    <row r="1167" spans="1:1" x14ac:dyDescent="0.2">
      <c r="A1167" s="28"/>
    </row>
    <row r="1168" spans="1:1" x14ac:dyDescent="0.2">
      <c r="A1168" s="28"/>
    </row>
    <row r="1169" spans="1:1" x14ac:dyDescent="0.2">
      <c r="A1169" s="28"/>
    </row>
    <row r="1170" spans="1:1" x14ac:dyDescent="0.2">
      <c r="A1170" s="28"/>
    </row>
    <row r="1171" spans="1:1" x14ac:dyDescent="0.2">
      <c r="A1171" s="28"/>
    </row>
    <row r="1172" spans="1:1" x14ac:dyDescent="0.2">
      <c r="A1172" s="28"/>
    </row>
    <row r="1173" spans="1:1" x14ac:dyDescent="0.2">
      <c r="A1173" s="28"/>
    </row>
    <row r="1174" spans="1:1" x14ac:dyDescent="0.2">
      <c r="A1174" s="28"/>
    </row>
    <row r="1175" spans="1:1" x14ac:dyDescent="0.2">
      <c r="A1175" s="28"/>
    </row>
    <row r="1176" spans="1:1" x14ac:dyDescent="0.2">
      <c r="A1176" s="28"/>
    </row>
    <row r="1177" spans="1:1" x14ac:dyDescent="0.2">
      <c r="A1177" s="28"/>
    </row>
    <row r="1178" spans="1:1" x14ac:dyDescent="0.2">
      <c r="A1178" s="28"/>
    </row>
    <row r="1179" spans="1:1" x14ac:dyDescent="0.2">
      <c r="A1179" s="28"/>
    </row>
    <row r="1180" spans="1:1" x14ac:dyDescent="0.2">
      <c r="A1180" s="28"/>
    </row>
    <row r="1181" spans="1:1" x14ac:dyDescent="0.2">
      <c r="A1181" s="28"/>
    </row>
    <row r="1182" spans="1:1" x14ac:dyDescent="0.2">
      <c r="A1182" s="28"/>
    </row>
    <row r="1183" spans="1:1" x14ac:dyDescent="0.2">
      <c r="A1183" s="28"/>
    </row>
    <row r="1184" spans="1:1" x14ac:dyDescent="0.2">
      <c r="A1184" s="28"/>
    </row>
    <row r="1185" spans="1:1" x14ac:dyDescent="0.2">
      <c r="A1185" s="28"/>
    </row>
    <row r="1186" spans="1:1" x14ac:dyDescent="0.2">
      <c r="A1186" s="28"/>
    </row>
    <row r="1187" spans="1:1" x14ac:dyDescent="0.2">
      <c r="A1187" s="28"/>
    </row>
    <row r="1188" spans="1:1" x14ac:dyDescent="0.2">
      <c r="A1188" s="28"/>
    </row>
    <row r="1189" spans="1:1" x14ac:dyDescent="0.2">
      <c r="A1189" s="28"/>
    </row>
    <row r="1190" spans="1:1" x14ac:dyDescent="0.2">
      <c r="A1190" s="28"/>
    </row>
    <row r="1191" spans="1:1" x14ac:dyDescent="0.2">
      <c r="A1191" s="28"/>
    </row>
    <row r="1192" spans="1:1" x14ac:dyDescent="0.2">
      <c r="A1192" s="28"/>
    </row>
    <row r="1193" spans="1:1" x14ac:dyDescent="0.2">
      <c r="A1193" s="28"/>
    </row>
    <row r="1194" spans="1:1" x14ac:dyDescent="0.2">
      <c r="A1194" s="28"/>
    </row>
    <row r="1195" spans="1:1" x14ac:dyDescent="0.2">
      <c r="A1195" s="28"/>
    </row>
    <row r="1196" spans="1:1" x14ac:dyDescent="0.2">
      <c r="A1196" s="28"/>
    </row>
    <row r="1197" spans="1:1" x14ac:dyDescent="0.2">
      <c r="A1197" s="28"/>
    </row>
    <row r="1198" spans="1:1" x14ac:dyDescent="0.2">
      <c r="A1198" s="28"/>
    </row>
    <row r="1199" spans="1:1" x14ac:dyDescent="0.2">
      <c r="A1199" s="28"/>
    </row>
    <row r="1200" spans="1:1" x14ac:dyDescent="0.2">
      <c r="A1200" s="28"/>
    </row>
    <row r="1201" spans="1:1" x14ac:dyDescent="0.2">
      <c r="A1201" s="28"/>
    </row>
    <row r="1202" spans="1:1" x14ac:dyDescent="0.2">
      <c r="A1202" s="28"/>
    </row>
    <row r="1203" spans="1:1" x14ac:dyDescent="0.2">
      <c r="A1203" s="28"/>
    </row>
    <row r="1204" spans="1:1" x14ac:dyDescent="0.2">
      <c r="A1204" s="28"/>
    </row>
    <row r="1205" spans="1:1" x14ac:dyDescent="0.2">
      <c r="A1205" s="28"/>
    </row>
    <row r="1206" spans="1:1" x14ac:dyDescent="0.2">
      <c r="A1206" s="28"/>
    </row>
    <row r="1207" spans="1:1" x14ac:dyDescent="0.2">
      <c r="A1207" s="28"/>
    </row>
    <row r="1208" spans="1:1" x14ac:dyDescent="0.2">
      <c r="A1208" s="28"/>
    </row>
    <row r="1209" spans="1:1" x14ac:dyDescent="0.2">
      <c r="A1209" s="28"/>
    </row>
    <row r="1210" spans="1:1" x14ac:dyDescent="0.2">
      <c r="A1210" s="28"/>
    </row>
    <row r="1211" spans="1:1" x14ac:dyDescent="0.2">
      <c r="A1211" s="28"/>
    </row>
    <row r="1212" spans="1:1" x14ac:dyDescent="0.2">
      <c r="A1212" s="28"/>
    </row>
    <row r="1213" spans="1:1" x14ac:dyDescent="0.2">
      <c r="A1213" s="28"/>
    </row>
    <row r="1214" spans="1:1" x14ac:dyDescent="0.2">
      <c r="A1214" s="28"/>
    </row>
    <row r="1215" spans="1:1" x14ac:dyDescent="0.2">
      <c r="A1215" s="28"/>
    </row>
    <row r="1216" spans="1:1" x14ac:dyDescent="0.2">
      <c r="A1216" s="28"/>
    </row>
    <row r="1217" spans="1:1" x14ac:dyDescent="0.2">
      <c r="A1217" s="28"/>
    </row>
    <row r="1218" spans="1:1" x14ac:dyDescent="0.2">
      <c r="A1218" s="28"/>
    </row>
    <row r="1219" spans="1:1" x14ac:dyDescent="0.2">
      <c r="A1219" s="28"/>
    </row>
    <row r="1220" spans="1:1" x14ac:dyDescent="0.2">
      <c r="A1220" s="28"/>
    </row>
    <row r="1221" spans="1:1" x14ac:dyDescent="0.2">
      <c r="A1221" s="28"/>
    </row>
    <row r="1222" spans="1:1" x14ac:dyDescent="0.2">
      <c r="A1222" s="28"/>
    </row>
    <row r="1223" spans="1:1" x14ac:dyDescent="0.2">
      <c r="A1223" s="28"/>
    </row>
    <row r="1224" spans="1:1" x14ac:dyDescent="0.2">
      <c r="A1224" s="28"/>
    </row>
    <row r="1225" spans="1:1" x14ac:dyDescent="0.2">
      <c r="A1225" s="28"/>
    </row>
    <row r="1226" spans="1:1" x14ac:dyDescent="0.2">
      <c r="A1226" s="28"/>
    </row>
    <row r="1227" spans="1:1" x14ac:dyDescent="0.2">
      <c r="A1227" s="28"/>
    </row>
    <row r="1228" spans="1:1" x14ac:dyDescent="0.2">
      <c r="A1228" s="28"/>
    </row>
    <row r="1229" spans="1:1" x14ac:dyDescent="0.2">
      <c r="A1229" s="28"/>
    </row>
    <row r="1230" spans="1:1" x14ac:dyDescent="0.2">
      <c r="A1230" s="28"/>
    </row>
    <row r="1231" spans="1:1" x14ac:dyDescent="0.2">
      <c r="A1231" s="28"/>
    </row>
    <row r="1232" spans="1:1" x14ac:dyDescent="0.2">
      <c r="A1232" s="28"/>
    </row>
    <row r="1233" spans="1:1" x14ac:dyDescent="0.2">
      <c r="A1233" s="28"/>
    </row>
    <row r="1234" spans="1:1" x14ac:dyDescent="0.2">
      <c r="A1234" s="28"/>
    </row>
    <row r="1235" spans="1:1" x14ac:dyDescent="0.2">
      <c r="A1235" s="28"/>
    </row>
    <row r="1236" spans="1:1" x14ac:dyDescent="0.2">
      <c r="A1236" s="28"/>
    </row>
    <row r="1237" spans="1:1" x14ac:dyDescent="0.2">
      <c r="A1237" s="28"/>
    </row>
    <row r="1238" spans="1:1" x14ac:dyDescent="0.2">
      <c r="A1238" s="28"/>
    </row>
    <row r="1239" spans="1:1" x14ac:dyDescent="0.2">
      <c r="A1239" s="28"/>
    </row>
    <row r="1240" spans="1:1" x14ac:dyDescent="0.2">
      <c r="A1240" s="28"/>
    </row>
    <row r="1241" spans="1:1" x14ac:dyDescent="0.2">
      <c r="A1241" s="28"/>
    </row>
    <row r="1242" spans="1:1" x14ac:dyDescent="0.2">
      <c r="A1242" s="28"/>
    </row>
    <row r="1243" spans="1:1" x14ac:dyDescent="0.2">
      <c r="A1243" s="28"/>
    </row>
    <row r="1244" spans="1:1" x14ac:dyDescent="0.2">
      <c r="A1244" s="28"/>
    </row>
    <row r="1245" spans="1:1" x14ac:dyDescent="0.2">
      <c r="A1245" s="28"/>
    </row>
    <row r="1246" spans="1:1" x14ac:dyDescent="0.2">
      <c r="A1246" s="28"/>
    </row>
    <row r="1247" spans="1:1" x14ac:dyDescent="0.2">
      <c r="A1247" s="28"/>
    </row>
    <row r="1248" spans="1:1" x14ac:dyDescent="0.2">
      <c r="A1248" s="28"/>
    </row>
    <row r="1249" spans="1:1" x14ac:dyDescent="0.2">
      <c r="A1249" s="28"/>
    </row>
    <row r="1250" spans="1:1" x14ac:dyDescent="0.2">
      <c r="A1250" s="28"/>
    </row>
    <row r="1251" spans="1:1" x14ac:dyDescent="0.2">
      <c r="A1251" s="28"/>
    </row>
    <row r="1252" spans="1:1" x14ac:dyDescent="0.2">
      <c r="A1252" s="28"/>
    </row>
    <row r="1253" spans="1:1" x14ac:dyDescent="0.2">
      <c r="A1253" s="28"/>
    </row>
    <row r="1254" spans="1:1" x14ac:dyDescent="0.2">
      <c r="A1254" s="28"/>
    </row>
  </sheetData>
  <mergeCells count="9">
    <mergeCell ref="B11:B16"/>
    <mergeCell ref="A19:D19"/>
    <mergeCell ref="E19:H19"/>
    <mergeCell ref="D9:I9"/>
    <mergeCell ref="U19:X19"/>
    <mergeCell ref="Y19:AB19"/>
    <mergeCell ref="I19:L19"/>
    <mergeCell ref="M19:P19"/>
    <mergeCell ref="Q19:T19"/>
  </mergeCells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CCCF4-90E6-4A5A-A2F5-9027BFBDB5BA}">
  <dimension ref="A1:AH33"/>
  <sheetViews>
    <sheetView zoomScale="90" zoomScaleNormal="90" workbookViewId="0">
      <selection activeCell="B8" sqref="B8:B11"/>
    </sheetView>
  </sheetViews>
  <sheetFormatPr baseColWidth="10" defaultColWidth="8.83203125" defaultRowHeight="15" x14ac:dyDescent="0.2"/>
  <cols>
    <col min="1" max="1" width="19.5" customWidth="1"/>
    <col min="2" max="2" width="35" bestFit="1" customWidth="1"/>
    <col min="3" max="3" width="12.1640625" customWidth="1"/>
    <col min="4" max="4" width="5.33203125" customWidth="1"/>
    <col min="5" max="5" width="3.83203125" customWidth="1"/>
    <col min="6" max="6" width="4.83203125" customWidth="1"/>
    <col min="7" max="7" width="3.83203125" customWidth="1"/>
    <col min="8" max="8" width="5.1640625" customWidth="1"/>
    <col min="9" max="9" width="22" customWidth="1"/>
    <col min="10" max="10" width="18.33203125" customWidth="1"/>
    <col min="19" max="19" width="21.5" customWidth="1"/>
    <col min="20" max="20" width="15.5" customWidth="1"/>
    <col min="34" max="34" width="24.5" customWidth="1"/>
    <col min="35" max="35" width="11.83203125" customWidth="1"/>
  </cols>
  <sheetData>
    <row r="1" spans="1:20" ht="21" x14ac:dyDescent="0.25">
      <c r="A1" s="82" t="s">
        <v>78</v>
      </c>
      <c r="B1" s="82"/>
      <c r="C1" s="82"/>
      <c r="D1" s="82"/>
      <c r="E1" s="82"/>
      <c r="F1" s="82"/>
      <c r="G1" s="82"/>
      <c r="H1" s="82"/>
      <c r="I1" s="82"/>
      <c r="J1" s="82"/>
      <c r="R1" s="45" t="s">
        <v>67</v>
      </c>
      <c r="S1" s="45" t="s">
        <v>49</v>
      </c>
      <c r="T1" s="45" t="s">
        <v>29</v>
      </c>
    </row>
    <row r="2" spans="1:20" x14ac:dyDescent="0.2">
      <c r="A2" s="16" t="s">
        <v>58</v>
      </c>
      <c r="B2" s="19" t="s">
        <v>119</v>
      </c>
      <c r="C2" s="3"/>
      <c r="D2" s="3"/>
      <c r="E2" s="3"/>
      <c r="F2" s="3"/>
      <c r="G2" s="3"/>
      <c r="H2" s="3"/>
      <c r="I2" s="16" t="s">
        <v>59</v>
      </c>
      <c r="J2" s="19" t="s">
        <v>29</v>
      </c>
      <c r="R2" s="45" t="s">
        <v>47</v>
      </c>
      <c r="S2" s="45" t="s">
        <v>50</v>
      </c>
      <c r="T2" s="45" t="s">
        <v>23</v>
      </c>
    </row>
    <row r="3" spans="1:20" ht="16" thickBo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R3" s="45"/>
      <c r="S3" s="45" t="s">
        <v>57</v>
      </c>
      <c r="T3" s="45" t="s">
        <v>48</v>
      </c>
    </row>
    <row r="4" spans="1:20" ht="22" thickBot="1" x14ac:dyDescent="0.3">
      <c r="A4" s="3"/>
      <c r="B4" s="3"/>
      <c r="C4" s="3"/>
      <c r="D4" s="3"/>
      <c r="E4" s="3"/>
      <c r="F4" s="3"/>
      <c r="G4" s="3"/>
      <c r="H4" s="3"/>
      <c r="I4" s="3" t="s">
        <v>60</v>
      </c>
      <c r="J4" s="54">
        <f>IF(AND(B2=S1,J2=T1),'Assignment3 (Back End)'!D11,IF(AND(B2=S1,J2=T2),'Assignment3 (Back End)'!D12,IF(AND(B2=S1,J2=T3),'Assignment3 (Back End)'!D13,IF(AND(B2=S1,J2=T4),'Assignment3 (Back End)'!D15,IF(AND(B2=S1,J2=T5),'Assignment3 (Back End)'!D14,IF(AND(B2=S1,J2=T6),TEXT('Assignment3 (Back End)'!D16,"0.0000%"),IF(AND(B2=S2,J2=T1),'Assignment3 (Back End)'!E11,IF(AND(B2=S2,J2=T2),'Assignment3 (Back End)'!E12,IF(AND(B2=S2,J2=T3),'Assignment3 (Back End)'!E13,IF(AND(B2=S2,J2=T4),'Assignment3 (Back End)'!E15,IF(AND(B2=S2,J2=T5),'Assignment3 (Back End)'!E14,IF(AND(B2=S2,J2=T6),TEXT('Assignment3 (Back End)'!E16,"0.0000%"),IF(AND(B2=S3,J2=T1),'Assignment3 (Back End)'!F11,IF(AND(B2=S3,J2=T2),'Assignment3 (Back End)'!F12,IF(AND(B2=S3,J2=T3),'Assignment3 (Back End)'!F13,IF(AND(B2=S3,J2=T4),'Assignment3 (Back End)'!F15,IF(AND(B2=S3,J2=T5),'Assignment3 (Back End)'!F14,IF(AND(B2=S3,J2=T6),TEXT('Assignment3 (Back End)'!F16,"0.0000%"),IF(AND(B2=S4,J2=T1),'Assignment3 (Back End)'!G11,IF(AND(B2=S4,J2=T2),'Assignment3 (Back End)'!G12,IF(AND(B2=S4,J2=T3),'Assignment3 (Back End)'!G13,IF(AND(B2=S4,J2=T4),'Assignment3 (Back End)'!G15,IF(AND(B2=S4,J2=T5),'Assignment3 (Back End)'!G14,IF(AND(B2=S4,J2=T6),TEXT('Assignment3 (Back End)'!G16,"0.0000%"),IF(AND(B2=S5,J2=T1),'Assignment3 (Back End)'!H11,IF(AND(B2=S5,J2=T2),'Assignment3 (Back End)'!H12,IF(AND(B2=S5,J2=T4),'Assignment3 (Back End)'!H15,IF(AND(B2=S5,J2=T5),'Assignment3 (Back End)'!H14,IF(AND(B2=S5,J2=T6),TEXT('Assignment3 (Back End)'!H16,"0.0000%"),IF(AND(B2=S6,J2=T1),'Assignment3 (Back End)'!I11,IF(AND(B2=S6,J2=T2),'Assignment3 (Back End)'!I12,IF(AND(B2=S6,J2=T3),'Assignment3 (Back End)'!I13,IF(AND(B2=S6,J2=T4),'Assignment3 (Back End)'!I15,IF(AND(B2=S6,J2=T5),'Assignment3 (Back End)'!I14,IF(AND(B2=S6,J2=T6),TEXT('Assignment3 (Back End)'!I16,"0.0000%"),IF(AND(B2=S7,J2=T1),'Assignment3 (Back End)'!I11,IF(AND(B2=S7,J2=T2),'Assignment3 (Back End)'!J12,IF(AND(B2=S7,J2=T3),'Assignment3 (Back End)'!J13,IF(AND(B2=S7,J2=T4),'Assignment3 (Back End)'!J15,IF(AND(B2=S7,J2=T5),'Assignment3 (Back End)'!J14,IF(AND(B2=S7,J2=T6),TEXT('Assignment3 (Back End)'!J16,"0.0000%"),"More work to b edone")))))))))))))))))))))))))))))))))))))))))</f>
        <v>18624.464688244811</v>
      </c>
      <c r="R4" s="45"/>
      <c r="S4" s="45" t="s">
        <v>51</v>
      </c>
      <c r="T4" s="45" t="s">
        <v>24</v>
      </c>
    </row>
    <row r="5" spans="1:20" x14ac:dyDescent="0.2">
      <c r="R5" s="45"/>
      <c r="S5" s="45" t="s">
        <v>52</v>
      </c>
      <c r="T5" s="45" t="s">
        <v>2</v>
      </c>
    </row>
    <row r="6" spans="1:20" ht="19" x14ac:dyDescent="0.25">
      <c r="I6" s="3" t="s">
        <v>199</v>
      </c>
      <c r="J6" s="4">
        <f>IF(J2=T1, J4*(1+5%)^(-'Assignment3 (Back End)'!B6), " ")</f>
        <v>7465.2073447786925</v>
      </c>
      <c r="R6" s="45"/>
      <c r="S6" s="45" t="s">
        <v>119</v>
      </c>
      <c r="T6" s="45" t="s">
        <v>25</v>
      </c>
    </row>
    <row r="7" spans="1:20" x14ac:dyDescent="0.2">
      <c r="A7" s="16" t="s">
        <v>61</v>
      </c>
      <c r="R7" s="45"/>
      <c r="S7" s="45" t="s">
        <v>118</v>
      </c>
      <c r="T7" s="45"/>
    </row>
    <row r="8" spans="1:20" x14ac:dyDescent="0.2">
      <c r="A8" t="s">
        <v>29</v>
      </c>
      <c r="B8" s="9">
        <v>6600</v>
      </c>
    </row>
    <row r="9" spans="1:20" x14ac:dyDescent="0.2">
      <c r="A9" t="s">
        <v>23</v>
      </c>
      <c r="B9">
        <v>600</v>
      </c>
      <c r="I9" s="3" t="s">
        <v>77</v>
      </c>
      <c r="J9" s="35"/>
    </row>
    <row r="10" spans="1:20" x14ac:dyDescent="0.2">
      <c r="A10" t="s">
        <v>48</v>
      </c>
      <c r="B10">
        <v>600</v>
      </c>
    </row>
    <row r="11" spans="1:20" ht="16" thickBot="1" x14ac:dyDescent="0.25">
      <c r="A11" t="s">
        <v>24</v>
      </c>
      <c r="B11">
        <v>2.5</v>
      </c>
      <c r="I11" s="3" t="s">
        <v>121</v>
      </c>
    </row>
    <row r="12" spans="1:20" ht="16" thickBot="1" x14ac:dyDescent="0.25">
      <c r="A12" s="34" t="s">
        <v>66</v>
      </c>
      <c r="B12" s="37" t="s">
        <v>47</v>
      </c>
    </row>
    <row r="13" spans="1:20" ht="19.5" customHeight="1" thickBot="1" x14ac:dyDescent="0.25">
      <c r="A13" s="36" t="s">
        <v>69</v>
      </c>
      <c r="B13">
        <f>IF(B12=R1,D14,IF(B12=R2,B14))</f>
        <v>18.7378507871321</v>
      </c>
      <c r="I13" s="3" t="s">
        <v>197</v>
      </c>
    </row>
    <row r="14" spans="1:20" x14ac:dyDescent="0.2">
      <c r="A14" s="33" t="s">
        <v>68</v>
      </c>
      <c r="B14">
        <f>(B16 - B15)/ 365.25</f>
        <v>18.7378507871321</v>
      </c>
      <c r="C14" s="33" t="s">
        <v>72</v>
      </c>
      <c r="D14">
        <v>3</v>
      </c>
    </row>
    <row r="15" spans="1:20" x14ac:dyDescent="0.2">
      <c r="A15" s="33" t="s">
        <v>71</v>
      </c>
      <c r="B15" s="32">
        <v>37327</v>
      </c>
      <c r="E15" s="28"/>
    </row>
    <row r="16" spans="1:20" x14ac:dyDescent="0.2">
      <c r="A16" s="33" t="s">
        <v>70</v>
      </c>
      <c r="B16" s="20">
        <v>44171</v>
      </c>
      <c r="E16" s="28"/>
    </row>
    <row r="17" spans="1:34" x14ac:dyDescent="0.2">
      <c r="A17" s="3" t="s">
        <v>25</v>
      </c>
      <c r="B17" s="2">
        <v>0.05</v>
      </c>
      <c r="E17" s="28"/>
    </row>
    <row r="18" spans="1:34" x14ac:dyDescent="0.2">
      <c r="E18" s="28"/>
    </row>
    <row r="19" spans="1:34" x14ac:dyDescent="0.2">
      <c r="A19" s="83" t="s">
        <v>73</v>
      </c>
      <c r="B19" s="83"/>
      <c r="C19" s="83"/>
      <c r="D19" s="83"/>
      <c r="E19" s="83"/>
      <c r="F19" s="83"/>
      <c r="G19" s="83"/>
      <c r="H19" s="83"/>
      <c r="I19" s="83"/>
      <c r="J19" s="83"/>
    </row>
    <row r="20" spans="1:34" x14ac:dyDescent="0.2">
      <c r="A20" s="83"/>
      <c r="B20" s="83"/>
      <c r="C20" s="83"/>
      <c r="D20" s="83"/>
      <c r="E20" s="83"/>
      <c r="F20" s="83"/>
      <c r="G20" s="83"/>
      <c r="H20" s="83"/>
      <c r="I20" s="83"/>
      <c r="J20" s="83"/>
      <c r="AH20" t="s">
        <v>120</v>
      </c>
    </row>
    <row r="21" spans="1:34" x14ac:dyDescent="0.2">
      <c r="A21" t="s">
        <v>74</v>
      </c>
      <c r="B21" t="s">
        <v>75</v>
      </c>
      <c r="E21" s="28"/>
      <c r="I21" t="s">
        <v>74</v>
      </c>
      <c r="J21" t="s">
        <v>76</v>
      </c>
      <c r="AH21" t="s">
        <v>11</v>
      </c>
    </row>
    <row r="22" spans="1:34" x14ac:dyDescent="0.2">
      <c r="A22" s="3"/>
      <c r="B22" s="3"/>
      <c r="E22" s="28"/>
    </row>
    <row r="23" spans="1:34" x14ac:dyDescent="0.2">
      <c r="A23" s="3" t="s">
        <v>38</v>
      </c>
      <c r="B23" s="3" t="s">
        <v>120</v>
      </c>
      <c r="E23" s="28"/>
      <c r="I23" s="3" t="s">
        <v>38</v>
      </c>
      <c r="J23" s="3" t="str">
        <f>J21</f>
        <v>Advance Annuity</v>
      </c>
    </row>
    <row r="24" spans="1:34" x14ac:dyDescent="0.2">
      <c r="A24">
        <v>1</v>
      </c>
      <c r="B24">
        <f>($B$10)*(((1+$B$17)^(A24))-1)/$B$17</f>
        <v>600.00000000000057</v>
      </c>
      <c r="E24" s="28"/>
      <c r="I24">
        <v>1</v>
      </c>
      <c r="J24">
        <f>($B$10*(1+$B$17)*(((1+$B$17)^(I24))-1))/$B$17</f>
        <v>630.00000000000057</v>
      </c>
    </row>
    <row r="25" spans="1:34" x14ac:dyDescent="0.2">
      <c r="A25">
        <v>2</v>
      </c>
      <c r="B25">
        <f>($B$10)*(((1+$B$17)^(A25))-1)/$B$17</f>
        <v>1230.0000000000005</v>
      </c>
      <c r="E25" s="28"/>
      <c r="I25">
        <v>2</v>
      </c>
      <c r="J25">
        <f>($B$10*(1+$B$17)*(((1+$B$17)^(I25))-1))/$B$17</f>
        <v>1291.5000000000002</v>
      </c>
    </row>
    <row r="26" spans="1:34" x14ac:dyDescent="0.2">
      <c r="A26">
        <v>3</v>
      </c>
      <c r="B26">
        <f>($B$10)*(((1+$B$17)^(A26))-1)/$B$17</f>
        <v>1891.5000000000014</v>
      </c>
      <c r="E26" s="28"/>
      <c r="I26">
        <v>3</v>
      </c>
      <c r="J26">
        <f t="shared" ref="J26:J33" si="0">($B$10*(1+$B$17)*(((1+$B$17)^(I26))-1))/$B$17</f>
        <v>1986.0750000000014</v>
      </c>
    </row>
    <row r="27" spans="1:34" x14ac:dyDescent="0.2">
      <c r="A27">
        <v>4</v>
      </c>
      <c r="B27">
        <f>($B$10)*(((1+$B$17)^(A27))-1)/$B$17</f>
        <v>2586.0749999999998</v>
      </c>
      <c r="E27" s="28"/>
      <c r="I27">
        <v>4</v>
      </c>
      <c r="J27">
        <f t="shared" si="0"/>
        <v>2715.3787499999999</v>
      </c>
    </row>
    <row r="28" spans="1:34" x14ac:dyDescent="0.2">
      <c r="A28">
        <v>5</v>
      </c>
      <c r="B28">
        <f t="shared" ref="B28:B33" si="1">($B$10)*(((1+$B$17)^(A28))-1)/$B$17</f>
        <v>3315.3787500000012</v>
      </c>
      <c r="E28" s="28"/>
      <c r="I28">
        <v>5</v>
      </c>
      <c r="J28">
        <f t="shared" si="0"/>
        <v>3481.1476875000017</v>
      </c>
    </row>
    <row r="29" spans="1:34" x14ac:dyDescent="0.2">
      <c r="A29">
        <v>6</v>
      </c>
      <c r="B29">
        <f t="shared" si="1"/>
        <v>4081.1476874999994</v>
      </c>
      <c r="I29">
        <v>6</v>
      </c>
      <c r="J29">
        <f t="shared" si="0"/>
        <v>4285.2050718749997</v>
      </c>
    </row>
    <row r="30" spans="1:34" x14ac:dyDescent="0.2">
      <c r="A30">
        <v>7</v>
      </c>
      <c r="B30">
        <f t="shared" si="1"/>
        <v>4885.2050718750024</v>
      </c>
      <c r="I30">
        <v>7</v>
      </c>
      <c r="J30">
        <f t="shared" si="0"/>
        <v>5129.4653254687528</v>
      </c>
    </row>
    <row r="31" spans="1:34" x14ac:dyDescent="0.2">
      <c r="A31">
        <v>8</v>
      </c>
      <c r="B31">
        <f t="shared" si="1"/>
        <v>5729.465325468751</v>
      </c>
      <c r="I31">
        <v>8</v>
      </c>
      <c r="J31">
        <f t="shared" si="0"/>
        <v>6015.9385917421887</v>
      </c>
    </row>
    <row r="32" spans="1:34" x14ac:dyDescent="0.2">
      <c r="A32">
        <v>9</v>
      </c>
      <c r="B32">
        <f t="shared" si="1"/>
        <v>6615.9385917421887</v>
      </c>
      <c r="I32">
        <v>9</v>
      </c>
      <c r="J32">
        <f t="shared" si="0"/>
        <v>6946.7355213292985</v>
      </c>
    </row>
    <row r="33" spans="1:10" x14ac:dyDescent="0.2">
      <c r="A33">
        <v>10</v>
      </c>
      <c r="B33">
        <f t="shared" si="1"/>
        <v>7546.7355213292985</v>
      </c>
      <c r="I33">
        <v>10</v>
      </c>
      <c r="J33">
        <f t="shared" si="0"/>
        <v>7924.0722973957627</v>
      </c>
    </row>
  </sheetData>
  <mergeCells count="2">
    <mergeCell ref="A1:J1"/>
    <mergeCell ref="A19:J20"/>
  </mergeCells>
  <dataValidations count="4">
    <dataValidation type="list" allowBlank="1" showInputMessage="1" showErrorMessage="1" sqref="B2" xr:uid="{B9BE249E-7B34-4694-A90E-9615F4441D74}">
      <formula1>$S$1:$S$7</formula1>
    </dataValidation>
    <dataValidation type="list" allowBlank="1" showInputMessage="1" showErrorMessage="1" sqref="J2" xr:uid="{83ABBEF0-B406-48BA-9888-FD3C5A3560FF}">
      <formula1>$T$1:$T$6</formula1>
    </dataValidation>
    <dataValidation type="list" allowBlank="1" showInputMessage="1" showErrorMessage="1" sqref="B12" xr:uid="{4604758D-8A2B-41C4-8E01-EC1CD55AC31C}">
      <formula1>$R$1:$R$2</formula1>
    </dataValidation>
    <dataValidation type="list" allowBlank="1" showInputMessage="1" showErrorMessage="1" sqref="B23" xr:uid="{E2625E56-2ABC-4CFB-ABA3-76AA45026C70}">
      <formula1>$AH$20:$AH$21</formula1>
    </dataValidation>
  </dataValidations>
  <pageMargins left="0.7" right="0.7" top="0.75" bottom="0.75" header="0.3" footer="0.3"/>
  <pageSetup paperSize="9" orientation="portrait" horizontalDpi="30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50DBE-C293-4880-BFA7-91734BB486B9}">
  <dimension ref="A1:H17"/>
  <sheetViews>
    <sheetView workbookViewId="0">
      <selection activeCell="F6" sqref="F6:G17"/>
    </sheetView>
  </sheetViews>
  <sheetFormatPr baseColWidth="10" defaultColWidth="8.83203125" defaultRowHeight="15" x14ac:dyDescent="0.2"/>
  <cols>
    <col min="1" max="1" width="39.5" bestFit="1" customWidth="1"/>
    <col min="2" max="2" width="11.1640625" bestFit="1" customWidth="1"/>
    <col min="3" max="3" width="9.83203125" customWidth="1"/>
    <col min="6" max="6" width="35.6640625" customWidth="1"/>
    <col min="7" max="7" width="12.5" bestFit="1" customWidth="1"/>
    <col min="8" max="8" width="10.83203125" customWidth="1"/>
  </cols>
  <sheetData>
    <row r="1" spans="1:8" x14ac:dyDescent="0.2">
      <c r="A1" s="84" t="s">
        <v>15</v>
      </c>
      <c r="B1" s="84"/>
    </row>
    <row r="2" spans="1:8" x14ac:dyDescent="0.2">
      <c r="A2" t="s">
        <v>79</v>
      </c>
      <c r="B2" s="38">
        <f>'Assignment4 (User Interface)'!B4</f>
        <v>70000</v>
      </c>
    </row>
    <row r="3" spans="1:8" x14ac:dyDescent="0.2">
      <c r="A3" t="s">
        <v>80</v>
      </c>
      <c r="B3" s="38">
        <f>'Assignment4 (User Interface)'!B5</f>
        <v>3950.1909295091159</v>
      </c>
    </row>
    <row r="4" spans="1:8" x14ac:dyDescent="0.2">
      <c r="A4" t="s">
        <v>2</v>
      </c>
      <c r="B4">
        <f>'Assignment4 (User Interface)'!B6</f>
        <v>9.5</v>
      </c>
    </row>
    <row r="5" spans="1:8" x14ac:dyDescent="0.2">
      <c r="A5" t="s">
        <v>81</v>
      </c>
      <c r="B5">
        <f>'Assignment4 (User Interface)'!B7</f>
        <v>2</v>
      </c>
    </row>
    <row r="6" spans="1:8" x14ac:dyDescent="0.2">
      <c r="A6" t="s">
        <v>101</v>
      </c>
      <c r="B6" s="28">
        <f>'Assignment4 (User Interface)'!B8</f>
        <v>1.6515813019202241E-3</v>
      </c>
      <c r="G6" s="39" t="s">
        <v>90</v>
      </c>
      <c r="H6" s="40" t="s">
        <v>91</v>
      </c>
    </row>
    <row r="7" spans="1:8" x14ac:dyDescent="0.2">
      <c r="A7" t="s">
        <v>104</v>
      </c>
      <c r="B7">
        <f>'Assignment4 (User Interface)'!B9*B5</f>
        <v>10</v>
      </c>
      <c r="F7" t="s">
        <v>83</v>
      </c>
      <c r="G7" s="38">
        <f>($B$3*(1-((1+$B$6)^(-$B$4*$B$5))))/$B$6</f>
        <v>73828.257559769903</v>
      </c>
      <c r="H7" s="38">
        <f>(($B$3*(1+$B$6))*(1-((1+$B$6)^(-$B$4*$B$5))))/$B$6</f>
        <v>73950.190929508957</v>
      </c>
    </row>
    <row r="8" spans="1:8" x14ac:dyDescent="0.2">
      <c r="A8" t="s">
        <v>105</v>
      </c>
      <c r="B8">
        <f>'Assignment4 (User Interface)'!B10</f>
        <v>12</v>
      </c>
      <c r="F8" t="s">
        <v>80</v>
      </c>
      <c r="G8" s="38">
        <f>$B$2/((1-((1+$B$6)^(-$B$4*$B$5)))/$B$6)</f>
        <v>3745.3594897831408</v>
      </c>
      <c r="H8" s="38">
        <f>$B$2*(1+B6)/((1-((1+$B$6)^(-$B$4*$B$5)))/$B$6)</f>
        <v>3751.545255485436</v>
      </c>
    </row>
    <row r="9" spans="1:8" x14ac:dyDescent="0.2">
      <c r="A9" t="s">
        <v>103</v>
      </c>
      <c r="B9">
        <f>'Assignment4 (User Interface)'!B11</f>
        <v>1</v>
      </c>
      <c r="F9" t="s">
        <v>84</v>
      </c>
      <c r="G9" s="9">
        <f>-LN(1-($B$2*$B$6)/$B$3)/LN(1+$B$6)</f>
        <v>17.999999999999797</v>
      </c>
      <c r="H9" s="9">
        <f>-LN(1-($B$2*$B$6)/$B$3*(1+B6))/LN(1+$B$6)</f>
        <v>18.030175145325611</v>
      </c>
    </row>
    <row r="10" spans="1:8" x14ac:dyDescent="0.2">
      <c r="A10" t="s">
        <v>155</v>
      </c>
      <c r="B10">
        <f>'Assignment4 (User Interface)'!B12</f>
        <v>1</v>
      </c>
      <c r="F10" t="s">
        <v>85</v>
      </c>
      <c r="G10" s="38">
        <f>VLOOKUP(IF(B7=0, B8,B7),'Assignment4 (User Interface)'!A21:H532,6,FALSE)</f>
        <v>31367.948375586042</v>
      </c>
      <c r="H10" s="38">
        <f>VLOOKUP(IF(B7=0, B8,B7),'Assignment4 (User Interface)'!L21:T761,7,FALSE)</f>
        <v>31302.220743313792</v>
      </c>
    </row>
    <row r="11" spans="1:8" x14ac:dyDescent="0.2">
      <c r="A11" t="s">
        <v>156</v>
      </c>
      <c r="B11">
        <f>'Assignment4 (User Interface)'!B13</f>
        <v>2</v>
      </c>
      <c r="F11" t="s">
        <v>86</v>
      </c>
      <c r="G11" s="38">
        <f>VLOOKUP(B8,'Assignment4 (User Interface)'!A21:H1050,3,FALSE)</f>
        <v>45.368218543663332</v>
      </c>
      <c r="H11" s="38">
        <f>VLOOKUP(IF(B7=0, B8,B7), 'Assignment4 (User Interface)'!L21:T761,5,FALSE)</f>
        <v>58.041121402702231</v>
      </c>
    </row>
    <row r="12" spans="1:8" x14ac:dyDescent="0.2">
      <c r="F12" t="s">
        <v>87</v>
      </c>
      <c r="G12" s="38">
        <f>VLOOKUP(IF(B7=0, B8,B7), 'Assignment4 (User Interface)'!A21:H891,5,FALSE)</f>
        <v>3891.9563301895678</v>
      </c>
      <c r="H12" s="38">
        <f>VLOOKUP(IF(B7=0, B8,B7), 'Assignment4 (User Interface)'!L21:T667,6,FALSE)</f>
        <v>3892.1498081064137</v>
      </c>
    </row>
    <row r="13" spans="1:8" x14ac:dyDescent="0.2">
      <c r="F13" t="s">
        <v>88</v>
      </c>
      <c r="G13" s="38">
        <f>SUM(INDEX('Assignment4 (User Interface)'!C22:C700, MATCH( 'Assignment4 (Back End)'!B10, 'Assignment4 (User Interface)'!A22:A607, 0)) : INDEX('Assignment4 (User Interface)'!C22:C607, MATCH('Assignment4 (Back End)'!B11, 'Assignment4 (User Interface)'!A22:A607, 0)))</f>
        <v>224.88826124641892</v>
      </c>
      <c r="H13" s="38">
        <f>SUM(INDEX('Assignment4 (User Interface)'!P22:P700, MATCH( 'Assignment4 (Back End)'!B10, 'Assignment4 (User Interface)'!L22:L607, 0)) : INDEX('Assignment4 (User Interface)'!P22:P607, MATCH('Assignment4 (Back End)'!B11, 'Assignment4 (User Interface)'!L22:L607, 0)))</f>
        <v>109.08662965622356</v>
      </c>
    </row>
    <row r="14" spans="1:8" x14ac:dyDescent="0.2">
      <c r="F14" t="s">
        <v>89</v>
      </c>
      <c r="G14" s="38">
        <f>SUM(INDEX('Assignment4 (User Interface)'!E22:E700, MATCH( 'Assignment4 (Back End)'!B10, 'Assignment4 (User Interface)'!A22:A607, 0)) : INDEX('Assignment4 (User Interface)'!E22:E607, MATCH('Assignment4 (Back End)'!B11, 'Assignment4 (User Interface)'!A22:A607, 0)))</f>
        <v>7675.4935977718123</v>
      </c>
      <c r="H14" s="38">
        <f>SUM(INDEX('Assignment4 (User Interface)'!Q22:Q700, MATCH( 'Assignment4 (Back End)'!B10, 'Assignment4 (User Interface)'!L22:L607, 0)) : INDEX('Assignment4 (User Interface)'!Q22:Q607, MATCH('Assignment4 (Back End)'!B11, 'Assignment4 (User Interface)'!L22:L607, 0)))</f>
        <v>7791.2952293620083</v>
      </c>
    </row>
    <row r="15" spans="1:8" x14ac:dyDescent="0.2">
      <c r="F15" t="s">
        <v>102</v>
      </c>
      <c r="G15" s="38">
        <f>VLOOKUP(B4*B5, 'Assignment4 (User Interface)'!A22:H961,2,FALSE)*(1+B6)</f>
        <v>-8.1716413517626496E-10</v>
      </c>
      <c r="H15" s="38">
        <f>VLOOKUP(B4*B5, 'Assignment4 (User Interface)'!L21:T767,4,FALSE)</f>
        <v>-4069.2872256059518</v>
      </c>
    </row>
    <row r="16" spans="1:8" x14ac:dyDescent="0.2">
      <c r="F16" t="s">
        <v>157</v>
      </c>
      <c r="G16" cm="1">
        <f t="array" ref="G16">LOOKUP(2, 1/('Assignment4 (User Interface)'!G22:G607), 'Assignment4 (User Interface)'!G22:G607)</f>
        <v>1103.4367311632834</v>
      </c>
      <c r="H16" cm="1">
        <f t="array" ref="H16">LOOKUP(2, 1/('Assignment4 (User Interface)'!S22:S607), 'Assignment4 (User Interface)'!S22:S607)</f>
        <v>984.34043506725607</v>
      </c>
    </row>
    <row r="17" spans="6:8" x14ac:dyDescent="0.2">
      <c r="F17" t="s">
        <v>158</v>
      </c>
      <c r="G17" cm="1">
        <f t="array" ref="G17">LOOKUP(2, 1/('Assignment4 (User Interface)'!H22:H607), 'Assignment4 (User Interface)'!H22:H607)</f>
        <v>73950.190929509918</v>
      </c>
      <c r="H17" cm="1">
        <f t="array" ref="H17">LOOKUP(2, 1/('Assignment4 (User Interface)'!T22:T607), 'Assignment4 (User Interface)'!T22:T607)</f>
        <v>74069.287225605949</v>
      </c>
    </row>
  </sheetData>
  <mergeCells count="1">
    <mergeCell ref="A1:B1"/>
  </mergeCells>
  <phoneticPr fontId="1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A927-D3F1-4833-B10B-EB60F408FD42}">
  <dimension ref="A1:AJ1120"/>
  <sheetViews>
    <sheetView zoomScale="90" zoomScaleNormal="90" workbookViewId="0">
      <selection sqref="A1:K1"/>
    </sheetView>
  </sheetViews>
  <sheetFormatPr baseColWidth="10" defaultColWidth="8.83203125" defaultRowHeight="15" x14ac:dyDescent="0.2"/>
  <cols>
    <col min="1" max="1" width="27.83203125" customWidth="1"/>
    <col min="2" max="2" width="17.33203125" customWidth="1"/>
    <col min="3" max="3" width="12.33203125" customWidth="1"/>
    <col min="4" max="4" width="12" customWidth="1"/>
    <col min="5" max="5" width="24.33203125" bestFit="1" customWidth="1"/>
    <col min="6" max="6" width="14" bestFit="1" customWidth="1"/>
    <col min="7" max="7" width="13.6640625" customWidth="1"/>
    <col min="8" max="8" width="25.6640625" bestFit="1" customWidth="1"/>
    <col min="9" max="9" width="32.6640625" customWidth="1"/>
    <col min="10" max="10" width="8.6640625" customWidth="1"/>
    <col min="11" max="11" width="4.1640625" customWidth="1"/>
    <col min="12" max="12" width="10" customWidth="1"/>
    <col min="13" max="13" width="13.83203125" customWidth="1"/>
    <col min="14" max="14" width="11.5" customWidth="1"/>
    <col min="15" max="15" width="15.83203125" customWidth="1"/>
    <col min="16" max="16" width="12.5" customWidth="1"/>
    <col min="17" max="17" width="10.5" customWidth="1"/>
    <col min="18" max="18" width="16.6640625" customWidth="1"/>
    <col min="19" max="19" width="13.1640625" customWidth="1"/>
    <col min="20" max="20" width="13" customWidth="1"/>
    <col min="30" max="30" width="34.83203125" customWidth="1"/>
    <col min="33" max="33" width="14" bestFit="1" customWidth="1"/>
    <col min="36" max="36" width="11.1640625" bestFit="1" customWidth="1"/>
  </cols>
  <sheetData>
    <row r="1" spans="1:31" ht="33" customHeight="1" x14ac:dyDescent="0.2">
      <c r="A1" s="86" t="s">
        <v>159</v>
      </c>
      <c r="B1" s="87"/>
      <c r="C1" s="87"/>
      <c r="D1" s="87"/>
      <c r="E1" s="87"/>
      <c r="F1" s="87"/>
      <c r="G1" s="87"/>
      <c r="H1" s="87"/>
      <c r="I1" s="87"/>
      <c r="J1" s="87"/>
      <c r="K1" s="87"/>
      <c r="M1" s="88" t="s">
        <v>110</v>
      </c>
      <c r="N1" s="88"/>
      <c r="O1" s="88"/>
      <c r="P1" s="88"/>
      <c r="Q1" s="88"/>
      <c r="R1" s="88"/>
    </row>
    <row r="2" spans="1:31" x14ac:dyDescent="0.2">
      <c r="AD2" t="s">
        <v>83</v>
      </c>
      <c r="AE2" t="s">
        <v>90</v>
      </c>
    </row>
    <row r="3" spans="1:31" ht="16" thickBot="1" x14ac:dyDescent="0.25">
      <c r="A3" s="72" t="s">
        <v>15</v>
      </c>
      <c r="B3" s="72"/>
      <c r="E3" s="72" t="s">
        <v>107</v>
      </c>
      <c r="F3" s="72"/>
      <c r="G3" s="72"/>
      <c r="H3" s="72"/>
      <c r="I3" s="72"/>
      <c r="AD3" t="s">
        <v>80</v>
      </c>
      <c r="AE3" t="s">
        <v>91</v>
      </c>
    </row>
    <row r="4" spans="1:31" ht="16" thickBot="1" x14ac:dyDescent="0.25">
      <c r="A4" t="s">
        <v>79</v>
      </c>
      <c r="B4" s="38">
        <v>70000</v>
      </c>
      <c r="E4" s="16" t="s">
        <v>106</v>
      </c>
      <c r="F4" s="43" t="s">
        <v>90</v>
      </c>
      <c r="H4" s="16" t="s">
        <v>108</v>
      </c>
      <c r="I4" s="43" t="s">
        <v>84</v>
      </c>
      <c r="AD4" t="s">
        <v>84</v>
      </c>
    </row>
    <row r="5" spans="1:31" x14ac:dyDescent="0.2">
      <c r="A5" t="s">
        <v>80</v>
      </c>
      <c r="B5" s="38">
        <v>3950.1909295091159</v>
      </c>
      <c r="AD5" t="s">
        <v>85</v>
      </c>
    </row>
    <row r="6" spans="1:31" x14ac:dyDescent="0.2">
      <c r="A6" t="s">
        <v>2</v>
      </c>
      <c r="B6">
        <v>9.5</v>
      </c>
      <c r="AD6" t="s">
        <v>86</v>
      </c>
    </row>
    <row r="7" spans="1:31" ht="16" thickBot="1" x14ac:dyDescent="0.25">
      <c r="A7" t="s">
        <v>81</v>
      </c>
      <c r="B7">
        <v>2</v>
      </c>
      <c r="AD7" t="s">
        <v>87</v>
      </c>
    </row>
    <row r="8" spans="1:31" ht="20" thickBot="1" x14ac:dyDescent="0.3">
      <c r="A8" t="s">
        <v>82</v>
      </c>
      <c r="B8" s="2">
        <v>1.6515813019202241E-3</v>
      </c>
      <c r="H8" s="41" t="s">
        <v>109</v>
      </c>
      <c r="I8" s="44">
        <f>IF(AND(F4=J26,I4=I26),'Assignment4 (Back End)'!G7,IF(AND(F4=J26,I4=I27),'Assignment4 (Back End)'!G8,IF(AND(F4=J26,I4=I28),'Assignment4 (Back End)'!G9,IF(AND(F4=J26,I4=I29),'Assignment4 (Back End)'!G10,IF(AND(F4=J26,I4=I30),'Assignment4 (Back End)'!G11,IF(AND(F4=J26,I4=I31),'Assignment4 (Back End)'!G12,IF(AND(F4=J26,I4=I32),'Assignment4 (Back End)'!G13,IF(AND(F4=J26,I4=I33),'Assignment4 (Back End)'!G14,IF(AND(F4=J26,I4=I34),'Assignment4 (Back End)'!G15,IF(AND(F4=J27,I4=I26),'Assignment4 (Back End)'!H7,IF(AND(F4=J27,I4=I27),'Assignment4 (Back End)'!H8,IF(AND(F4=J27,I4=I28),'Assignment4 (Back End)'!H9,IF(AND(F4=J27,I4=I29),'Assignment4 (Back End)'!H10,IF(AND(F4=J27,I4=I30),'Assignment4 (Back End)'!H11,IF(AND(F4=J27,I4=I31),'Assignment4 (Back End)'!H12,IF(AND(F4=J27,I4=I32),'Assignment4 (Back End)'!H13,IF(AND(F4=J27,I4=I33),'Assignment4 (Back End)'!H14,IF(AND(F4=J27,I4=I34),'Assignment4 (Back End)'!H15,"Not done yet"))))))))))))))))))</f>
        <v>17.999999999999797</v>
      </c>
      <c r="AD8" t="s">
        <v>88</v>
      </c>
    </row>
    <row r="9" spans="1:31" x14ac:dyDescent="0.2">
      <c r="A9" t="s">
        <v>104</v>
      </c>
      <c r="B9">
        <v>5</v>
      </c>
      <c r="AD9" t="s">
        <v>89</v>
      </c>
    </row>
    <row r="10" spans="1:31" ht="16" thickBot="1" x14ac:dyDescent="0.25">
      <c r="A10" t="s">
        <v>112</v>
      </c>
      <c r="B10">
        <v>12</v>
      </c>
      <c r="AD10" t="s">
        <v>168</v>
      </c>
    </row>
    <row r="11" spans="1:31" ht="16" thickBot="1" x14ac:dyDescent="0.25">
      <c r="A11" t="s">
        <v>103</v>
      </c>
      <c r="B11">
        <v>1</v>
      </c>
      <c r="H11" s="16" t="s">
        <v>199</v>
      </c>
      <c r="I11" s="59" t="str">
        <f>IF(I4=I24, I8*(1+5%)^(-B6), " ")</f>
        <v xml:space="preserve"> </v>
      </c>
    </row>
    <row r="12" spans="1:31" x14ac:dyDescent="0.2">
      <c r="A12" t="s">
        <v>153</v>
      </c>
      <c r="B12">
        <v>1</v>
      </c>
    </row>
    <row r="13" spans="1:31" x14ac:dyDescent="0.2">
      <c r="A13" t="s">
        <v>154</v>
      </c>
      <c r="B13">
        <v>2</v>
      </c>
    </row>
    <row r="14" spans="1:31" x14ac:dyDescent="0.2">
      <c r="E14" s="3" t="s">
        <v>77</v>
      </c>
    </row>
    <row r="16" spans="1:31" x14ac:dyDescent="0.2">
      <c r="E16" s="3" t="s">
        <v>197</v>
      </c>
    </row>
    <row r="18" spans="1:36" x14ac:dyDescent="0.2">
      <c r="AF18" s="89" t="s">
        <v>90</v>
      </c>
      <c r="AG18" s="89"/>
      <c r="AI18" s="89" t="s">
        <v>91</v>
      </c>
      <c r="AJ18" s="89"/>
    </row>
    <row r="19" spans="1:36" x14ac:dyDescent="0.2">
      <c r="AF19" t="s">
        <v>24</v>
      </c>
      <c r="AG19" t="s">
        <v>111</v>
      </c>
      <c r="AI19" t="s">
        <v>24</v>
      </c>
      <c r="AJ19" t="s">
        <v>111</v>
      </c>
    </row>
    <row r="20" spans="1:36" ht="16" x14ac:dyDescent="0.2">
      <c r="A20" s="85" t="s">
        <v>92</v>
      </c>
      <c r="B20" s="85"/>
      <c r="C20" s="85"/>
      <c r="D20" s="85"/>
      <c r="E20" s="85"/>
      <c r="F20" s="85"/>
      <c r="G20" s="85"/>
      <c r="H20" s="85"/>
      <c r="L20" s="79" t="s">
        <v>97</v>
      </c>
      <c r="M20" s="79"/>
      <c r="N20" s="79"/>
      <c r="O20" s="79"/>
      <c r="P20" s="79"/>
      <c r="Q20" s="79"/>
      <c r="R20" s="79"/>
      <c r="S20" s="79"/>
      <c r="T20" s="79"/>
      <c r="AF20">
        <v>0</v>
      </c>
      <c r="AG20" s="38">
        <f>$B$22</f>
        <v>70000</v>
      </c>
      <c r="AI20">
        <v>0</v>
      </c>
      <c r="AJ20" s="38">
        <f>M22</f>
        <v>70000</v>
      </c>
    </row>
    <row r="21" spans="1:36" x14ac:dyDescent="0.2">
      <c r="A21" t="s">
        <v>24</v>
      </c>
      <c r="B21" t="s">
        <v>93</v>
      </c>
      <c r="C21" t="s">
        <v>25</v>
      </c>
      <c r="D21" t="s">
        <v>80</v>
      </c>
      <c r="E21" t="s">
        <v>94</v>
      </c>
      <c r="F21" t="s">
        <v>111</v>
      </c>
      <c r="G21" t="s">
        <v>95</v>
      </c>
      <c r="H21" t="s">
        <v>96</v>
      </c>
      <c r="L21" t="s">
        <v>24</v>
      </c>
      <c r="M21" t="s">
        <v>98</v>
      </c>
      <c r="N21" t="s">
        <v>80</v>
      </c>
      <c r="O21" t="s">
        <v>99</v>
      </c>
      <c r="P21" t="s">
        <v>25</v>
      </c>
      <c r="Q21" t="s">
        <v>94</v>
      </c>
      <c r="R21" t="s">
        <v>100</v>
      </c>
      <c r="S21" t="s">
        <v>95</v>
      </c>
      <c r="T21" t="s">
        <v>96</v>
      </c>
      <c r="AF21">
        <v>1</v>
      </c>
      <c r="AG21" s="38">
        <f t="shared" ref="AG21:AG50" si="0">F22</f>
        <v>66165.419761625293</v>
      </c>
      <c r="AI21">
        <f t="shared" ref="AI21:AI50" si="1">L22</f>
        <v>1</v>
      </c>
      <c r="AJ21" s="38">
        <f t="shared" ref="AJ21:AJ50" si="2">R22</f>
        <v>66158.895700147114</v>
      </c>
    </row>
    <row r="22" spans="1:36" x14ac:dyDescent="0.2">
      <c r="A22">
        <v>1</v>
      </c>
      <c r="B22" s="38">
        <f>B4</f>
        <v>70000</v>
      </c>
      <c r="C22" s="38">
        <f>$B$8*B22</f>
        <v>115.61069113441569</v>
      </c>
      <c r="D22" s="38">
        <f>$B$5</f>
        <v>3950.1909295091159</v>
      </c>
      <c r="E22" s="38">
        <f>D22-C22</f>
        <v>3834.5802383747</v>
      </c>
      <c r="F22" s="38">
        <f>B22-E22</f>
        <v>66165.419761625293</v>
      </c>
      <c r="G22" s="38">
        <f>C22</f>
        <v>115.61069113441569</v>
      </c>
      <c r="H22" s="38">
        <f>E22</f>
        <v>3834.5802383747</v>
      </c>
      <c r="L22">
        <v>1</v>
      </c>
      <c r="M22" s="38">
        <f>B4</f>
        <v>70000</v>
      </c>
      <c r="N22" s="38">
        <f>$B$5</f>
        <v>3950.1909295091159</v>
      </c>
      <c r="O22" s="38">
        <f>M22-N22</f>
        <v>66049.809070490883</v>
      </c>
      <c r="P22" s="38">
        <v>0</v>
      </c>
      <c r="Q22" s="38">
        <f>N22-P22</f>
        <v>3950.1909295091159</v>
      </c>
      <c r="R22" s="38">
        <f>O22*(1+$B$8)</f>
        <v>66158.895700147114</v>
      </c>
      <c r="S22" s="38">
        <f>P22</f>
        <v>0</v>
      </c>
      <c r="T22" s="38">
        <f>Q22</f>
        <v>3950.1909295091159</v>
      </c>
      <c r="AF22">
        <f>IF(AF21&lt;($B$6*$B$7),AF21+1,"")</f>
        <v>2</v>
      </c>
      <c r="AG22" s="38">
        <f t="shared" si="0"/>
        <v>62324.50640222818</v>
      </c>
      <c r="AI22">
        <f t="shared" si="1"/>
        <v>2</v>
      </c>
      <c r="AJ22" s="38">
        <f t="shared" si="2"/>
        <v>62311.447504253854</v>
      </c>
    </row>
    <row r="23" spans="1:36" x14ac:dyDescent="0.2">
      <c r="A23">
        <f>IF(A22&lt;($B$6*$B$7),A22+1,"")</f>
        <v>2</v>
      </c>
      <c r="B23" s="38">
        <f>IF(A23="","",F22)</f>
        <v>66165.419761625293</v>
      </c>
      <c r="C23" s="38">
        <f>IF(A23="","",(B23*$B$8))</f>
        <v>109.27757011200323</v>
      </c>
      <c r="D23" s="38">
        <f>IF(A23="","", $B$5)</f>
        <v>3950.1909295091159</v>
      </c>
      <c r="E23" s="38">
        <f>IF(D23="","",(D23-C23))</f>
        <v>3840.9133593971128</v>
      </c>
      <c r="F23" s="38">
        <f>IF(A23="","", B23-E23)</f>
        <v>62324.50640222818</v>
      </c>
      <c r="G23" s="38">
        <f>IF(A23="","", (G22+C23))</f>
        <v>224.88826124641892</v>
      </c>
      <c r="H23" s="38">
        <f>IF(A23="","",(H22+E23))</f>
        <v>7675.4935977718123</v>
      </c>
      <c r="L23">
        <f>IF(L22&lt;($B$6*$B$7),L22+1,"")</f>
        <v>2</v>
      </c>
      <c r="M23" s="38">
        <f>IF(L23="", "", R22)</f>
        <v>66158.895700147114</v>
      </c>
      <c r="N23" s="38">
        <f>IF(L23="","",$B$5)</f>
        <v>3950.1909295091159</v>
      </c>
      <c r="O23" s="38">
        <f>IF(L23="","",M23-N23)</f>
        <v>62208.704770637996</v>
      </c>
      <c r="P23" s="38">
        <f>IF(L23="","",O22*$B$8)</f>
        <v>109.08662965622356</v>
      </c>
      <c r="Q23" s="38">
        <f>IF(L23="","",N23-P23)</f>
        <v>3841.1042998528924</v>
      </c>
      <c r="R23" s="38">
        <f>IF(L23="","",O23*(1+$B$8))</f>
        <v>62311.447504253854</v>
      </c>
      <c r="S23" s="38">
        <f>IF(L23="","",S22+P23)</f>
        <v>109.08662965622356</v>
      </c>
      <c r="T23" s="38">
        <f>IF(L23="","",Q23+T22)</f>
        <v>7791.2952293620083</v>
      </c>
      <c r="AF23">
        <f t="shared" ref="AF23:AF50" si="3">IF(AF22&lt;($B$6*$B$7),AF22+1,"")</f>
        <v>3</v>
      </c>
      <c r="AG23" s="38">
        <f t="shared" si="0"/>
        <v>58477.249462144391</v>
      </c>
      <c r="AI23">
        <f t="shared" si="1"/>
        <v>3</v>
      </c>
      <c r="AJ23" s="38">
        <f t="shared" si="2"/>
        <v>58457.644934860153</v>
      </c>
    </row>
    <row r="24" spans="1:36" x14ac:dyDescent="0.2">
      <c r="A24">
        <f t="shared" ref="A24:A87" si="4">IF(A23&lt;($B$6*$B$7),A23+1,"")</f>
        <v>3</v>
      </c>
      <c r="B24" s="38">
        <f t="shared" ref="B24:B87" si="5">IF(A24="","",F23)</f>
        <v>62324.50640222818</v>
      </c>
      <c r="C24" s="38">
        <f t="shared" ref="C24:C87" si="6">IF(A24="","",(B24*$B$8))</f>
        <v>102.93398942532737</v>
      </c>
      <c r="D24" s="38">
        <f t="shared" ref="D24:D87" si="7">IF(A24="","", $B$5)</f>
        <v>3950.1909295091159</v>
      </c>
      <c r="E24" s="38">
        <f t="shared" ref="E24:E87" si="8">IF(D24="","",(D24-C24))</f>
        <v>3847.2569400837883</v>
      </c>
      <c r="F24" s="38">
        <f t="shared" ref="F24:F87" si="9">IF(A24="","", B24-E24)</f>
        <v>58477.249462144391</v>
      </c>
      <c r="G24" s="38">
        <f t="shared" ref="G24:G25" si="10">IF(A24="","", (G23+C24))</f>
        <v>327.8222506717463</v>
      </c>
      <c r="H24" s="38">
        <f t="shared" ref="H24:H25" si="11">IF(A24="","",(H23+E24))</f>
        <v>11522.750537855602</v>
      </c>
      <c r="I24" t="s">
        <v>200</v>
      </c>
      <c r="L24">
        <f t="shared" ref="L24:L87" si="12">IF(L23&lt;($B$6*$B$7),L23+1,"")</f>
        <v>3</v>
      </c>
      <c r="M24" s="38">
        <f t="shared" ref="M24:M87" si="13">IF(L24="", "", R23)</f>
        <v>62311.447504253854</v>
      </c>
      <c r="N24" s="38">
        <f t="shared" ref="N24:N87" si="14">IF(L24="","",$B$5)</f>
        <v>3950.1909295091159</v>
      </c>
      <c r="O24" s="38">
        <f t="shared" ref="O24:O87" si="15">IF(L24="","",M24-N24)</f>
        <v>58361.256574744737</v>
      </c>
      <c r="P24" s="38">
        <f t="shared" ref="P24:P87" si="16">IF(L24="","",O23*$B$8)</f>
        <v>102.74273361586116</v>
      </c>
      <c r="Q24" s="38">
        <f t="shared" ref="Q24:Q87" si="17">IF(L24="","",N24-P24)</f>
        <v>3847.4481958932547</v>
      </c>
      <c r="R24" s="38">
        <f t="shared" ref="R24:R87" si="18">IF(L24="","",O24*(1+$B$8))</f>
        <v>58457.644934860153</v>
      </c>
      <c r="S24" s="38">
        <f t="shared" ref="S24:S87" si="19">IF(L24="","",S23+P24)</f>
        <v>211.82936327208472</v>
      </c>
      <c r="T24" s="38">
        <f t="shared" ref="T24:T87" si="20">IF(L24="","",Q24+T23)</f>
        <v>11638.743425255263</v>
      </c>
      <c r="AF24">
        <f t="shared" si="3"/>
        <v>4</v>
      </c>
      <c r="AG24" s="38">
        <f t="shared" si="0"/>
        <v>54623.638464434676</v>
      </c>
      <c r="AI24">
        <f t="shared" si="1"/>
        <v>4</v>
      </c>
      <c r="AJ24" s="38">
        <f t="shared" si="2"/>
        <v>54597.477497201551</v>
      </c>
    </row>
    <row r="25" spans="1:36" x14ac:dyDescent="0.2">
      <c r="A25">
        <f t="shared" si="4"/>
        <v>4</v>
      </c>
      <c r="B25" s="38">
        <f t="shared" si="5"/>
        <v>58477.249462144391</v>
      </c>
      <c r="C25" s="38">
        <f t="shared" si="6"/>
        <v>96.579931799402161</v>
      </c>
      <c r="D25" s="38">
        <f t="shared" si="7"/>
        <v>3950.1909295091159</v>
      </c>
      <c r="E25" s="38">
        <f t="shared" si="8"/>
        <v>3853.610997709714</v>
      </c>
      <c r="F25" s="38">
        <f t="shared" si="9"/>
        <v>54623.638464434676</v>
      </c>
      <c r="G25" s="38">
        <f t="shared" si="10"/>
        <v>424.40218247114848</v>
      </c>
      <c r="H25" s="38">
        <f t="shared" si="11"/>
        <v>15376.361535565316</v>
      </c>
      <c r="I25" s="42"/>
      <c r="J25" s="42"/>
      <c r="L25">
        <f t="shared" si="12"/>
        <v>4</v>
      </c>
      <c r="M25" s="38">
        <f t="shared" si="13"/>
        <v>58457.644934860153</v>
      </c>
      <c r="N25" s="38">
        <f t="shared" si="14"/>
        <v>3950.1909295091159</v>
      </c>
      <c r="O25" s="38">
        <f t="shared" si="15"/>
        <v>54507.454005351035</v>
      </c>
      <c r="P25" s="38">
        <f t="shared" si="16"/>
        <v>96.388360115417157</v>
      </c>
      <c r="Q25" s="38">
        <f t="shared" si="17"/>
        <v>3853.8025693936988</v>
      </c>
      <c r="R25" s="38">
        <f t="shared" si="18"/>
        <v>54597.477497201551</v>
      </c>
      <c r="S25" s="38">
        <f t="shared" si="19"/>
        <v>308.21772338750191</v>
      </c>
      <c r="T25" s="38">
        <f t="shared" si="20"/>
        <v>15492.545994648961</v>
      </c>
      <c r="AF25">
        <f t="shared" si="3"/>
        <v>5</v>
      </c>
      <c r="AG25" s="38">
        <f t="shared" si="0"/>
        <v>50763.662914856272</v>
      </c>
      <c r="AI25">
        <f t="shared" si="1"/>
        <v>5</v>
      </c>
      <c r="AJ25" s="38">
        <f t="shared" si="2"/>
        <v>50730.934679180631</v>
      </c>
    </row>
    <row r="26" spans="1:36" x14ac:dyDescent="0.2">
      <c r="A26">
        <f t="shared" si="4"/>
        <v>5</v>
      </c>
      <c r="B26" s="38">
        <f t="shared" si="5"/>
        <v>54623.638464434676</v>
      </c>
      <c r="C26" s="38">
        <f t="shared" si="6"/>
        <v>90.215379930710654</v>
      </c>
      <c r="D26" s="38">
        <f t="shared" si="7"/>
        <v>3950.1909295091159</v>
      </c>
      <c r="E26" s="38">
        <f t="shared" si="8"/>
        <v>3859.9755495784052</v>
      </c>
      <c r="F26" s="38">
        <f t="shared" si="9"/>
        <v>50763.662914856272</v>
      </c>
      <c r="G26" s="38">
        <f t="shared" ref="G26:G89" si="21">IF(A26="","", (G25+C26))</f>
        <v>514.61756240185912</v>
      </c>
      <c r="H26" s="38">
        <f t="shared" ref="H26:H89" si="22">IF(A26="","",(H25+E26))</f>
        <v>19236.337085143721</v>
      </c>
      <c r="I26" s="45" t="s">
        <v>83</v>
      </c>
      <c r="J26" s="45" t="s">
        <v>90</v>
      </c>
      <c r="L26">
        <f t="shared" si="12"/>
        <v>5</v>
      </c>
      <c r="M26" s="38">
        <f t="shared" si="13"/>
        <v>54597.477497201551</v>
      </c>
      <c r="N26" s="38">
        <f t="shared" si="14"/>
        <v>3950.1909295091159</v>
      </c>
      <c r="O26" s="38">
        <f t="shared" si="15"/>
        <v>50647.286567692434</v>
      </c>
      <c r="P26" s="38">
        <f t="shared" si="16"/>
        <v>90.023491850514404</v>
      </c>
      <c r="Q26" s="38">
        <f t="shared" si="17"/>
        <v>3860.1674376586016</v>
      </c>
      <c r="R26" s="38">
        <f t="shared" si="18"/>
        <v>50730.934679180631</v>
      </c>
      <c r="S26" s="38">
        <f t="shared" si="19"/>
        <v>398.24121523801631</v>
      </c>
      <c r="T26" s="38">
        <f t="shared" si="20"/>
        <v>19352.713432307562</v>
      </c>
      <c r="AF26">
        <f t="shared" si="3"/>
        <v>6</v>
      </c>
      <c r="AG26" s="38">
        <f t="shared" si="0"/>
        <v>46897.31230183431</v>
      </c>
      <c r="AI26">
        <f t="shared" si="1"/>
        <v>6</v>
      </c>
      <c r="AJ26" s="38">
        <f t="shared" si="2"/>
        <v>46858.005951338389</v>
      </c>
    </row>
    <row r="27" spans="1:36" x14ac:dyDescent="0.2">
      <c r="A27">
        <f t="shared" si="4"/>
        <v>6</v>
      </c>
      <c r="B27" s="38">
        <f t="shared" si="5"/>
        <v>50763.662914856272</v>
      </c>
      <c r="C27" s="38">
        <f t="shared" si="6"/>
        <v>83.840316487157722</v>
      </c>
      <c r="D27" s="38">
        <f t="shared" si="7"/>
        <v>3950.1909295091159</v>
      </c>
      <c r="E27" s="38">
        <f t="shared" si="8"/>
        <v>3866.350613021958</v>
      </c>
      <c r="F27" s="38">
        <f t="shared" si="9"/>
        <v>46897.31230183431</v>
      </c>
      <c r="G27" s="38">
        <f t="shared" si="21"/>
        <v>598.4578788890168</v>
      </c>
      <c r="H27" s="38">
        <f t="shared" si="22"/>
        <v>23102.687698165679</v>
      </c>
      <c r="I27" s="45" t="s">
        <v>80</v>
      </c>
      <c r="J27" s="45" t="s">
        <v>91</v>
      </c>
      <c r="L27">
        <f t="shared" si="12"/>
        <v>6</v>
      </c>
      <c r="M27" s="38">
        <f t="shared" si="13"/>
        <v>50730.934679180631</v>
      </c>
      <c r="N27" s="38">
        <f t="shared" si="14"/>
        <v>3950.1909295091159</v>
      </c>
      <c r="O27" s="38">
        <f t="shared" si="15"/>
        <v>46780.743749671514</v>
      </c>
      <c r="P27" s="38">
        <f t="shared" si="16"/>
        <v>83.64811148819615</v>
      </c>
      <c r="Q27" s="38">
        <f t="shared" si="17"/>
        <v>3866.5428180209196</v>
      </c>
      <c r="R27" s="38">
        <f t="shared" si="18"/>
        <v>46858.005951338389</v>
      </c>
      <c r="S27" s="38">
        <f t="shared" si="19"/>
        <v>481.88932672621246</v>
      </c>
      <c r="T27" s="38">
        <f t="shared" si="20"/>
        <v>23219.256250328483</v>
      </c>
      <c r="AF27">
        <f t="shared" si="3"/>
        <v>7</v>
      </c>
      <c r="AG27" s="38">
        <f t="shared" si="0"/>
        <v>43024.576096433215</v>
      </c>
      <c r="AI27">
        <f t="shared" si="1"/>
        <v>7</v>
      </c>
      <c r="AJ27" s="38">
        <f t="shared" si="2"/>
        <v>42978.680766825579</v>
      </c>
    </row>
    <row r="28" spans="1:36" x14ac:dyDescent="0.2">
      <c r="A28">
        <f t="shared" si="4"/>
        <v>7</v>
      </c>
      <c r="B28" s="38">
        <f t="shared" si="5"/>
        <v>46897.31230183431</v>
      </c>
      <c r="C28" s="38">
        <f t="shared" si="6"/>
        <v>77.454724108022859</v>
      </c>
      <c r="D28" s="38">
        <f t="shared" si="7"/>
        <v>3950.1909295091159</v>
      </c>
      <c r="E28" s="38">
        <f t="shared" si="8"/>
        <v>3872.7362054010932</v>
      </c>
      <c r="F28" s="38">
        <f t="shared" si="9"/>
        <v>43024.576096433215</v>
      </c>
      <c r="G28" s="38">
        <f t="shared" si="21"/>
        <v>675.9126029970397</v>
      </c>
      <c r="H28" s="38">
        <f t="shared" si="22"/>
        <v>26975.423903566771</v>
      </c>
      <c r="I28" s="45" t="s">
        <v>84</v>
      </c>
      <c r="J28" s="45"/>
      <c r="L28">
        <f t="shared" si="12"/>
        <v>7</v>
      </c>
      <c r="M28" s="38">
        <f t="shared" si="13"/>
        <v>46858.005951338389</v>
      </c>
      <c r="N28" s="38">
        <f t="shared" si="14"/>
        <v>3950.1909295091159</v>
      </c>
      <c r="O28" s="38">
        <f t="shared" si="15"/>
        <v>42907.815021829272</v>
      </c>
      <c r="P28" s="38">
        <f t="shared" si="16"/>
        <v>77.262201666878866</v>
      </c>
      <c r="Q28" s="38">
        <f t="shared" si="17"/>
        <v>3872.9287278422371</v>
      </c>
      <c r="R28" s="38">
        <f t="shared" si="18"/>
        <v>42978.680766825579</v>
      </c>
      <c r="S28" s="38">
        <f t="shared" si="19"/>
        <v>559.15152839309133</v>
      </c>
      <c r="T28" s="38">
        <f t="shared" si="20"/>
        <v>27092.184978170721</v>
      </c>
      <c r="AF28">
        <f t="shared" si="3"/>
        <v>8</v>
      </c>
      <c r="AG28" s="38">
        <f t="shared" si="0"/>
        <v>39145.443752328014</v>
      </c>
      <c r="AI28">
        <f t="shared" si="1"/>
        <v>8</v>
      </c>
      <c r="AJ28" s="38">
        <f t="shared" si="2"/>
        <v>39092.94856137396</v>
      </c>
    </row>
    <row r="29" spans="1:36" x14ac:dyDescent="0.2">
      <c r="A29">
        <f t="shared" si="4"/>
        <v>8</v>
      </c>
      <c r="B29" s="38">
        <f t="shared" si="5"/>
        <v>43024.576096433215</v>
      </c>
      <c r="C29" s="38">
        <f t="shared" si="6"/>
        <v>71.058585403912929</v>
      </c>
      <c r="D29" s="38">
        <f t="shared" si="7"/>
        <v>3950.1909295091159</v>
      </c>
      <c r="E29" s="38">
        <f t="shared" si="8"/>
        <v>3879.1323441052032</v>
      </c>
      <c r="F29" s="38">
        <f t="shared" si="9"/>
        <v>39145.443752328014</v>
      </c>
      <c r="G29" s="38">
        <f t="shared" si="21"/>
        <v>746.97118840095266</v>
      </c>
      <c r="H29" s="38">
        <f t="shared" si="22"/>
        <v>30854.556247671975</v>
      </c>
      <c r="I29" s="45" t="s">
        <v>85</v>
      </c>
      <c r="L29">
        <f t="shared" si="12"/>
        <v>8</v>
      </c>
      <c r="M29" s="38">
        <f t="shared" si="13"/>
        <v>42978.680766825579</v>
      </c>
      <c r="N29" s="38">
        <f t="shared" si="14"/>
        <v>3950.1909295091159</v>
      </c>
      <c r="O29" s="38">
        <f t="shared" si="15"/>
        <v>39028.489837316461</v>
      </c>
      <c r="P29" s="38">
        <f t="shared" si="16"/>
        <v>70.86574499630494</v>
      </c>
      <c r="Q29" s="38">
        <f t="shared" si="17"/>
        <v>3879.3251845128111</v>
      </c>
      <c r="R29" s="38">
        <f t="shared" si="18"/>
        <v>39092.94856137396</v>
      </c>
      <c r="S29" s="38">
        <f t="shared" si="19"/>
        <v>630.01727338939622</v>
      </c>
      <c r="T29" s="38">
        <f t="shared" si="20"/>
        <v>30971.510162683531</v>
      </c>
      <c r="AF29">
        <f t="shared" si="3"/>
        <v>9</v>
      </c>
      <c r="AG29" s="38">
        <f t="shared" si="0"/>
        <v>35259.904705775611</v>
      </c>
      <c r="AI29">
        <f t="shared" si="1"/>
        <v>9</v>
      </c>
      <c r="AJ29" s="38">
        <f t="shared" si="2"/>
        <v>35200.798753267547</v>
      </c>
    </row>
    <row r="30" spans="1:36" x14ac:dyDescent="0.2">
      <c r="A30">
        <f t="shared" si="4"/>
        <v>9</v>
      </c>
      <c r="B30" s="38">
        <f t="shared" si="5"/>
        <v>39145.443752328014</v>
      </c>
      <c r="C30" s="38">
        <f t="shared" si="6"/>
        <v>64.6518829567148</v>
      </c>
      <c r="D30" s="38">
        <f t="shared" si="7"/>
        <v>3950.1909295091159</v>
      </c>
      <c r="E30" s="38">
        <f t="shared" si="8"/>
        <v>3885.539046552401</v>
      </c>
      <c r="F30" s="38">
        <f t="shared" si="9"/>
        <v>35259.904705775611</v>
      </c>
      <c r="G30" s="38">
        <f t="shared" si="21"/>
        <v>811.62307135766741</v>
      </c>
      <c r="H30" s="38">
        <f t="shared" si="22"/>
        <v>34740.095294224375</v>
      </c>
      <c r="I30" s="45" t="s">
        <v>86</v>
      </c>
      <c r="L30">
        <f t="shared" si="12"/>
        <v>9</v>
      </c>
      <c r="M30" s="38">
        <f t="shared" si="13"/>
        <v>39092.94856137396</v>
      </c>
      <c r="N30" s="38">
        <f t="shared" si="14"/>
        <v>3950.1909295091159</v>
      </c>
      <c r="O30" s="38">
        <f t="shared" si="15"/>
        <v>35142.757631864843</v>
      </c>
      <c r="P30" s="38">
        <f t="shared" si="16"/>
        <v>64.45872405749536</v>
      </c>
      <c r="Q30" s="38">
        <f t="shared" si="17"/>
        <v>3885.7322054516208</v>
      </c>
      <c r="R30" s="38">
        <f t="shared" si="18"/>
        <v>35200.798753267547</v>
      </c>
      <c r="S30" s="38">
        <f t="shared" si="19"/>
        <v>694.4759974468916</v>
      </c>
      <c r="T30" s="38">
        <f t="shared" si="20"/>
        <v>34857.24236813515</v>
      </c>
      <c r="AF30">
        <f t="shared" si="3"/>
        <v>10</v>
      </c>
      <c r="AG30" s="38">
        <f t="shared" si="0"/>
        <v>31367.948375586042</v>
      </c>
      <c r="AI30">
        <f t="shared" si="1"/>
        <v>10</v>
      </c>
      <c r="AJ30" s="38">
        <f t="shared" si="2"/>
        <v>31302.220743313792</v>
      </c>
    </row>
    <row r="31" spans="1:36" x14ac:dyDescent="0.2">
      <c r="A31">
        <f t="shared" si="4"/>
        <v>10</v>
      </c>
      <c r="B31" s="38">
        <f t="shared" si="5"/>
        <v>35259.904705775611</v>
      </c>
      <c r="C31" s="38">
        <f t="shared" si="6"/>
        <v>58.234599319547918</v>
      </c>
      <c r="D31" s="38">
        <f t="shared" si="7"/>
        <v>3950.1909295091159</v>
      </c>
      <c r="E31" s="38">
        <f t="shared" si="8"/>
        <v>3891.9563301895678</v>
      </c>
      <c r="F31" s="38">
        <f t="shared" si="9"/>
        <v>31367.948375586042</v>
      </c>
      <c r="G31" s="38">
        <f t="shared" si="21"/>
        <v>869.85767067721531</v>
      </c>
      <c r="H31" s="38">
        <f t="shared" si="22"/>
        <v>38632.051624413944</v>
      </c>
      <c r="I31" s="45" t="s">
        <v>87</v>
      </c>
      <c r="L31">
        <f t="shared" si="12"/>
        <v>10</v>
      </c>
      <c r="M31" s="38">
        <f t="shared" si="13"/>
        <v>35200.798753267547</v>
      </c>
      <c r="N31" s="38">
        <f t="shared" si="14"/>
        <v>3950.1909295091159</v>
      </c>
      <c r="O31" s="38">
        <f t="shared" si="15"/>
        <v>31250.60782375843</v>
      </c>
      <c r="P31" s="38">
        <f t="shared" si="16"/>
        <v>58.041121402702231</v>
      </c>
      <c r="Q31" s="38">
        <f t="shared" si="17"/>
        <v>3892.1498081064137</v>
      </c>
      <c r="R31" s="38">
        <f t="shared" si="18"/>
        <v>31302.220743313792</v>
      </c>
      <c r="S31" s="38">
        <f t="shared" si="19"/>
        <v>752.51711884959377</v>
      </c>
      <c r="T31" s="38">
        <f t="shared" si="20"/>
        <v>38749.392176241563</v>
      </c>
      <c r="AF31">
        <f t="shared" si="3"/>
        <v>11</v>
      </c>
      <c r="AG31" s="38">
        <f t="shared" si="0"/>
        <v>27469.564163093644</v>
      </c>
      <c r="AI31">
        <f t="shared" si="1"/>
        <v>11</v>
      </c>
      <c r="AJ31" s="38">
        <f t="shared" si="2"/>
        <v>27397.20391481472</v>
      </c>
    </row>
    <row r="32" spans="1:36" x14ac:dyDescent="0.2">
      <c r="A32">
        <f t="shared" si="4"/>
        <v>11</v>
      </c>
      <c r="B32" s="38">
        <f t="shared" si="5"/>
        <v>31367.948375586042</v>
      </c>
      <c r="C32" s="38">
        <f t="shared" si="6"/>
        <v>51.806717016716775</v>
      </c>
      <c r="D32" s="38">
        <f t="shared" si="7"/>
        <v>3950.1909295091159</v>
      </c>
      <c r="E32" s="38">
        <f t="shared" si="8"/>
        <v>3898.384212492399</v>
      </c>
      <c r="F32" s="38">
        <f t="shared" si="9"/>
        <v>27469.564163093644</v>
      </c>
      <c r="G32" s="38">
        <f t="shared" si="21"/>
        <v>921.6643876939321</v>
      </c>
      <c r="H32" s="38">
        <f t="shared" si="22"/>
        <v>42530.435836906341</v>
      </c>
      <c r="I32" s="45" t="s">
        <v>88</v>
      </c>
      <c r="L32">
        <f t="shared" si="12"/>
        <v>11</v>
      </c>
      <c r="M32" s="38">
        <f t="shared" si="13"/>
        <v>31302.220743313792</v>
      </c>
      <c r="N32" s="38">
        <f t="shared" si="14"/>
        <v>3950.1909295091159</v>
      </c>
      <c r="O32" s="38">
        <f t="shared" si="15"/>
        <v>27352.029813804675</v>
      </c>
      <c r="P32" s="38">
        <f t="shared" si="16"/>
        <v>51.612919555361287</v>
      </c>
      <c r="Q32" s="38">
        <f t="shared" si="17"/>
        <v>3898.5780099537546</v>
      </c>
      <c r="R32" s="38">
        <f t="shared" si="18"/>
        <v>27397.20391481472</v>
      </c>
      <c r="S32" s="38">
        <f t="shared" si="19"/>
        <v>804.13003840495503</v>
      </c>
      <c r="T32" s="38">
        <f t="shared" si="20"/>
        <v>42647.970186195314</v>
      </c>
      <c r="AF32">
        <f t="shared" si="3"/>
        <v>12</v>
      </c>
      <c r="AG32" s="38">
        <f t="shared" si="0"/>
        <v>23564.74145212819</v>
      </c>
      <c r="AI32">
        <f t="shared" si="1"/>
        <v>12</v>
      </c>
      <c r="AJ32" s="38">
        <f t="shared" si="2"/>
        <v>23485.737633538014</v>
      </c>
    </row>
    <row r="33" spans="1:36" x14ac:dyDescent="0.2">
      <c r="A33">
        <f t="shared" si="4"/>
        <v>12</v>
      </c>
      <c r="B33" s="38">
        <f t="shared" si="5"/>
        <v>27469.564163093644</v>
      </c>
      <c r="C33" s="38">
        <f t="shared" si="6"/>
        <v>45.368218543663332</v>
      </c>
      <c r="D33" s="38">
        <f t="shared" si="7"/>
        <v>3950.1909295091159</v>
      </c>
      <c r="E33" s="38">
        <f t="shared" si="8"/>
        <v>3904.8227109654526</v>
      </c>
      <c r="F33" s="38">
        <f t="shared" si="9"/>
        <v>23564.74145212819</v>
      </c>
      <c r="G33" s="38">
        <f t="shared" si="21"/>
        <v>967.03260623759547</v>
      </c>
      <c r="H33" s="38">
        <f t="shared" si="22"/>
        <v>46435.258547871796</v>
      </c>
      <c r="I33" s="45" t="s">
        <v>89</v>
      </c>
      <c r="L33">
        <f t="shared" si="12"/>
        <v>12</v>
      </c>
      <c r="M33" s="38">
        <f t="shared" si="13"/>
        <v>27397.20391481472</v>
      </c>
      <c r="N33" s="38">
        <f t="shared" si="14"/>
        <v>3950.1909295091159</v>
      </c>
      <c r="O33" s="38">
        <f t="shared" si="15"/>
        <v>23447.012985305602</v>
      </c>
      <c r="P33" s="38">
        <f t="shared" si="16"/>
        <v>45.174101010044311</v>
      </c>
      <c r="Q33" s="38">
        <f t="shared" si="17"/>
        <v>3905.0168284990714</v>
      </c>
      <c r="R33" s="38">
        <f t="shared" si="18"/>
        <v>23485.737633538014</v>
      </c>
      <c r="S33" s="38">
        <f t="shared" si="19"/>
        <v>849.30413941499933</v>
      </c>
      <c r="T33" s="38">
        <f t="shared" si="20"/>
        <v>46552.987014694387</v>
      </c>
      <c r="AF33">
        <f t="shared" si="3"/>
        <v>13</v>
      </c>
      <c r="AG33" s="38">
        <f t="shared" si="0"/>
        <v>19653.469608985994</v>
      </c>
      <c r="AI33">
        <f t="shared" si="1"/>
        <v>13</v>
      </c>
      <c r="AJ33" s="38">
        <f t="shared" si="2"/>
        <v>19567.81124768806</v>
      </c>
    </row>
    <row r="34" spans="1:36" x14ac:dyDescent="0.2">
      <c r="A34">
        <f t="shared" si="4"/>
        <v>13</v>
      </c>
      <c r="B34" s="38">
        <f t="shared" si="5"/>
        <v>23564.74145212819</v>
      </c>
      <c r="C34" s="38">
        <f t="shared" si="6"/>
        <v>38.919086366919352</v>
      </c>
      <c r="D34" s="38">
        <f t="shared" si="7"/>
        <v>3950.1909295091159</v>
      </c>
      <c r="E34" s="38">
        <f t="shared" si="8"/>
        <v>3911.2718431421968</v>
      </c>
      <c r="F34" s="38">
        <f t="shared" si="9"/>
        <v>19653.469608985994</v>
      </c>
      <c r="G34" s="38">
        <f t="shared" si="21"/>
        <v>1005.9516926045148</v>
      </c>
      <c r="H34" s="38">
        <f t="shared" si="22"/>
        <v>50346.530391013992</v>
      </c>
      <c r="I34" s="45" t="s">
        <v>102</v>
      </c>
      <c r="L34">
        <f t="shared" si="12"/>
        <v>13</v>
      </c>
      <c r="M34" s="38">
        <f t="shared" si="13"/>
        <v>23485.737633538014</v>
      </c>
      <c r="N34" s="38">
        <f t="shared" si="14"/>
        <v>3950.1909295091159</v>
      </c>
      <c r="O34" s="38">
        <f t="shared" si="15"/>
        <v>19535.546704028897</v>
      </c>
      <c r="P34" s="38">
        <f t="shared" si="16"/>
        <v>38.724648232411425</v>
      </c>
      <c r="Q34" s="38">
        <f t="shared" si="17"/>
        <v>3911.4662812767046</v>
      </c>
      <c r="R34" s="38">
        <f t="shared" si="18"/>
        <v>19567.81124768806</v>
      </c>
      <c r="S34" s="38">
        <f t="shared" si="19"/>
        <v>888.02878764741081</v>
      </c>
      <c r="T34" s="38">
        <f t="shared" si="20"/>
        <v>50464.453295971092</v>
      </c>
      <c r="AF34">
        <f t="shared" si="3"/>
        <v>14</v>
      </c>
      <c r="AG34" s="38">
        <f t="shared" si="0"/>
        <v>15735.737982400937</v>
      </c>
      <c r="AI34">
        <f t="shared" si="1"/>
        <v>14</v>
      </c>
      <c r="AJ34" s="38">
        <f t="shared" si="2"/>
        <v>15643.414087876938</v>
      </c>
    </row>
    <row r="35" spans="1:36" x14ac:dyDescent="0.2">
      <c r="A35">
        <f t="shared" si="4"/>
        <v>14</v>
      </c>
      <c r="B35" s="38">
        <f t="shared" si="5"/>
        <v>19653.469608985994</v>
      </c>
      <c r="C35" s="38">
        <f t="shared" si="6"/>
        <v>32.459302924058647</v>
      </c>
      <c r="D35" s="38">
        <f t="shared" si="7"/>
        <v>3950.1909295091159</v>
      </c>
      <c r="E35" s="38">
        <f t="shared" si="8"/>
        <v>3917.7316265850573</v>
      </c>
      <c r="F35" s="38">
        <f t="shared" si="9"/>
        <v>15735.737982400937</v>
      </c>
      <c r="G35" s="38">
        <f t="shared" si="21"/>
        <v>1038.4109955285735</v>
      </c>
      <c r="H35" s="38">
        <f t="shared" si="22"/>
        <v>54264.262017599052</v>
      </c>
      <c r="L35">
        <f t="shared" si="12"/>
        <v>14</v>
      </c>
      <c r="M35" s="38">
        <f t="shared" si="13"/>
        <v>19567.81124768806</v>
      </c>
      <c r="N35" s="38">
        <f t="shared" si="14"/>
        <v>3950.1909295091159</v>
      </c>
      <c r="O35" s="38">
        <f t="shared" si="15"/>
        <v>15617.620318178944</v>
      </c>
      <c r="P35" s="38">
        <f t="shared" si="16"/>
        <v>32.264543659163387</v>
      </c>
      <c r="Q35" s="38">
        <f t="shared" si="17"/>
        <v>3917.9263858499526</v>
      </c>
      <c r="R35" s="38">
        <f t="shared" si="18"/>
        <v>15643.414087876938</v>
      </c>
      <c r="S35" s="38">
        <f t="shared" si="19"/>
        <v>920.29333130657415</v>
      </c>
      <c r="T35" s="38">
        <f t="shared" si="20"/>
        <v>54382.379681821047</v>
      </c>
      <c r="AF35">
        <f t="shared" si="3"/>
        <v>15</v>
      </c>
      <c r="AG35" s="38">
        <f t="shared" si="0"/>
        <v>11811.535903515471</v>
      </c>
      <c r="AI35">
        <f t="shared" si="1"/>
        <v>15</v>
      </c>
      <c r="AJ35" s="38">
        <f t="shared" si="2"/>
        <v>11712.535467095364</v>
      </c>
    </row>
    <row r="36" spans="1:36" x14ac:dyDescent="0.2">
      <c r="A36">
        <f t="shared" si="4"/>
        <v>15</v>
      </c>
      <c r="B36" s="38">
        <f t="shared" si="5"/>
        <v>15735.737982400937</v>
      </c>
      <c r="C36" s="38">
        <f t="shared" si="6"/>
        <v>25.98885062364926</v>
      </c>
      <c r="D36" s="38">
        <f t="shared" si="7"/>
        <v>3950.1909295091159</v>
      </c>
      <c r="E36" s="38">
        <f t="shared" si="8"/>
        <v>3924.2020788854666</v>
      </c>
      <c r="F36" s="38">
        <f t="shared" si="9"/>
        <v>11811.535903515471</v>
      </c>
      <c r="G36" s="38">
        <f t="shared" si="21"/>
        <v>1064.3998461522228</v>
      </c>
      <c r="H36" s="38">
        <f t="shared" si="22"/>
        <v>58188.464096484517</v>
      </c>
      <c r="L36">
        <f t="shared" si="12"/>
        <v>15</v>
      </c>
      <c r="M36" s="38">
        <f t="shared" si="13"/>
        <v>15643.414087876938</v>
      </c>
      <c r="N36" s="38">
        <f t="shared" si="14"/>
        <v>3950.1909295091159</v>
      </c>
      <c r="O36" s="38">
        <f t="shared" si="15"/>
        <v>11693.223158367822</v>
      </c>
      <c r="P36" s="38">
        <f t="shared" si="16"/>
        <v>25.793769697993724</v>
      </c>
      <c r="Q36" s="38">
        <f t="shared" si="17"/>
        <v>3924.397159811122</v>
      </c>
      <c r="R36" s="38">
        <f t="shared" si="18"/>
        <v>11712.535467095364</v>
      </c>
      <c r="S36" s="38">
        <f t="shared" si="19"/>
        <v>946.0871010045679</v>
      </c>
      <c r="T36" s="38">
        <f t="shared" si="20"/>
        <v>58306.776841632171</v>
      </c>
      <c r="AF36">
        <f t="shared" si="3"/>
        <v>16</v>
      </c>
      <c r="AG36" s="38">
        <f t="shared" si="0"/>
        <v>7880.8526858515597</v>
      </c>
      <c r="AI36">
        <f t="shared" si="1"/>
        <v>16</v>
      </c>
      <c r="AJ36" s="38">
        <f t="shared" si="2"/>
        <v>7775.1646806835888</v>
      </c>
    </row>
    <row r="37" spans="1:36" x14ac:dyDescent="0.2">
      <c r="A37">
        <f t="shared" si="4"/>
        <v>16</v>
      </c>
      <c r="B37" s="38">
        <f t="shared" si="5"/>
        <v>11811.535903515471</v>
      </c>
      <c r="C37" s="38">
        <f t="shared" si="6"/>
        <v>19.507711845205552</v>
      </c>
      <c r="D37" s="38">
        <f t="shared" si="7"/>
        <v>3950.1909295091159</v>
      </c>
      <c r="E37" s="38">
        <f t="shared" si="8"/>
        <v>3930.6832176639105</v>
      </c>
      <c r="F37" s="38">
        <f t="shared" si="9"/>
        <v>7880.8526858515597</v>
      </c>
      <c r="G37" s="38">
        <f t="shared" si="21"/>
        <v>1083.9075579974283</v>
      </c>
      <c r="H37" s="38">
        <f t="shared" si="22"/>
        <v>62119.147314148424</v>
      </c>
      <c r="L37">
        <f t="shared" si="12"/>
        <v>16</v>
      </c>
      <c r="M37" s="38">
        <f t="shared" si="13"/>
        <v>11712.535467095364</v>
      </c>
      <c r="N37" s="38">
        <f t="shared" si="14"/>
        <v>3950.1909295091159</v>
      </c>
      <c r="O37" s="38">
        <f t="shared" si="15"/>
        <v>7762.3445375862484</v>
      </c>
      <c r="P37" s="38">
        <f t="shared" si="16"/>
        <v>19.312308727540842</v>
      </c>
      <c r="Q37" s="38">
        <f t="shared" si="17"/>
        <v>3930.8786207815751</v>
      </c>
      <c r="R37" s="38">
        <f t="shared" si="18"/>
        <v>7775.1646806835888</v>
      </c>
      <c r="S37" s="38">
        <f t="shared" si="19"/>
        <v>965.39940973210878</v>
      </c>
      <c r="T37" s="38">
        <f t="shared" si="20"/>
        <v>62237.655462413742</v>
      </c>
      <c r="AF37">
        <f t="shared" si="3"/>
        <v>17</v>
      </c>
      <c r="AG37" s="38">
        <f t="shared" si="0"/>
        <v>3943.6776252815839</v>
      </c>
      <c r="AI37">
        <f t="shared" si="1"/>
        <v>17</v>
      </c>
      <c r="AJ37" s="38">
        <f t="shared" si="2"/>
        <v>3831.2910063022482</v>
      </c>
    </row>
    <row r="38" spans="1:36" x14ac:dyDescent="0.2">
      <c r="A38">
        <f t="shared" si="4"/>
        <v>17</v>
      </c>
      <c r="B38" s="38">
        <f t="shared" si="5"/>
        <v>7880.8526858515597</v>
      </c>
      <c r="C38" s="38">
        <f t="shared" si="6"/>
        <v>13.015868939140214</v>
      </c>
      <c r="D38" s="38">
        <f t="shared" si="7"/>
        <v>3950.1909295091159</v>
      </c>
      <c r="E38" s="38">
        <f t="shared" si="8"/>
        <v>3937.1750605699758</v>
      </c>
      <c r="F38" s="38">
        <f t="shared" si="9"/>
        <v>3943.6776252815839</v>
      </c>
      <c r="G38" s="38">
        <f t="shared" si="21"/>
        <v>1096.9234269365686</v>
      </c>
      <c r="H38" s="38">
        <f t="shared" si="22"/>
        <v>66056.322374718395</v>
      </c>
      <c r="L38">
        <f t="shared" si="12"/>
        <v>17</v>
      </c>
      <c r="M38" s="38">
        <f t="shared" si="13"/>
        <v>7775.1646806835888</v>
      </c>
      <c r="N38" s="38">
        <f t="shared" si="14"/>
        <v>3950.1909295091159</v>
      </c>
      <c r="O38" s="38">
        <f t="shared" si="15"/>
        <v>3824.9737511744729</v>
      </c>
      <c r="P38" s="38">
        <f t="shared" si="16"/>
        <v>12.820143097340036</v>
      </c>
      <c r="Q38" s="38">
        <f t="shared" si="17"/>
        <v>3937.370786411776</v>
      </c>
      <c r="R38" s="38">
        <f t="shared" si="18"/>
        <v>3831.2910063022482</v>
      </c>
      <c r="S38" s="38">
        <f t="shared" si="19"/>
        <v>978.21955282944884</v>
      </c>
      <c r="T38" s="38">
        <f t="shared" si="20"/>
        <v>66175.026248825525</v>
      </c>
      <c r="AF38">
        <f t="shared" si="3"/>
        <v>18</v>
      </c>
      <c r="AG38" s="38">
        <f t="shared" si="0"/>
        <v>-8.1581674749031663E-10</v>
      </c>
      <c r="AI38">
        <f t="shared" si="1"/>
        <v>18</v>
      </c>
      <c r="AJ38" s="38">
        <f t="shared" si="2"/>
        <v>-119.09629609683591</v>
      </c>
    </row>
    <row r="39" spans="1:36" x14ac:dyDescent="0.2">
      <c r="A39">
        <f t="shared" si="4"/>
        <v>18</v>
      </c>
      <c r="B39" s="38">
        <f t="shared" si="5"/>
        <v>3943.6776252815839</v>
      </c>
      <c r="C39" s="38">
        <f t="shared" si="6"/>
        <v>6.5133042267162162</v>
      </c>
      <c r="D39" s="38">
        <f t="shared" si="7"/>
        <v>3950.1909295091159</v>
      </c>
      <c r="E39" s="38">
        <f t="shared" si="8"/>
        <v>3943.6776252823997</v>
      </c>
      <c r="F39" s="38">
        <f t="shared" si="9"/>
        <v>-8.1581674749031663E-10</v>
      </c>
      <c r="G39" s="38">
        <f t="shared" si="21"/>
        <v>1103.4367311632848</v>
      </c>
      <c r="H39" s="38">
        <f t="shared" si="22"/>
        <v>70000.0000000008</v>
      </c>
      <c r="L39">
        <f t="shared" si="12"/>
        <v>18</v>
      </c>
      <c r="M39" s="38">
        <f t="shared" si="13"/>
        <v>3831.2910063022482</v>
      </c>
      <c r="N39" s="38">
        <f t="shared" si="14"/>
        <v>3950.1909295091159</v>
      </c>
      <c r="O39" s="38">
        <f t="shared" si="15"/>
        <v>-118.8999232068677</v>
      </c>
      <c r="P39" s="38">
        <f t="shared" si="16"/>
        <v>6.317255127775419</v>
      </c>
      <c r="Q39" s="38">
        <f t="shared" si="17"/>
        <v>3943.8736743813406</v>
      </c>
      <c r="R39" s="38">
        <f t="shared" si="18"/>
        <v>-119.09629609683591</v>
      </c>
      <c r="S39" s="38">
        <f t="shared" si="19"/>
        <v>984.53680795722426</v>
      </c>
      <c r="T39" s="38">
        <f t="shared" si="20"/>
        <v>70118.89992320686</v>
      </c>
      <c r="AF39">
        <f t="shared" si="3"/>
        <v>19</v>
      </c>
      <c r="AG39" s="38">
        <f t="shared" si="0"/>
        <v>-3950.1909295099331</v>
      </c>
      <c r="AI39">
        <f t="shared" si="1"/>
        <v>19</v>
      </c>
      <c r="AJ39" s="38">
        <f t="shared" si="2"/>
        <v>-4076.0079842999053</v>
      </c>
    </row>
    <row r="40" spans="1:36" x14ac:dyDescent="0.2">
      <c r="A40">
        <f t="shared" si="4"/>
        <v>19</v>
      </c>
      <c r="B40" s="38">
        <f t="shared" si="5"/>
        <v>-8.1581674749031663E-10</v>
      </c>
      <c r="C40" s="38">
        <f t="shared" si="6"/>
        <v>-1.3473876859483799E-12</v>
      </c>
      <c r="D40" s="38">
        <f t="shared" si="7"/>
        <v>3950.1909295091159</v>
      </c>
      <c r="E40" s="38">
        <f t="shared" si="8"/>
        <v>3950.1909295091173</v>
      </c>
      <c r="F40" s="38">
        <f t="shared" si="9"/>
        <v>-3950.1909295099331</v>
      </c>
      <c r="G40" s="38">
        <f t="shared" si="21"/>
        <v>1103.4367311632834</v>
      </c>
      <c r="H40" s="38">
        <f t="shared" si="22"/>
        <v>73950.190929509918</v>
      </c>
      <c r="L40">
        <f t="shared" si="12"/>
        <v>19</v>
      </c>
      <c r="M40" s="38">
        <f t="shared" si="13"/>
        <v>-119.09629609683591</v>
      </c>
      <c r="N40" s="38">
        <f t="shared" si="14"/>
        <v>3950.1909295091159</v>
      </c>
      <c r="O40" s="38">
        <f t="shared" si="15"/>
        <v>-4069.2872256059518</v>
      </c>
      <c r="P40" s="38">
        <f t="shared" si="16"/>
        <v>-0.19637288996821323</v>
      </c>
      <c r="Q40" s="38">
        <f t="shared" si="17"/>
        <v>3950.3873023990841</v>
      </c>
      <c r="R40" s="38">
        <f t="shared" si="18"/>
        <v>-4076.0079842999053</v>
      </c>
      <c r="S40" s="38">
        <f t="shared" si="19"/>
        <v>984.34043506725607</v>
      </c>
      <c r="T40" s="38">
        <f t="shared" si="20"/>
        <v>74069.287225605949</v>
      </c>
      <c r="AF40" t="str">
        <f t="shared" si="3"/>
        <v/>
      </c>
      <c r="AG40" s="38" t="str">
        <f t="shared" si="0"/>
        <v/>
      </c>
      <c r="AI40" t="str">
        <f t="shared" si="1"/>
        <v/>
      </c>
      <c r="AJ40" s="38" t="str">
        <f t="shared" si="2"/>
        <v/>
      </c>
    </row>
    <row r="41" spans="1:36" x14ac:dyDescent="0.2">
      <c r="A41" t="str">
        <f t="shared" si="4"/>
        <v/>
      </c>
      <c r="B41" s="38" t="str">
        <f t="shared" si="5"/>
        <v/>
      </c>
      <c r="C41" s="38" t="str">
        <f t="shared" si="6"/>
        <v/>
      </c>
      <c r="D41" s="38" t="str">
        <f t="shared" si="7"/>
        <v/>
      </c>
      <c r="E41" s="38" t="str">
        <f t="shared" si="8"/>
        <v/>
      </c>
      <c r="F41" s="38" t="str">
        <f t="shared" si="9"/>
        <v/>
      </c>
      <c r="G41" s="38" t="str">
        <f t="shared" si="21"/>
        <v/>
      </c>
      <c r="H41" s="38" t="str">
        <f t="shared" si="22"/>
        <v/>
      </c>
      <c r="L41" t="str">
        <f t="shared" si="12"/>
        <v/>
      </c>
      <c r="M41" s="38" t="str">
        <f t="shared" si="13"/>
        <v/>
      </c>
      <c r="N41" s="38" t="str">
        <f t="shared" si="14"/>
        <v/>
      </c>
      <c r="O41" s="38" t="str">
        <f t="shared" si="15"/>
        <v/>
      </c>
      <c r="P41" s="38" t="str">
        <f t="shared" si="16"/>
        <v/>
      </c>
      <c r="Q41" s="38" t="str">
        <f t="shared" si="17"/>
        <v/>
      </c>
      <c r="R41" s="38" t="str">
        <f t="shared" si="18"/>
        <v/>
      </c>
      <c r="S41" s="38" t="str">
        <f t="shared" si="19"/>
        <v/>
      </c>
      <c r="T41" s="38" t="str">
        <f t="shared" si="20"/>
        <v/>
      </c>
      <c r="AF41" t="str">
        <f t="shared" si="3"/>
        <v/>
      </c>
      <c r="AG41" s="38" t="str">
        <f t="shared" si="0"/>
        <v/>
      </c>
      <c r="AI41" t="str">
        <f t="shared" si="1"/>
        <v/>
      </c>
      <c r="AJ41" s="38" t="str">
        <f t="shared" si="2"/>
        <v/>
      </c>
    </row>
    <row r="42" spans="1:36" x14ac:dyDescent="0.2">
      <c r="A42" t="str">
        <f t="shared" si="4"/>
        <v/>
      </c>
      <c r="B42" s="38" t="str">
        <f t="shared" si="5"/>
        <v/>
      </c>
      <c r="C42" s="38" t="str">
        <f t="shared" si="6"/>
        <v/>
      </c>
      <c r="D42" s="38" t="str">
        <f t="shared" si="7"/>
        <v/>
      </c>
      <c r="E42" s="38" t="str">
        <f t="shared" si="8"/>
        <v/>
      </c>
      <c r="F42" s="38" t="str">
        <f t="shared" si="9"/>
        <v/>
      </c>
      <c r="G42" s="38" t="str">
        <f t="shared" si="21"/>
        <v/>
      </c>
      <c r="H42" s="38" t="str">
        <f t="shared" si="22"/>
        <v/>
      </c>
      <c r="L42" t="str">
        <f t="shared" si="12"/>
        <v/>
      </c>
      <c r="M42" s="38" t="str">
        <f t="shared" si="13"/>
        <v/>
      </c>
      <c r="N42" s="38" t="str">
        <f t="shared" si="14"/>
        <v/>
      </c>
      <c r="O42" s="38" t="str">
        <f t="shared" si="15"/>
        <v/>
      </c>
      <c r="P42" s="38" t="str">
        <f t="shared" si="16"/>
        <v/>
      </c>
      <c r="Q42" s="38" t="str">
        <f t="shared" si="17"/>
        <v/>
      </c>
      <c r="R42" s="38" t="str">
        <f t="shared" si="18"/>
        <v/>
      </c>
      <c r="S42" s="38" t="str">
        <f t="shared" si="19"/>
        <v/>
      </c>
      <c r="T42" s="38" t="str">
        <f t="shared" si="20"/>
        <v/>
      </c>
      <c r="AF42" t="str">
        <f t="shared" si="3"/>
        <v/>
      </c>
      <c r="AG42" s="38" t="str">
        <f t="shared" si="0"/>
        <v/>
      </c>
      <c r="AI42" t="str">
        <f t="shared" si="1"/>
        <v/>
      </c>
      <c r="AJ42" s="38" t="str">
        <f t="shared" si="2"/>
        <v/>
      </c>
    </row>
    <row r="43" spans="1:36" x14ac:dyDescent="0.2">
      <c r="A43" t="str">
        <f t="shared" si="4"/>
        <v/>
      </c>
      <c r="B43" s="38" t="str">
        <f t="shared" si="5"/>
        <v/>
      </c>
      <c r="C43" s="38" t="str">
        <f t="shared" si="6"/>
        <v/>
      </c>
      <c r="D43" s="38" t="str">
        <f t="shared" si="7"/>
        <v/>
      </c>
      <c r="E43" s="38" t="str">
        <f t="shared" si="8"/>
        <v/>
      </c>
      <c r="F43" s="38" t="str">
        <f t="shared" si="9"/>
        <v/>
      </c>
      <c r="G43" s="38" t="str">
        <f t="shared" si="21"/>
        <v/>
      </c>
      <c r="H43" s="38" t="str">
        <f t="shared" si="22"/>
        <v/>
      </c>
      <c r="L43" t="str">
        <f t="shared" si="12"/>
        <v/>
      </c>
      <c r="M43" s="38" t="str">
        <f t="shared" si="13"/>
        <v/>
      </c>
      <c r="N43" s="38" t="str">
        <f t="shared" si="14"/>
        <v/>
      </c>
      <c r="O43" s="38" t="str">
        <f t="shared" si="15"/>
        <v/>
      </c>
      <c r="P43" s="38" t="str">
        <f t="shared" si="16"/>
        <v/>
      </c>
      <c r="Q43" s="38" t="str">
        <f t="shared" si="17"/>
        <v/>
      </c>
      <c r="R43" s="38" t="str">
        <f t="shared" si="18"/>
        <v/>
      </c>
      <c r="S43" s="38" t="str">
        <f t="shared" si="19"/>
        <v/>
      </c>
      <c r="T43" s="38" t="str">
        <f t="shared" si="20"/>
        <v/>
      </c>
      <c r="AF43" t="str">
        <f t="shared" si="3"/>
        <v/>
      </c>
      <c r="AG43" s="38" t="str">
        <f t="shared" si="0"/>
        <v/>
      </c>
      <c r="AI43" t="str">
        <f t="shared" si="1"/>
        <v/>
      </c>
      <c r="AJ43" s="38" t="str">
        <f t="shared" si="2"/>
        <v/>
      </c>
    </row>
    <row r="44" spans="1:36" x14ac:dyDescent="0.2">
      <c r="A44" t="str">
        <f t="shared" si="4"/>
        <v/>
      </c>
      <c r="B44" s="38" t="str">
        <f t="shared" si="5"/>
        <v/>
      </c>
      <c r="C44" s="38" t="str">
        <f t="shared" si="6"/>
        <v/>
      </c>
      <c r="D44" s="38" t="str">
        <f t="shared" si="7"/>
        <v/>
      </c>
      <c r="E44" s="38" t="str">
        <f t="shared" si="8"/>
        <v/>
      </c>
      <c r="F44" s="38" t="str">
        <f t="shared" si="9"/>
        <v/>
      </c>
      <c r="G44" s="38" t="str">
        <f t="shared" si="21"/>
        <v/>
      </c>
      <c r="H44" s="38" t="str">
        <f t="shared" si="22"/>
        <v/>
      </c>
      <c r="L44" t="str">
        <f t="shared" si="12"/>
        <v/>
      </c>
      <c r="M44" s="38" t="str">
        <f t="shared" si="13"/>
        <v/>
      </c>
      <c r="N44" s="38" t="str">
        <f t="shared" si="14"/>
        <v/>
      </c>
      <c r="O44" s="38" t="str">
        <f t="shared" si="15"/>
        <v/>
      </c>
      <c r="P44" s="38" t="str">
        <f t="shared" si="16"/>
        <v/>
      </c>
      <c r="Q44" s="38" t="str">
        <f t="shared" si="17"/>
        <v/>
      </c>
      <c r="R44" s="38" t="str">
        <f t="shared" si="18"/>
        <v/>
      </c>
      <c r="S44" s="38" t="str">
        <f t="shared" si="19"/>
        <v/>
      </c>
      <c r="T44" s="38" t="str">
        <f t="shared" si="20"/>
        <v/>
      </c>
      <c r="AF44" t="str">
        <f t="shared" si="3"/>
        <v/>
      </c>
      <c r="AG44" s="38" t="str">
        <f t="shared" si="0"/>
        <v/>
      </c>
      <c r="AI44" t="str">
        <f t="shared" si="1"/>
        <v/>
      </c>
      <c r="AJ44" s="38" t="str">
        <f t="shared" si="2"/>
        <v/>
      </c>
    </row>
    <row r="45" spans="1:36" x14ac:dyDescent="0.2">
      <c r="A45" t="str">
        <f t="shared" si="4"/>
        <v/>
      </c>
      <c r="B45" s="38" t="str">
        <f t="shared" si="5"/>
        <v/>
      </c>
      <c r="C45" s="38" t="str">
        <f t="shared" si="6"/>
        <v/>
      </c>
      <c r="D45" s="38" t="str">
        <f t="shared" si="7"/>
        <v/>
      </c>
      <c r="E45" s="38" t="str">
        <f t="shared" si="8"/>
        <v/>
      </c>
      <c r="F45" s="38" t="str">
        <f t="shared" si="9"/>
        <v/>
      </c>
      <c r="G45" s="38" t="str">
        <f t="shared" si="21"/>
        <v/>
      </c>
      <c r="H45" s="38" t="str">
        <f t="shared" si="22"/>
        <v/>
      </c>
      <c r="L45" t="str">
        <f t="shared" si="12"/>
        <v/>
      </c>
      <c r="M45" s="38" t="str">
        <f t="shared" si="13"/>
        <v/>
      </c>
      <c r="N45" s="38" t="str">
        <f t="shared" si="14"/>
        <v/>
      </c>
      <c r="O45" s="38" t="str">
        <f t="shared" si="15"/>
        <v/>
      </c>
      <c r="P45" s="38" t="str">
        <f t="shared" si="16"/>
        <v/>
      </c>
      <c r="Q45" s="38" t="str">
        <f t="shared" si="17"/>
        <v/>
      </c>
      <c r="R45" s="38" t="str">
        <f t="shared" si="18"/>
        <v/>
      </c>
      <c r="S45" s="38" t="str">
        <f t="shared" si="19"/>
        <v/>
      </c>
      <c r="T45" s="38" t="str">
        <f t="shared" si="20"/>
        <v/>
      </c>
      <c r="AF45" t="str">
        <f t="shared" si="3"/>
        <v/>
      </c>
      <c r="AG45" s="38" t="str">
        <f t="shared" si="0"/>
        <v/>
      </c>
      <c r="AI45" t="str">
        <f t="shared" si="1"/>
        <v/>
      </c>
      <c r="AJ45" s="38" t="str">
        <f t="shared" si="2"/>
        <v/>
      </c>
    </row>
    <row r="46" spans="1:36" x14ac:dyDescent="0.2">
      <c r="A46" t="str">
        <f t="shared" si="4"/>
        <v/>
      </c>
      <c r="B46" s="38" t="str">
        <f t="shared" si="5"/>
        <v/>
      </c>
      <c r="C46" s="38" t="str">
        <f t="shared" si="6"/>
        <v/>
      </c>
      <c r="D46" s="38" t="str">
        <f t="shared" si="7"/>
        <v/>
      </c>
      <c r="E46" s="38" t="str">
        <f t="shared" si="8"/>
        <v/>
      </c>
      <c r="F46" s="38" t="str">
        <f t="shared" si="9"/>
        <v/>
      </c>
      <c r="G46" s="38" t="str">
        <f t="shared" si="21"/>
        <v/>
      </c>
      <c r="H46" s="38" t="str">
        <f t="shared" si="22"/>
        <v/>
      </c>
      <c r="L46" t="str">
        <f t="shared" si="12"/>
        <v/>
      </c>
      <c r="M46" s="38" t="str">
        <f t="shared" si="13"/>
        <v/>
      </c>
      <c r="N46" s="38" t="str">
        <f t="shared" si="14"/>
        <v/>
      </c>
      <c r="O46" s="38" t="str">
        <f t="shared" si="15"/>
        <v/>
      </c>
      <c r="P46" s="38" t="str">
        <f t="shared" si="16"/>
        <v/>
      </c>
      <c r="Q46" s="38" t="str">
        <f t="shared" si="17"/>
        <v/>
      </c>
      <c r="R46" s="38" t="str">
        <f t="shared" si="18"/>
        <v/>
      </c>
      <c r="S46" s="38" t="str">
        <f t="shared" si="19"/>
        <v/>
      </c>
      <c r="T46" s="38" t="str">
        <f t="shared" si="20"/>
        <v/>
      </c>
      <c r="AF46" t="str">
        <f t="shared" si="3"/>
        <v/>
      </c>
      <c r="AG46" s="38" t="str">
        <f t="shared" si="0"/>
        <v/>
      </c>
      <c r="AI46" t="str">
        <f t="shared" si="1"/>
        <v/>
      </c>
      <c r="AJ46" s="38" t="str">
        <f t="shared" si="2"/>
        <v/>
      </c>
    </row>
    <row r="47" spans="1:36" x14ac:dyDescent="0.2">
      <c r="A47" t="str">
        <f t="shared" si="4"/>
        <v/>
      </c>
      <c r="B47" s="38" t="str">
        <f t="shared" si="5"/>
        <v/>
      </c>
      <c r="C47" s="38" t="str">
        <f t="shared" si="6"/>
        <v/>
      </c>
      <c r="D47" s="38" t="str">
        <f t="shared" si="7"/>
        <v/>
      </c>
      <c r="E47" s="38" t="str">
        <f t="shared" si="8"/>
        <v/>
      </c>
      <c r="F47" s="38" t="str">
        <f t="shared" si="9"/>
        <v/>
      </c>
      <c r="G47" s="38" t="str">
        <f t="shared" si="21"/>
        <v/>
      </c>
      <c r="H47" s="38" t="str">
        <f t="shared" si="22"/>
        <v/>
      </c>
      <c r="L47" t="str">
        <f t="shared" si="12"/>
        <v/>
      </c>
      <c r="M47" s="38" t="str">
        <f t="shared" si="13"/>
        <v/>
      </c>
      <c r="N47" s="38" t="str">
        <f t="shared" si="14"/>
        <v/>
      </c>
      <c r="O47" s="38" t="str">
        <f t="shared" si="15"/>
        <v/>
      </c>
      <c r="P47" s="38" t="str">
        <f t="shared" si="16"/>
        <v/>
      </c>
      <c r="Q47" s="38" t="str">
        <f t="shared" si="17"/>
        <v/>
      </c>
      <c r="R47" s="38" t="str">
        <f t="shared" si="18"/>
        <v/>
      </c>
      <c r="S47" s="38" t="str">
        <f t="shared" si="19"/>
        <v/>
      </c>
      <c r="T47" s="38" t="str">
        <f t="shared" si="20"/>
        <v/>
      </c>
      <c r="AF47" t="str">
        <f t="shared" si="3"/>
        <v/>
      </c>
      <c r="AG47" s="38" t="str">
        <f t="shared" si="0"/>
        <v/>
      </c>
      <c r="AI47" t="str">
        <f t="shared" si="1"/>
        <v/>
      </c>
      <c r="AJ47" s="38" t="str">
        <f t="shared" si="2"/>
        <v/>
      </c>
    </row>
    <row r="48" spans="1:36" x14ac:dyDescent="0.2">
      <c r="A48" t="str">
        <f t="shared" si="4"/>
        <v/>
      </c>
      <c r="B48" s="38" t="str">
        <f t="shared" si="5"/>
        <v/>
      </c>
      <c r="C48" s="38" t="str">
        <f t="shared" si="6"/>
        <v/>
      </c>
      <c r="D48" s="38" t="str">
        <f t="shared" si="7"/>
        <v/>
      </c>
      <c r="E48" s="38" t="str">
        <f t="shared" si="8"/>
        <v/>
      </c>
      <c r="F48" s="38" t="str">
        <f t="shared" si="9"/>
        <v/>
      </c>
      <c r="G48" s="38" t="str">
        <f t="shared" si="21"/>
        <v/>
      </c>
      <c r="H48" s="38" t="str">
        <f t="shared" si="22"/>
        <v/>
      </c>
      <c r="L48" t="str">
        <f t="shared" si="12"/>
        <v/>
      </c>
      <c r="M48" s="38" t="str">
        <f t="shared" si="13"/>
        <v/>
      </c>
      <c r="N48" s="38" t="str">
        <f t="shared" si="14"/>
        <v/>
      </c>
      <c r="O48" s="38" t="str">
        <f t="shared" si="15"/>
        <v/>
      </c>
      <c r="P48" s="38" t="str">
        <f t="shared" si="16"/>
        <v/>
      </c>
      <c r="Q48" s="38" t="str">
        <f t="shared" si="17"/>
        <v/>
      </c>
      <c r="R48" s="38" t="str">
        <f t="shared" si="18"/>
        <v/>
      </c>
      <c r="S48" s="38" t="str">
        <f t="shared" si="19"/>
        <v/>
      </c>
      <c r="T48" s="38" t="str">
        <f t="shared" si="20"/>
        <v/>
      </c>
      <c r="AF48" t="str">
        <f t="shared" si="3"/>
        <v/>
      </c>
      <c r="AG48" s="38" t="str">
        <f t="shared" si="0"/>
        <v/>
      </c>
      <c r="AI48" t="str">
        <f t="shared" si="1"/>
        <v/>
      </c>
      <c r="AJ48" s="38" t="str">
        <f t="shared" si="2"/>
        <v/>
      </c>
    </row>
    <row r="49" spans="1:36" x14ac:dyDescent="0.2">
      <c r="A49" t="str">
        <f t="shared" si="4"/>
        <v/>
      </c>
      <c r="B49" s="38" t="str">
        <f t="shared" si="5"/>
        <v/>
      </c>
      <c r="C49" s="38" t="str">
        <f t="shared" si="6"/>
        <v/>
      </c>
      <c r="D49" s="38" t="str">
        <f t="shared" si="7"/>
        <v/>
      </c>
      <c r="E49" s="38" t="str">
        <f t="shared" si="8"/>
        <v/>
      </c>
      <c r="F49" s="38" t="str">
        <f t="shared" si="9"/>
        <v/>
      </c>
      <c r="G49" s="38" t="str">
        <f t="shared" si="21"/>
        <v/>
      </c>
      <c r="H49" s="38" t="str">
        <f t="shared" si="22"/>
        <v/>
      </c>
      <c r="L49" t="str">
        <f t="shared" si="12"/>
        <v/>
      </c>
      <c r="M49" s="38" t="str">
        <f t="shared" si="13"/>
        <v/>
      </c>
      <c r="N49" s="38" t="str">
        <f t="shared" si="14"/>
        <v/>
      </c>
      <c r="O49" s="38" t="str">
        <f t="shared" si="15"/>
        <v/>
      </c>
      <c r="P49" s="38" t="str">
        <f t="shared" si="16"/>
        <v/>
      </c>
      <c r="Q49" s="38" t="str">
        <f t="shared" si="17"/>
        <v/>
      </c>
      <c r="R49" s="38" t="str">
        <f t="shared" si="18"/>
        <v/>
      </c>
      <c r="S49" s="38" t="str">
        <f t="shared" si="19"/>
        <v/>
      </c>
      <c r="T49" s="38" t="str">
        <f t="shared" si="20"/>
        <v/>
      </c>
      <c r="AF49" t="str">
        <f t="shared" si="3"/>
        <v/>
      </c>
      <c r="AG49" s="38" t="str">
        <f t="shared" si="0"/>
        <v/>
      </c>
      <c r="AI49" t="str">
        <f t="shared" si="1"/>
        <v/>
      </c>
      <c r="AJ49" s="38" t="str">
        <f t="shared" si="2"/>
        <v/>
      </c>
    </row>
    <row r="50" spans="1:36" x14ac:dyDescent="0.2">
      <c r="A50" t="str">
        <f t="shared" si="4"/>
        <v/>
      </c>
      <c r="B50" s="38" t="str">
        <f t="shared" si="5"/>
        <v/>
      </c>
      <c r="C50" s="38" t="str">
        <f t="shared" si="6"/>
        <v/>
      </c>
      <c r="D50" s="38" t="str">
        <f t="shared" si="7"/>
        <v/>
      </c>
      <c r="E50" s="38" t="str">
        <f t="shared" si="8"/>
        <v/>
      </c>
      <c r="F50" s="38" t="str">
        <f t="shared" si="9"/>
        <v/>
      </c>
      <c r="G50" s="38" t="str">
        <f t="shared" si="21"/>
        <v/>
      </c>
      <c r="H50" s="38" t="str">
        <f t="shared" si="22"/>
        <v/>
      </c>
      <c r="L50" t="str">
        <f t="shared" si="12"/>
        <v/>
      </c>
      <c r="M50" s="38" t="str">
        <f t="shared" si="13"/>
        <v/>
      </c>
      <c r="N50" s="38" t="str">
        <f t="shared" si="14"/>
        <v/>
      </c>
      <c r="O50" s="38" t="str">
        <f t="shared" si="15"/>
        <v/>
      </c>
      <c r="P50" s="38" t="str">
        <f t="shared" si="16"/>
        <v/>
      </c>
      <c r="Q50" s="38" t="str">
        <f t="shared" si="17"/>
        <v/>
      </c>
      <c r="R50" s="38" t="str">
        <f t="shared" si="18"/>
        <v/>
      </c>
      <c r="S50" s="38" t="str">
        <f t="shared" si="19"/>
        <v/>
      </c>
      <c r="T50" s="38" t="str">
        <f t="shared" si="20"/>
        <v/>
      </c>
      <c r="AF50" t="str">
        <f t="shared" si="3"/>
        <v/>
      </c>
      <c r="AG50" s="38" t="str">
        <f t="shared" si="0"/>
        <v/>
      </c>
      <c r="AI50" t="str">
        <f t="shared" si="1"/>
        <v/>
      </c>
      <c r="AJ50" s="38" t="str">
        <f t="shared" si="2"/>
        <v/>
      </c>
    </row>
    <row r="51" spans="1:36" x14ac:dyDescent="0.2">
      <c r="A51" t="str">
        <f t="shared" si="4"/>
        <v/>
      </c>
      <c r="B51" s="38" t="str">
        <f t="shared" si="5"/>
        <v/>
      </c>
      <c r="C51" s="38" t="str">
        <f t="shared" si="6"/>
        <v/>
      </c>
      <c r="D51" s="38" t="str">
        <f t="shared" si="7"/>
        <v/>
      </c>
      <c r="E51" s="38" t="str">
        <f t="shared" si="8"/>
        <v/>
      </c>
      <c r="F51" s="38" t="str">
        <f t="shared" si="9"/>
        <v/>
      </c>
      <c r="G51" s="38" t="str">
        <f t="shared" si="21"/>
        <v/>
      </c>
      <c r="H51" s="38" t="str">
        <f t="shared" si="22"/>
        <v/>
      </c>
      <c r="L51" t="str">
        <f t="shared" si="12"/>
        <v/>
      </c>
      <c r="M51" s="38" t="str">
        <f t="shared" si="13"/>
        <v/>
      </c>
      <c r="N51" s="38" t="str">
        <f t="shared" si="14"/>
        <v/>
      </c>
      <c r="O51" s="38" t="str">
        <f t="shared" si="15"/>
        <v/>
      </c>
      <c r="P51" s="38" t="str">
        <f t="shared" si="16"/>
        <v/>
      </c>
      <c r="Q51" s="38" t="str">
        <f t="shared" si="17"/>
        <v/>
      </c>
      <c r="R51" s="38" t="str">
        <f t="shared" si="18"/>
        <v/>
      </c>
      <c r="S51" s="38" t="str">
        <f t="shared" si="19"/>
        <v/>
      </c>
      <c r="T51" s="38" t="str">
        <f t="shared" si="20"/>
        <v/>
      </c>
      <c r="AG51" s="38"/>
      <c r="AJ51" s="38"/>
    </row>
    <row r="52" spans="1:36" x14ac:dyDescent="0.2">
      <c r="A52" t="str">
        <f t="shared" si="4"/>
        <v/>
      </c>
      <c r="B52" s="38" t="str">
        <f t="shared" si="5"/>
        <v/>
      </c>
      <c r="C52" s="38" t="str">
        <f t="shared" si="6"/>
        <v/>
      </c>
      <c r="D52" s="38" t="str">
        <f t="shared" si="7"/>
        <v/>
      </c>
      <c r="E52" s="38" t="str">
        <f t="shared" si="8"/>
        <v/>
      </c>
      <c r="F52" s="38" t="str">
        <f t="shared" si="9"/>
        <v/>
      </c>
      <c r="G52" s="38" t="str">
        <f t="shared" si="21"/>
        <v/>
      </c>
      <c r="H52" s="38" t="str">
        <f t="shared" si="22"/>
        <v/>
      </c>
      <c r="L52" t="str">
        <f t="shared" si="12"/>
        <v/>
      </c>
      <c r="M52" s="38" t="str">
        <f t="shared" si="13"/>
        <v/>
      </c>
      <c r="N52" s="38" t="str">
        <f t="shared" si="14"/>
        <v/>
      </c>
      <c r="O52" s="38" t="str">
        <f t="shared" si="15"/>
        <v/>
      </c>
      <c r="P52" s="38" t="str">
        <f t="shared" si="16"/>
        <v/>
      </c>
      <c r="Q52" s="38" t="str">
        <f t="shared" si="17"/>
        <v/>
      </c>
      <c r="R52" s="38" t="str">
        <f t="shared" si="18"/>
        <v/>
      </c>
      <c r="S52" s="38" t="str">
        <f t="shared" si="19"/>
        <v/>
      </c>
      <c r="T52" s="38" t="str">
        <f t="shared" si="20"/>
        <v/>
      </c>
      <c r="AG52" s="38"/>
      <c r="AJ52" s="38"/>
    </row>
    <row r="53" spans="1:36" x14ac:dyDescent="0.2">
      <c r="A53" t="str">
        <f t="shared" si="4"/>
        <v/>
      </c>
      <c r="B53" s="38" t="str">
        <f t="shared" si="5"/>
        <v/>
      </c>
      <c r="C53" s="38" t="str">
        <f t="shared" si="6"/>
        <v/>
      </c>
      <c r="D53" s="38" t="str">
        <f t="shared" si="7"/>
        <v/>
      </c>
      <c r="E53" s="38" t="str">
        <f t="shared" si="8"/>
        <v/>
      </c>
      <c r="F53" s="38" t="str">
        <f t="shared" si="9"/>
        <v/>
      </c>
      <c r="G53" s="38" t="str">
        <f t="shared" si="21"/>
        <v/>
      </c>
      <c r="H53" s="38" t="str">
        <f t="shared" si="22"/>
        <v/>
      </c>
      <c r="L53" t="str">
        <f t="shared" si="12"/>
        <v/>
      </c>
      <c r="M53" s="38" t="str">
        <f t="shared" si="13"/>
        <v/>
      </c>
      <c r="N53" s="38" t="str">
        <f t="shared" si="14"/>
        <v/>
      </c>
      <c r="O53" s="38" t="str">
        <f t="shared" si="15"/>
        <v/>
      </c>
      <c r="P53" s="38" t="str">
        <f t="shared" si="16"/>
        <v/>
      </c>
      <c r="Q53" s="38" t="str">
        <f t="shared" si="17"/>
        <v/>
      </c>
      <c r="R53" s="38" t="str">
        <f t="shared" si="18"/>
        <v/>
      </c>
      <c r="S53" s="38" t="str">
        <f t="shared" si="19"/>
        <v/>
      </c>
      <c r="T53" s="38" t="str">
        <f t="shared" si="20"/>
        <v/>
      </c>
      <c r="AG53" s="38"/>
    </row>
    <row r="54" spans="1:36" x14ac:dyDescent="0.2">
      <c r="A54" t="str">
        <f t="shared" si="4"/>
        <v/>
      </c>
      <c r="B54" s="38" t="str">
        <f t="shared" si="5"/>
        <v/>
      </c>
      <c r="C54" s="38" t="str">
        <f t="shared" si="6"/>
        <v/>
      </c>
      <c r="D54" s="38" t="str">
        <f t="shared" si="7"/>
        <v/>
      </c>
      <c r="E54" s="38" t="str">
        <f t="shared" si="8"/>
        <v/>
      </c>
      <c r="F54" s="38" t="str">
        <f t="shared" si="9"/>
        <v/>
      </c>
      <c r="G54" s="38" t="str">
        <f t="shared" si="21"/>
        <v/>
      </c>
      <c r="H54" s="38" t="str">
        <f t="shared" si="22"/>
        <v/>
      </c>
      <c r="L54" t="str">
        <f t="shared" si="12"/>
        <v/>
      </c>
      <c r="M54" s="38" t="str">
        <f t="shared" si="13"/>
        <v/>
      </c>
      <c r="N54" s="38" t="str">
        <f t="shared" si="14"/>
        <v/>
      </c>
      <c r="O54" s="38" t="str">
        <f t="shared" si="15"/>
        <v/>
      </c>
      <c r="P54" s="38" t="str">
        <f t="shared" si="16"/>
        <v/>
      </c>
      <c r="Q54" s="38" t="str">
        <f t="shared" si="17"/>
        <v/>
      </c>
      <c r="R54" s="38" t="str">
        <f t="shared" si="18"/>
        <v/>
      </c>
      <c r="S54" s="38" t="str">
        <f t="shared" si="19"/>
        <v/>
      </c>
      <c r="T54" s="38" t="str">
        <f t="shared" si="20"/>
        <v/>
      </c>
      <c r="AG54" s="38"/>
    </row>
    <row r="55" spans="1:36" x14ac:dyDescent="0.2">
      <c r="A55" t="str">
        <f t="shared" si="4"/>
        <v/>
      </c>
      <c r="B55" s="38" t="str">
        <f t="shared" si="5"/>
        <v/>
      </c>
      <c r="C55" s="38" t="str">
        <f t="shared" si="6"/>
        <v/>
      </c>
      <c r="D55" s="38" t="str">
        <f t="shared" si="7"/>
        <v/>
      </c>
      <c r="E55" s="38" t="str">
        <f t="shared" si="8"/>
        <v/>
      </c>
      <c r="F55" s="38" t="str">
        <f t="shared" si="9"/>
        <v/>
      </c>
      <c r="G55" s="38" t="str">
        <f t="shared" si="21"/>
        <v/>
      </c>
      <c r="H55" s="38" t="str">
        <f t="shared" si="22"/>
        <v/>
      </c>
      <c r="L55" t="str">
        <f t="shared" si="12"/>
        <v/>
      </c>
      <c r="M55" s="38" t="str">
        <f t="shared" si="13"/>
        <v/>
      </c>
      <c r="N55" s="38" t="str">
        <f t="shared" si="14"/>
        <v/>
      </c>
      <c r="O55" s="38" t="str">
        <f t="shared" si="15"/>
        <v/>
      </c>
      <c r="P55" s="38" t="str">
        <f t="shared" si="16"/>
        <v/>
      </c>
      <c r="Q55" s="38" t="str">
        <f t="shared" si="17"/>
        <v/>
      </c>
      <c r="R55" s="38" t="str">
        <f t="shared" si="18"/>
        <v/>
      </c>
      <c r="S55" s="38" t="str">
        <f t="shared" si="19"/>
        <v/>
      </c>
      <c r="T55" s="38" t="str">
        <f t="shared" si="20"/>
        <v/>
      </c>
      <c r="AG55" s="38"/>
    </row>
    <row r="56" spans="1:36" x14ac:dyDescent="0.2">
      <c r="A56" t="str">
        <f t="shared" si="4"/>
        <v/>
      </c>
      <c r="B56" s="38" t="str">
        <f t="shared" si="5"/>
        <v/>
      </c>
      <c r="C56" s="38" t="str">
        <f t="shared" si="6"/>
        <v/>
      </c>
      <c r="D56" s="38" t="str">
        <f t="shared" si="7"/>
        <v/>
      </c>
      <c r="E56" s="38" t="str">
        <f t="shared" si="8"/>
        <v/>
      </c>
      <c r="F56" s="38" t="str">
        <f t="shared" si="9"/>
        <v/>
      </c>
      <c r="G56" s="38" t="str">
        <f t="shared" si="21"/>
        <v/>
      </c>
      <c r="H56" s="38" t="str">
        <f t="shared" si="22"/>
        <v/>
      </c>
      <c r="L56" t="str">
        <f t="shared" si="12"/>
        <v/>
      </c>
      <c r="M56" s="38" t="str">
        <f t="shared" si="13"/>
        <v/>
      </c>
      <c r="N56" s="38" t="str">
        <f t="shared" si="14"/>
        <v/>
      </c>
      <c r="O56" s="38" t="str">
        <f t="shared" si="15"/>
        <v/>
      </c>
      <c r="P56" s="38" t="str">
        <f t="shared" si="16"/>
        <v/>
      </c>
      <c r="Q56" s="38" t="str">
        <f t="shared" si="17"/>
        <v/>
      </c>
      <c r="R56" s="38" t="str">
        <f t="shared" si="18"/>
        <v/>
      </c>
      <c r="S56" s="38" t="str">
        <f t="shared" si="19"/>
        <v/>
      </c>
      <c r="T56" s="38" t="str">
        <f t="shared" si="20"/>
        <v/>
      </c>
      <c r="AG56" s="38"/>
    </row>
    <row r="57" spans="1:36" x14ac:dyDescent="0.2">
      <c r="A57" t="str">
        <f t="shared" si="4"/>
        <v/>
      </c>
      <c r="B57" s="38" t="str">
        <f t="shared" si="5"/>
        <v/>
      </c>
      <c r="C57" s="38" t="str">
        <f t="shared" si="6"/>
        <v/>
      </c>
      <c r="D57" s="38" t="str">
        <f t="shared" si="7"/>
        <v/>
      </c>
      <c r="E57" s="38" t="str">
        <f t="shared" si="8"/>
        <v/>
      </c>
      <c r="F57" s="38" t="str">
        <f t="shared" si="9"/>
        <v/>
      </c>
      <c r="G57" s="38" t="str">
        <f t="shared" si="21"/>
        <v/>
      </c>
      <c r="H57" s="38" t="str">
        <f t="shared" si="22"/>
        <v/>
      </c>
      <c r="L57" t="str">
        <f t="shared" si="12"/>
        <v/>
      </c>
      <c r="M57" s="38" t="str">
        <f t="shared" si="13"/>
        <v/>
      </c>
      <c r="N57" s="38" t="str">
        <f t="shared" si="14"/>
        <v/>
      </c>
      <c r="O57" s="38" t="str">
        <f t="shared" si="15"/>
        <v/>
      </c>
      <c r="P57" s="38" t="str">
        <f t="shared" si="16"/>
        <v/>
      </c>
      <c r="Q57" s="38" t="str">
        <f t="shared" si="17"/>
        <v/>
      </c>
      <c r="R57" s="38" t="str">
        <f t="shared" si="18"/>
        <v/>
      </c>
      <c r="S57" s="38" t="str">
        <f t="shared" si="19"/>
        <v/>
      </c>
      <c r="T57" s="38" t="str">
        <f t="shared" si="20"/>
        <v/>
      </c>
      <c r="AG57" s="38"/>
    </row>
    <row r="58" spans="1:36" x14ac:dyDescent="0.2">
      <c r="A58" t="str">
        <f t="shared" si="4"/>
        <v/>
      </c>
      <c r="B58" s="38" t="str">
        <f t="shared" si="5"/>
        <v/>
      </c>
      <c r="C58" s="38" t="str">
        <f t="shared" si="6"/>
        <v/>
      </c>
      <c r="D58" s="38" t="str">
        <f t="shared" si="7"/>
        <v/>
      </c>
      <c r="E58" s="38" t="str">
        <f t="shared" si="8"/>
        <v/>
      </c>
      <c r="F58" s="38" t="str">
        <f t="shared" si="9"/>
        <v/>
      </c>
      <c r="G58" s="38" t="str">
        <f t="shared" si="21"/>
        <v/>
      </c>
      <c r="H58" s="38" t="str">
        <f t="shared" si="22"/>
        <v/>
      </c>
      <c r="L58" t="str">
        <f t="shared" si="12"/>
        <v/>
      </c>
      <c r="M58" s="38" t="str">
        <f t="shared" si="13"/>
        <v/>
      </c>
      <c r="N58" s="38" t="str">
        <f t="shared" si="14"/>
        <v/>
      </c>
      <c r="O58" s="38" t="str">
        <f t="shared" si="15"/>
        <v/>
      </c>
      <c r="P58" s="38" t="str">
        <f t="shared" si="16"/>
        <v/>
      </c>
      <c r="Q58" s="38" t="str">
        <f t="shared" si="17"/>
        <v/>
      </c>
      <c r="R58" s="38" t="str">
        <f t="shared" si="18"/>
        <v/>
      </c>
      <c r="S58" s="38" t="str">
        <f t="shared" si="19"/>
        <v/>
      </c>
      <c r="T58" s="38" t="str">
        <f t="shared" si="20"/>
        <v/>
      </c>
      <c r="AG58" s="38"/>
    </row>
    <row r="59" spans="1:36" x14ac:dyDescent="0.2">
      <c r="A59" t="str">
        <f t="shared" si="4"/>
        <v/>
      </c>
      <c r="B59" s="38" t="str">
        <f t="shared" si="5"/>
        <v/>
      </c>
      <c r="C59" s="38" t="str">
        <f t="shared" si="6"/>
        <v/>
      </c>
      <c r="D59" s="38" t="str">
        <f t="shared" si="7"/>
        <v/>
      </c>
      <c r="E59" s="38" t="str">
        <f t="shared" si="8"/>
        <v/>
      </c>
      <c r="F59" s="38" t="str">
        <f t="shared" si="9"/>
        <v/>
      </c>
      <c r="G59" s="38" t="str">
        <f t="shared" si="21"/>
        <v/>
      </c>
      <c r="H59" s="38" t="str">
        <f t="shared" si="22"/>
        <v/>
      </c>
      <c r="L59" t="str">
        <f t="shared" si="12"/>
        <v/>
      </c>
      <c r="M59" s="38" t="str">
        <f t="shared" si="13"/>
        <v/>
      </c>
      <c r="N59" s="38" t="str">
        <f t="shared" si="14"/>
        <v/>
      </c>
      <c r="O59" s="38" t="str">
        <f t="shared" si="15"/>
        <v/>
      </c>
      <c r="P59" s="38" t="str">
        <f t="shared" si="16"/>
        <v/>
      </c>
      <c r="Q59" s="38" t="str">
        <f t="shared" si="17"/>
        <v/>
      </c>
      <c r="R59" s="38" t="str">
        <f t="shared" si="18"/>
        <v/>
      </c>
      <c r="S59" s="38" t="str">
        <f t="shared" si="19"/>
        <v/>
      </c>
      <c r="T59" s="38" t="str">
        <f t="shared" si="20"/>
        <v/>
      </c>
      <c r="AG59" s="38"/>
    </row>
    <row r="60" spans="1:36" x14ac:dyDescent="0.2">
      <c r="A60" t="str">
        <f t="shared" si="4"/>
        <v/>
      </c>
      <c r="B60" s="38" t="str">
        <f t="shared" si="5"/>
        <v/>
      </c>
      <c r="C60" s="38" t="str">
        <f t="shared" si="6"/>
        <v/>
      </c>
      <c r="D60" s="38" t="str">
        <f t="shared" si="7"/>
        <v/>
      </c>
      <c r="E60" s="38" t="str">
        <f t="shared" si="8"/>
        <v/>
      </c>
      <c r="F60" s="38" t="str">
        <f t="shared" si="9"/>
        <v/>
      </c>
      <c r="G60" s="38" t="str">
        <f t="shared" si="21"/>
        <v/>
      </c>
      <c r="H60" s="38" t="str">
        <f t="shared" si="22"/>
        <v/>
      </c>
      <c r="L60" t="str">
        <f t="shared" si="12"/>
        <v/>
      </c>
      <c r="M60" s="38" t="str">
        <f t="shared" si="13"/>
        <v/>
      </c>
      <c r="N60" s="38" t="str">
        <f t="shared" si="14"/>
        <v/>
      </c>
      <c r="O60" s="38" t="str">
        <f t="shared" si="15"/>
        <v/>
      </c>
      <c r="P60" s="38" t="str">
        <f t="shared" si="16"/>
        <v/>
      </c>
      <c r="Q60" s="38" t="str">
        <f t="shared" si="17"/>
        <v/>
      </c>
      <c r="R60" s="38" t="str">
        <f t="shared" si="18"/>
        <v/>
      </c>
      <c r="S60" s="38" t="str">
        <f t="shared" si="19"/>
        <v/>
      </c>
      <c r="T60" s="38" t="str">
        <f t="shared" si="20"/>
        <v/>
      </c>
      <c r="AG60" s="38"/>
    </row>
    <row r="61" spans="1:36" x14ac:dyDescent="0.2">
      <c r="A61" t="str">
        <f t="shared" si="4"/>
        <v/>
      </c>
      <c r="B61" s="38" t="str">
        <f t="shared" si="5"/>
        <v/>
      </c>
      <c r="C61" s="38" t="str">
        <f t="shared" si="6"/>
        <v/>
      </c>
      <c r="D61" s="38" t="str">
        <f t="shared" si="7"/>
        <v/>
      </c>
      <c r="E61" s="38" t="str">
        <f t="shared" si="8"/>
        <v/>
      </c>
      <c r="F61" s="38" t="str">
        <f t="shared" si="9"/>
        <v/>
      </c>
      <c r="G61" s="38" t="str">
        <f t="shared" si="21"/>
        <v/>
      </c>
      <c r="H61" s="38" t="str">
        <f t="shared" si="22"/>
        <v/>
      </c>
      <c r="L61" t="str">
        <f t="shared" si="12"/>
        <v/>
      </c>
      <c r="M61" s="38" t="str">
        <f t="shared" si="13"/>
        <v/>
      </c>
      <c r="N61" s="38" t="str">
        <f t="shared" si="14"/>
        <v/>
      </c>
      <c r="O61" s="38" t="str">
        <f t="shared" si="15"/>
        <v/>
      </c>
      <c r="P61" s="38" t="str">
        <f t="shared" si="16"/>
        <v/>
      </c>
      <c r="Q61" s="38" t="str">
        <f t="shared" si="17"/>
        <v/>
      </c>
      <c r="R61" s="38" t="str">
        <f t="shared" si="18"/>
        <v/>
      </c>
      <c r="S61" s="38" t="str">
        <f t="shared" si="19"/>
        <v/>
      </c>
      <c r="T61" s="38" t="str">
        <f t="shared" si="20"/>
        <v/>
      </c>
      <c r="AG61" s="38"/>
    </row>
    <row r="62" spans="1:36" x14ac:dyDescent="0.2">
      <c r="A62" t="str">
        <f t="shared" si="4"/>
        <v/>
      </c>
      <c r="B62" s="38" t="str">
        <f t="shared" si="5"/>
        <v/>
      </c>
      <c r="C62" s="38" t="str">
        <f t="shared" si="6"/>
        <v/>
      </c>
      <c r="D62" s="38" t="str">
        <f t="shared" si="7"/>
        <v/>
      </c>
      <c r="E62" s="38" t="str">
        <f t="shared" si="8"/>
        <v/>
      </c>
      <c r="F62" s="38" t="str">
        <f t="shared" si="9"/>
        <v/>
      </c>
      <c r="G62" s="38" t="str">
        <f t="shared" si="21"/>
        <v/>
      </c>
      <c r="H62" s="38" t="str">
        <f t="shared" si="22"/>
        <v/>
      </c>
      <c r="L62" t="str">
        <f t="shared" si="12"/>
        <v/>
      </c>
      <c r="M62" s="38" t="str">
        <f t="shared" si="13"/>
        <v/>
      </c>
      <c r="N62" s="38" t="str">
        <f t="shared" si="14"/>
        <v/>
      </c>
      <c r="O62" s="38" t="str">
        <f t="shared" si="15"/>
        <v/>
      </c>
      <c r="P62" s="38" t="str">
        <f t="shared" si="16"/>
        <v/>
      </c>
      <c r="Q62" s="38" t="str">
        <f t="shared" si="17"/>
        <v/>
      </c>
      <c r="R62" s="38" t="str">
        <f t="shared" si="18"/>
        <v/>
      </c>
      <c r="S62" s="38" t="str">
        <f t="shared" si="19"/>
        <v/>
      </c>
      <c r="T62" s="38" t="str">
        <f t="shared" si="20"/>
        <v/>
      </c>
      <c r="AG62" s="38"/>
    </row>
    <row r="63" spans="1:36" x14ac:dyDescent="0.2">
      <c r="A63" t="str">
        <f t="shared" si="4"/>
        <v/>
      </c>
      <c r="B63" s="38" t="str">
        <f t="shared" si="5"/>
        <v/>
      </c>
      <c r="C63" s="38" t="str">
        <f t="shared" si="6"/>
        <v/>
      </c>
      <c r="D63" s="38" t="str">
        <f t="shared" si="7"/>
        <v/>
      </c>
      <c r="E63" s="38" t="str">
        <f t="shared" si="8"/>
        <v/>
      </c>
      <c r="F63" s="38" t="str">
        <f t="shared" si="9"/>
        <v/>
      </c>
      <c r="G63" s="38" t="str">
        <f t="shared" si="21"/>
        <v/>
      </c>
      <c r="H63" s="38" t="str">
        <f t="shared" si="22"/>
        <v/>
      </c>
      <c r="L63" t="str">
        <f t="shared" si="12"/>
        <v/>
      </c>
      <c r="M63" s="38" t="str">
        <f t="shared" si="13"/>
        <v/>
      </c>
      <c r="N63" s="38" t="str">
        <f t="shared" si="14"/>
        <v/>
      </c>
      <c r="O63" s="38" t="str">
        <f t="shared" si="15"/>
        <v/>
      </c>
      <c r="P63" s="38" t="str">
        <f t="shared" si="16"/>
        <v/>
      </c>
      <c r="Q63" s="38" t="str">
        <f t="shared" si="17"/>
        <v/>
      </c>
      <c r="R63" s="38" t="str">
        <f t="shared" si="18"/>
        <v/>
      </c>
      <c r="S63" s="38" t="str">
        <f t="shared" si="19"/>
        <v/>
      </c>
      <c r="T63" s="38" t="str">
        <f t="shared" si="20"/>
        <v/>
      </c>
      <c r="AG63" s="38"/>
    </row>
    <row r="64" spans="1:36" x14ac:dyDescent="0.2">
      <c r="A64" t="str">
        <f t="shared" si="4"/>
        <v/>
      </c>
      <c r="B64" s="38" t="str">
        <f t="shared" si="5"/>
        <v/>
      </c>
      <c r="C64" s="38" t="str">
        <f t="shared" si="6"/>
        <v/>
      </c>
      <c r="D64" s="38" t="str">
        <f t="shared" si="7"/>
        <v/>
      </c>
      <c r="E64" s="38" t="str">
        <f t="shared" si="8"/>
        <v/>
      </c>
      <c r="F64" s="38" t="str">
        <f t="shared" si="9"/>
        <v/>
      </c>
      <c r="G64" s="38" t="str">
        <f t="shared" si="21"/>
        <v/>
      </c>
      <c r="H64" s="38" t="str">
        <f t="shared" si="22"/>
        <v/>
      </c>
      <c r="L64" t="str">
        <f t="shared" si="12"/>
        <v/>
      </c>
      <c r="M64" s="38" t="str">
        <f t="shared" si="13"/>
        <v/>
      </c>
      <c r="N64" s="38" t="str">
        <f t="shared" si="14"/>
        <v/>
      </c>
      <c r="O64" s="38" t="str">
        <f t="shared" si="15"/>
        <v/>
      </c>
      <c r="P64" s="38" t="str">
        <f t="shared" si="16"/>
        <v/>
      </c>
      <c r="Q64" s="38" t="str">
        <f t="shared" si="17"/>
        <v/>
      </c>
      <c r="R64" s="38" t="str">
        <f t="shared" si="18"/>
        <v/>
      </c>
      <c r="S64" s="38" t="str">
        <f t="shared" si="19"/>
        <v/>
      </c>
      <c r="T64" s="38" t="str">
        <f t="shared" si="20"/>
        <v/>
      </c>
      <c r="AG64" s="38"/>
    </row>
    <row r="65" spans="1:33" x14ac:dyDescent="0.2">
      <c r="A65" t="str">
        <f t="shared" si="4"/>
        <v/>
      </c>
      <c r="B65" s="38" t="str">
        <f t="shared" si="5"/>
        <v/>
      </c>
      <c r="C65" s="38" t="str">
        <f t="shared" si="6"/>
        <v/>
      </c>
      <c r="D65" s="38" t="str">
        <f t="shared" si="7"/>
        <v/>
      </c>
      <c r="E65" s="38" t="str">
        <f t="shared" si="8"/>
        <v/>
      </c>
      <c r="F65" s="38" t="str">
        <f t="shared" si="9"/>
        <v/>
      </c>
      <c r="G65" s="38" t="str">
        <f t="shared" si="21"/>
        <v/>
      </c>
      <c r="H65" s="38" t="str">
        <f t="shared" si="22"/>
        <v/>
      </c>
      <c r="L65" t="str">
        <f t="shared" si="12"/>
        <v/>
      </c>
      <c r="M65" s="38" t="str">
        <f t="shared" si="13"/>
        <v/>
      </c>
      <c r="N65" s="38" t="str">
        <f t="shared" si="14"/>
        <v/>
      </c>
      <c r="O65" s="38" t="str">
        <f t="shared" si="15"/>
        <v/>
      </c>
      <c r="P65" s="38" t="str">
        <f t="shared" si="16"/>
        <v/>
      </c>
      <c r="Q65" s="38" t="str">
        <f t="shared" si="17"/>
        <v/>
      </c>
      <c r="R65" s="38" t="str">
        <f t="shared" si="18"/>
        <v/>
      </c>
      <c r="S65" s="38" t="str">
        <f t="shared" si="19"/>
        <v/>
      </c>
      <c r="T65" s="38" t="str">
        <f t="shared" si="20"/>
        <v/>
      </c>
      <c r="AG65" s="38"/>
    </row>
    <row r="66" spans="1:33" x14ac:dyDescent="0.2">
      <c r="A66" t="str">
        <f t="shared" si="4"/>
        <v/>
      </c>
      <c r="B66" s="38" t="str">
        <f t="shared" si="5"/>
        <v/>
      </c>
      <c r="C66" s="38" t="str">
        <f t="shared" si="6"/>
        <v/>
      </c>
      <c r="D66" s="38" t="str">
        <f t="shared" si="7"/>
        <v/>
      </c>
      <c r="E66" s="38" t="str">
        <f t="shared" si="8"/>
        <v/>
      </c>
      <c r="F66" s="38" t="str">
        <f t="shared" si="9"/>
        <v/>
      </c>
      <c r="G66" s="38" t="str">
        <f t="shared" si="21"/>
        <v/>
      </c>
      <c r="H66" s="38" t="str">
        <f t="shared" si="22"/>
        <v/>
      </c>
      <c r="L66" t="str">
        <f t="shared" si="12"/>
        <v/>
      </c>
      <c r="M66" s="38" t="str">
        <f t="shared" si="13"/>
        <v/>
      </c>
      <c r="N66" s="38" t="str">
        <f t="shared" si="14"/>
        <v/>
      </c>
      <c r="O66" s="38" t="str">
        <f t="shared" si="15"/>
        <v/>
      </c>
      <c r="P66" s="38" t="str">
        <f t="shared" si="16"/>
        <v/>
      </c>
      <c r="Q66" s="38" t="str">
        <f t="shared" si="17"/>
        <v/>
      </c>
      <c r="R66" s="38" t="str">
        <f t="shared" si="18"/>
        <v/>
      </c>
      <c r="S66" s="38" t="str">
        <f t="shared" si="19"/>
        <v/>
      </c>
      <c r="T66" s="38" t="str">
        <f t="shared" si="20"/>
        <v/>
      </c>
      <c r="AG66" s="38"/>
    </row>
    <row r="67" spans="1:33" x14ac:dyDescent="0.2">
      <c r="A67" t="str">
        <f t="shared" si="4"/>
        <v/>
      </c>
      <c r="B67" s="38" t="str">
        <f t="shared" si="5"/>
        <v/>
      </c>
      <c r="C67" s="38" t="str">
        <f t="shared" si="6"/>
        <v/>
      </c>
      <c r="D67" s="38" t="str">
        <f t="shared" si="7"/>
        <v/>
      </c>
      <c r="E67" s="38" t="str">
        <f t="shared" si="8"/>
        <v/>
      </c>
      <c r="F67" s="38" t="str">
        <f t="shared" si="9"/>
        <v/>
      </c>
      <c r="G67" s="38" t="str">
        <f t="shared" si="21"/>
        <v/>
      </c>
      <c r="H67" s="38" t="str">
        <f t="shared" si="22"/>
        <v/>
      </c>
      <c r="L67" t="str">
        <f t="shared" si="12"/>
        <v/>
      </c>
      <c r="M67" s="38" t="str">
        <f t="shared" si="13"/>
        <v/>
      </c>
      <c r="N67" s="38" t="str">
        <f t="shared" si="14"/>
        <v/>
      </c>
      <c r="O67" s="38" t="str">
        <f t="shared" si="15"/>
        <v/>
      </c>
      <c r="P67" s="38" t="str">
        <f t="shared" si="16"/>
        <v/>
      </c>
      <c r="Q67" s="38" t="str">
        <f t="shared" si="17"/>
        <v/>
      </c>
      <c r="R67" s="38" t="str">
        <f t="shared" si="18"/>
        <v/>
      </c>
      <c r="S67" s="38" t="str">
        <f t="shared" si="19"/>
        <v/>
      </c>
      <c r="T67" s="38" t="str">
        <f t="shared" si="20"/>
        <v/>
      </c>
      <c r="AG67" s="38"/>
    </row>
    <row r="68" spans="1:33" x14ac:dyDescent="0.2">
      <c r="A68" t="str">
        <f t="shared" si="4"/>
        <v/>
      </c>
      <c r="B68" s="38" t="str">
        <f t="shared" si="5"/>
        <v/>
      </c>
      <c r="C68" s="38" t="str">
        <f t="shared" si="6"/>
        <v/>
      </c>
      <c r="D68" s="38" t="str">
        <f t="shared" si="7"/>
        <v/>
      </c>
      <c r="E68" s="38" t="str">
        <f t="shared" si="8"/>
        <v/>
      </c>
      <c r="F68" s="38" t="str">
        <f t="shared" si="9"/>
        <v/>
      </c>
      <c r="G68" s="38" t="str">
        <f t="shared" si="21"/>
        <v/>
      </c>
      <c r="H68" s="38" t="str">
        <f t="shared" si="22"/>
        <v/>
      </c>
      <c r="L68" t="str">
        <f t="shared" si="12"/>
        <v/>
      </c>
      <c r="M68" s="38" t="str">
        <f t="shared" si="13"/>
        <v/>
      </c>
      <c r="N68" s="38" t="str">
        <f t="shared" si="14"/>
        <v/>
      </c>
      <c r="O68" s="38" t="str">
        <f t="shared" si="15"/>
        <v/>
      </c>
      <c r="P68" s="38" t="str">
        <f t="shared" si="16"/>
        <v/>
      </c>
      <c r="Q68" s="38" t="str">
        <f t="shared" si="17"/>
        <v/>
      </c>
      <c r="R68" s="38" t="str">
        <f t="shared" si="18"/>
        <v/>
      </c>
      <c r="S68" s="38" t="str">
        <f t="shared" si="19"/>
        <v/>
      </c>
      <c r="T68" s="38" t="str">
        <f t="shared" si="20"/>
        <v/>
      </c>
      <c r="AG68" s="38"/>
    </row>
    <row r="69" spans="1:33" x14ac:dyDescent="0.2">
      <c r="A69" t="str">
        <f t="shared" si="4"/>
        <v/>
      </c>
      <c r="B69" s="38" t="str">
        <f t="shared" si="5"/>
        <v/>
      </c>
      <c r="C69" s="38" t="str">
        <f t="shared" si="6"/>
        <v/>
      </c>
      <c r="D69" s="38" t="str">
        <f t="shared" si="7"/>
        <v/>
      </c>
      <c r="E69" s="38" t="str">
        <f t="shared" si="8"/>
        <v/>
      </c>
      <c r="F69" s="38" t="str">
        <f t="shared" si="9"/>
        <v/>
      </c>
      <c r="G69" s="38" t="str">
        <f t="shared" si="21"/>
        <v/>
      </c>
      <c r="H69" s="38" t="str">
        <f t="shared" si="22"/>
        <v/>
      </c>
      <c r="L69" t="str">
        <f t="shared" si="12"/>
        <v/>
      </c>
      <c r="M69" s="38" t="str">
        <f t="shared" si="13"/>
        <v/>
      </c>
      <c r="N69" s="38" t="str">
        <f t="shared" si="14"/>
        <v/>
      </c>
      <c r="O69" s="38" t="str">
        <f t="shared" si="15"/>
        <v/>
      </c>
      <c r="P69" s="38" t="str">
        <f t="shared" si="16"/>
        <v/>
      </c>
      <c r="Q69" s="38" t="str">
        <f t="shared" si="17"/>
        <v/>
      </c>
      <c r="R69" s="38" t="str">
        <f t="shared" si="18"/>
        <v/>
      </c>
      <c r="S69" s="38" t="str">
        <f t="shared" si="19"/>
        <v/>
      </c>
      <c r="T69" s="38" t="str">
        <f t="shared" si="20"/>
        <v/>
      </c>
      <c r="AG69" s="38"/>
    </row>
    <row r="70" spans="1:33" x14ac:dyDescent="0.2">
      <c r="A70" t="str">
        <f t="shared" si="4"/>
        <v/>
      </c>
      <c r="B70" s="38" t="str">
        <f t="shared" si="5"/>
        <v/>
      </c>
      <c r="C70" s="38" t="str">
        <f t="shared" si="6"/>
        <v/>
      </c>
      <c r="D70" s="38" t="str">
        <f t="shared" si="7"/>
        <v/>
      </c>
      <c r="E70" s="38" t="str">
        <f t="shared" si="8"/>
        <v/>
      </c>
      <c r="F70" s="38" t="str">
        <f t="shared" si="9"/>
        <v/>
      </c>
      <c r="G70" s="38" t="str">
        <f t="shared" si="21"/>
        <v/>
      </c>
      <c r="H70" s="38" t="str">
        <f t="shared" si="22"/>
        <v/>
      </c>
      <c r="L70" t="str">
        <f t="shared" si="12"/>
        <v/>
      </c>
      <c r="M70" s="38" t="str">
        <f t="shared" si="13"/>
        <v/>
      </c>
      <c r="N70" s="38" t="str">
        <f t="shared" si="14"/>
        <v/>
      </c>
      <c r="O70" s="38" t="str">
        <f t="shared" si="15"/>
        <v/>
      </c>
      <c r="P70" s="38" t="str">
        <f t="shared" si="16"/>
        <v/>
      </c>
      <c r="Q70" s="38" t="str">
        <f t="shared" si="17"/>
        <v/>
      </c>
      <c r="R70" s="38" t="str">
        <f t="shared" si="18"/>
        <v/>
      </c>
      <c r="S70" s="38" t="str">
        <f t="shared" si="19"/>
        <v/>
      </c>
      <c r="T70" s="38" t="str">
        <f t="shared" si="20"/>
        <v/>
      </c>
      <c r="AG70" s="38"/>
    </row>
    <row r="71" spans="1:33" x14ac:dyDescent="0.2">
      <c r="A71" t="str">
        <f t="shared" si="4"/>
        <v/>
      </c>
      <c r="B71" s="38" t="str">
        <f t="shared" si="5"/>
        <v/>
      </c>
      <c r="C71" s="38" t="str">
        <f t="shared" si="6"/>
        <v/>
      </c>
      <c r="D71" s="38" t="str">
        <f t="shared" si="7"/>
        <v/>
      </c>
      <c r="E71" s="38" t="str">
        <f t="shared" si="8"/>
        <v/>
      </c>
      <c r="F71" s="38" t="str">
        <f t="shared" si="9"/>
        <v/>
      </c>
      <c r="G71" s="38" t="str">
        <f t="shared" si="21"/>
        <v/>
      </c>
      <c r="H71" s="38" t="str">
        <f t="shared" si="22"/>
        <v/>
      </c>
      <c r="L71" t="str">
        <f t="shared" si="12"/>
        <v/>
      </c>
      <c r="M71" s="38" t="str">
        <f t="shared" si="13"/>
        <v/>
      </c>
      <c r="N71" s="38" t="str">
        <f t="shared" si="14"/>
        <v/>
      </c>
      <c r="O71" s="38" t="str">
        <f t="shared" si="15"/>
        <v/>
      </c>
      <c r="P71" s="38" t="str">
        <f t="shared" si="16"/>
        <v/>
      </c>
      <c r="Q71" s="38" t="str">
        <f t="shared" si="17"/>
        <v/>
      </c>
      <c r="R71" s="38" t="str">
        <f t="shared" si="18"/>
        <v/>
      </c>
      <c r="S71" s="38" t="str">
        <f t="shared" si="19"/>
        <v/>
      </c>
      <c r="T71" s="38" t="str">
        <f t="shared" si="20"/>
        <v/>
      </c>
      <c r="AG71" s="38"/>
    </row>
    <row r="72" spans="1:33" x14ac:dyDescent="0.2">
      <c r="A72" t="str">
        <f t="shared" si="4"/>
        <v/>
      </c>
      <c r="B72" s="38" t="str">
        <f t="shared" si="5"/>
        <v/>
      </c>
      <c r="C72" s="38" t="str">
        <f t="shared" si="6"/>
        <v/>
      </c>
      <c r="D72" s="38" t="str">
        <f t="shared" si="7"/>
        <v/>
      </c>
      <c r="E72" s="38" t="str">
        <f t="shared" si="8"/>
        <v/>
      </c>
      <c r="F72" s="38" t="str">
        <f t="shared" si="9"/>
        <v/>
      </c>
      <c r="G72" s="38" t="str">
        <f t="shared" si="21"/>
        <v/>
      </c>
      <c r="H72" s="38" t="str">
        <f t="shared" si="22"/>
        <v/>
      </c>
      <c r="L72" t="str">
        <f t="shared" si="12"/>
        <v/>
      </c>
      <c r="M72" s="38" t="str">
        <f t="shared" si="13"/>
        <v/>
      </c>
      <c r="N72" s="38" t="str">
        <f t="shared" si="14"/>
        <v/>
      </c>
      <c r="O72" s="38" t="str">
        <f t="shared" si="15"/>
        <v/>
      </c>
      <c r="P72" s="38" t="str">
        <f t="shared" si="16"/>
        <v/>
      </c>
      <c r="Q72" s="38" t="str">
        <f t="shared" si="17"/>
        <v/>
      </c>
      <c r="R72" s="38" t="str">
        <f t="shared" si="18"/>
        <v/>
      </c>
      <c r="S72" s="38" t="str">
        <f t="shared" si="19"/>
        <v/>
      </c>
      <c r="T72" s="38" t="str">
        <f t="shared" si="20"/>
        <v/>
      </c>
      <c r="AG72" s="38"/>
    </row>
    <row r="73" spans="1:33" x14ac:dyDescent="0.2">
      <c r="A73" t="str">
        <f t="shared" si="4"/>
        <v/>
      </c>
      <c r="B73" s="38" t="str">
        <f t="shared" si="5"/>
        <v/>
      </c>
      <c r="C73" s="38" t="str">
        <f t="shared" si="6"/>
        <v/>
      </c>
      <c r="D73" s="38" t="str">
        <f t="shared" si="7"/>
        <v/>
      </c>
      <c r="E73" s="38" t="str">
        <f t="shared" si="8"/>
        <v/>
      </c>
      <c r="F73" s="38" t="str">
        <f t="shared" si="9"/>
        <v/>
      </c>
      <c r="G73" s="38" t="str">
        <f t="shared" si="21"/>
        <v/>
      </c>
      <c r="H73" s="38" t="str">
        <f t="shared" si="22"/>
        <v/>
      </c>
      <c r="L73" t="str">
        <f t="shared" si="12"/>
        <v/>
      </c>
      <c r="M73" s="38" t="str">
        <f t="shared" si="13"/>
        <v/>
      </c>
      <c r="N73" s="38" t="str">
        <f t="shared" si="14"/>
        <v/>
      </c>
      <c r="O73" s="38" t="str">
        <f t="shared" si="15"/>
        <v/>
      </c>
      <c r="P73" s="38" t="str">
        <f t="shared" si="16"/>
        <v/>
      </c>
      <c r="Q73" s="38" t="str">
        <f t="shared" si="17"/>
        <v/>
      </c>
      <c r="R73" s="38" t="str">
        <f t="shared" si="18"/>
        <v/>
      </c>
      <c r="S73" s="38" t="str">
        <f t="shared" si="19"/>
        <v/>
      </c>
      <c r="T73" s="38" t="str">
        <f t="shared" si="20"/>
        <v/>
      </c>
      <c r="AG73" s="38"/>
    </row>
    <row r="74" spans="1:33" x14ac:dyDescent="0.2">
      <c r="A74" t="str">
        <f t="shared" si="4"/>
        <v/>
      </c>
      <c r="B74" s="38" t="str">
        <f t="shared" si="5"/>
        <v/>
      </c>
      <c r="C74" s="38" t="str">
        <f t="shared" si="6"/>
        <v/>
      </c>
      <c r="D74" s="38" t="str">
        <f t="shared" si="7"/>
        <v/>
      </c>
      <c r="E74" s="38" t="str">
        <f t="shared" si="8"/>
        <v/>
      </c>
      <c r="F74" s="38" t="str">
        <f t="shared" si="9"/>
        <v/>
      </c>
      <c r="G74" s="38" t="str">
        <f t="shared" si="21"/>
        <v/>
      </c>
      <c r="H74" s="38" t="str">
        <f t="shared" si="22"/>
        <v/>
      </c>
      <c r="L74" t="str">
        <f t="shared" si="12"/>
        <v/>
      </c>
      <c r="M74" s="38" t="str">
        <f t="shared" si="13"/>
        <v/>
      </c>
      <c r="N74" s="38" t="str">
        <f t="shared" si="14"/>
        <v/>
      </c>
      <c r="O74" s="38" t="str">
        <f t="shared" si="15"/>
        <v/>
      </c>
      <c r="P74" s="38" t="str">
        <f t="shared" si="16"/>
        <v/>
      </c>
      <c r="Q74" s="38" t="str">
        <f t="shared" si="17"/>
        <v/>
      </c>
      <c r="R74" s="38" t="str">
        <f t="shared" si="18"/>
        <v/>
      </c>
      <c r="S74" s="38" t="str">
        <f t="shared" si="19"/>
        <v/>
      </c>
      <c r="T74" s="38" t="str">
        <f t="shared" si="20"/>
        <v/>
      </c>
      <c r="AG74" s="38"/>
    </row>
    <row r="75" spans="1:33" x14ac:dyDescent="0.2">
      <c r="A75" t="str">
        <f t="shared" si="4"/>
        <v/>
      </c>
      <c r="B75" s="38" t="str">
        <f t="shared" si="5"/>
        <v/>
      </c>
      <c r="C75" s="38" t="str">
        <f t="shared" si="6"/>
        <v/>
      </c>
      <c r="D75" s="38" t="str">
        <f t="shared" si="7"/>
        <v/>
      </c>
      <c r="E75" s="38" t="str">
        <f t="shared" si="8"/>
        <v/>
      </c>
      <c r="F75" s="38" t="str">
        <f t="shared" si="9"/>
        <v/>
      </c>
      <c r="G75" s="38" t="str">
        <f t="shared" si="21"/>
        <v/>
      </c>
      <c r="H75" s="38" t="str">
        <f t="shared" si="22"/>
        <v/>
      </c>
      <c r="L75" t="str">
        <f t="shared" si="12"/>
        <v/>
      </c>
      <c r="M75" s="38" t="str">
        <f t="shared" si="13"/>
        <v/>
      </c>
      <c r="N75" s="38" t="str">
        <f t="shared" si="14"/>
        <v/>
      </c>
      <c r="O75" s="38" t="str">
        <f t="shared" si="15"/>
        <v/>
      </c>
      <c r="P75" s="38" t="str">
        <f t="shared" si="16"/>
        <v/>
      </c>
      <c r="Q75" s="38" t="str">
        <f t="shared" si="17"/>
        <v/>
      </c>
      <c r="R75" s="38" t="str">
        <f t="shared" si="18"/>
        <v/>
      </c>
      <c r="S75" s="38" t="str">
        <f t="shared" si="19"/>
        <v/>
      </c>
      <c r="T75" s="38" t="str">
        <f t="shared" si="20"/>
        <v/>
      </c>
      <c r="AG75" s="38"/>
    </row>
    <row r="76" spans="1:33" x14ac:dyDescent="0.2">
      <c r="A76" t="str">
        <f t="shared" si="4"/>
        <v/>
      </c>
      <c r="B76" s="38" t="str">
        <f t="shared" si="5"/>
        <v/>
      </c>
      <c r="C76" s="38" t="str">
        <f t="shared" si="6"/>
        <v/>
      </c>
      <c r="D76" s="38" t="str">
        <f t="shared" si="7"/>
        <v/>
      </c>
      <c r="E76" s="38" t="str">
        <f t="shared" si="8"/>
        <v/>
      </c>
      <c r="F76" s="38" t="str">
        <f t="shared" si="9"/>
        <v/>
      </c>
      <c r="G76" s="38" t="str">
        <f t="shared" si="21"/>
        <v/>
      </c>
      <c r="H76" s="38" t="str">
        <f t="shared" si="22"/>
        <v/>
      </c>
      <c r="L76" t="str">
        <f t="shared" si="12"/>
        <v/>
      </c>
      <c r="M76" s="38" t="str">
        <f t="shared" si="13"/>
        <v/>
      </c>
      <c r="N76" s="38" t="str">
        <f t="shared" si="14"/>
        <v/>
      </c>
      <c r="O76" s="38" t="str">
        <f t="shared" si="15"/>
        <v/>
      </c>
      <c r="P76" s="38" t="str">
        <f t="shared" si="16"/>
        <v/>
      </c>
      <c r="Q76" s="38" t="str">
        <f t="shared" si="17"/>
        <v/>
      </c>
      <c r="R76" s="38" t="str">
        <f t="shared" si="18"/>
        <v/>
      </c>
      <c r="S76" s="38" t="str">
        <f t="shared" si="19"/>
        <v/>
      </c>
      <c r="T76" s="38" t="str">
        <f t="shared" si="20"/>
        <v/>
      </c>
      <c r="AG76" s="38"/>
    </row>
    <row r="77" spans="1:33" x14ac:dyDescent="0.2">
      <c r="A77" t="str">
        <f t="shared" si="4"/>
        <v/>
      </c>
      <c r="B77" s="38" t="str">
        <f t="shared" si="5"/>
        <v/>
      </c>
      <c r="C77" s="38" t="str">
        <f t="shared" si="6"/>
        <v/>
      </c>
      <c r="D77" s="38" t="str">
        <f t="shared" si="7"/>
        <v/>
      </c>
      <c r="E77" s="38" t="str">
        <f t="shared" si="8"/>
        <v/>
      </c>
      <c r="F77" s="38" t="str">
        <f t="shared" si="9"/>
        <v/>
      </c>
      <c r="G77" s="38" t="str">
        <f t="shared" si="21"/>
        <v/>
      </c>
      <c r="H77" s="38" t="str">
        <f t="shared" si="22"/>
        <v/>
      </c>
      <c r="L77" t="str">
        <f t="shared" si="12"/>
        <v/>
      </c>
      <c r="M77" s="38" t="str">
        <f t="shared" si="13"/>
        <v/>
      </c>
      <c r="N77" s="38" t="str">
        <f t="shared" si="14"/>
        <v/>
      </c>
      <c r="O77" s="38" t="str">
        <f t="shared" si="15"/>
        <v/>
      </c>
      <c r="P77" s="38" t="str">
        <f t="shared" si="16"/>
        <v/>
      </c>
      <c r="Q77" s="38" t="str">
        <f t="shared" si="17"/>
        <v/>
      </c>
      <c r="R77" s="38" t="str">
        <f t="shared" si="18"/>
        <v/>
      </c>
      <c r="S77" s="38" t="str">
        <f t="shared" si="19"/>
        <v/>
      </c>
      <c r="T77" s="38" t="str">
        <f t="shared" si="20"/>
        <v/>
      </c>
      <c r="AG77" s="38"/>
    </row>
    <row r="78" spans="1:33" x14ac:dyDescent="0.2">
      <c r="A78" t="str">
        <f t="shared" si="4"/>
        <v/>
      </c>
      <c r="B78" s="38" t="str">
        <f t="shared" si="5"/>
        <v/>
      </c>
      <c r="C78" s="38" t="str">
        <f t="shared" si="6"/>
        <v/>
      </c>
      <c r="D78" s="38" t="str">
        <f t="shared" si="7"/>
        <v/>
      </c>
      <c r="E78" s="38" t="str">
        <f t="shared" si="8"/>
        <v/>
      </c>
      <c r="F78" s="38" t="str">
        <f t="shared" si="9"/>
        <v/>
      </c>
      <c r="G78" s="38" t="str">
        <f t="shared" si="21"/>
        <v/>
      </c>
      <c r="H78" s="38" t="str">
        <f t="shared" si="22"/>
        <v/>
      </c>
      <c r="L78" t="str">
        <f t="shared" si="12"/>
        <v/>
      </c>
      <c r="M78" s="38" t="str">
        <f t="shared" si="13"/>
        <v/>
      </c>
      <c r="N78" s="38" t="str">
        <f t="shared" si="14"/>
        <v/>
      </c>
      <c r="O78" s="38" t="str">
        <f t="shared" si="15"/>
        <v/>
      </c>
      <c r="P78" s="38" t="str">
        <f t="shared" si="16"/>
        <v/>
      </c>
      <c r="Q78" s="38" t="str">
        <f t="shared" si="17"/>
        <v/>
      </c>
      <c r="R78" s="38" t="str">
        <f t="shared" si="18"/>
        <v/>
      </c>
      <c r="S78" s="38" t="str">
        <f t="shared" si="19"/>
        <v/>
      </c>
      <c r="T78" s="38" t="str">
        <f t="shared" si="20"/>
        <v/>
      </c>
      <c r="AG78" s="38"/>
    </row>
    <row r="79" spans="1:33" x14ac:dyDescent="0.2">
      <c r="A79" t="str">
        <f t="shared" si="4"/>
        <v/>
      </c>
      <c r="B79" s="38" t="str">
        <f t="shared" si="5"/>
        <v/>
      </c>
      <c r="C79" s="38" t="str">
        <f t="shared" si="6"/>
        <v/>
      </c>
      <c r="D79" s="38" t="str">
        <f t="shared" si="7"/>
        <v/>
      </c>
      <c r="E79" s="38" t="str">
        <f t="shared" si="8"/>
        <v/>
      </c>
      <c r="F79" s="38" t="str">
        <f t="shared" si="9"/>
        <v/>
      </c>
      <c r="G79" s="38" t="str">
        <f t="shared" si="21"/>
        <v/>
      </c>
      <c r="H79" s="38" t="str">
        <f t="shared" si="22"/>
        <v/>
      </c>
      <c r="L79" t="str">
        <f t="shared" si="12"/>
        <v/>
      </c>
      <c r="M79" s="38" t="str">
        <f t="shared" si="13"/>
        <v/>
      </c>
      <c r="N79" s="38" t="str">
        <f t="shared" si="14"/>
        <v/>
      </c>
      <c r="O79" s="38" t="str">
        <f t="shared" si="15"/>
        <v/>
      </c>
      <c r="P79" s="38" t="str">
        <f t="shared" si="16"/>
        <v/>
      </c>
      <c r="Q79" s="38" t="str">
        <f t="shared" si="17"/>
        <v/>
      </c>
      <c r="R79" s="38" t="str">
        <f t="shared" si="18"/>
        <v/>
      </c>
      <c r="S79" s="38" t="str">
        <f t="shared" si="19"/>
        <v/>
      </c>
      <c r="T79" s="38" t="str">
        <f t="shared" si="20"/>
        <v/>
      </c>
      <c r="AG79" s="38"/>
    </row>
    <row r="80" spans="1:33" x14ac:dyDescent="0.2">
      <c r="A80" t="str">
        <f t="shared" si="4"/>
        <v/>
      </c>
      <c r="B80" s="38" t="str">
        <f t="shared" si="5"/>
        <v/>
      </c>
      <c r="C80" s="38" t="str">
        <f t="shared" si="6"/>
        <v/>
      </c>
      <c r="D80" s="38" t="str">
        <f t="shared" si="7"/>
        <v/>
      </c>
      <c r="E80" s="38" t="str">
        <f t="shared" si="8"/>
        <v/>
      </c>
      <c r="F80" s="38" t="str">
        <f t="shared" si="9"/>
        <v/>
      </c>
      <c r="G80" s="38" t="str">
        <f t="shared" si="21"/>
        <v/>
      </c>
      <c r="H80" s="38" t="str">
        <f t="shared" si="22"/>
        <v/>
      </c>
      <c r="L80" t="str">
        <f t="shared" si="12"/>
        <v/>
      </c>
      <c r="M80" s="38" t="str">
        <f t="shared" si="13"/>
        <v/>
      </c>
      <c r="N80" s="38" t="str">
        <f t="shared" si="14"/>
        <v/>
      </c>
      <c r="O80" s="38" t="str">
        <f t="shared" si="15"/>
        <v/>
      </c>
      <c r="P80" s="38" t="str">
        <f t="shared" si="16"/>
        <v/>
      </c>
      <c r="Q80" s="38" t="str">
        <f t="shared" si="17"/>
        <v/>
      </c>
      <c r="R80" s="38" t="str">
        <f t="shared" si="18"/>
        <v/>
      </c>
      <c r="S80" s="38" t="str">
        <f t="shared" si="19"/>
        <v/>
      </c>
      <c r="T80" s="38" t="str">
        <f t="shared" si="20"/>
        <v/>
      </c>
      <c r="AG80" s="38"/>
    </row>
    <row r="81" spans="1:33" x14ac:dyDescent="0.2">
      <c r="A81" t="str">
        <f t="shared" si="4"/>
        <v/>
      </c>
      <c r="B81" s="38" t="str">
        <f t="shared" si="5"/>
        <v/>
      </c>
      <c r="C81" s="38" t="str">
        <f t="shared" si="6"/>
        <v/>
      </c>
      <c r="D81" s="38" t="str">
        <f t="shared" si="7"/>
        <v/>
      </c>
      <c r="E81" s="38" t="str">
        <f t="shared" si="8"/>
        <v/>
      </c>
      <c r="F81" s="38" t="str">
        <f t="shared" si="9"/>
        <v/>
      </c>
      <c r="G81" s="38" t="str">
        <f t="shared" si="21"/>
        <v/>
      </c>
      <c r="H81" s="38" t="str">
        <f t="shared" si="22"/>
        <v/>
      </c>
      <c r="L81" t="str">
        <f t="shared" si="12"/>
        <v/>
      </c>
      <c r="M81" s="38" t="str">
        <f t="shared" si="13"/>
        <v/>
      </c>
      <c r="N81" s="38" t="str">
        <f t="shared" si="14"/>
        <v/>
      </c>
      <c r="O81" s="38" t="str">
        <f t="shared" si="15"/>
        <v/>
      </c>
      <c r="P81" s="38" t="str">
        <f t="shared" si="16"/>
        <v/>
      </c>
      <c r="Q81" s="38" t="str">
        <f t="shared" si="17"/>
        <v/>
      </c>
      <c r="R81" s="38" t="str">
        <f t="shared" si="18"/>
        <v/>
      </c>
      <c r="S81" s="38" t="str">
        <f t="shared" si="19"/>
        <v/>
      </c>
      <c r="T81" s="38" t="str">
        <f t="shared" si="20"/>
        <v/>
      </c>
      <c r="AG81" s="38"/>
    </row>
    <row r="82" spans="1:33" x14ac:dyDescent="0.2">
      <c r="A82" t="str">
        <f t="shared" si="4"/>
        <v/>
      </c>
      <c r="B82" s="38" t="str">
        <f t="shared" si="5"/>
        <v/>
      </c>
      <c r="C82" s="38" t="str">
        <f t="shared" si="6"/>
        <v/>
      </c>
      <c r="D82" s="38" t="str">
        <f t="shared" si="7"/>
        <v/>
      </c>
      <c r="E82" s="38" t="str">
        <f t="shared" si="8"/>
        <v/>
      </c>
      <c r="F82" s="38" t="str">
        <f t="shared" si="9"/>
        <v/>
      </c>
      <c r="G82" s="38" t="str">
        <f t="shared" si="21"/>
        <v/>
      </c>
      <c r="H82" s="38" t="str">
        <f t="shared" si="22"/>
        <v/>
      </c>
      <c r="L82" t="str">
        <f t="shared" si="12"/>
        <v/>
      </c>
      <c r="M82" s="38" t="str">
        <f t="shared" si="13"/>
        <v/>
      </c>
      <c r="N82" s="38" t="str">
        <f t="shared" si="14"/>
        <v/>
      </c>
      <c r="O82" s="38" t="str">
        <f t="shared" si="15"/>
        <v/>
      </c>
      <c r="P82" s="38" t="str">
        <f t="shared" si="16"/>
        <v/>
      </c>
      <c r="Q82" s="38" t="str">
        <f t="shared" si="17"/>
        <v/>
      </c>
      <c r="R82" s="38" t="str">
        <f t="shared" si="18"/>
        <v/>
      </c>
      <c r="S82" s="38" t="str">
        <f t="shared" si="19"/>
        <v/>
      </c>
      <c r="T82" s="38" t="str">
        <f t="shared" si="20"/>
        <v/>
      </c>
      <c r="AG82" s="38"/>
    </row>
    <row r="83" spans="1:33" x14ac:dyDescent="0.2">
      <c r="A83" t="str">
        <f t="shared" si="4"/>
        <v/>
      </c>
      <c r="B83" s="38" t="str">
        <f t="shared" si="5"/>
        <v/>
      </c>
      <c r="C83" s="38" t="str">
        <f t="shared" si="6"/>
        <v/>
      </c>
      <c r="D83" s="38" t="str">
        <f t="shared" si="7"/>
        <v/>
      </c>
      <c r="E83" s="38" t="str">
        <f t="shared" si="8"/>
        <v/>
      </c>
      <c r="F83" s="38" t="str">
        <f t="shared" si="9"/>
        <v/>
      </c>
      <c r="G83" s="38" t="str">
        <f t="shared" si="21"/>
        <v/>
      </c>
      <c r="H83" s="38" t="str">
        <f t="shared" si="22"/>
        <v/>
      </c>
      <c r="L83" t="str">
        <f t="shared" si="12"/>
        <v/>
      </c>
      <c r="M83" s="38" t="str">
        <f t="shared" si="13"/>
        <v/>
      </c>
      <c r="N83" s="38" t="str">
        <f t="shared" si="14"/>
        <v/>
      </c>
      <c r="O83" s="38" t="str">
        <f t="shared" si="15"/>
        <v/>
      </c>
      <c r="P83" s="38" t="str">
        <f t="shared" si="16"/>
        <v/>
      </c>
      <c r="Q83" s="38" t="str">
        <f t="shared" si="17"/>
        <v/>
      </c>
      <c r="R83" s="38" t="str">
        <f t="shared" si="18"/>
        <v/>
      </c>
      <c r="S83" s="38" t="str">
        <f t="shared" si="19"/>
        <v/>
      </c>
      <c r="T83" s="38" t="str">
        <f t="shared" si="20"/>
        <v/>
      </c>
      <c r="AG83" s="38"/>
    </row>
    <row r="84" spans="1:33" x14ac:dyDescent="0.2">
      <c r="A84" t="str">
        <f t="shared" si="4"/>
        <v/>
      </c>
      <c r="B84" s="38" t="str">
        <f t="shared" si="5"/>
        <v/>
      </c>
      <c r="C84" s="38" t="str">
        <f t="shared" si="6"/>
        <v/>
      </c>
      <c r="D84" s="38" t="str">
        <f t="shared" si="7"/>
        <v/>
      </c>
      <c r="E84" s="38" t="str">
        <f t="shared" si="8"/>
        <v/>
      </c>
      <c r="F84" s="38" t="str">
        <f t="shared" si="9"/>
        <v/>
      </c>
      <c r="G84" s="38" t="str">
        <f t="shared" si="21"/>
        <v/>
      </c>
      <c r="H84" s="38" t="str">
        <f t="shared" si="22"/>
        <v/>
      </c>
      <c r="L84" t="str">
        <f t="shared" si="12"/>
        <v/>
      </c>
      <c r="M84" s="38" t="str">
        <f t="shared" si="13"/>
        <v/>
      </c>
      <c r="N84" s="38" t="str">
        <f t="shared" si="14"/>
        <v/>
      </c>
      <c r="O84" s="38" t="str">
        <f t="shared" si="15"/>
        <v/>
      </c>
      <c r="P84" s="38" t="str">
        <f t="shared" si="16"/>
        <v/>
      </c>
      <c r="Q84" s="38" t="str">
        <f t="shared" si="17"/>
        <v/>
      </c>
      <c r="R84" s="38" t="str">
        <f t="shared" si="18"/>
        <v/>
      </c>
      <c r="S84" s="38" t="str">
        <f t="shared" si="19"/>
        <v/>
      </c>
      <c r="T84" s="38" t="str">
        <f t="shared" si="20"/>
        <v/>
      </c>
      <c r="AG84" s="38"/>
    </row>
    <row r="85" spans="1:33" x14ac:dyDescent="0.2">
      <c r="A85" t="str">
        <f t="shared" si="4"/>
        <v/>
      </c>
      <c r="B85" s="38" t="str">
        <f t="shared" si="5"/>
        <v/>
      </c>
      <c r="C85" s="38" t="str">
        <f t="shared" si="6"/>
        <v/>
      </c>
      <c r="D85" s="38" t="str">
        <f t="shared" si="7"/>
        <v/>
      </c>
      <c r="E85" s="38" t="str">
        <f t="shared" si="8"/>
        <v/>
      </c>
      <c r="F85" s="38" t="str">
        <f t="shared" si="9"/>
        <v/>
      </c>
      <c r="G85" s="38" t="str">
        <f t="shared" si="21"/>
        <v/>
      </c>
      <c r="H85" s="38" t="str">
        <f t="shared" si="22"/>
        <v/>
      </c>
      <c r="L85" t="str">
        <f t="shared" si="12"/>
        <v/>
      </c>
      <c r="M85" s="38" t="str">
        <f t="shared" si="13"/>
        <v/>
      </c>
      <c r="N85" s="38" t="str">
        <f t="shared" si="14"/>
        <v/>
      </c>
      <c r="O85" s="38" t="str">
        <f t="shared" si="15"/>
        <v/>
      </c>
      <c r="P85" s="38" t="str">
        <f t="shared" si="16"/>
        <v/>
      </c>
      <c r="Q85" s="38" t="str">
        <f t="shared" si="17"/>
        <v/>
      </c>
      <c r="R85" s="38" t="str">
        <f t="shared" si="18"/>
        <v/>
      </c>
      <c r="S85" s="38" t="str">
        <f t="shared" si="19"/>
        <v/>
      </c>
      <c r="T85" s="38" t="str">
        <f t="shared" si="20"/>
        <v/>
      </c>
      <c r="AG85" s="38"/>
    </row>
    <row r="86" spans="1:33" x14ac:dyDescent="0.2">
      <c r="A86" t="str">
        <f t="shared" si="4"/>
        <v/>
      </c>
      <c r="B86" s="38" t="str">
        <f t="shared" si="5"/>
        <v/>
      </c>
      <c r="C86" s="38" t="str">
        <f t="shared" si="6"/>
        <v/>
      </c>
      <c r="D86" s="38" t="str">
        <f t="shared" si="7"/>
        <v/>
      </c>
      <c r="E86" s="38" t="str">
        <f t="shared" si="8"/>
        <v/>
      </c>
      <c r="F86" s="38" t="str">
        <f t="shared" si="9"/>
        <v/>
      </c>
      <c r="G86" s="38" t="str">
        <f t="shared" si="21"/>
        <v/>
      </c>
      <c r="H86" s="38" t="str">
        <f t="shared" si="22"/>
        <v/>
      </c>
      <c r="L86" t="str">
        <f t="shared" si="12"/>
        <v/>
      </c>
      <c r="M86" s="38" t="str">
        <f t="shared" si="13"/>
        <v/>
      </c>
      <c r="N86" s="38" t="str">
        <f t="shared" si="14"/>
        <v/>
      </c>
      <c r="O86" s="38" t="str">
        <f t="shared" si="15"/>
        <v/>
      </c>
      <c r="P86" s="38" t="str">
        <f t="shared" si="16"/>
        <v/>
      </c>
      <c r="Q86" s="38" t="str">
        <f t="shared" si="17"/>
        <v/>
      </c>
      <c r="R86" s="38" t="str">
        <f t="shared" si="18"/>
        <v/>
      </c>
      <c r="S86" s="38" t="str">
        <f t="shared" si="19"/>
        <v/>
      </c>
      <c r="T86" s="38" t="str">
        <f t="shared" si="20"/>
        <v/>
      </c>
      <c r="AG86" s="38"/>
    </row>
    <row r="87" spans="1:33" x14ac:dyDescent="0.2">
      <c r="A87" t="str">
        <f t="shared" si="4"/>
        <v/>
      </c>
      <c r="B87" s="38" t="str">
        <f t="shared" si="5"/>
        <v/>
      </c>
      <c r="C87" s="38" t="str">
        <f t="shared" si="6"/>
        <v/>
      </c>
      <c r="D87" s="38" t="str">
        <f t="shared" si="7"/>
        <v/>
      </c>
      <c r="E87" s="38" t="str">
        <f t="shared" si="8"/>
        <v/>
      </c>
      <c r="F87" s="38" t="str">
        <f t="shared" si="9"/>
        <v/>
      </c>
      <c r="G87" s="38" t="str">
        <f t="shared" si="21"/>
        <v/>
      </c>
      <c r="H87" s="38" t="str">
        <f t="shared" si="22"/>
        <v/>
      </c>
      <c r="L87" t="str">
        <f t="shared" si="12"/>
        <v/>
      </c>
      <c r="M87" s="38" t="str">
        <f t="shared" si="13"/>
        <v/>
      </c>
      <c r="N87" s="38" t="str">
        <f t="shared" si="14"/>
        <v/>
      </c>
      <c r="O87" s="38" t="str">
        <f t="shared" si="15"/>
        <v/>
      </c>
      <c r="P87" s="38" t="str">
        <f t="shared" si="16"/>
        <v/>
      </c>
      <c r="Q87" s="38" t="str">
        <f t="shared" si="17"/>
        <v/>
      </c>
      <c r="R87" s="38" t="str">
        <f t="shared" si="18"/>
        <v/>
      </c>
      <c r="S87" s="38" t="str">
        <f t="shared" si="19"/>
        <v/>
      </c>
      <c r="T87" s="38" t="str">
        <f t="shared" si="20"/>
        <v/>
      </c>
      <c r="AG87" s="38"/>
    </row>
    <row r="88" spans="1:33" x14ac:dyDescent="0.2">
      <c r="A88" t="str">
        <f t="shared" ref="A88:A151" si="23">IF(A87&lt;($B$6*$B$7),A87+1,"")</f>
        <v/>
      </c>
      <c r="B88" s="38" t="str">
        <f t="shared" ref="B88:B151" si="24">IF(A88="","",F87)</f>
        <v/>
      </c>
      <c r="C88" s="38" t="str">
        <f t="shared" ref="C88:C151" si="25">IF(A88="","",(B88*$B$8))</f>
        <v/>
      </c>
      <c r="D88" s="38" t="str">
        <f t="shared" ref="D88:D151" si="26">IF(A88="","", $B$5)</f>
        <v/>
      </c>
      <c r="E88" s="38" t="str">
        <f t="shared" ref="E88:E151" si="27">IF(D88="","",(D88-C88))</f>
        <v/>
      </c>
      <c r="F88" s="38" t="str">
        <f t="shared" ref="F88:F151" si="28">IF(A88="","", B88-E88)</f>
        <v/>
      </c>
      <c r="G88" s="38" t="str">
        <f t="shared" si="21"/>
        <v/>
      </c>
      <c r="H88" s="38" t="str">
        <f t="shared" si="22"/>
        <v/>
      </c>
      <c r="L88" t="str">
        <f t="shared" ref="L88:L151" si="29">IF(L87&lt;($B$6*$B$7),L87+1,"")</f>
        <v/>
      </c>
      <c r="M88" s="38" t="str">
        <f t="shared" ref="M88:M151" si="30">IF(L88="", "", R87)</f>
        <v/>
      </c>
      <c r="N88" s="38" t="str">
        <f t="shared" ref="N88:N151" si="31">IF(L88="","",$B$5)</f>
        <v/>
      </c>
      <c r="O88" s="38" t="str">
        <f t="shared" ref="O88:O151" si="32">IF(L88="","",M88-N88)</f>
        <v/>
      </c>
      <c r="P88" s="38" t="str">
        <f t="shared" ref="P88:P151" si="33">IF(L88="","",O87*$B$8)</f>
        <v/>
      </c>
      <c r="Q88" s="38" t="str">
        <f t="shared" ref="Q88:Q151" si="34">IF(L88="","",N88-P88)</f>
        <v/>
      </c>
      <c r="R88" s="38" t="str">
        <f t="shared" ref="R88:R151" si="35">IF(L88="","",O88*(1+$B$8))</f>
        <v/>
      </c>
      <c r="S88" s="38" t="str">
        <f t="shared" ref="S88:S151" si="36">IF(L88="","",S87+P88)</f>
        <v/>
      </c>
      <c r="T88" s="38" t="str">
        <f t="shared" ref="T88:T151" si="37">IF(L88="","",Q88+T87)</f>
        <v/>
      </c>
      <c r="AG88" s="38"/>
    </row>
    <row r="89" spans="1:33" x14ac:dyDescent="0.2">
      <c r="A89" t="str">
        <f t="shared" si="23"/>
        <v/>
      </c>
      <c r="B89" s="38" t="str">
        <f t="shared" si="24"/>
        <v/>
      </c>
      <c r="C89" s="38" t="str">
        <f t="shared" si="25"/>
        <v/>
      </c>
      <c r="D89" s="38" t="str">
        <f t="shared" si="26"/>
        <v/>
      </c>
      <c r="E89" s="38" t="str">
        <f t="shared" si="27"/>
        <v/>
      </c>
      <c r="F89" s="38" t="str">
        <f t="shared" si="28"/>
        <v/>
      </c>
      <c r="G89" s="38" t="str">
        <f t="shared" si="21"/>
        <v/>
      </c>
      <c r="H89" s="38" t="str">
        <f t="shared" si="22"/>
        <v/>
      </c>
      <c r="L89" t="str">
        <f t="shared" si="29"/>
        <v/>
      </c>
      <c r="M89" s="38" t="str">
        <f t="shared" si="30"/>
        <v/>
      </c>
      <c r="N89" s="38" t="str">
        <f t="shared" si="31"/>
        <v/>
      </c>
      <c r="O89" s="38" t="str">
        <f t="shared" si="32"/>
        <v/>
      </c>
      <c r="P89" s="38" t="str">
        <f t="shared" si="33"/>
        <v/>
      </c>
      <c r="Q89" s="38" t="str">
        <f t="shared" si="34"/>
        <v/>
      </c>
      <c r="R89" s="38" t="str">
        <f t="shared" si="35"/>
        <v/>
      </c>
      <c r="S89" s="38" t="str">
        <f t="shared" si="36"/>
        <v/>
      </c>
      <c r="T89" s="38" t="str">
        <f t="shared" si="37"/>
        <v/>
      </c>
      <c r="AG89" s="38"/>
    </row>
    <row r="90" spans="1:33" x14ac:dyDescent="0.2">
      <c r="A90" t="str">
        <f t="shared" si="23"/>
        <v/>
      </c>
      <c r="B90" s="38" t="str">
        <f t="shared" si="24"/>
        <v/>
      </c>
      <c r="C90" s="38" t="str">
        <f t="shared" si="25"/>
        <v/>
      </c>
      <c r="D90" s="38" t="str">
        <f t="shared" si="26"/>
        <v/>
      </c>
      <c r="E90" s="38" t="str">
        <f t="shared" si="27"/>
        <v/>
      </c>
      <c r="F90" s="38" t="str">
        <f t="shared" si="28"/>
        <v/>
      </c>
      <c r="G90" s="38" t="str">
        <f t="shared" ref="G90:G153" si="38">IF(A90="","", (G89+C90))</f>
        <v/>
      </c>
      <c r="H90" s="38" t="str">
        <f t="shared" ref="H90:H153" si="39">IF(A90="","",(H89+E90))</f>
        <v/>
      </c>
      <c r="L90" t="str">
        <f t="shared" si="29"/>
        <v/>
      </c>
      <c r="M90" s="38" t="str">
        <f t="shared" si="30"/>
        <v/>
      </c>
      <c r="N90" s="38" t="str">
        <f t="shared" si="31"/>
        <v/>
      </c>
      <c r="O90" s="38" t="str">
        <f t="shared" si="32"/>
        <v/>
      </c>
      <c r="P90" s="38" t="str">
        <f t="shared" si="33"/>
        <v/>
      </c>
      <c r="Q90" s="38" t="str">
        <f t="shared" si="34"/>
        <v/>
      </c>
      <c r="R90" s="38" t="str">
        <f t="shared" si="35"/>
        <v/>
      </c>
      <c r="S90" s="38" t="str">
        <f t="shared" si="36"/>
        <v/>
      </c>
      <c r="T90" s="38" t="str">
        <f t="shared" si="37"/>
        <v/>
      </c>
      <c r="AG90" s="38"/>
    </row>
    <row r="91" spans="1:33" x14ac:dyDescent="0.2">
      <c r="A91" t="str">
        <f t="shared" si="23"/>
        <v/>
      </c>
      <c r="B91" s="38" t="str">
        <f t="shared" si="24"/>
        <v/>
      </c>
      <c r="C91" s="38" t="str">
        <f t="shared" si="25"/>
        <v/>
      </c>
      <c r="D91" s="38" t="str">
        <f t="shared" si="26"/>
        <v/>
      </c>
      <c r="E91" s="38" t="str">
        <f t="shared" si="27"/>
        <v/>
      </c>
      <c r="F91" s="38" t="str">
        <f t="shared" si="28"/>
        <v/>
      </c>
      <c r="G91" s="38" t="str">
        <f t="shared" si="38"/>
        <v/>
      </c>
      <c r="H91" s="38" t="str">
        <f t="shared" si="39"/>
        <v/>
      </c>
      <c r="L91" t="str">
        <f t="shared" si="29"/>
        <v/>
      </c>
      <c r="M91" s="38" t="str">
        <f t="shared" si="30"/>
        <v/>
      </c>
      <c r="N91" s="38" t="str">
        <f t="shared" si="31"/>
        <v/>
      </c>
      <c r="O91" s="38" t="str">
        <f t="shared" si="32"/>
        <v/>
      </c>
      <c r="P91" s="38" t="str">
        <f t="shared" si="33"/>
        <v/>
      </c>
      <c r="Q91" s="38" t="str">
        <f t="shared" si="34"/>
        <v/>
      </c>
      <c r="R91" s="38" t="str">
        <f t="shared" si="35"/>
        <v/>
      </c>
      <c r="S91" s="38" t="str">
        <f t="shared" si="36"/>
        <v/>
      </c>
      <c r="T91" s="38" t="str">
        <f t="shared" si="37"/>
        <v/>
      </c>
      <c r="AG91" s="38"/>
    </row>
    <row r="92" spans="1:33" x14ac:dyDescent="0.2">
      <c r="A92" t="str">
        <f t="shared" si="23"/>
        <v/>
      </c>
      <c r="B92" s="38" t="str">
        <f t="shared" si="24"/>
        <v/>
      </c>
      <c r="C92" s="38" t="str">
        <f t="shared" si="25"/>
        <v/>
      </c>
      <c r="D92" s="38" t="str">
        <f t="shared" si="26"/>
        <v/>
      </c>
      <c r="E92" s="38" t="str">
        <f t="shared" si="27"/>
        <v/>
      </c>
      <c r="F92" s="38" t="str">
        <f t="shared" si="28"/>
        <v/>
      </c>
      <c r="G92" s="38" t="str">
        <f t="shared" si="38"/>
        <v/>
      </c>
      <c r="H92" s="38" t="str">
        <f t="shared" si="39"/>
        <v/>
      </c>
      <c r="L92" t="str">
        <f t="shared" si="29"/>
        <v/>
      </c>
      <c r="M92" s="38" t="str">
        <f t="shared" si="30"/>
        <v/>
      </c>
      <c r="N92" s="38" t="str">
        <f t="shared" si="31"/>
        <v/>
      </c>
      <c r="O92" s="38" t="str">
        <f t="shared" si="32"/>
        <v/>
      </c>
      <c r="P92" s="38" t="str">
        <f t="shared" si="33"/>
        <v/>
      </c>
      <c r="Q92" s="38" t="str">
        <f t="shared" si="34"/>
        <v/>
      </c>
      <c r="R92" s="38" t="str">
        <f t="shared" si="35"/>
        <v/>
      </c>
      <c r="S92" s="38" t="str">
        <f t="shared" si="36"/>
        <v/>
      </c>
      <c r="T92" s="38" t="str">
        <f t="shared" si="37"/>
        <v/>
      </c>
      <c r="AG92" s="38"/>
    </row>
    <row r="93" spans="1:33" x14ac:dyDescent="0.2">
      <c r="A93" t="str">
        <f t="shared" si="23"/>
        <v/>
      </c>
      <c r="B93" s="38" t="str">
        <f t="shared" si="24"/>
        <v/>
      </c>
      <c r="C93" s="38" t="str">
        <f t="shared" si="25"/>
        <v/>
      </c>
      <c r="D93" s="38" t="str">
        <f t="shared" si="26"/>
        <v/>
      </c>
      <c r="E93" s="38" t="str">
        <f t="shared" si="27"/>
        <v/>
      </c>
      <c r="F93" s="38" t="str">
        <f t="shared" si="28"/>
        <v/>
      </c>
      <c r="G93" s="38" t="str">
        <f t="shared" si="38"/>
        <v/>
      </c>
      <c r="H93" s="38" t="str">
        <f t="shared" si="39"/>
        <v/>
      </c>
      <c r="L93" t="str">
        <f t="shared" si="29"/>
        <v/>
      </c>
      <c r="M93" s="38" t="str">
        <f t="shared" si="30"/>
        <v/>
      </c>
      <c r="N93" s="38" t="str">
        <f t="shared" si="31"/>
        <v/>
      </c>
      <c r="O93" s="38" t="str">
        <f t="shared" si="32"/>
        <v/>
      </c>
      <c r="P93" s="38" t="str">
        <f t="shared" si="33"/>
        <v/>
      </c>
      <c r="Q93" s="38" t="str">
        <f t="shared" si="34"/>
        <v/>
      </c>
      <c r="R93" s="38" t="str">
        <f t="shared" si="35"/>
        <v/>
      </c>
      <c r="S93" s="38" t="str">
        <f t="shared" si="36"/>
        <v/>
      </c>
      <c r="T93" s="38" t="str">
        <f t="shared" si="37"/>
        <v/>
      </c>
      <c r="AG93" s="38"/>
    </row>
    <row r="94" spans="1:33" x14ac:dyDescent="0.2">
      <c r="A94" t="str">
        <f t="shared" si="23"/>
        <v/>
      </c>
      <c r="B94" s="38" t="str">
        <f t="shared" si="24"/>
        <v/>
      </c>
      <c r="C94" s="38" t="str">
        <f t="shared" si="25"/>
        <v/>
      </c>
      <c r="D94" s="38" t="str">
        <f t="shared" si="26"/>
        <v/>
      </c>
      <c r="E94" s="38" t="str">
        <f t="shared" si="27"/>
        <v/>
      </c>
      <c r="F94" s="38" t="str">
        <f t="shared" si="28"/>
        <v/>
      </c>
      <c r="G94" s="38" t="str">
        <f t="shared" si="38"/>
        <v/>
      </c>
      <c r="H94" s="38" t="str">
        <f t="shared" si="39"/>
        <v/>
      </c>
      <c r="L94" t="str">
        <f t="shared" si="29"/>
        <v/>
      </c>
      <c r="M94" s="38" t="str">
        <f t="shared" si="30"/>
        <v/>
      </c>
      <c r="N94" s="38" t="str">
        <f t="shared" si="31"/>
        <v/>
      </c>
      <c r="O94" s="38" t="str">
        <f t="shared" si="32"/>
        <v/>
      </c>
      <c r="P94" s="38" t="str">
        <f t="shared" si="33"/>
        <v/>
      </c>
      <c r="Q94" s="38" t="str">
        <f t="shared" si="34"/>
        <v/>
      </c>
      <c r="R94" s="38" t="str">
        <f t="shared" si="35"/>
        <v/>
      </c>
      <c r="S94" s="38" t="str">
        <f t="shared" si="36"/>
        <v/>
      </c>
      <c r="T94" s="38" t="str">
        <f t="shared" si="37"/>
        <v/>
      </c>
      <c r="AG94" s="38"/>
    </row>
    <row r="95" spans="1:33" x14ac:dyDescent="0.2">
      <c r="A95" t="str">
        <f t="shared" si="23"/>
        <v/>
      </c>
      <c r="B95" s="38" t="str">
        <f t="shared" si="24"/>
        <v/>
      </c>
      <c r="C95" s="38" t="str">
        <f t="shared" si="25"/>
        <v/>
      </c>
      <c r="D95" s="38" t="str">
        <f t="shared" si="26"/>
        <v/>
      </c>
      <c r="E95" s="38" t="str">
        <f t="shared" si="27"/>
        <v/>
      </c>
      <c r="F95" s="38" t="str">
        <f t="shared" si="28"/>
        <v/>
      </c>
      <c r="G95" s="38" t="str">
        <f t="shared" si="38"/>
        <v/>
      </c>
      <c r="H95" s="38" t="str">
        <f t="shared" si="39"/>
        <v/>
      </c>
      <c r="L95" t="str">
        <f t="shared" si="29"/>
        <v/>
      </c>
      <c r="M95" s="38" t="str">
        <f t="shared" si="30"/>
        <v/>
      </c>
      <c r="N95" s="38" t="str">
        <f t="shared" si="31"/>
        <v/>
      </c>
      <c r="O95" s="38" t="str">
        <f t="shared" si="32"/>
        <v/>
      </c>
      <c r="P95" s="38" t="str">
        <f t="shared" si="33"/>
        <v/>
      </c>
      <c r="Q95" s="38" t="str">
        <f t="shared" si="34"/>
        <v/>
      </c>
      <c r="R95" s="38" t="str">
        <f t="shared" si="35"/>
        <v/>
      </c>
      <c r="S95" s="38" t="str">
        <f t="shared" si="36"/>
        <v/>
      </c>
      <c r="T95" s="38" t="str">
        <f t="shared" si="37"/>
        <v/>
      </c>
      <c r="AG95" s="38"/>
    </row>
    <row r="96" spans="1:33" x14ac:dyDescent="0.2">
      <c r="A96" t="str">
        <f t="shared" si="23"/>
        <v/>
      </c>
      <c r="B96" s="38" t="str">
        <f t="shared" si="24"/>
        <v/>
      </c>
      <c r="C96" s="38" t="str">
        <f t="shared" si="25"/>
        <v/>
      </c>
      <c r="D96" s="38" t="str">
        <f t="shared" si="26"/>
        <v/>
      </c>
      <c r="E96" s="38" t="str">
        <f t="shared" si="27"/>
        <v/>
      </c>
      <c r="F96" s="38" t="str">
        <f t="shared" si="28"/>
        <v/>
      </c>
      <c r="G96" s="38" t="str">
        <f t="shared" si="38"/>
        <v/>
      </c>
      <c r="H96" s="38" t="str">
        <f t="shared" si="39"/>
        <v/>
      </c>
      <c r="L96" t="str">
        <f t="shared" si="29"/>
        <v/>
      </c>
      <c r="M96" s="38" t="str">
        <f t="shared" si="30"/>
        <v/>
      </c>
      <c r="N96" s="38" t="str">
        <f t="shared" si="31"/>
        <v/>
      </c>
      <c r="O96" s="38" t="str">
        <f t="shared" si="32"/>
        <v/>
      </c>
      <c r="P96" s="38" t="str">
        <f t="shared" si="33"/>
        <v/>
      </c>
      <c r="Q96" s="38" t="str">
        <f t="shared" si="34"/>
        <v/>
      </c>
      <c r="R96" s="38" t="str">
        <f t="shared" si="35"/>
        <v/>
      </c>
      <c r="S96" s="38" t="str">
        <f t="shared" si="36"/>
        <v/>
      </c>
      <c r="T96" s="38" t="str">
        <f t="shared" si="37"/>
        <v/>
      </c>
      <c r="AG96" s="38"/>
    </row>
    <row r="97" spans="1:33" x14ac:dyDescent="0.2">
      <c r="A97" t="str">
        <f t="shared" si="23"/>
        <v/>
      </c>
      <c r="B97" s="38" t="str">
        <f t="shared" si="24"/>
        <v/>
      </c>
      <c r="C97" s="38" t="str">
        <f t="shared" si="25"/>
        <v/>
      </c>
      <c r="D97" s="38" t="str">
        <f t="shared" si="26"/>
        <v/>
      </c>
      <c r="E97" s="38" t="str">
        <f t="shared" si="27"/>
        <v/>
      </c>
      <c r="F97" s="38" t="str">
        <f t="shared" si="28"/>
        <v/>
      </c>
      <c r="G97" s="38" t="str">
        <f t="shared" si="38"/>
        <v/>
      </c>
      <c r="H97" s="38" t="str">
        <f t="shared" si="39"/>
        <v/>
      </c>
      <c r="L97" t="str">
        <f t="shared" si="29"/>
        <v/>
      </c>
      <c r="M97" s="38" t="str">
        <f t="shared" si="30"/>
        <v/>
      </c>
      <c r="N97" s="38" t="str">
        <f t="shared" si="31"/>
        <v/>
      </c>
      <c r="O97" s="38" t="str">
        <f t="shared" si="32"/>
        <v/>
      </c>
      <c r="P97" s="38" t="str">
        <f t="shared" si="33"/>
        <v/>
      </c>
      <c r="Q97" s="38" t="str">
        <f t="shared" si="34"/>
        <v/>
      </c>
      <c r="R97" s="38" t="str">
        <f t="shared" si="35"/>
        <v/>
      </c>
      <c r="S97" s="38" t="str">
        <f t="shared" si="36"/>
        <v/>
      </c>
      <c r="T97" s="38" t="str">
        <f t="shared" si="37"/>
        <v/>
      </c>
      <c r="AG97" s="38"/>
    </row>
    <row r="98" spans="1:33" x14ac:dyDescent="0.2">
      <c r="A98" t="str">
        <f t="shared" si="23"/>
        <v/>
      </c>
      <c r="B98" s="38" t="str">
        <f t="shared" si="24"/>
        <v/>
      </c>
      <c r="C98" s="38" t="str">
        <f t="shared" si="25"/>
        <v/>
      </c>
      <c r="D98" s="38" t="str">
        <f t="shared" si="26"/>
        <v/>
      </c>
      <c r="E98" s="38" t="str">
        <f t="shared" si="27"/>
        <v/>
      </c>
      <c r="F98" s="38" t="str">
        <f t="shared" si="28"/>
        <v/>
      </c>
      <c r="G98" s="38" t="str">
        <f t="shared" si="38"/>
        <v/>
      </c>
      <c r="H98" s="38" t="str">
        <f t="shared" si="39"/>
        <v/>
      </c>
      <c r="L98" t="str">
        <f t="shared" si="29"/>
        <v/>
      </c>
      <c r="M98" s="38" t="str">
        <f t="shared" si="30"/>
        <v/>
      </c>
      <c r="N98" s="38" t="str">
        <f t="shared" si="31"/>
        <v/>
      </c>
      <c r="O98" s="38" t="str">
        <f t="shared" si="32"/>
        <v/>
      </c>
      <c r="P98" s="38" t="str">
        <f t="shared" si="33"/>
        <v/>
      </c>
      <c r="Q98" s="38" t="str">
        <f t="shared" si="34"/>
        <v/>
      </c>
      <c r="R98" s="38" t="str">
        <f t="shared" si="35"/>
        <v/>
      </c>
      <c r="S98" s="38" t="str">
        <f t="shared" si="36"/>
        <v/>
      </c>
      <c r="T98" s="38" t="str">
        <f t="shared" si="37"/>
        <v/>
      </c>
      <c r="AG98" s="38"/>
    </row>
    <row r="99" spans="1:33" x14ac:dyDescent="0.2">
      <c r="A99" t="str">
        <f t="shared" si="23"/>
        <v/>
      </c>
      <c r="B99" s="38" t="str">
        <f t="shared" si="24"/>
        <v/>
      </c>
      <c r="C99" s="38" t="str">
        <f t="shared" si="25"/>
        <v/>
      </c>
      <c r="D99" s="38" t="str">
        <f t="shared" si="26"/>
        <v/>
      </c>
      <c r="E99" s="38" t="str">
        <f t="shared" si="27"/>
        <v/>
      </c>
      <c r="F99" s="38" t="str">
        <f t="shared" si="28"/>
        <v/>
      </c>
      <c r="G99" s="38" t="str">
        <f t="shared" si="38"/>
        <v/>
      </c>
      <c r="H99" s="38" t="str">
        <f t="shared" si="39"/>
        <v/>
      </c>
      <c r="L99" t="str">
        <f t="shared" si="29"/>
        <v/>
      </c>
      <c r="M99" s="38" t="str">
        <f t="shared" si="30"/>
        <v/>
      </c>
      <c r="N99" s="38" t="str">
        <f t="shared" si="31"/>
        <v/>
      </c>
      <c r="O99" s="38" t="str">
        <f t="shared" si="32"/>
        <v/>
      </c>
      <c r="P99" s="38" t="str">
        <f t="shared" si="33"/>
        <v/>
      </c>
      <c r="Q99" s="38" t="str">
        <f t="shared" si="34"/>
        <v/>
      </c>
      <c r="R99" s="38" t="str">
        <f t="shared" si="35"/>
        <v/>
      </c>
      <c r="S99" s="38" t="str">
        <f t="shared" si="36"/>
        <v/>
      </c>
      <c r="T99" s="38" t="str">
        <f t="shared" si="37"/>
        <v/>
      </c>
      <c r="AG99" s="38"/>
    </row>
    <row r="100" spans="1:33" x14ac:dyDescent="0.2">
      <c r="A100" t="str">
        <f t="shared" si="23"/>
        <v/>
      </c>
      <c r="B100" s="38" t="str">
        <f t="shared" si="24"/>
        <v/>
      </c>
      <c r="C100" s="38" t="str">
        <f t="shared" si="25"/>
        <v/>
      </c>
      <c r="D100" s="38" t="str">
        <f t="shared" si="26"/>
        <v/>
      </c>
      <c r="E100" s="38" t="str">
        <f t="shared" si="27"/>
        <v/>
      </c>
      <c r="F100" s="38" t="str">
        <f t="shared" si="28"/>
        <v/>
      </c>
      <c r="G100" s="38" t="str">
        <f t="shared" si="38"/>
        <v/>
      </c>
      <c r="H100" s="38" t="str">
        <f t="shared" si="39"/>
        <v/>
      </c>
      <c r="L100" t="str">
        <f t="shared" si="29"/>
        <v/>
      </c>
      <c r="M100" s="38" t="str">
        <f t="shared" si="30"/>
        <v/>
      </c>
      <c r="N100" s="38" t="str">
        <f t="shared" si="31"/>
        <v/>
      </c>
      <c r="O100" s="38" t="str">
        <f t="shared" si="32"/>
        <v/>
      </c>
      <c r="P100" s="38" t="str">
        <f t="shared" si="33"/>
        <v/>
      </c>
      <c r="Q100" s="38" t="str">
        <f t="shared" si="34"/>
        <v/>
      </c>
      <c r="R100" s="38" t="str">
        <f t="shared" si="35"/>
        <v/>
      </c>
      <c r="S100" s="38" t="str">
        <f t="shared" si="36"/>
        <v/>
      </c>
      <c r="T100" s="38" t="str">
        <f t="shared" si="37"/>
        <v/>
      </c>
      <c r="AG100" s="38"/>
    </row>
    <row r="101" spans="1:33" x14ac:dyDescent="0.2">
      <c r="A101" t="str">
        <f t="shared" si="23"/>
        <v/>
      </c>
      <c r="B101" s="38" t="str">
        <f t="shared" si="24"/>
        <v/>
      </c>
      <c r="C101" s="38" t="str">
        <f t="shared" si="25"/>
        <v/>
      </c>
      <c r="D101" s="38" t="str">
        <f t="shared" si="26"/>
        <v/>
      </c>
      <c r="E101" s="38" t="str">
        <f t="shared" si="27"/>
        <v/>
      </c>
      <c r="F101" s="38" t="str">
        <f t="shared" si="28"/>
        <v/>
      </c>
      <c r="G101" s="38" t="str">
        <f t="shared" si="38"/>
        <v/>
      </c>
      <c r="H101" s="38" t="str">
        <f t="shared" si="39"/>
        <v/>
      </c>
      <c r="L101" t="str">
        <f t="shared" si="29"/>
        <v/>
      </c>
      <c r="M101" s="38" t="str">
        <f t="shared" si="30"/>
        <v/>
      </c>
      <c r="N101" s="38" t="str">
        <f t="shared" si="31"/>
        <v/>
      </c>
      <c r="O101" s="38" t="str">
        <f t="shared" si="32"/>
        <v/>
      </c>
      <c r="P101" s="38" t="str">
        <f t="shared" si="33"/>
        <v/>
      </c>
      <c r="Q101" s="38" t="str">
        <f t="shared" si="34"/>
        <v/>
      </c>
      <c r="R101" s="38" t="str">
        <f t="shared" si="35"/>
        <v/>
      </c>
      <c r="S101" s="38" t="str">
        <f t="shared" si="36"/>
        <v/>
      </c>
      <c r="T101" s="38" t="str">
        <f t="shared" si="37"/>
        <v/>
      </c>
      <c r="AG101" s="38"/>
    </row>
    <row r="102" spans="1:33" x14ac:dyDescent="0.2">
      <c r="A102" t="str">
        <f t="shared" si="23"/>
        <v/>
      </c>
      <c r="B102" s="38" t="str">
        <f t="shared" si="24"/>
        <v/>
      </c>
      <c r="C102" s="38" t="str">
        <f t="shared" si="25"/>
        <v/>
      </c>
      <c r="D102" s="38" t="str">
        <f t="shared" si="26"/>
        <v/>
      </c>
      <c r="E102" s="38" t="str">
        <f t="shared" si="27"/>
        <v/>
      </c>
      <c r="F102" s="38" t="str">
        <f t="shared" si="28"/>
        <v/>
      </c>
      <c r="G102" s="38" t="str">
        <f t="shared" si="38"/>
        <v/>
      </c>
      <c r="H102" s="38" t="str">
        <f t="shared" si="39"/>
        <v/>
      </c>
      <c r="L102" t="str">
        <f t="shared" si="29"/>
        <v/>
      </c>
      <c r="M102" s="38" t="str">
        <f t="shared" si="30"/>
        <v/>
      </c>
      <c r="N102" s="38" t="str">
        <f t="shared" si="31"/>
        <v/>
      </c>
      <c r="O102" s="38" t="str">
        <f t="shared" si="32"/>
        <v/>
      </c>
      <c r="P102" s="38" t="str">
        <f t="shared" si="33"/>
        <v/>
      </c>
      <c r="Q102" s="38" t="str">
        <f t="shared" si="34"/>
        <v/>
      </c>
      <c r="R102" s="38" t="str">
        <f t="shared" si="35"/>
        <v/>
      </c>
      <c r="S102" s="38" t="str">
        <f t="shared" si="36"/>
        <v/>
      </c>
      <c r="T102" s="38" t="str">
        <f t="shared" si="37"/>
        <v/>
      </c>
      <c r="AG102" s="38"/>
    </row>
    <row r="103" spans="1:33" x14ac:dyDescent="0.2">
      <c r="A103" t="str">
        <f t="shared" si="23"/>
        <v/>
      </c>
      <c r="B103" s="38" t="str">
        <f t="shared" si="24"/>
        <v/>
      </c>
      <c r="C103" s="38" t="str">
        <f t="shared" si="25"/>
        <v/>
      </c>
      <c r="D103" s="38" t="str">
        <f t="shared" si="26"/>
        <v/>
      </c>
      <c r="E103" s="38" t="str">
        <f t="shared" si="27"/>
        <v/>
      </c>
      <c r="F103" s="38" t="str">
        <f t="shared" si="28"/>
        <v/>
      </c>
      <c r="G103" s="38" t="str">
        <f t="shared" si="38"/>
        <v/>
      </c>
      <c r="H103" s="38" t="str">
        <f t="shared" si="39"/>
        <v/>
      </c>
      <c r="L103" t="str">
        <f t="shared" si="29"/>
        <v/>
      </c>
      <c r="M103" s="38" t="str">
        <f t="shared" si="30"/>
        <v/>
      </c>
      <c r="N103" s="38" t="str">
        <f t="shared" si="31"/>
        <v/>
      </c>
      <c r="O103" s="38" t="str">
        <f t="shared" si="32"/>
        <v/>
      </c>
      <c r="P103" s="38" t="str">
        <f t="shared" si="33"/>
        <v/>
      </c>
      <c r="Q103" s="38" t="str">
        <f t="shared" si="34"/>
        <v/>
      </c>
      <c r="R103" s="38" t="str">
        <f t="shared" si="35"/>
        <v/>
      </c>
      <c r="S103" s="38" t="str">
        <f t="shared" si="36"/>
        <v/>
      </c>
      <c r="T103" s="38" t="str">
        <f t="shared" si="37"/>
        <v/>
      </c>
      <c r="AG103" s="38"/>
    </row>
    <row r="104" spans="1:33" x14ac:dyDescent="0.2">
      <c r="A104" t="str">
        <f t="shared" si="23"/>
        <v/>
      </c>
      <c r="B104" s="38" t="str">
        <f t="shared" si="24"/>
        <v/>
      </c>
      <c r="C104" s="38" t="str">
        <f t="shared" si="25"/>
        <v/>
      </c>
      <c r="D104" s="38" t="str">
        <f t="shared" si="26"/>
        <v/>
      </c>
      <c r="E104" s="38" t="str">
        <f t="shared" si="27"/>
        <v/>
      </c>
      <c r="F104" s="38" t="str">
        <f t="shared" si="28"/>
        <v/>
      </c>
      <c r="G104" s="38" t="str">
        <f t="shared" si="38"/>
        <v/>
      </c>
      <c r="H104" s="38" t="str">
        <f t="shared" si="39"/>
        <v/>
      </c>
      <c r="L104" t="str">
        <f t="shared" si="29"/>
        <v/>
      </c>
      <c r="M104" s="38" t="str">
        <f t="shared" si="30"/>
        <v/>
      </c>
      <c r="N104" s="38" t="str">
        <f t="shared" si="31"/>
        <v/>
      </c>
      <c r="O104" s="38" t="str">
        <f t="shared" si="32"/>
        <v/>
      </c>
      <c r="P104" s="38" t="str">
        <f t="shared" si="33"/>
        <v/>
      </c>
      <c r="Q104" s="38" t="str">
        <f t="shared" si="34"/>
        <v/>
      </c>
      <c r="R104" s="38" t="str">
        <f t="shared" si="35"/>
        <v/>
      </c>
      <c r="S104" s="38" t="str">
        <f t="shared" si="36"/>
        <v/>
      </c>
      <c r="T104" s="38" t="str">
        <f t="shared" si="37"/>
        <v/>
      </c>
      <c r="AG104" s="38"/>
    </row>
    <row r="105" spans="1:33" x14ac:dyDescent="0.2">
      <c r="A105" t="str">
        <f t="shared" si="23"/>
        <v/>
      </c>
      <c r="B105" s="38" t="str">
        <f t="shared" si="24"/>
        <v/>
      </c>
      <c r="C105" s="38" t="str">
        <f t="shared" si="25"/>
        <v/>
      </c>
      <c r="D105" s="38" t="str">
        <f t="shared" si="26"/>
        <v/>
      </c>
      <c r="E105" s="38" t="str">
        <f t="shared" si="27"/>
        <v/>
      </c>
      <c r="F105" s="38" t="str">
        <f t="shared" si="28"/>
        <v/>
      </c>
      <c r="G105" s="38" t="str">
        <f t="shared" si="38"/>
        <v/>
      </c>
      <c r="H105" s="38" t="str">
        <f t="shared" si="39"/>
        <v/>
      </c>
      <c r="L105" t="str">
        <f t="shared" si="29"/>
        <v/>
      </c>
      <c r="M105" s="38" t="str">
        <f t="shared" si="30"/>
        <v/>
      </c>
      <c r="N105" s="38" t="str">
        <f t="shared" si="31"/>
        <v/>
      </c>
      <c r="O105" s="38" t="str">
        <f t="shared" si="32"/>
        <v/>
      </c>
      <c r="P105" s="38" t="str">
        <f t="shared" si="33"/>
        <v/>
      </c>
      <c r="Q105" s="38" t="str">
        <f t="shared" si="34"/>
        <v/>
      </c>
      <c r="R105" s="38" t="str">
        <f t="shared" si="35"/>
        <v/>
      </c>
      <c r="S105" s="38" t="str">
        <f t="shared" si="36"/>
        <v/>
      </c>
      <c r="T105" s="38" t="str">
        <f t="shared" si="37"/>
        <v/>
      </c>
      <c r="AG105" s="38"/>
    </row>
    <row r="106" spans="1:33" x14ac:dyDescent="0.2">
      <c r="A106" t="str">
        <f t="shared" si="23"/>
        <v/>
      </c>
      <c r="B106" s="38" t="str">
        <f t="shared" si="24"/>
        <v/>
      </c>
      <c r="C106" s="38" t="str">
        <f t="shared" si="25"/>
        <v/>
      </c>
      <c r="D106" s="38" t="str">
        <f t="shared" si="26"/>
        <v/>
      </c>
      <c r="E106" s="38" t="str">
        <f t="shared" si="27"/>
        <v/>
      </c>
      <c r="F106" s="38" t="str">
        <f t="shared" si="28"/>
        <v/>
      </c>
      <c r="G106" s="38" t="str">
        <f t="shared" si="38"/>
        <v/>
      </c>
      <c r="H106" s="38" t="str">
        <f t="shared" si="39"/>
        <v/>
      </c>
      <c r="L106" t="str">
        <f t="shared" si="29"/>
        <v/>
      </c>
      <c r="M106" s="38" t="str">
        <f t="shared" si="30"/>
        <v/>
      </c>
      <c r="N106" s="38" t="str">
        <f t="shared" si="31"/>
        <v/>
      </c>
      <c r="O106" s="38" t="str">
        <f t="shared" si="32"/>
        <v/>
      </c>
      <c r="P106" s="38" t="str">
        <f t="shared" si="33"/>
        <v/>
      </c>
      <c r="Q106" s="38" t="str">
        <f t="shared" si="34"/>
        <v/>
      </c>
      <c r="R106" s="38" t="str">
        <f t="shared" si="35"/>
        <v/>
      </c>
      <c r="S106" s="38" t="str">
        <f t="shared" si="36"/>
        <v/>
      </c>
      <c r="T106" s="38" t="str">
        <f t="shared" si="37"/>
        <v/>
      </c>
      <c r="AG106" s="38"/>
    </row>
    <row r="107" spans="1:33" x14ac:dyDescent="0.2">
      <c r="A107" t="str">
        <f t="shared" si="23"/>
        <v/>
      </c>
      <c r="B107" s="38" t="str">
        <f t="shared" si="24"/>
        <v/>
      </c>
      <c r="C107" s="38" t="str">
        <f t="shared" si="25"/>
        <v/>
      </c>
      <c r="D107" s="38" t="str">
        <f t="shared" si="26"/>
        <v/>
      </c>
      <c r="E107" s="38" t="str">
        <f t="shared" si="27"/>
        <v/>
      </c>
      <c r="F107" s="38" t="str">
        <f t="shared" si="28"/>
        <v/>
      </c>
      <c r="G107" s="38" t="str">
        <f t="shared" si="38"/>
        <v/>
      </c>
      <c r="H107" s="38" t="str">
        <f t="shared" si="39"/>
        <v/>
      </c>
      <c r="L107" t="str">
        <f t="shared" si="29"/>
        <v/>
      </c>
      <c r="M107" s="38" t="str">
        <f t="shared" si="30"/>
        <v/>
      </c>
      <c r="N107" s="38" t="str">
        <f t="shared" si="31"/>
        <v/>
      </c>
      <c r="O107" s="38" t="str">
        <f t="shared" si="32"/>
        <v/>
      </c>
      <c r="P107" s="38" t="str">
        <f t="shared" si="33"/>
        <v/>
      </c>
      <c r="Q107" s="38" t="str">
        <f t="shared" si="34"/>
        <v/>
      </c>
      <c r="R107" s="38" t="str">
        <f t="shared" si="35"/>
        <v/>
      </c>
      <c r="S107" s="38" t="str">
        <f t="shared" si="36"/>
        <v/>
      </c>
      <c r="T107" s="38" t="str">
        <f t="shared" si="37"/>
        <v/>
      </c>
      <c r="AG107" s="38"/>
    </row>
    <row r="108" spans="1:33" x14ac:dyDescent="0.2">
      <c r="A108" t="str">
        <f t="shared" si="23"/>
        <v/>
      </c>
      <c r="B108" s="38" t="str">
        <f t="shared" si="24"/>
        <v/>
      </c>
      <c r="C108" s="38" t="str">
        <f t="shared" si="25"/>
        <v/>
      </c>
      <c r="D108" s="38" t="str">
        <f t="shared" si="26"/>
        <v/>
      </c>
      <c r="E108" s="38" t="str">
        <f t="shared" si="27"/>
        <v/>
      </c>
      <c r="F108" s="38" t="str">
        <f t="shared" si="28"/>
        <v/>
      </c>
      <c r="G108" s="38" t="str">
        <f t="shared" si="38"/>
        <v/>
      </c>
      <c r="H108" s="38" t="str">
        <f t="shared" si="39"/>
        <v/>
      </c>
      <c r="L108" t="str">
        <f t="shared" si="29"/>
        <v/>
      </c>
      <c r="M108" s="38" t="str">
        <f t="shared" si="30"/>
        <v/>
      </c>
      <c r="N108" s="38" t="str">
        <f t="shared" si="31"/>
        <v/>
      </c>
      <c r="O108" s="38" t="str">
        <f t="shared" si="32"/>
        <v/>
      </c>
      <c r="P108" s="38" t="str">
        <f t="shared" si="33"/>
        <v/>
      </c>
      <c r="Q108" s="38" t="str">
        <f t="shared" si="34"/>
        <v/>
      </c>
      <c r="R108" s="38" t="str">
        <f t="shared" si="35"/>
        <v/>
      </c>
      <c r="S108" s="38" t="str">
        <f t="shared" si="36"/>
        <v/>
      </c>
      <c r="T108" s="38" t="str">
        <f t="shared" si="37"/>
        <v/>
      </c>
      <c r="AG108" s="38"/>
    </row>
    <row r="109" spans="1:33" x14ac:dyDescent="0.2">
      <c r="A109" t="str">
        <f t="shared" si="23"/>
        <v/>
      </c>
      <c r="B109" s="38" t="str">
        <f t="shared" si="24"/>
        <v/>
      </c>
      <c r="C109" s="38" t="str">
        <f t="shared" si="25"/>
        <v/>
      </c>
      <c r="D109" s="38" t="str">
        <f t="shared" si="26"/>
        <v/>
      </c>
      <c r="E109" s="38" t="str">
        <f t="shared" si="27"/>
        <v/>
      </c>
      <c r="F109" s="38" t="str">
        <f t="shared" si="28"/>
        <v/>
      </c>
      <c r="G109" s="38" t="str">
        <f t="shared" si="38"/>
        <v/>
      </c>
      <c r="H109" s="38" t="str">
        <f t="shared" si="39"/>
        <v/>
      </c>
      <c r="L109" t="str">
        <f t="shared" si="29"/>
        <v/>
      </c>
      <c r="M109" s="38" t="str">
        <f t="shared" si="30"/>
        <v/>
      </c>
      <c r="N109" s="38" t="str">
        <f t="shared" si="31"/>
        <v/>
      </c>
      <c r="O109" s="38" t="str">
        <f t="shared" si="32"/>
        <v/>
      </c>
      <c r="P109" s="38" t="str">
        <f t="shared" si="33"/>
        <v/>
      </c>
      <c r="Q109" s="38" t="str">
        <f t="shared" si="34"/>
        <v/>
      </c>
      <c r="R109" s="38" t="str">
        <f t="shared" si="35"/>
        <v/>
      </c>
      <c r="S109" s="38" t="str">
        <f t="shared" si="36"/>
        <v/>
      </c>
      <c r="T109" s="38" t="str">
        <f t="shared" si="37"/>
        <v/>
      </c>
      <c r="AG109" s="38"/>
    </row>
    <row r="110" spans="1:33" x14ac:dyDescent="0.2">
      <c r="A110" t="str">
        <f t="shared" si="23"/>
        <v/>
      </c>
      <c r="B110" s="38" t="str">
        <f t="shared" si="24"/>
        <v/>
      </c>
      <c r="C110" s="38" t="str">
        <f t="shared" si="25"/>
        <v/>
      </c>
      <c r="D110" s="38" t="str">
        <f t="shared" si="26"/>
        <v/>
      </c>
      <c r="E110" s="38" t="str">
        <f t="shared" si="27"/>
        <v/>
      </c>
      <c r="F110" s="38" t="str">
        <f t="shared" si="28"/>
        <v/>
      </c>
      <c r="G110" s="38" t="str">
        <f t="shared" si="38"/>
        <v/>
      </c>
      <c r="H110" s="38" t="str">
        <f t="shared" si="39"/>
        <v/>
      </c>
      <c r="L110" t="str">
        <f t="shared" si="29"/>
        <v/>
      </c>
      <c r="M110" s="38" t="str">
        <f t="shared" si="30"/>
        <v/>
      </c>
      <c r="N110" s="38" t="str">
        <f t="shared" si="31"/>
        <v/>
      </c>
      <c r="O110" s="38" t="str">
        <f t="shared" si="32"/>
        <v/>
      </c>
      <c r="P110" s="38" t="str">
        <f t="shared" si="33"/>
        <v/>
      </c>
      <c r="Q110" s="38" t="str">
        <f t="shared" si="34"/>
        <v/>
      </c>
      <c r="R110" s="38" t="str">
        <f t="shared" si="35"/>
        <v/>
      </c>
      <c r="S110" s="38" t="str">
        <f t="shared" si="36"/>
        <v/>
      </c>
      <c r="T110" s="38" t="str">
        <f t="shared" si="37"/>
        <v/>
      </c>
      <c r="AG110" s="38"/>
    </row>
    <row r="111" spans="1:33" x14ac:dyDescent="0.2">
      <c r="A111" t="str">
        <f t="shared" si="23"/>
        <v/>
      </c>
      <c r="B111" s="38" t="str">
        <f t="shared" si="24"/>
        <v/>
      </c>
      <c r="C111" s="38" t="str">
        <f t="shared" si="25"/>
        <v/>
      </c>
      <c r="D111" s="38" t="str">
        <f t="shared" si="26"/>
        <v/>
      </c>
      <c r="E111" s="38" t="str">
        <f t="shared" si="27"/>
        <v/>
      </c>
      <c r="F111" s="38" t="str">
        <f t="shared" si="28"/>
        <v/>
      </c>
      <c r="G111" s="38" t="str">
        <f t="shared" si="38"/>
        <v/>
      </c>
      <c r="H111" s="38" t="str">
        <f t="shared" si="39"/>
        <v/>
      </c>
      <c r="L111" t="str">
        <f t="shared" si="29"/>
        <v/>
      </c>
      <c r="M111" s="38" t="str">
        <f t="shared" si="30"/>
        <v/>
      </c>
      <c r="N111" s="38" t="str">
        <f t="shared" si="31"/>
        <v/>
      </c>
      <c r="O111" s="38" t="str">
        <f t="shared" si="32"/>
        <v/>
      </c>
      <c r="P111" s="38" t="str">
        <f t="shared" si="33"/>
        <v/>
      </c>
      <c r="Q111" s="38" t="str">
        <f t="shared" si="34"/>
        <v/>
      </c>
      <c r="R111" s="38" t="str">
        <f t="shared" si="35"/>
        <v/>
      </c>
      <c r="S111" s="38" t="str">
        <f t="shared" si="36"/>
        <v/>
      </c>
      <c r="T111" s="38" t="str">
        <f t="shared" si="37"/>
        <v/>
      </c>
      <c r="AG111" s="38"/>
    </row>
    <row r="112" spans="1:33" x14ac:dyDescent="0.2">
      <c r="A112" t="str">
        <f t="shared" si="23"/>
        <v/>
      </c>
      <c r="B112" s="38" t="str">
        <f t="shared" si="24"/>
        <v/>
      </c>
      <c r="C112" s="38" t="str">
        <f t="shared" si="25"/>
        <v/>
      </c>
      <c r="D112" s="38" t="str">
        <f t="shared" si="26"/>
        <v/>
      </c>
      <c r="E112" s="38" t="str">
        <f t="shared" si="27"/>
        <v/>
      </c>
      <c r="F112" s="38" t="str">
        <f t="shared" si="28"/>
        <v/>
      </c>
      <c r="G112" s="38" t="str">
        <f t="shared" si="38"/>
        <v/>
      </c>
      <c r="H112" s="38" t="str">
        <f t="shared" si="39"/>
        <v/>
      </c>
      <c r="L112" t="str">
        <f t="shared" si="29"/>
        <v/>
      </c>
      <c r="M112" s="38" t="str">
        <f t="shared" si="30"/>
        <v/>
      </c>
      <c r="N112" s="38" t="str">
        <f t="shared" si="31"/>
        <v/>
      </c>
      <c r="O112" s="38" t="str">
        <f t="shared" si="32"/>
        <v/>
      </c>
      <c r="P112" s="38" t="str">
        <f t="shared" si="33"/>
        <v/>
      </c>
      <c r="Q112" s="38" t="str">
        <f t="shared" si="34"/>
        <v/>
      </c>
      <c r="R112" s="38" t="str">
        <f t="shared" si="35"/>
        <v/>
      </c>
      <c r="S112" s="38" t="str">
        <f t="shared" si="36"/>
        <v/>
      </c>
      <c r="T112" s="38" t="str">
        <f t="shared" si="37"/>
        <v/>
      </c>
      <c r="AG112" s="38"/>
    </row>
    <row r="113" spans="1:33" x14ac:dyDescent="0.2">
      <c r="A113" t="str">
        <f t="shared" si="23"/>
        <v/>
      </c>
      <c r="B113" s="38" t="str">
        <f t="shared" si="24"/>
        <v/>
      </c>
      <c r="C113" s="38" t="str">
        <f t="shared" si="25"/>
        <v/>
      </c>
      <c r="D113" s="38" t="str">
        <f t="shared" si="26"/>
        <v/>
      </c>
      <c r="E113" s="38" t="str">
        <f t="shared" si="27"/>
        <v/>
      </c>
      <c r="F113" s="38" t="str">
        <f t="shared" si="28"/>
        <v/>
      </c>
      <c r="G113" s="38" t="str">
        <f t="shared" si="38"/>
        <v/>
      </c>
      <c r="H113" s="38" t="str">
        <f t="shared" si="39"/>
        <v/>
      </c>
      <c r="L113" t="str">
        <f t="shared" si="29"/>
        <v/>
      </c>
      <c r="M113" s="38" t="str">
        <f t="shared" si="30"/>
        <v/>
      </c>
      <c r="N113" s="38" t="str">
        <f t="shared" si="31"/>
        <v/>
      </c>
      <c r="O113" s="38" t="str">
        <f t="shared" si="32"/>
        <v/>
      </c>
      <c r="P113" s="38" t="str">
        <f t="shared" si="33"/>
        <v/>
      </c>
      <c r="Q113" s="38" t="str">
        <f t="shared" si="34"/>
        <v/>
      </c>
      <c r="R113" s="38" t="str">
        <f t="shared" si="35"/>
        <v/>
      </c>
      <c r="S113" s="38" t="str">
        <f t="shared" si="36"/>
        <v/>
      </c>
      <c r="T113" s="38" t="str">
        <f t="shared" si="37"/>
        <v/>
      </c>
      <c r="AG113" s="38"/>
    </row>
    <row r="114" spans="1:33" x14ac:dyDescent="0.2">
      <c r="A114" t="str">
        <f t="shared" si="23"/>
        <v/>
      </c>
      <c r="B114" s="38" t="str">
        <f t="shared" si="24"/>
        <v/>
      </c>
      <c r="C114" s="38" t="str">
        <f t="shared" si="25"/>
        <v/>
      </c>
      <c r="D114" s="38" t="str">
        <f t="shared" si="26"/>
        <v/>
      </c>
      <c r="E114" s="38" t="str">
        <f t="shared" si="27"/>
        <v/>
      </c>
      <c r="F114" s="38" t="str">
        <f t="shared" si="28"/>
        <v/>
      </c>
      <c r="G114" s="38" t="str">
        <f t="shared" si="38"/>
        <v/>
      </c>
      <c r="H114" s="38" t="str">
        <f t="shared" si="39"/>
        <v/>
      </c>
      <c r="L114" t="str">
        <f t="shared" si="29"/>
        <v/>
      </c>
      <c r="M114" s="38" t="str">
        <f t="shared" si="30"/>
        <v/>
      </c>
      <c r="N114" s="38" t="str">
        <f t="shared" si="31"/>
        <v/>
      </c>
      <c r="O114" s="38" t="str">
        <f t="shared" si="32"/>
        <v/>
      </c>
      <c r="P114" s="38" t="str">
        <f t="shared" si="33"/>
        <v/>
      </c>
      <c r="Q114" s="38" t="str">
        <f t="shared" si="34"/>
        <v/>
      </c>
      <c r="R114" s="38" t="str">
        <f t="shared" si="35"/>
        <v/>
      </c>
      <c r="S114" s="38" t="str">
        <f t="shared" si="36"/>
        <v/>
      </c>
      <c r="T114" s="38" t="str">
        <f t="shared" si="37"/>
        <v/>
      </c>
      <c r="AG114" s="38"/>
    </row>
    <row r="115" spans="1:33" x14ac:dyDescent="0.2">
      <c r="A115" t="str">
        <f t="shared" si="23"/>
        <v/>
      </c>
      <c r="B115" s="38" t="str">
        <f t="shared" si="24"/>
        <v/>
      </c>
      <c r="C115" s="38" t="str">
        <f t="shared" si="25"/>
        <v/>
      </c>
      <c r="D115" s="38" t="str">
        <f t="shared" si="26"/>
        <v/>
      </c>
      <c r="E115" s="38" t="str">
        <f t="shared" si="27"/>
        <v/>
      </c>
      <c r="F115" s="38" t="str">
        <f t="shared" si="28"/>
        <v/>
      </c>
      <c r="G115" s="38" t="str">
        <f t="shared" si="38"/>
        <v/>
      </c>
      <c r="H115" s="38" t="str">
        <f t="shared" si="39"/>
        <v/>
      </c>
      <c r="L115" t="str">
        <f t="shared" si="29"/>
        <v/>
      </c>
      <c r="M115" s="38" t="str">
        <f t="shared" si="30"/>
        <v/>
      </c>
      <c r="N115" s="38" t="str">
        <f t="shared" si="31"/>
        <v/>
      </c>
      <c r="O115" s="38" t="str">
        <f t="shared" si="32"/>
        <v/>
      </c>
      <c r="P115" s="38" t="str">
        <f t="shared" si="33"/>
        <v/>
      </c>
      <c r="Q115" s="38" t="str">
        <f t="shared" si="34"/>
        <v/>
      </c>
      <c r="R115" s="38" t="str">
        <f t="shared" si="35"/>
        <v/>
      </c>
      <c r="S115" s="38" t="str">
        <f t="shared" si="36"/>
        <v/>
      </c>
      <c r="T115" s="38" t="str">
        <f t="shared" si="37"/>
        <v/>
      </c>
      <c r="AG115" s="38"/>
    </row>
    <row r="116" spans="1:33" x14ac:dyDescent="0.2">
      <c r="A116" t="str">
        <f t="shared" si="23"/>
        <v/>
      </c>
      <c r="B116" s="38" t="str">
        <f t="shared" si="24"/>
        <v/>
      </c>
      <c r="C116" s="38" t="str">
        <f t="shared" si="25"/>
        <v/>
      </c>
      <c r="D116" s="38" t="str">
        <f t="shared" si="26"/>
        <v/>
      </c>
      <c r="E116" s="38" t="str">
        <f t="shared" si="27"/>
        <v/>
      </c>
      <c r="F116" s="38" t="str">
        <f t="shared" si="28"/>
        <v/>
      </c>
      <c r="G116" s="38" t="str">
        <f t="shared" si="38"/>
        <v/>
      </c>
      <c r="H116" s="38" t="str">
        <f t="shared" si="39"/>
        <v/>
      </c>
      <c r="L116" t="str">
        <f t="shared" si="29"/>
        <v/>
      </c>
      <c r="M116" s="38" t="str">
        <f t="shared" si="30"/>
        <v/>
      </c>
      <c r="N116" s="38" t="str">
        <f t="shared" si="31"/>
        <v/>
      </c>
      <c r="O116" s="38" t="str">
        <f t="shared" si="32"/>
        <v/>
      </c>
      <c r="P116" s="38" t="str">
        <f t="shared" si="33"/>
        <v/>
      </c>
      <c r="Q116" s="38" t="str">
        <f t="shared" si="34"/>
        <v/>
      </c>
      <c r="R116" s="38" t="str">
        <f t="shared" si="35"/>
        <v/>
      </c>
      <c r="S116" s="38" t="str">
        <f t="shared" si="36"/>
        <v/>
      </c>
      <c r="T116" s="38" t="str">
        <f t="shared" si="37"/>
        <v/>
      </c>
      <c r="AG116" s="38"/>
    </row>
    <row r="117" spans="1:33" x14ac:dyDescent="0.2">
      <c r="A117" t="str">
        <f t="shared" si="23"/>
        <v/>
      </c>
      <c r="B117" s="38" t="str">
        <f t="shared" si="24"/>
        <v/>
      </c>
      <c r="C117" s="38" t="str">
        <f t="shared" si="25"/>
        <v/>
      </c>
      <c r="D117" s="38" t="str">
        <f t="shared" si="26"/>
        <v/>
      </c>
      <c r="E117" s="38" t="str">
        <f t="shared" si="27"/>
        <v/>
      </c>
      <c r="F117" s="38" t="str">
        <f t="shared" si="28"/>
        <v/>
      </c>
      <c r="G117" s="38" t="str">
        <f t="shared" si="38"/>
        <v/>
      </c>
      <c r="H117" s="38" t="str">
        <f t="shared" si="39"/>
        <v/>
      </c>
      <c r="L117" t="str">
        <f t="shared" si="29"/>
        <v/>
      </c>
      <c r="M117" s="38" t="str">
        <f t="shared" si="30"/>
        <v/>
      </c>
      <c r="N117" s="38" t="str">
        <f t="shared" si="31"/>
        <v/>
      </c>
      <c r="O117" s="38" t="str">
        <f t="shared" si="32"/>
        <v/>
      </c>
      <c r="P117" s="38" t="str">
        <f t="shared" si="33"/>
        <v/>
      </c>
      <c r="Q117" s="38" t="str">
        <f t="shared" si="34"/>
        <v/>
      </c>
      <c r="R117" s="38" t="str">
        <f t="shared" si="35"/>
        <v/>
      </c>
      <c r="S117" s="38" t="str">
        <f t="shared" si="36"/>
        <v/>
      </c>
      <c r="T117" s="38" t="str">
        <f t="shared" si="37"/>
        <v/>
      </c>
      <c r="AG117" s="38"/>
    </row>
    <row r="118" spans="1:33" x14ac:dyDescent="0.2">
      <c r="A118" t="str">
        <f t="shared" si="23"/>
        <v/>
      </c>
      <c r="B118" s="38" t="str">
        <f t="shared" si="24"/>
        <v/>
      </c>
      <c r="C118" s="38" t="str">
        <f t="shared" si="25"/>
        <v/>
      </c>
      <c r="D118" s="38" t="str">
        <f t="shared" si="26"/>
        <v/>
      </c>
      <c r="E118" s="38" t="str">
        <f t="shared" si="27"/>
        <v/>
      </c>
      <c r="F118" s="38" t="str">
        <f t="shared" si="28"/>
        <v/>
      </c>
      <c r="G118" s="38" t="str">
        <f t="shared" si="38"/>
        <v/>
      </c>
      <c r="H118" s="38" t="str">
        <f t="shared" si="39"/>
        <v/>
      </c>
      <c r="L118" t="str">
        <f t="shared" si="29"/>
        <v/>
      </c>
      <c r="M118" s="38" t="str">
        <f t="shared" si="30"/>
        <v/>
      </c>
      <c r="N118" s="38" t="str">
        <f t="shared" si="31"/>
        <v/>
      </c>
      <c r="O118" s="38" t="str">
        <f t="shared" si="32"/>
        <v/>
      </c>
      <c r="P118" s="38" t="str">
        <f t="shared" si="33"/>
        <v/>
      </c>
      <c r="Q118" s="38" t="str">
        <f t="shared" si="34"/>
        <v/>
      </c>
      <c r="R118" s="38" t="str">
        <f t="shared" si="35"/>
        <v/>
      </c>
      <c r="S118" s="38" t="str">
        <f t="shared" si="36"/>
        <v/>
      </c>
      <c r="T118" s="38" t="str">
        <f t="shared" si="37"/>
        <v/>
      </c>
      <c r="AG118" s="38"/>
    </row>
    <row r="119" spans="1:33" x14ac:dyDescent="0.2">
      <c r="A119" t="str">
        <f t="shared" si="23"/>
        <v/>
      </c>
      <c r="B119" s="38" t="str">
        <f t="shared" si="24"/>
        <v/>
      </c>
      <c r="C119" s="38" t="str">
        <f t="shared" si="25"/>
        <v/>
      </c>
      <c r="D119" s="38" t="str">
        <f t="shared" si="26"/>
        <v/>
      </c>
      <c r="E119" s="38" t="str">
        <f t="shared" si="27"/>
        <v/>
      </c>
      <c r="F119" s="38" t="str">
        <f t="shared" si="28"/>
        <v/>
      </c>
      <c r="G119" s="38" t="str">
        <f t="shared" si="38"/>
        <v/>
      </c>
      <c r="H119" s="38" t="str">
        <f t="shared" si="39"/>
        <v/>
      </c>
      <c r="L119" t="str">
        <f t="shared" si="29"/>
        <v/>
      </c>
      <c r="M119" s="38" t="str">
        <f t="shared" si="30"/>
        <v/>
      </c>
      <c r="N119" s="38" t="str">
        <f t="shared" si="31"/>
        <v/>
      </c>
      <c r="O119" s="38" t="str">
        <f t="shared" si="32"/>
        <v/>
      </c>
      <c r="P119" s="38" t="str">
        <f t="shared" si="33"/>
        <v/>
      </c>
      <c r="Q119" s="38" t="str">
        <f t="shared" si="34"/>
        <v/>
      </c>
      <c r="R119" s="38" t="str">
        <f t="shared" si="35"/>
        <v/>
      </c>
      <c r="S119" s="38" t="str">
        <f t="shared" si="36"/>
        <v/>
      </c>
      <c r="T119" s="38" t="str">
        <f t="shared" si="37"/>
        <v/>
      </c>
      <c r="AG119" s="38"/>
    </row>
    <row r="120" spans="1:33" x14ac:dyDescent="0.2">
      <c r="A120" t="str">
        <f t="shared" si="23"/>
        <v/>
      </c>
      <c r="B120" s="38" t="str">
        <f t="shared" si="24"/>
        <v/>
      </c>
      <c r="C120" s="38" t="str">
        <f t="shared" si="25"/>
        <v/>
      </c>
      <c r="D120" s="38" t="str">
        <f t="shared" si="26"/>
        <v/>
      </c>
      <c r="E120" s="38" t="str">
        <f t="shared" si="27"/>
        <v/>
      </c>
      <c r="F120" s="38" t="str">
        <f t="shared" si="28"/>
        <v/>
      </c>
      <c r="G120" s="38" t="str">
        <f t="shared" si="38"/>
        <v/>
      </c>
      <c r="H120" s="38" t="str">
        <f t="shared" si="39"/>
        <v/>
      </c>
      <c r="L120" t="str">
        <f t="shared" si="29"/>
        <v/>
      </c>
      <c r="M120" s="38" t="str">
        <f t="shared" si="30"/>
        <v/>
      </c>
      <c r="N120" s="38" t="str">
        <f t="shared" si="31"/>
        <v/>
      </c>
      <c r="O120" s="38" t="str">
        <f t="shared" si="32"/>
        <v/>
      </c>
      <c r="P120" s="38" t="str">
        <f t="shared" si="33"/>
        <v/>
      </c>
      <c r="Q120" s="38" t="str">
        <f t="shared" si="34"/>
        <v/>
      </c>
      <c r="R120" s="38" t="str">
        <f t="shared" si="35"/>
        <v/>
      </c>
      <c r="S120" s="38" t="str">
        <f t="shared" si="36"/>
        <v/>
      </c>
      <c r="T120" s="38" t="str">
        <f t="shared" si="37"/>
        <v/>
      </c>
      <c r="AG120" s="38"/>
    </row>
    <row r="121" spans="1:33" x14ac:dyDescent="0.2">
      <c r="A121" t="str">
        <f t="shared" si="23"/>
        <v/>
      </c>
      <c r="B121" s="38" t="str">
        <f t="shared" si="24"/>
        <v/>
      </c>
      <c r="C121" s="38" t="str">
        <f t="shared" si="25"/>
        <v/>
      </c>
      <c r="D121" s="38" t="str">
        <f t="shared" si="26"/>
        <v/>
      </c>
      <c r="E121" s="38" t="str">
        <f t="shared" si="27"/>
        <v/>
      </c>
      <c r="F121" s="38" t="str">
        <f t="shared" si="28"/>
        <v/>
      </c>
      <c r="G121" s="38" t="str">
        <f t="shared" si="38"/>
        <v/>
      </c>
      <c r="H121" s="38" t="str">
        <f t="shared" si="39"/>
        <v/>
      </c>
      <c r="L121" t="str">
        <f t="shared" si="29"/>
        <v/>
      </c>
      <c r="M121" s="38" t="str">
        <f t="shared" si="30"/>
        <v/>
      </c>
      <c r="N121" s="38" t="str">
        <f t="shared" si="31"/>
        <v/>
      </c>
      <c r="O121" s="38" t="str">
        <f t="shared" si="32"/>
        <v/>
      </c>
      <c r="P121" s="38" t="str">
        <f t="shared" si="33"/>
        <v/>
      </c>
      <c r="Q121" s="38" t="str">
        <f t="shared" si="34"/>
        <v/>
      </c>
      <c r="R121" s="38" t="str">
        <f t="shared" si="35"/>
        <v/>
      </c>
      <c r="S121" s="38" t="str">
        <f t="shared" si="36"/>
        <v/>
      </c>
      <c r="T121" s="38" t="str">
        <f t="shared" si="37"/>
        <v/>
      </c>
      <c r="AG121" s="38"/>
    </row>
    <row r="122" spans="1:33" x14ac:dyDescent="0.2">
      <c r="A122" t="str">
        <f t="shared" si="23"/>
        <v/>
      </c>
      <c r="B122" s="38" t="str">
        <f t="shared" si="24"/>
        <v/>
      </c>
      <c r="C122" s="38" t="str">
        <f t="shared" si="25"/>
        <v/>
      </c>
      <c r="D122" s="38" t="str">
        <f t="shared" si="26"/>
        <v/>
      </c>
      <c r="E122" s="38" t="str">
        <f t="shared" si="27"/>
        <v/>
      </c>
      <c r="F122" s="38" t="str">
        <f t="shared" si="28"/>
        <v/>
      </c>
      <c r="G122" s="38" t="str">
        <f t="shared" si="38"/>
        <v/>
      </c>
      <c r="H122" s="38" t="str">
        <f t="shared" si="39"/>
        <v/>
      </c>
      <c r="L122" t="str">
        <f t="shared" si="29"/>
        <v/>
      </c>
      <c r="M122" s="38" t="str">
        <f t="shared" si="30"/>
        <v/>
      </c>
      <c r="N122" s="38" t="str">
        <f t="shared" si="31"/>
        <v/>
      </c>
      <c r="O122" s="38" t="str">
        <f t="shared" si="32"/>
        <v/>
      </c>
      <c r="P122" s="38" t="str">
        <f t="shared" si="33"/>
        <v/>
      </c>
      <c r="Q122" s="38" t="str">
        <f t="shared" si="34"/>
        <v/>
      </c>
      <c r="R122" s="38" t="str">
        <f t="shared" si="35"/>
        <v/>
      </c>
      <c r="S122" s="38" t="str">
        <f t="shared" si="36"/>
        <v/>
      </c>
      <c r="T122" s="38" t="str">
        <f t="shared" si="37"/>
        <v/>
      </c>
      <c r="AG122" s="38"/>
    </row>
    <row r="123" spans="1:33" x14ac:dyDescent="0.2">
      <c r="A123" t="str">
        <f t="shared" si="23"/>
        <v/>
      </c>
      <c r="B123" s="38" t="str">
        <f t="shared" si="24"/>
        <v/>
      </c>
      <c r="C123" s="38" t="str">
        <f t="shared" si="25"/>
        <v/>
      </c>
      <c r="D123" s="38" t="str">
        <f t="shared" si="26"/>
        <v/>
      </c>
      <c r="E123" s="38" t="str">
        <f t="shared" si="27"/>
        <v/>
      </c>
      <c r="F123" s="38" t="str">
        <f t="shared" si="28"/>
        <v/>
      </c>
      <c r="G123" s="38" t="str">
        <f t="shared" si="38"/>
        <v/>
      </c>
      <c r="H123" s="38" t="str">
        <f t="shared" si="39"/>
        <v/>
      </c>
      <c r="L123" t="str">
        <f t="shared" si="29"/>
        <v/>
      </c>
      <c r="M123" s="38" t="str">
        <f t="shared" si="30"/>
        <v/>
      </c>
      <c r="N123" s="38" t="str">
        <f t="shared" si="31"/>
        <v/>
      </c>
      <c r="O123" s="38" t="str">
        <f t="shared" si="32"/>
        <v/>
      </c>
      <c r="P123" s="38" t="str">
        <f t="shared" si="33"/>
        <v/>
      </c>
      <c r="Q123" s="38" t="str">
        <f t="shared" si="34"/>
        <v/>
      </c>
      <c r="R123" s="38" t="str">
        <f t="shared" si="35"/>
        <v/>
      </c>
      <c r="S123" s="38" t="str">
        <f t="shared" si="36"/>
        <v/>
      </c>
      <c r="T123" s="38" t="str">
        <f t="shared" si="37"/>
        <v/>
      </c>
      <c r="AG123" s="38"/>
    </row>
    <row r="124" spans="1:33" x14ac:dyDescent="0.2">
      <c r="A124" t="str">
        <f t="shared" si="23"/>
        <v/>
      </c>
      <c r="B124" s="38" t="str">
        <f t="shared" si="24"/>
        <v/>
      </c>
      <c r="C124" s="38" t="str">
        <f t="shared" si="25"/>
        <v/>
      </c>
      <c r="D124" s="38" t="str">
        <f t="shared" si="26"/>
        <v/>
      </c>
      <c r="E124" s="38" t="str">
        <f t="shared" si="27"/>
        <v/>
      </c>
      <c r="F124" s="38" t="str">
        <f t="shared" si="28"/>
        <v/>
      </c>
      <c r="G124" s="38" t="str">
        <f t="shared" si="38"/>
        <v/>
      </c>
      <c r="H124" s="38" t="str">
        <f t="shared" si="39"/>
        <v/>
      </c>
      <c r="L124" t="str">
        <f t="shared" si="29"/>
        <v/>
      </c>
      <c r="M124" s="38" t="str">
        <f t="shared" si="30"/>
        <v/>
      </c>
      <c r="N124" s="38" t="str">
        <f t="shared" si="31"/>
        <v/>
      </c>
      <c r="O124" s="38" t="str">
        <f t="shared" si="32"/>
        <v/>
      </c>
      <c r="P124" s="38" t="str">
        <f t="shared" si="33"/>
        <v/>
      </c>
      <c r="Q124" s="38" t="str">
        <f t="shared" si="34"/>
        <v/>
      </c>
      <c r="R124" s="38" t="str">
        <f t="shared" si="35"/>
        <v/>
      </c>
      <c r="S124" s="38" t="str">
        <f t="shared" si="36"/>
        <v/>
      </c>
      <c r="T124" s="38" t="str">
        <f t="shared" si="37"/>
        <v/>
      </c>
      <c r="AG124" s="38"/>
    </row>
    <row r="125" spans="1:33" x14ac:dyDescent="0.2">
      <c r="A125" t="str">
        <f t="shared" si="23"/>
        <v/>
      </c>
      <c r="B125" s="38" t="str">
        <f t="shared" si="24"/>
        <v/>
      </c>
      <c r="C125" s="38" t="str">
        <f t="shared" si="25"/>
        <v/>
      </c>
      <c r="D125" s="38" t="str">
        <f t="shared" si="26"/>
        <v/>
      </c>
      <c r="E125" s="38" t="str">
        <f t="shared" si="27"/>
        <v/>
      </c>
      <c r="F125" s="38" t="str">
        <f t="shared" si="28"/>
        <v/>
      </c>
      <c r="G125" s="38" t="str">
        <f t="shared" si="38"/>
        <v/>
      </c>
      <c r="H125" s="38" t="str">
        <f t="shared" si="39"/>
        <v/>
      </c>
      <c r="L125" t="str">
        <f t="shared" si="29"/>
        <v/>
      </c>
      <c r="M125" s="38" t="str">
        <f t="shared" si="30"/>
        <v/>
      </c>
      <c r="N125" s="38" t="str">
        <f t="shared" si="31"/>
        <v/>
      </c>
      <c r="O125" s="38" t="str">
        <f t="shared" si="32"/>
        <v/>
      </c>
      <c r="P125" s="38" t="str">
        <f t="shared" si="33"/>
        <v/>
      </c>
      <c r="Q125" s="38" t="str">
        <f t="shared" si="34"/>
        <v/>
      </c>
      <c r="R125" s="38" t="str">
        <f t="shared" si="35"/>
        <v/>
      </c>
      <c r="S125" s="38" t="str">
        <f t="shared" si="36"/>
        <v/>
      </c>
      <c r="T125" s="38" t="str">
        <f t="shared" si="37"/>
        <v/>
      </c>
      <c r="AG125" s="38"/>
    </row>
    <row r="126" spans="1:33" x14ac:dyDescent="0.2">
      <c r="A126" t="str">
        <f t="shared" si="23"/>
        <v/>
      </c>
      <c r="B126" s="38" t="str">
        <f t="shared" si="24"/>
        <v/>
      </c>
      <c r="C126" s="38" t="str">
        <f t="shared" si="25"/>
        <v/>
      </c>
      <c r="D126" s="38" t="str">
        <f t="shared" si="26"/>
        <v/>
      </c>
      <c r="E126" s="38" t="str">
        <f t="shared" si="27"/>
        <v/>
      </c>
      <c r="F126" s="38" t="str">
        <f t="shared" si="28"/>
        <v/>
      </c>
      <c r="G126" s="38" t="str">
        <f t="shared" si="38"/>
        <v/>
      </c>
      <c r="H126" s="38" t="str">
        <f t="shared" si="39"/>
        <v/>
      </c>
      <c r="L126" t="str">
        <f t="shared" si="29"/>
        <v/>
      </c>
      <c r="M126" s="38" t="str">
        <f t="shared" si="30"/>
        <v/>
      </c>
      <c r="N126" s="38" t="str">
        <f t="shared" si="31"/>
        <v/>
      </c>
      <c r="O126" s="38" t="str">
        <f t="shared" si="32"/>
        <v/>
      </c>
      <c r="P126" s="38" t="str">
        <f t="shared" si="33"/>
        <v/>
      </c>
      <c r="Q126" s="38" t="str">
        <f t="shared" si="34"/>
        <v/>
      </c>
      <c r="R126" s="38" t="str">
        <f t="shared" si="35"/>
        <v/>
      </c>
      <c r="S126" s="38" t="str">
        <f t="shared" si="36"/>
        <v/>
      </c>
      <c r="T126" s="38" t="str">
        <f t="shared" si="37"/>
        <v/>
      </c>
      <c r="AG126" s="38"/>
    </row>
    <row r="127" spans="1:33" x14ac:dyDescent="0.2">
      <c r="A127" t="str">
        <f t="shared" si="23"/>
        <v/>
      </c>
      <c r="B127" s="38" t="str">
        <f t="shared" si="24"/>
        <v/>
      </c>
      <c r="C127" s="38" t="str">
        <f t="shared" si="25"/>
        <v/>
      </c>
      <c r="D127" s="38" t="str">
        <f t="shared" si="26"/>
        <v/>
      </c>
      <c r="E127" s="38" t="str">
        <f t="shared" si="27"/>
        <v/>
      </c>
      <c r="F127" s="38" t="str">
        <f t="shared" si="28"/>
        <v/>
      </c>
      <c r="G127" s="38" t="str">
        <f t="shared" si="38"/>
        <v/>
      </c>
      <c r="H127" s="38" t="str">
        <f t="shared" si="39"/>
        <v/>
      </c>
      <c r="L127" t="str">
        <f t="shared" si="29"/>
        <v/>
      </c>
      <c r="M127" s="38" t="str">
        <f t="shared" si="30"/>
        <v/>
      </c>
      <c r="N127" s="38" t="str">
        <f t="shared" si="31"/>
        <v/>
      </c>
      <c r="O127" s="38" t="str">
        <f t="shared" si="32"/>
        <v/>
      </c>
      <c r="P127" s="38" t="str">
        <f t="shared" si="33"/>
        <v/>
      </c>
      <c r="Q127" s="38" t="str">
        <f t="shared" si="34"/>
        <v/>
      </c>
      <c r="R127" s="38" t="str">
        <f t="shared" si="35"/>
        <v/>
      </c>
      <c r="S127" s="38" t="str">
        <f t="shared" si="36"/>
        <v/>
      </c>
      <c r="T127" s="38" t="str">
        <f t="shared" si="37"/>
        <v/>
      </c>
      <c r="AG127" s="38"/>
    </row>
    <row r="128" spans="1:33" x14ac:dyDescent="0.2">
      <c r="A128" t="str">
        <f t="shared" si="23"/>
        <v/>
      </c>
      <c r="B128" s="38" t="str">
        <f t="shared" si="24"/>
        <v/>
      </c>
      <c r="C128" s="38" t="str">
        <f t="shared" si="25"/>
        <v/>
      </c>
      <c r="D128" s="38" t="str">
        <f t="shared" si="26"/>
        <v/>
      </c>
      <c r="E128" s="38" t="str">
        <f t="shared" si="27"/>
        <v/>
      </c>
      <c r="F128" s="38" t="str">
        <f t="shared" si="28"/>
        <v/>
      </c>
      <c r="G128" s="38" t="str">
        <f t="shared" si="38"/>
        <v/>
      </c>
      <c r="H128" s="38" t="str">
        <f t="shared" si="39"/>
        <v/>
      </c>
      <c r="L128" t="str">
        <f t="shared" si="29"/>
        <v/>
      </c>
      <c r="M128" s="38" t="str">
        <f t="shared" si="30"/>
        <v/>
      </c>
      <c r="N128" s="38" t="str">
        <f t="shared" si="31"/>
        <v/>
      </c>
      <c r="O128" s="38" t="str">
        <f t="shared" si="32"/>
        <v/>
      </c>
      <c r="P128" s="38" t="str">
        <f t="shared" si="33"/>
        <v/>
      </c>
      <c r="Q128" s="38" t="str">
        <f t="shared" si="34"/>
        <v/>
      </c>
      <c r="R128" s="38" t="str">
        <f t="shared" si="35"/>
        <v/>
      </c>
      <c r="S128" s="38" t="str">
        <f t="shared" si="36"/>
        <v/>
      </c>
      <c r="T128" s="38" t="str">
        <f t="shared" si="37"/>
        <v/>
      </c>
      <c r="AG128" s="38"/>
    </row>
    <row r="129" spans="1:33" x14ac:dyDescent="0.2">
      <c r="A129" t="str">
        <f t="shared" si="23"/>
        <v/>
      </c>
      <c r="B129" s="38" t="str">
        <f t="shared" si="24"/>
        <v/>
      </c>
      <c r="C129" s="38" t="str">
        <f t="shared" si="25"/>
        <v/>
      </c>
      <c r="D129" s="38" t="str">
        <f t="shared" si="26"/>
        <v/>
      </c>
      <c r="E129" s="38" t="str">
        <f t="shared" si="27"/>
        <v/>
      </c>
      <c r="F129" s="38" t="str">
        <f t="shared" si="28"/>
        <v/>
      </c>
      <c r="G129" s="38" t="str">
        <f t="shared" si="38"/>
        <v/>
      </c>
      <c r="H129" s="38" t="str">
        <f t="shared" si="39"/>
        <v/>
      </c>
      <c r="L129" t="str">
        <f t="shared" si="29"/>
        <v/>
      </c>
      <c r="M129" s="38" t="str">
        <f t="shared" si="30"/>
        <v/>
      </c>
      <c r="N129" s="38" t="str">
        <f t="shared" si="31"/>
        <v/>
      </c>
      <c r="O129" s="38" t="str">
        <f t="shared" si="32"/>
        <v/>
      </c>
      <c r="P129" s="38" t="str">
        <f t="shared" si="33"/>
        <v/>
      </c>
      <c r="Q129" s="38" t="str">
        <f t="shared" si="34"/>
        <v/>
      </c>
      <c r="R129" s="38" t="str">
        <f t="shared" si="35"/>
        <v/>
      </c>
      <c r="S129" s="38" t="str">
        <f t="shared" si="36"/>
        <v/>
      </c>
      <c r="T129" s="38" t="str">
        <f t="shared" si="37"/>
        <v/>
      </c>
      <c r="AG129" s="38"/>
    </row>
    <row r="130" spans="1:33" x14ac:dyDescent="0.2">
      <c r="A130" t="str">
        <f t="shared" si="23"/>
        <v/>
      </c>
      <c r="B130" s="38" t="str">
        <f t="shared" si="24"/>
        <v/>
      </c>
      <c r="C130" s="38" t="str">
        <f t="shared" si="25"/>
        <v/>
      </c>
      <c r="D130" s="38" t="str">
        <f t="shared" si="26"/>
        <v/>
      </c>
      <c r="E130" s="38" t="str">
        <f t="shared" si="27"/>
        <v/>
      </c>
      <c r="F130" s="38" t="str">
        <f t="shared" si="28"/>
        <v/>
      </c>
      <c r="G130" s="38" t="str">
        <f t="shared" si="38"/>
        <v/>
      </c>
      <c r="H130" s="38" t="str">
        <f t="shared" si="39"/>
        <v/>
      </c>
      <c r="L130" t="str">
        <f t="shared" si="29"/>
        <v/>
      </c>
      <c r="M130" s="38" t="str">
        <f t="shared" si="30"/>
        <v/>
      </c>
      <c r="N130" s="38" t="str">
        <f t="shared" si="31"/>
        <v/>
      </c>
      <c r="O130" s="38" t="str">
        <f t="shared" si="32"/>
        <v/>
      </c>
      <c r="P130" s="38" t="str">
        <f t="shared" si="33"/>
        <v/>
      </c>
      <c r="Q130" s="38" t="str">
        <f t="shared" si="34"/>
        <v/>
      </c>
      <c r="R130" s="38" t="str">
        <f t="shared" si="35"/>
        <v/>
      </c>
      <c r="S130" s="38" t="str">
        <f t="shared" si="36"/>
        <v/>
      </c>
      <c r="T130" s="38" t="str">
        <f t="shared" si="37"/>
        <v/>
      </c>
      <c r="AG130" s="38"/>
    </row>
    <row r="131" spans="1:33" x14ac:dyDescent="0.2">
      <c r="A131" t="str">
        <f t="shared" si="23"/>
        <v/>
      </c>
      <c r="B131" s="38" t="str">
        <f t="shared" si="24"/>
        <v/>
      </c>
      <c r="C131" s="38" t="str">
        <f t="shared" si="25"/>
        <v/>
      </c>
      <c r="D131" s="38" t="str">
        <f t="shared" si="26"/>
        <v/>
      </c>
      <c r="E131" s="38" t="str">
        <f t="shared" si="27"/>
        <v/>
      </c>
      <c r="F131" s="38" t="str">
        <f t="shared" si="28"/>
        <v/>
      </c>
      <c r="G131" s="38" t="str">
        <f t="shared" si="38"/>
        <v/>
      </c>
      <c r="H131" s="38" t="str">
        <f t="shared" si="39"/>
        <v/>
      </c>
      <c r="L131" t="str">
        <f t="shared" si="29"/>
        <v/>
      </c>
      <c r="M131" s="38" t="str">
        <f t="shared" si="30"/>
        <v/>
      </c>
      <c r="N131" s="38" t="str">
        <f t="shared" si="31"/>
        <v/>
      </c>
      <c r="O131" s="38" t="str">
        <f t="shared" si="32"/>
        <v/>
      </c>
      <c r="P131" s="38" t="str">
        <f t="shared" si="33"/>
        <v/>
      </c>
      <c r="Q131" s="38" t="str">
        <f t="shared" si="34"/>
        <v/>
      </c>
      <c r="R131" s="38" t="str">
        <f t="shared" si="35"/>
        <v/>
      </c>
      <c r="S131" s="38" t="str">
        <f t="shared" si="36"/>
        <v/>
      </c>
      <c r="T131" s="38" t="str">
        <f t="shared" si="37"/>
        <v/>
      </c>
      <c r="AG131" s="38"/>
    </row>
    <row r="132" spans="1:33" x14ac:dyDescent="0.2">
      <c r="A132" t="str">
        <f t="shared" si="23"/>
        <v/>
      </c>
      <c r="B132" s="38" t="str">
        <f t="shared" si="24"/>
        <v/>
      </c>
      <c r="C132" s="38" t="str">
        <f t="shared" si="25"/>
        <v/>
      </c>
      <c r="D132" s="38" t="str">
        <f t="shared" si="26"/>
        <v/>
      </c>
      <c r="E132" s="38" t="str">
        <f t="shared" si="27"/>
        <v/>
      </c>
      <c r="F132" s="38" t="str">
        <f t="shared" si="28"/>
        <v/>
      </c>
      <c r="G132" s="38" t="str">
        <f t="shared" si="38"/>
        <v/>
      </c>
      <c r="H132" s="38" t="str">
        <f t="shared" si="39"/>
        <v/>
      </c>
      <c r="L132" t="str">
        <f t="shared" si="29"/>
        <v/>
      </c>
      <c r="M132" s="38" t="str">
        <f t="shared" si="30"/>
        <v/>
      </c>
      <c r="N132" s="38" t="str">
        <f t="shared" si="31"/>
        <v/>
      </c>
      <c r="O132" s="38" t="str">
        <f t="shared" si="32"/>
        <v/>
      </c>
      <c r="P132" s="38" t="str">
        <f t="shared" si="33"/>
        <v/>
      </c>
      <c r="Q132" s="38" t="str">
        <f t="shared" si="34"/>
        <v/>
      </c>
      <c r="R132" s="38" t="str">
        <f t="shared" si="35"/>
        <v/>
      </c>
      <c r="S132" s="38" t="str">
        <f t="shared" si="36"/>
        <v/>
      </c>
      <c r="T132" s="38" t="str">
        <f t="shared" si="37"/>
        <v/>
      </c>
      <c r="AG132" s="38"/>
    </row>
    <row r="133" spans="1:33" x14ac:dyDescent="0.2">
      <c r="A133" t="str">
        <f t="shared" si="23"/>
        <v/>
      </c>
      <c r="B133" s="38" t="str">
        <f t="shared" si="24"/>
        <v/>
      </c>
      <c r="C133" s="38" t="str">
        <f t="shared" si="25"/>
        <v/>
      </c>
      <c r="D133" s="38" t="str">
        <f t="shared" si="26"/>
        <v/>
      </c>
      <c r="E133" s="38" t="str">
        <f t="shared" si="27"/>
        <v/>
      </c>
      <c r="F133" s="38" t="str">
        <f t="shared" si="28"/>
        <v/>
      </c>
      <c r="G133" s="38" t="str">
        <f t="shared" si="38"/>
        <v/>
      </c>
      <c r="H133" s="38" t="str">
        <f t="shared" si="39"/>
        <v/>
      </c>
      <c r="L133" t="str">
        <f t="shared" si="29"/>
        <v/>
      </c>
      <c r="M133" s="38" t="str">
        <f t="shared" si="30"/>
        <v/>
      </c>
      <c r="N133" s="38" t="str">
        <f t="shared" si="31"/>
        <v/>
      </c>
      <c r="O133" s="38" t="str">
        <f t="shared" si="32"/>
        <v/>
      </c>
      <c r="P133" s="38" t="str">
        <f t="shared" si="33"/>
        <v/>
      </c>
      <c r="Q133" s="38" t="str">
        <f t="shared" si="34"/>
        <v/>
      </c>
      <c r="R133" s="38" t="str">
        <f t="shared" si="35"/>
        <v/>
      </c>
      <c r="S133" s="38" t="str">
        <f t="shared" si="36"/>
        <v/>
      </c>
      <c r="T133" s="38" t="str">
        <f t="shared" si="37"/>
        <v/>
      </c>
      <c r="AG133" s="38"/>
    </row>
    <row r="134" spans="1:33" x14ac:dyDescent="0.2">
      <c r="A134" t="str">
        <f t="shared" si="23"/>
        <v/>
      </c>
      <c r="B134" s="38" t="str">
        <f t="shared" si="24"/>
        <v/>
      </c>
      <c r="C134" s="38" t="str">
        <f t="shared" si="25"/>
        <v/>
      </c>
      <c r="D134" s="38" t="str">
        <f t="shared" si="26"/>
        <v/>
      </c>
      <c r="E134" s="38" t="str">
        <f t="shared" si="27"/>
        <v/>
      </c>
      <c r="F134" s="38" t="str">
        <f t="shared" si="28"/>
        <v/>
      </c>
      <c r="G134" s="38" t="str">
        <f t="shared" si="38"/>
        <v/>
      </c>
      <c r="H134" s="38" t="str">
        <f t="shared" si="39"/>
        <v/>
      </c>
      <c r="L134" t="str">
        <f t="shared" si="29"/>
        <v/>
      </c>
      <c r="M134" s="38" t="str">
        <f t="shared" si="30"/>
        <v/>
      </c>
      <c r="N134" s="38" t="str">
        <f t="shared" si="31"/>
        <v/>
      </c>
      <c r="O134" s="38" t="str">
        <f t="shared" si="32"/>
        <v/>
      </c>
      <c r="P134" s="38" t="str">
        <f t="shared" si="33"/>
        <v/>
      </c>
      <c r="Q134" s="38" t="str">
        <f t="shared" si="34"/>
        <v/>
      </c>
      <c r="R134" s="38" t="str">
        <f t="shared" si="35"/>
        <v/>
      </c>
      <c r="S134" s="38" t="str">
        <f t="shared" si="36"/>
        <v/>
      </c>
      <c r="T134" s="38" t="str">
        <f t="shared" si="37"/>
        <v/>
      </c>
      <c r="AG134" s="38"/>
    </row>
    <row r="135" spans="1:33" x14ac:dyDescent="0.2">
      <c r="A135" t="str">
        <f t="shared" si="23"/>
        <v/>
      </c>
      <c r="B135" s="38" t="str">
        <f t="shared" si="24"/>
        <v/>
      </c>
      <c r="C135" s="38" t="str">
        <f t="shared" si="25"/>
        <v/>
      </c>
      <c r="D135" s="38" t="str">
        <f t="shared" si="26"/>
        <v/>
      </c>
      <c r="E135" s="38" t="str">
        <f t="shared" si="27"/>
        <v/>
      </c>
      <c r="F135" s="38" t="str">
        <f t="shared" si="28"/>
        <v/>
      </c>
      <c r="G135" s="38" t="str">
        <f t="shared" si="38"/>
        <v/>
      </c>
      <c r="H135" s="38" t="str">
        <f t="shared" si="39"/>
        <v/>
      </c>
      <c r="L135" t="str">
        <f t="shared" si="29"/>
        <v/>
      </c>
      <c r="M135" s="38" t="str">
        <f t="shared" si="30"/>
        <v/>
      </c>
      <c r="N135" s="38" t="str">
        <f t="shared" si="31"/>
        <v/>
      </c>
      <c r="O135" s="38" t="str">
        <f t="shared" si="32"/>
        <v/>
      </c>
      <c r="P135" s="38" t="str">
        <f t="shared" si="33"/>
        <v/>
      </c>
      <c r="Q135" s="38" t="str">
        <f t="shared" si="34"/>
        <v/>
      </c>
      <c r="R135" s="38" t="str">
        <f t="shared" si="35"/>
        <v/>
      </c>
      <c r="S135" s="38" t="str">
        <f t="shared" si="36"/>
        <v/>
      </c>
      <c r="T135" s="38" t="str">
        <f t="shared" si="37"/>
        <v/>
      </c>
      <c r="AG135" s="38"/>
    </row>
    <row r="136" spans="1:33" x14ac:dyDescent="0.2">
      <c r="A136" t="str">
        <f t="shared" si="23"/>
        <v/>
      </c>
      <c r="B136" s="38" t="str">
        <f t="shared" si="24"/>
        <v/>
      </c>
      <c r="C136" s="38" t="str">
        <f t="shared" si="25"/>
        <v/>
      </c>
      <c r="D136" s="38" t="str">
        <f t="shared" si="26"/>
        <v/>
      </c>
      <c r="E136" s="38" t="str">
        <f t="shared" si="27"/>
        <v/>
      </c>
      <c r="F136" s="38" t="str">
        <f t="shared" si="28"/>
        <v/>
      </c>
      <c r="G136" s="38" t="str">
        <f t="shared" si="38"/>
        <v/>
      </c>
      <c r="H136" s="38" t="str">
        <f t="shared" si="39"/>
        <v/>
      </c>
      <c r="L136" t="str">
        <f t="shared" si="29"/>
        <v/>
      </c>
      <c r="M136" s="38" t="str">
        <f t="shared" si="30"/>
        <v/>
      </c>
      <c r="N136" s="38" t="str">
        <f t="shared" si="31"/>
        <v/>
      </c>
      <c r="O136" s="38" t="str">
        <f t="shared" si="32"/>
        <v/>
      </c>
      <c r="P136" s="38" t="str">
        <f t="shared" si="33"/>
        <v/>
      </c>
      <c r="Q136" s="38" t="str">
        <f t="shared" si="34"/>
        <v/>
      </c>
      <c r="R136" s="38" t="str">
        <f t="shared" si="35"/>
        <v/>
      </c>
      <c r="S136" s="38" t="str">
        <f t="shared" si="36"/>
        <v/>
      </c>
      <c r="T136" s="38" t="str">
        <f t="shared" si="37"/>
        <v/>
      </c>
      <c r="AG136" s="38"/>
    </row>
    <row r="137" spans="1:33" x14ac:dyDescent="0.2">
      <c r="A137" t="str">
        <f t="shared" si="23"/>
        <v/>
      </c>
      <c r="B137" s="38" t="str">
        <f t="shared" si="24"/>
        <v/>
      </c>
      <c r="C137" s="38" t="str">
        <f t="shared" si="25"/>
        <v/>
      </c>
      <c r="D137" s="38" t="str">
        <f t="shared" si="26"/>
        <v/>
      </c>
      <c r="E137" s="38" t="str">
        <f t="shared" si="27"/>
        <v/>
      </c>
      <c r="F137" s="38" t="str">
        <f t="shared" si="28"/>
        <v/>
      </c>
      <c r="G137" s="38" t="str">
        <f t="shared" si="38"/>
        <v/>
      </c>
      <c r="H137" s="38" t="str">
        <f t="shared" si="39"/>
        <v/>
      </c>
      <c r="L137" t="str">
        <f t="shared" si="29"/>
        <v/>
      </c>
      <c r="M137" s="38" t="str">
        <f t="shared" si="30"/>
        <v/>
      </c>
      <c r="N137" s="38" t="str">
        <f t="shared" si="31"/>
        <v/>
      </c>
      <c r="O137" s="38" t="str">
        <f t="shared" si="32"/>
        <v/>
      </c>
      <c r="P137" s="38" t="str">
        <f t="shared" si="33"/>
        <v/>
      </c>
      <c r="Q137" s="38" t="str">
        <f t="shared" si="34"/>
        <v/>
      </c>
      <c r="R137" s="38" t="str">
        <f t="shared" si="35"/>
        <v/>
      </c>
      <c r="S137" s="38" t="str">
        <f t="shared" si="36"/>
        <v/>
      </c>
      <c r="T137" s="38" t="str">
        <f t="shared" si="37"/>
        <v/>
      </c>
      <c r="AG137" s="38"/>
    </row>
    <row r="138" spans="1:33" x14ac:dyDescent="0.2">
      <c r="A138" t="str">
        <f t="shared" si="23"/>
        <v/>
      </c>
      <c r="B138" s="38" t="str">
        <f t="shared" si="24"/>
        <v/>
      </c>
      <c r="C138" s="38" t="str">
        <f t="shared" si="25"/>
        <v/>
      </c>
      <c r="D138" s="38" t="str">
        <f t="shared" si="26"/>
        <v/>
      </c>
      <c r="E138" s="38" t="str">
        <f t="shared" si="27"/>
        <v/>
      </c>
      <c r="F138" s="38" t="str">
        <f t="shared" si="28"/>
        <v/>
      </c>
      <c r="G138" s="38" t="str">
        <f t="shared" si="38"/>
        <v/>
      </c>
      <c r="H138" s="38" t="str">
        <f t="shared" si="39"/>
        <v/>
      </c>
      <c r="L138" t="str">
        <f t="shared" si="29"/>
        <v/>
      </c>
      <c r="M138" s="38" t="str">
        <f t="shared" si="30"/>
        <v/>
      </c>
      <c r="N138" s="38" t="str">
        <f t="shared" si="31"/>
        <v/>
      </c>
      <c r="O138" s="38" t="str">
        <f t="shared" si="32"/>
        <v/>
      </c>
      <c r="P138" s="38" t="str">
        <f t="shared" si="33"/>
        <v/>
      </c>
      <c r="Q138" s="38" t="str">
        <f t="shared" si="34"/>
        <v/>
      </c>
      <c r="R138" s="38" t="str">
        <f t="shared" si="35"/>
        <v/>
      </c>
      <c r="S138" s="38" t="str">
        <f t="shared" si="36"/>
        <v/>
      </c>
      <c r="T138" s="38" t="str">
        <f t="shared" si="37"/>
        <v/>
      </c>
      <c r="AG138" s="38"/>
    </row>
    <row r="139" spans="1:33" x14ac:dyDescent="0.2">
      <c r="A139" t="str">
        <f t="shared" si="23"/>
        <v/>
      </c>
      <c r="B139" s="38" t="str">
        <f t="shared" si="24"/>
        <v/>
      </c>
      <c r="C139" s="38" t="str">
        <f t="shared" si="25"/>
        <v/>
      </c>
      <c r="D139" s="38" t="str">
        <f t="shared" si="26"/>
        <v/>
      </c>
      <c r="E139" s="38" t="str">
        <f t="shared" si="27"/>
        <v/>
      </c>
      <c r="F139" s="38" t="str">
        <f t="shared" si="28"/>
        <v/>
      </c>
      <c r="G139" s="38" t="str">
        <f t="shared" si="38"/>
        <v/>
      </c>
      <c r="H139" s="38" t="str">
        <f t="shared" si="39"/>
        <v/>
      </c>
      <c r="L139" t="str">
        <f t="shared" si="29"/>
        <v/>
      </c>
      <c r="M139" s="38" t="str">
        <f t="shared" si="30"/>
        <v/>
      </c>
      <c r="N139" s="38" t="str">
        <f t="shared" si="31"/>
        <v/>
      </c>
      <c r="O139" s="38" t="str">
        <f t="shared" si="32"/>
        <v/>
      </c>
      <c r="P139" s="38" t="str">
        <f t="shared" si="33"/>
        <v/>
      </c>
      <c r="Q139" s="38" t="str">
        <f t="shared" si="34"/>
        <v/>
      </c>
      <c r="R139" s="38" t="str">
        <f t="shared" si="35"/>
        <v/>
      </c>
      <c r="S139" s="38" t="str">
        <f t="shared" si="36"/>
        <v/>
      </c>
      <c r="T139" s="38" t="str">
        <f t="shared" si="37"/>
        <v/>
      </c>
      <c r="AG139" s="38"/>
    </row>
    <row r="140" spans="1:33" x14ac:dyDescent="0.2">
      <c r="A140" t="str">
        <f t="shared" si="23"/>
        <v/>
      </c>
      <c r="B140" s="38" t="str">
        <f t="shared" si="24"/>
        <v/>
      </c>
      <c r="C140" s="38" t="str">
        <f t="shared" si="25"/>
        <v/>
      </c>
      <c r="D140" s="38" t="str">
        <f t="shared" si="26"/>
        <v/>
      </c>
      <c r="E140" s="38" t="str">
        <f t="shared" si="27"/>
        <v/>
      </c>
      <c r="F140" s="38" t="str">
        <f t="shared" si="28"/>
        <v/>
      </c>
      <c r="G140" s="38" t="str">
        <f t="shared" si="38"/>
        <v/>
      </c>
      <c r="H140" s="38" t="str">
        <f t="shared" si="39"/>
        <v/>
      </c>
      <c r="L140" t="str">
        <f t="shared" si="29"/>
        <v/>
      </c>
      <c r="M140" s="38" t="str">
        <f t="shared" si="30"/>
        <v/>
      </c>
      <c r="N140" s="38" t="str">
        <f t="shared" si="31"/>
        <v/>
      </c>
      <c r="O140" s="38" t="str">
        <f t="shared" si="32"/>
        <v/>
      </c>
      <c r="P140" s="38" t="str">
        <f t="shared" si="33"/>
        <v/>
      </c>
      <c r="Q140" s="38" t="str">
        <f t="shared" si="34"/>
        <v/>
      </c>
      <c r="R140" s="38" t="str">
        <f t="shared" si="35"/>
        <v/>
      </c>
      <c r="S140" s="38" t="str">
        <f t="shared" si="36"/>
        <v/>
      </c>
      <c r="T140" s="38" t="str">
        <f t="shared" si="37"/>
        <v/>
      </c>
      <c r="AG140" s="38"/>
    </row>
    <row r="141" spans="1:33" x14ac:dyDescent="0.2">
      <c r="A141" t="str">
        <f t="shared" si="23"/>
        <v/>
      </c>
      <c r="B141" s="38" t="str">
        <f t="shared" si="24"/>
        <v/>
      </c>
      <c r="C141" s="38" t="str">
        <f t="shared" si="25"/>
        <v/>
      </c>
      <c r="D141" s="38" t="str">
        <f t="shared" si="26"/>
        <v/>
      </c>
      <c r="E141" s="38" t="str">
        <f t="shared" si="27"/>
        <v/>
      </c>
      <c r="F141" s="38" t="str">
        <f t="shared" si="28"/>
        <v/>
      </c>
      <c r="G141" s="38" t="str">
        <f t="shared" si="38"/>
        <v/>
      </c>
      <c r="H141" s="38" t="str">
        <f t="shared" si="39"/>
        <v/>
      </c>
      <c r="L141" t="str">
        <f t="shared" si="29"/>
        <v/>
      </c>
      <c r="M141" s="38" t="str">
        <f t="shared" si="30"/>
        <v/>
      </c>
      <c r="N141" s="38" t="str">
        <f t="shared" si="31"/>
        <v/>
      </c>
      <c r="O141" s="38" t="str">
        <f t="shared" si="32"/>
        <v/>
      </c>
      <c r="P141" s="38" t="str">
        <f t="shared" si="33"/>
        <v/>
      </c>
      <c r="Q141" s="38" t="str">
        <f t="shared" si="34"/>
        <v/>
      </c>
      <c r="R141" s="38" t="str">
        <f t="shared" si="35"/>
        <v/>
      </c>
      <c r="S141" s="38" t="str">
        <f t="shared" si="36"/>
        <v/>
      </c>
      <c r="T141" s="38" t="str">
        <f t="shared" si="37"/>
        <v/>
      </c>
      <c r="AG141" s="38"/>
    </row>
    <row r="142" spans="1:33" x14ac:dyDescent="0.2">
      <c r="A142" t="str">
        <f t="shared" si="23"/>
        <v/>
      </c>
      <c r="B142" s="38" t="str">
        <f t="shared" si="24"/>
        <v/>
      </c>
      <c r="C142" s="38" t="str">
        <f t="shared" si="25"/>
        <v/>
      </c>
      <c r="D142" s="38" t="str">
        <f t="shared" si="26"/>
        <v/>
      </c>
      <c r="E142" s="38" t="str">
        <f t="shared" si="27"/>
        <v/>
      </c>
      <c r="F142" s="38" t="str">
        <f t="shared" si="28"/>
        <v/>
      </c>
      <c r="G142" s="38" t="str">
        <f t="shared" si="38"/>
        <v/>
      </c>
      <c r="H142" s="38" t="str">
        <f t="shared" si="39"/>
        <v/>
      </c>
      <c r="L142" t="str">
        <f t="shared" si="29"/>
        <v/>
      </c>
      <c r="M142" s="38" t="str">
        <f t="shared" si="30"/>
        <v/>
      </c>
      <c r="N142" s="38" t="str">
        <f t="shared" si="31"/>
        <v/>
      </c>
      <c r="O142" s="38" t="str">
        <f t="shared" si="32"/>
        <v/>
      </c>
      <c r="P142" s="38" t="str">
        <f t="shared" si="33"/>
        <v/>
      </c>
      <c r="Q142" s="38" t="str">
        <f t="shared" si="34"/>
        <v/>
      </c>
      <c r="R142" s="38" t="str">
        <f t="shared" si="35"/>
        <v/>
      </c>
      <c r="S142" s="38" t="str">
        <f t="shared" si="36"/>
        <v/>
      </c>
      <c r="T142" s="38" t="str">
        <f t="shared" si="37"/>
        <v/>
      </c>
      <c r="AG142" s="38"/>
    </row>
    <row r="143" spans="1:33" x14ac:dyDescent="0.2">
      <c r="A143" t="str">
        <f t="shared" si="23"/>
        <v/>
      </c>
      <c r="B143" s="38" t="str">
        <f t="shared" si="24"/>
        <v/>
      </c>
      <c r="C143" s="38" t="str">
        <f t="shared" si="25"/>
        <v/>
      </c>
      <c r="D143" s="38" t="str">
        <f t="shared" si="26"/>
        <v/>
      </c>
      <c r="E143" s="38" t="str">
        <f t="shared" si="27"/>
        <v/>
      </c>
      <c r="F143" s="38" t="str">
        <f t="shared" si="28"/>
        <v/>
      </c>
      <c r="G143" s="38" t="str">
        <f t="shared" si="38"/>
        <v/>
      </c>
      <c r="H143" s="38" t="str">
        <f t="shared" si="39"/>
        <v/>
      </c>
      <c r="L143" t="str">
        <f t="shared" si="29"/>
        <v/>
      </c>
      <c r="M143" s="38" t="str">
        <f t="shared" si="30"/>
        <v/>
      </c>
      <c r="N143" s="38" t="str">
        <f t="shared" si="31"/>
        <v/>
      </c>
      <c r="O143" s="38" t="str">
        <f t="shared" si="32"/>
        <v/>
      </c>
      <c r="P143" s="38" t="str">
        <f t="shared" si="33"/>
        <v/>
      </c>
      <c r="Q143" s="38" t="str">
        <f t="shared" si="34"/>
        <v/>
      </c>
      <c r="R143" s="38" t="str">
        <f t="shared" si="35"/>
        <v/>
      </c>
      <c r="S143" s="38" t="str">
        <f t="shared" si="36"/>
        <v/>
      </c>
      <c r="T143" s="38" t="str">
        <f t="shared" si="37"/>
        <v/>
      </c>
      <c r="AG143" s="38"/>
    </row>
    <row r="144" spans="1:33" x14ac:dyDescent="0.2">
      <c r="A144" t="str">
        <f t="shared" si="23"/>
        <v/>
      </c>
      <c r="B144" s="38" t="str">
        <f t="shared" si="24"/>
        <v/>
      </c>
      <c r="C144" s="38" t="str">
        <f t="shared" si="25"/>
        <v/>
      </c>
      <c r="D144" s="38" t="str">
        <f t="shared" si="26"/>
        <v/>
      </c>
      <c r="E144" s="38" t="str">
        <f t="shared" si="27"/>
        <v/>
      </c>
      <c r="F144" s="38" t="str">
        <f t="shared" si="28"/>
        <v/>
      </c>
      <c r="G144" s="38" t="str">
        <f t="shared" si="38"/>
        <v/>
      </c>
      <c r="H144" s="38" t="str">
        <f t="shared" si="39"/>
        <v/>
      </c>
      <c r="L144" t="str">
        <f t="shared" si="29"/>
        <v/>
      </c>
      <c r="M144" s="38" t="str">
        <f t="shared" si="30"/>
        <v/>
      </c>
      <c r="N144" s="38" t="str">
        <f t="shared" si="31"/>
        <v/>
      </c>
      <c r="O144" s="38" t="str">
        <f t="shared" si="32"/>
        <v/>
      </c>
      <c r="P144" s="38" t="str">
        <f t="shared" si="33"/>
        <v/>
      </c>
      <c r="Q144" s="38" t="str">
        <f t="shared" si="34"/>
        <v/>
      </c>
      <c r="R144" s="38" t="str">
        <f t="shared" si="35"/>
        <v/>
      </c>
      <c r="S144" s="38" t="str">
        <f t="shared" si="36"/>
        <v/>
      </c>
      <c r="T144" s="38" t="str">
        <f t="shared" si="37"/>
        <v/>
      </c>
      <c r="AG144" s="38"/>
    </row>
    <row r="145" spans="1:33" x14ac:dyDescent="0.2">
      <c r="A145" t="str">
        <f t="shared" si="23"/>
        <v/>
      </c>
      <c r="B145" s="38" t="str">
        <f t="shared" si="24"/>
        <v/>
      </c>
      <c r="C145" s="38" t="str">
        <f t="shared" si="25"/>
        <v/>
      </c>
      <c r="D145" s="38" t="str">
        <f t="shared" si="26"/>
        <v/>
      </c>
      <c r="E145" s="38" t="str">
        <f t="shared" si="27"/>
        <v/>
      </c>
      <c r="F145" s="38" t="str">
        <f t="shared" si="28"/>
        <v/>
      </c>
      <c r="G145" s="38" t="str">
        <f t="shared" si="38"/>
        <v/>
      </c>
      <c r="H145" s="38" t="str">
        <f t="shared" si="39"/>
        <v/>
      </c>
      <c r="L145" t="str">
        <f t="shared" si="29"/>
        <v/>
      </c>
      <c r="M145" s="38" t="str">
        <f t="shared" si="30"/>
        <v/>
      </c>
      <c r="N145" s="38" t="str">
        <f t="shared" si="31"/>
        <v/>
      </c>
      <c r="O145" s="38" t="str">
        <f t="shared" si="32"/>
        <v/>
      </c>
      <c r="P145" s="38" t="str">
        <f t="shared" si="33"/>
        <v/>
      </c>
      <c r="Q145" s="38" t="str">
        <f t="shared" si="34"/>
        <v/>
      </c>
      <c r="R145" s="38" t="str">
        <f t="shared" si="35"/>
        <v/>
      </c>
      <c r="S145" s="38" t="str">
        <f t="shared" si="36"/>
        <v/>
      </c>
      <c r="T145" s="38" t="str">
        <f t="shared" si="37"/>
        <v/>
      </c>
      <c r="AG145" s="38"/>
    </row>
    <row r="146" spans="1:33" x14ac:dyDescent="0.2">
      <c r="A146" t="str">
        <f t="shared" si="23"/>
        <v/>
      </c>
      <c r="B146" s="38" t="str">
        <f t="shared" si="24"/>
        <v/>
      </c>
      <c r="C146" s="38" t="str">
        <f t="shared" si="25"/>
        <v/>
      </c>
      <c r="D146" s="38" t="str">
        <f t="shared" si="26"/>
        <v/>
      </c>
      <c r="E146" s="38" t="str">
        <f t="shared" si="27"/>
        <v/>
      </c>
      <c r="F146" s="38" t="str">
        <f t="shared" si="28"/>
        <v/>
      </c>
      <c r="G146" s="38" t="str">
        <f t="shared" si="38"/>
        <v/>
      </c>
      <c r="H146" s="38" t="str">
        <f t="shared" si="39"/>
        <v/>
      </c>
      <c r="L146" t="str">
        <f t="shared" si="29"/>
        <v/>
      </c>
      <c r="M146" s="38" t="str">
        <f t="shared" si="30"/>
        <v/>
      </c>
      <c r="N146" s="38" t="str">
        <f t="shared" si="31"/>
        <v/>
      </c>
      <c r="O146" s="38" t="str">
        <f t="shared" si="32"/>
        <v/>
      </c>
      <c r="P146" s="38" t="str">
        <f t="shared" si="33"/>
        <v/>
      </c>
      <c r="Q146" s="38" t="str">
        <f t="shared" si="34"/>
        <v/>
      </c>
      <c r="R146" s="38" t="str">
        <f t="shared" si="35"/>
        <v/>
      </c>
      <c r="S146" s="38" t="str">
        <f t="shared" si="36"/>
        <v/>
      </c>
      <c r="T146" s="38" t="str">
        <f t="shared" si="37"/>
        <v/>
      </c>
      <c r="AG146" s="38"/>
    </row>
    <row r="147" spans="1:33" x14ac:dyDescent="0.2">
      <c r="A147" t="str">
        <f t="shared" si="23"/>
        <v/>
      </c>
      <c r="B147" s="38" t="str">
        <f t="shared" si="24"/>
        <v/>
      </c>
      <c r="C147" s="38" t="str">
        <f t="shared" si="25"/>
        <v/>
      </c>
      <c r="D147" s="38" t="str">
        <f t="shared" si="26"/>
        <v/>
      </c>
      <c r="E147" s="38" t="str">
        <f t="shared" si="27"/>
        <v/>
      </c>
      <c r="F147" s="38" t="str">
        <f t="shared" si="28"/>
        <v/>
      </c>
      <c r="G147" s="38" t="str">
        <f t="shared" si="38"/>
        <v/>
      </c>
      <c r="H147" s="38" t="str">
        <f t="shared" si="39"/>
        <v/>
      </c>
      <c r="L147" t="str">
        <f t="shared" si="29"/>
        <v/>
      </c>
      <c r="M147" s="38" t="str">
        <f t="shared" si="30"/>
        <v/>
      </c>
      <c r="N147" s="38" t="str">
        <f t="shared" si="31"/>
        <v/>
      </c>
      <c r="O147" s="38" t="str">
        <f t="shared" si="32"/>
        <v/>
      </c>
      <c r="P147" s="38" t="str">
        <f t="shared" si="33"/>
        <v/>
      </c>
      <c r="Q147" s="38" t="str">
        <f t="shared" si="34"/>
        <v/>
      </c>
      <c r="R147" s="38" t="str">
        <f t="shared" si="35"/>
        <v/>
      </c>
      <c r="S147" s="38" t="str">
        <f t="shared" si="36"/>
        <v/>
      </c>
      <c r="T147" s="38" t="str">
        <f t="shared" si="37"/>
        <v/>
      </c>
      <c r="AG147" s="38"/>
    </row>
    <row r="148" spans="1:33" x14ac:dyDescent="0.2">
      <c r="A148" t="str">
        <f t="shared" si="23"/>
        <v/>
      </c>
      <c r="B148" s="38" t="str">
        <f t="shared" si="24"/>
        <v/>
      </c>
      <c r="C148" s="38" t="str">
        <f t="shared" si="25"/>
        <v/>
      </c>
      <c r="D148" s="38" t="str">
        <f t="shared" si="26"/>
        <v/>
      </c>
      <c r="E148" s="38" t="str">
        <f t="shared" si="27"/>
        <v/>
      </c>
      <c r="F148" s="38" t="str">
        <f t="shared" si="28"/>
        <v/>
      </c>
      <c r="G148" s="38" t="str">
        <f t="shared" si="38"/>
        <v/>
      </c>
      <c r="H148" s="38" t="str">
        <f t="shared" si="39"/>
        <v/>
      </c>
      <c r="L148" t="str">
        <f t="shared" si="29"/>
        <v/>
      </c>
      <c r="M148" s="38" t="str">
        <f t="shared" si="30"/>
        <v/>
      </c>
      <c r="N148" s="38" t="str">
        <f t="shared" si="31"/>
        <v/>
      </c>
      <c r="O148" s="38" t="str">
        <f t="shared" si="32"/>
        <v/>
      </c>
      <c r="P148" s="38" t="str">
        <f t="shared" si="33"/>
        <v/>
      </c>
      <c r="Q148" s="38" t="str">
        <f t="shared" si="34"/>
        <v/>
      </c>
      <c r="R148" s="38" t="str">
        <f t="shared" si="35"/>
        <v/>
      </c>
      <c r="S148" s="38" t="str">
        <f t="shared" si="36"/>
        <v/>
      </c>
      <c r="T148" s="38" t="str">
        <f t="shared" si="37"/>
        <v/>
      </c>
      <c r="AG148" s="38"/>
    </row>
    <row r="149" spans="1:33" x14ac:dyDescent="0.2">
      <c r="A149" t="str">
        <f t="shared" si="23"/>
        <v/>
      </c>
      <c r="B149" s="38" t="str">
        <f t="shared" si="24"/>
        <v/>
      </c>
      <c r="C149" s="38" t="str">
        <f t="shared" si="25"/>
        <v/>
      </c>
      <c r="D149" s="38" t="str">
        <f t="shared" si="26"/>
        <v/>
      </c>
      <c r="E149" s="38" t="str">
        <f t="shared" si="27"/>
        <v/>
      </c>
      <c r="F149" s="38" t="str">
        <f t="shared" si="28"/>
        <v/>
      </c>
      <c r="G149" s="38" t="str">
        <f t="shared" si="38"/>
        <v/>
      </c>
      <c r="H149" s="38" t="str">
        <f t="shared" si="39"/>
        <v/>
      </c>
      <c r="L149" t="str">
        <f t="shared" si="29"/>
        <v/>
      </c>
      <c r="M149" s="38" t="str">
        <f t="shared" si="30"/>
        <v/>
      </c>
      <c r="N149" s="38" t="str">
        <f t="shared" si="31"/>
        <v/>
      </c>
      <c r="O149" s="38" t="str">
        <f t="shared" si="32"/>
        <v/>
      </c>
      <c r="P149" s="38" t="str">
        <f t="shared" si="33"/>
        <v/>
      </c>
      <c r="Q149" s="38" t="str">
        <f t="shared" si="34"/>
        <v/>
      </c>
      <c r="R149" s="38" t="str">
        <f t="shared" si="35"/>
        <v/>
      </c>
      <c r="S149" s="38" t="str">
        <f t="shared" si="36"/>
        <v/>
      </c>
      <c r="T149" s="38" t="str">
        <f t="shared" si="37"/>
        <v/>
      </c>
      <c r="AG149" s="38"/>
    </row>
    <row r="150" spans="1:33" x14ac:dyDescent="0.2">
      <c r="A150" t="str">
        <f t="shared" si="23"/>
        <v/>
      </c>
      <c r="B150" s="38" t="str">
        <f t="shared" si="24"/>
        <v/>
      </c>
      <c r="C150" s="38" t="str">
        <f t="shared" si="25"/>
        <v/>
      </c>
      <c r="D150" s="38" t="str">
        <f t="shared" si="26"/>
        <v/>
      </c>
      <c r="E150" s="38" t="str">
        <f t="shared" si="27"/>
        <v/>
      </c>
      <c r="F150" s="38" t="str">
        <f t="shared" si="28"/>
        <v/>
      </c>
      <c r="G150" s="38" t="str">
        <f t="shared" si="38"/>
        <v/>
      </c>
      <c r="H150" s="38" t="str">
        <f t="shared" si="39"/>
        <v/>
      </c>
      <c r="L150" t="str">
        <f t="shared" si="29"/>
        <v/>
      </c>
      <c r="M150" s="38" t="str">
        <f t="shared" si="30"/>
        <v/>
      </c>
      <c r="N150" s="38" t="str">
        <f t="shared" si="31"/>
        <v/>
      </c>
      <c r="O150" s="38" t="str">
        <f t="shared" si="32"/>
        <v/>
      </c>
      <c r="P150" s="38" t="str">
        <f t="shared" si="33"/>
        <v/>
      </c>
      <c r="Q150" s="38" t="str">
        <f t="shared" si="34"/>
        <v/>
      </c>
      <c r="R150" s="38" t="str">
        <f t="shared" si="35"/>
        <v/>
      </c>
      <c r="S150" s="38" t="str">
        <f t="shared" si="36"/>
        <v/>
      </c>
      <c r="T150" s="38" t="str">
        <f t="shared" si="37"/>
        <v/>
      </c>
      <c r="AG150" s="38"/>
    </row>
    <row r="151" spans="1:33" x14ac:dyDescent="0.2">
      <c r="A151" t="str">
        <f t="shared" si="23"/>
        <v/>
      </c>
      <c r="B151" s="38" t="str">
        <f t="shared" si="24"/>
        <v/>
      </c>
      <c r="C151" s="38" t="str">
        <f t="shared" si="25"/>
        <v/>
      </c>
      <c r="D151" s="38" t="str">
        <f t="shared" si="26"/>
        <v/>
      </c>
      <c r="E151" s="38" t="str">
        <f t="shared" si="27"/>
        <v/>
      </c>
      <c r="F151" s="38" t="str">
        <f t="shared" si="28"/>
        <v/>
      </c>
      <c r="G151" s="38" t="str">
        <f t="shared" si="38"/>
        <v/>
      </c>
      <c r="H151" s="38" t="str">
        <f t="shared" si="39"/>
        <v/>
      </c>
      <c r="L151" t="str">
        <f t="shared" si="29"/>
        <v/>
      </c>
      <c r="M151" s="38" t="str">
        <f t="shared" si="30"/>
        <v/>
      </c>
      <c r="N151" s="38" t="str">
        <f t="shared" si="31"/>
        <v/>
      </c>
      <c r="O151" s="38" t="str">
        <f t="shared" si="32"/>
        <v/>
      </c>
      <c r="P151" s="38" t="str">
        <f t="shared" si="33"/>
        <v/>
      </c>
      <c r="Q151" s="38" t="str">
        <f t="shared" si="34"/>
        <v/>
      </c>
      <c r="R151" s="38" t="str">
        <f t="shared" si="35"/>
        <v/>
      </c>
      <c r="S151" s="38" t="str">
        <f t="shared" si="36"/>
        <v/>
      </c>
      <c r="T151" s="38" t="str">
        <f t="shared" si="37"/>
        <v/>
      </c>
      <c r="AG151" s="38"/>
    </row>
    <row r="152" spans="1:33" x14ac:dyDescent="0.2">
      <c r="A152" t="str">
        <f t="shared" ref="A152:A215" si="40">IF(A151&lt;($B$6*$B$7),A151+1,"")</f>
        <v/>
      </c>
      <c r="B152" s="38" t="str">
        <f t="shared" ref="B152:B215" si="41">IF(A152="","",F151)</f>
        <v/>
      </c>
      <c r="C152" s="38" t="str">
        <f t="shared" ref="C152:C215" si="42">IF(A152="","",(B152*$B$8))</f>
        <v/>
      </c>
      <c r="D152" s="38" t="str">
        <f t="shared" ref="D152:D215" si="43">IF(A152="","", $B$5)</f>
        <v/>
      </c>
      <c r="E152" s="38" t="str">
        <f t="shared" ref="E152:E215" si="44">IF(D152="","",(D152-C152))</f>
        <v/>
      </c>
      <c r="F152" s="38" t="str">
        <f t="shared" ref="F152:F215" si="45">IF(A152="","", B152-E152)</f>
        <v/>
      </c>
      <c r="G152" s="38" t="str">
        <f t="shared" si="38"/>
        <v/>
      </c>
      <c r="H152" s="38" t="str">
        <f t="shared" si="39"/>
        <v/>
      </c>
      <c r="L152" t="str">
        <f t="shared" ref="L152:L215" si="46">IF(L151&lt;($B$6*$B$7),L151+1,"")</f>
        <v/>
      </c>
      <c r="M152" s="38" t="str">
        <f t="shared" ref="M152:M215" si="47">IF(L152="", "", R151)</f>
        <v/>
      </c>
      <c r="N152" s="38" t="str">
        <f t="shared" ref="N152:N215" si="48">IF(L152="","",$B$5)</f>
        <v/>
      </c>
      <c r="O152" s="38" t="str">
        <f t="shared" ref="O152:O215" si="49">IF(L152="","",M152-N152)</f>
        <v/>
      </c>
      <c r="P152" s="38" t="str">
        <f t="shared" ref="P152:P215" si="50">IF(L152="","",O151*$B$8)</f>
        <v/>
      </c>
      <c r="Q152" s="38" t="str">
        <f t="shared" ref="Q152:Q215" si="51">IF(L152="","",N152-P152)</f>
        <v/>
      </c>
      <c r="R152" s="38" t="str">
        <f t="shared" ref="R152:R215" si="52">IF(L152="","",O152*(1+$B$8))</f>
        <v/>
      </c>
      <c r="S152" s="38" t="str">
        <f t="shared" ref="S152:S215" si="53">IF(L152="","",S151+P152)</f>
        <v/>
      </c>
      <c r="T152" s="38" t="str">
        <f t="shared" ref="T152:T215" si="54">IF(L152="","",Q152+T151)</f>
        <v/>
      </c>
      <c r="AG152" s="38"/>
    </row>
    <row r="153" spans="1:33" x14ac:dyDescent="0.2">
      <c r="A153" t="str">
        <f t="shared" si="40"/>
        <v/>
      </c>
      <c r="B153" s="38" t="str">
        <f t="shared" si="41"/>
        <v/>
      </c>
      <c r="C153" s="38" t="str">
        <f t="shared" si="42"/>
        <v/>
      </c>
      <c r="D153" s="38" t="str">
        <f t="shared" si="43"/>
        <v/>
      </c>
      <c r="E153" s="38" t="str">
        <f t="shared" si="44"/>
        <v/>
      </c>
      <c r="F153" s="38" t="str">
        <f t="shared" si="45"/>
        <v/>
      </c>
      <c r="G153" s="38" t="str">
        <f t="shared" si="38"/>
        <v/>
      </c>
      <c r="H153" s="38" t="str">
        <f t="shared" si="39"/>
        <v/>
      </c>
      <c r="L153" t="str">
        <f t="shared" si="46"/>
        <v/>
      </c>
      <c r="M153" s="38" t="str">
        <f t="shared" si="47"/>
        <v/>
      </c>
      <c r="N153" s="38" t="str">
        <f t="shared" si="48"/>
        <v/>
      </c>
      <c r="O153" s="38" t="str">
        <f t="shared" si="49"/>
        <v/>
      </c>
      <c r="P153" s="38" t="str">
        <f t="shared" si="50"/>
        <v/>
      </c>
      <c r="Q153" s="38" t="str">
        <f t="shared" si="51"/>
        <v/>
      </c>
      <c r="R153" s="38" t="str">
        <f t="shared" si="52"/>
        <v/>
      </c>
      <c r="S153" s="38" t="str">
        <f t="shared" si="53"/>
        <v/>
      </c>
      <c r="T153" s="38" t="str">
        <f t="shared" si="54"/>
        <v/>
      </c>
      <c r="AG153" s="38"/>
    </row>
    <row r="154" spans="1:33" x14ac:dyDescent="0.2">
      <c r="A154" t="str">
        <f t="shared" si="40"/>
        <v/>
      </c>
      <c r="B154" s="38" t="str">
        <f t="shared" si="41"/>
        <v/>
      </c>
      <c r="C154" s="38" t="str">
        <f t="shared" si="42"/>
        <v/>
      </c>
      <c r="D154" s="38" t="str">
        <f t="shared" si="43"/>
        <v/>
      </c>
      <c r="E154" s="38" t="str">
        <f t="shared" si="44"/>
        <v/>
      </c>
      <c r="F154" s="38" t="str">
        <f t="shared" si="45"/>
        <v/>
      </c>
      <c r="G154" s="38" t="str">
        <f t="shared" ref="G154:G217" si="55">IF(A154="","", (G153+C154))</f>
        <v/>
      </c>
      <c r="H154" s="38" t="str">
        <f t="shared" ref="H154:H217" si="56">IF(A154="","",(H153+E154))</f>
        <v/>
      </c>
      <c r="L154" t="str">
        <f t="shared" si="46"/>
        <v/>
      </c>
      <c r="M154" s="38" t="str">
        <f t="shared" si="47"/>
        <v/>
      </c>
      <c r="N154" s="38" t="str">
        <f t="shared" si="48"/>
        <v/>
      </c>
      <c r="O154" s="38" t="str">
        <f t="shared" si="49"/>
        <v/>
      </c>
      <c r="P154" s="38" t="str">
        <f t="shared" si="50"/>
        <v/>
      </c>
      <c r="Q154" s="38" t="str">
        <f t="shared" si="51"/>
        <v/>
      </c>
      <c r="R154" s="38" t="str">
        <f t="shared" si="52"/>
        <v/>
      </c>
      <c r="S154" s="38" t="str">
        <f t="shared" si="53"/>
        <v/>
      </c>
      <c r="T154" s="38" t="str">
        <f t="shared" si="54"/>
        <v/>
      </c>
      <c r="AG154" s="38"/>
    </row>
    <row r="155" spans="1:33" x14ac:dyDescent="0.2">
      <c r="A155" t="str">
        <f t="shared" si="40"/>
        <v/>
      </c>
      <c r="B155" s="38" t="str">
        <f t="shared" si="41"/>
        <v/>
      </c>
      <c r="C155" s="38" t="str">
        <f t="shared" si="42"/>
        <v/>
      </c>
      <c r="D155" s="38" t="str">
        <f t="shared" si="43"/>
        <v/>
      </c>
      <c r="E155" s="38" t="str">
        <f t="shared" si="44"/>
        <v/>
      </c>
      <c r="F155" s="38" t="str">
        <f t="shared" si="45"/>
        <v/>
      </c>
      <c r="G155" s="38" t="str">
        <f t="shared" si="55"/>
        <v/>
      </c>
      <c r="H155" s="38" t="str">
        <f t="shared" si="56"/>
        <v/>
      </c>
      <c r="L155" t="str">
        <f t="shared" si="46"/>
        <v/>
      </c>
      <c r="M155" s="38" t="str">
        <f t="shared" si="47"/>
        <v/>
      </c>
      <c r="N155" s="38" t="str">
        <f t="shared" si="48"/>
        <v/>
      </c>
      <c r="O155" s="38" t="str">
        <f t="shared" si="49"/>
        <v/>
      </c>
      <c r="P155" s="38" t="str">
        <f t="shared" si="50"/>
        <v/>
      </c>
      <c r="Q155" s="38" t="str">
        <f t="shared" si="51"/>
        <v/>
      </c>
      <c r="R155" s="38" t="str">
        <f t="shared" si="52"/>
        <v/>
      </c>
      <c r="S155" s="38" t="str">
        <f t="shared" si="53"/>
        <v/>
      </c>
      <c r="T155" s="38" t="str">
        <f t="shared" si="54"/>
        <v/>
      </c>
      <c r="AG155" s="38"/>
    </row>
    <row r="156" spans="1:33" x14ac:dyDescent="0.2">
      <c r="A156" t="str">
        <f t="shared" si="40"/>
        <v/>
      </c>
      <c r="B156" s="38" t="str">
        <f t="shared" si="41"/>
        <v/>
      </c>
      <c r="C156" s="38" t="str">
        <f t="shared" si="42"/>
        <v/>
      </c>
      <c r="D156" s="38" t="str">
        <f t="shared" si="43"/>
        <v/>
      </c>
      <c r="E156" s="38" t="str">
        <f t="shared" si="44"/>
        <v/>
      </c>
      <c r="F156" s="38" t="str">
        <f t="shared" si="45"/>
        <v/>
      </c>
      <c r="G156" s="38" t="str">
        <f t="shared" si="55"/>
        <v/>
      </c>
      <c r="H156" s="38" t="str">
        <f t="shared" si="56"/>
        <v/>
      </c>
      <c r="L156" t="str">
        <f t="shared" si="46"/>
        <v/>
      </c>
      <c r="M156" s="38" t="str">
        <f t="shared" si="47"/>
        <v/>
      </c>
      <c r="N156" s="38" t="str">
        <f t="shared" si="48"/>
        <v/>
      </c>
      <c r="O156" s="38" t="str">
        <f t="shared" si="49"/>
        <v/>
      </c>
      <c r="P156" s="38" t="str">
        <f t="shared" si="50"/>
        <v/>
      </c>
      <c r="Q156" s="38" t="str">
        <f t="shared" si="51"/>
        <v/>
      </c>
      <c r="R156" s="38" t="str">
        <f t="shared" si="52"/>
        <v/>
      </c>
      <c r="S156" s="38" t="str">
        <f t="shared" si="53"/>
        <v/>
      </c>
      <c r="T156" s="38" t="str">
        <f t="shared" si="54"/>
        <v/>
      </c>
      <c r="AG156" s="38"/>
    </row>
    <row r="157" spans="1:33" x14ac:dyDescent="0.2">
      <c r="A157" t="str">
        <f t="shared" si="40"/>
        <v/>
      </c>
      <c r="B157" s="38" t="str">
        <f t="shared" si="41"/>
        <v/>
      </c>
      <c r="C157" s="38" t="str">
        <f t="shared" si="42"/>
        <v/>
      </c>
      <c r="D157" s="38" t="str">
        <f t="shared" si="43"/>
        <v/>
      </c>
      <c r="E157" s="38" t="str">
        <f t="shared" si="44"/>
        <v/>
      </c>
      <c r="F157" s="38" t="str">
        <f t="shared" si="45"/>
        <v/>
      </c>
      <c r="G157" s="38" t="str">
        <f t="shared" si="55"/>
        <v/>
      </c>
      <c r="H157" s="38" t="str">
        <f t="shared" si="56"/>
        <v/>
      </c>
      <c r="L157" t="str">
        <f t="shared" si="46"/>
        <v/>
      </c>
      <c r="M157" s="38" t="str">
        <f t="shared" si="47"/>
        <v/>
      </c>
      <c r="N157" s="38" t="str">
        <f t="shared" si="48"/>
        <v/>
      </c>
      <c r="O157" s="38" t="str">
        <f t="shared" si="49"/>
        <v/>
      </c>
      <c r="P157" s="38" t="str">
        <f t="shared" si="50"/>
        <v/>
      </c>
      <c r="Q157" s="38" t="str">
        <f t="shared" si="51"/>
        <v/>
      </c>
      <c r="R157" s="38" t="str">
        <f t="shared" si="52"/>
        <v/>
      </c>
      <c r="S157" s="38" t="str">
        <f t="shared" si="53"/>
        <v/>
      </c>
      <c r="T157" s="38" t="str">
        <f t="shared" si="54"/>
        <v/>
      </c>
      <c r="AG157" s="38"/>
    </row>
    <row r="158" spans="1:33" x14ac:dyDescent="0.2">
      <c r="A158" t="str">
        <f t="shared" si="40"/>
        <v/>
      </c>
      <c r="B158" s="38" t="str">
        <f t="shared" si="41"/>
        <v/>
      </c>
      <c r="C158" s="38" t="str">
        <f t="shared" si="42"/>
        <v/>
      </c>
      <c r="D158" s="38" t="str">
        <f t="shared" si="43"/>
        <v/>
      </c>
      <c r="E158" s="38" t="str">
        <f t="shared" si="44"/>
        <v/>
      </c>
      <c r="F158" s="38" t="str">
        <f t="shared" si="45"/>
        <v/>
      </c>
      <c r="G158" s="38" t="str">
        <f t="shared" si="55"/>
        <v/>
      </c>
      <c r="H158" s="38" t="str">
        <f t="shared" si="56"/>
        <v/>
      </c>
      <c r="L158" t="str">
        <f t="shared" si="46"/>
        <v/>
      </c>
      <c r="M158" s="38" t="str">
        <f t="shared" si="47"/>
        <v/>
      </c>
      <c r="N158" s="38" t="str">
        <f t="shared" si="48"/>
        <v/>
      </c>
      <c r="O158" s="38" t="str">
        <f t="shared" si="49"/>
        <v/>
      </c>
      <c r="P158" s="38" t="str">
        <f t="shared" si="50"/>
        <v/>
      </c>
      <c r="Q158" s="38" t="str">
        <f t="shared" si="51"/>
        <v/>
      </c>
      <c r="R158" s="38" t="str">
        <f t="shared" si="52"/>
        <v/>
      </c>
      <c r="S158" s="38" t="str">
        <f t="shared" si="53"/>
        <v/>
      </c>
      <c r="T158" s="38" t="str">
        <f t="shared" si="54"/>
        <v/>
      </c>
      <c r="AG158" s="38"/>
    </row>
    <row r="159" spans="1:33" x14ac:dyDescent="0.2">
      <c r="A159" t="str">
        <f t="shared" si="40"/>
        <v/>
      </c>
      <c r="B159" s="38" t="str">
        <f t="shared" si="41"/>
        <v/>
      </c>
      <c r="C159" s="38" t="str">
        <f t="shared" si="42"/>
        <v/>
      </c>
      <c r="D159" s="38" t="str">
        <f t="shared" si="43"/>
        <v/>
      </c>
      <c r="E159" s="38" t="str">
        <f t="shared" si="44"/>
        <v/>
      </c>
      <c r="F159" s="38" t="str">
        <f t="shared" si="45"/>
        <v/>
      </c>
      <c r="G159" s="38" t="str">
        <f t="shared" si="55"/>
        <v/>
      </c>
      <c r="H159" s="38" t="str">
        <f t="shared" si="56"/>
        <v/>
      </c>
      <c r="L159" t="str">
        <f t="shared" si="46"/>
        <v/>
      </c>
      <c r="M159" s="38" t="str">
        <f t="shared" si="47"/>
        <v/>
      </c>
      <c r="N159" s="38" t="str">
        <f t="shared" si="48"/>
        <v/>
      </c>
      <c r="O159" s="38" t="str">
        <f t="shared" si="49"/>
        <v/>
      </c>
      <c r="P159" s="38" t="str">
        <f t="shared" si="50"/>
        <v/>
      </c>
      <c r="Q159" s="38" t="str">
        <f t="shared" si="51"/>
        <v/>
      </c>
      <c r="R159" s="38" t="str">
        <f t="shared" si="52"/>
        <v/>
      </c>
      <c r="S159" s="38" t="str">
        <f t="shared" si="53"/>
        <v/>
      </c>
      <c r="T159" s="38" t="str">
        <f t="shared" si="54"/>
        <v/>
      </c>
      <c r="AG159" s="38"/>
    </row>
    <row r="160" spans="1:33" x14ac:dyDescent="0.2">
      <c r="A160" t="str">
        <f t="shared" si="40"/>
        <v/>
      </c>
      <c r="B160" s="38" t="str">
        <f t="shared" si="41"/>
        <v/>
      </c>
      <c r="C160" s="38" t="str">
        <f t="shared" si="42"/>
        <v/>
      </c>
      <c r="D160" s="38" t="str">
        <f t="shared" si="43"/>
        <v/>
      </c>
      <c r="E160" s="38" t="str">
        <f t="shared" si="44"/>
        <v/>
      </c>
      <c r="F160" s="38" t="str">
        <f t="shared" si="45"/>
        <v/>
      </c>
      <c r="G160" s="38" t="str">
        <f t="shared" si="55"/>
        <v/>
      </c>
      <c r="H160" s="38" t="str">
        <f t="shared" si="56"/>
        <v/>
      </c>
      <c r="L160" t="str">
        <f t="shared" si="46"/>
        <v/>
      </c>
      <c r="M160" s="38" t="str">
        <f t="shared" si="47"/>
        <v/>
      </c>
      <c r="N160" s="38" t="str">
        <f t="shared" si="48"/>
        <v/>
      </c>
      <c r="O160" s="38" t="str">
        <f t="shared" si="49"/>
        <v/>
      </c>
      <c r="P160" s="38" t="str">
        <f t="shared" si="50"/>
        <v/>
      </c>
      <c r="Q160" s="38" t="str">
        <f t="shared" si="51"/>
        <v/>
      </c>
      <c r="R160" s="38" t="str">
        <f t="shared" si="52"/>
        <v/>
      </c>
      <c r="S160" s="38" t="str">
        <f t="shared" si="53"/>
        <v/>
      </c>
      <c r="T160" s="38" t="str">
        <f t="shared" si="54"/>
        <v/>
      </c>
      <c r="AG160" s="38"/>
    </row>
    <row r="161" spans="1:33" x14ac:dyDescent="0.2">
      <c r="A161" t="str">
        <f t="shared" si="40"/>
        <v/>
      </c>
      <c r="B161" s="38" t="str">
        <f t="shared" si="41"/>
        <v/>
      </c>
      <c r="C161" s="38" t="str">
        <f t="shared" si="42"/>
        <v/>
      </c>
      <c r="D161" s="38" t="str">
        <f t="shared" si="43"/>
        <v/>
      </c>
      <c r="E161" s="38" t="str">
        <f t="shared" si="44"/>
        <v/>
      </c>
      <c r="F161" s="38" t="str">
        <f t="shared" si="45"/>
        <v/>
      </c>
      <c r="G161" s="38" t="str">
        <f t="shared" si="55"/>
        <v/>
      </c>
      <c r="H161" s="38" t="str">
        <f t="shared" si="56"/>
        <v/>
      </c>
      <c r="L161" t="str">
        <f t="shared" si="46"/>
        <v/>
      </c>
      <c r="M161" s="38" t="str">
        <f t="shared" si="47"/>
        <v/>
      </c>
      <c r="N161" s="38" t="str">
        <f t="shared" si="48"/>
        <v/>
      </c>
      <c r="O161" s="38" t="str">
        <f t="shared" si="49"/>
        <v/>
      </c>
      <c r="P161" s="38" t="str">
        <f t="shared" si="50"/>
        <v/>
      </c>
      <c r="Q161" s="38" t="str">
        <f t="shared" si="51"/>
        <v/>
      </c>
      <c r="R161" s="38" t="str">
        <f t="shared" si="52"/>
        <v/>
      </c>
      <c r="S161" s="38" t="str">
        <f t="shared" si="53"/>
        <v/>
      </c>
      <c r="T161" s="38" t="str">
        <f t="shared" si="54"/>
        <v/>
      </c>
      <c r="AG161" s="38"/>
    </row>
    <row r="162" spans="1:33" x14ac:dyDescent="0.2">
      <c r="A162" t="str">
        <f t="shared" si="40"/>
        <v/>
      </c>
      <c r="B162" s="38" t="str">
        <f t="shared" si="41"/>
        <v/>
      </c>
      <c r="C162" s="38" t="str">
        <f t="shared" si="42"/>
        <v/>
      </c>
      <c r="D162" s="38" t="str">
        <f t="shared" si="43"/>
        <v/>
      </c>
      <c r="E162" s="38" t="str">
        <f t="shared" si="44"/>
        <v/>
      </c>
      <c r="F162" s="38" t="str">
        <f t="shared" si="45"/>
        <v/>
      </c>
      <c r="G162" s="38" t="str">
        <f t="shared" si="55"/>
        <v/>
      </c>
      <c r="H162" s="38" t="str">
        <f t="shared" si="56"/>
        <v/>
      </c>
      <c r="L162" t="str">
        <f t="shared" si="46"/>
        <v/>
      </c>
      <c r="M162" s="38" t="str">
        <f t="shared" si="47"/>
        <v/>
      </c>
      <c r="N162" s="38" t="str">
        <f t="shared" si="48"/>
        <v/>
      </c>
      <c r="O162" s="38" t="str">
        <f t="shared" si="49"/>
        <v/>
      </c>
      <c r="P162" s="38" t="str">
        <f t="shared" si="50"/>
        <v/>
      </c>
      <c r="Q162" s="38" t="str">
        <f t="shared" si="51"/>
        <v/>
      </c>
      <c r="R162" s="38" t="str">
        <f t="shared" si="52"/>
        <v/>
      </c>
      <c r="S162" s="38" t="str">
        <f t="shared" si="53"/>
        <v/>
      </c>
      <c r="T162" s="38" t="str">
        <f t="shared" si="54"/>
        <v/>
      </c>
      <c r="AG162" s="38"/>
    </row>
    <row r="163" spans="1:33" x14ac:dyDescent="0.2">
      <c r="A163" t="str">
        <f t="shared" si="40"/>
        <v/>
      </c>
      <c r="B163" s="38" t="str">
        <f t="shared" si="41"/>
        <v/>
      </c>
      <c r="C163" s="38" t="str">
        <f t="shared" si="42"/>
        <v/>
      </c>
      <c r="D163" s="38" t="str">
        <f t="shared" si="43"/>
        <v/>
      </c>
      <c r="E163" s="38" t="str">
        <f t="shared" si="44"/>
        <v/>
      </c>
      <c r="F163" s="38" t="str">
        <f t="shared" si="45"/>
        <v/>
      </c>
      <c r="G163" s="38" t="str">
        <f t="shared" si="55"/>
        <v/>
      </c>
      <c r="H163" s="38" t="str">
        <f t="shared" si="56"/>
        <v/>
      </c>
      <c r="L163" t="str">
        <f t="shared" si="46"/>
        <v/>
      </c>
      <c r="M163" s="38" t="str">
        <f t="shared" si="47"/>
        <v/>
      </c>
      <c r="N163" s="38" t="str">
        <f t="shared" si="48"/>
        <v/>
      </c>
      <c r="O163" s="38" t="str">
        <f t="shared" si="49"/>
        <v/>
      </c>
      <c r="P163" s="38" t="str">
        <f t="shared" si="50"/>
        <v/>
      </c>
      <c r="Q163" s="38" t="str">
        <f t="shared" si="51"/>
        <v/>
      </c>
      <c r="R163" s="38" t="str">
        <f t="shared" si="52"/>
        <v/>
      </c>
      <c r="S163" s="38" t="str">
        <f t="shared" si="53"/>
        <v/>
      </c>
      <c r="T163" s="38" t="str">
        <f t="shared" si="54"/>
        <v/>
      </c>
      <c r="AG163" s="38"/>
    </row>
    <row r="164" spans="1:33" x14ac:dyDescent="0.2">
      <c r="A164" t="str">
        <f t="shared" si="40"/>
        <v/>
      </c>
      <c r="B164" s="38" t="str">
        <f t="shared" si="41"/>
        <v/>
      </c>
      <c r="C164" s="38" t="str">
        <f t="shared" si="42"/>
        <v/>
      </c>
      <c r="D164" s="38" t="str">
        <f t="shared" si="43"/>
        <v/>
      </c>
      <c r="E164" s="38" t="str">
        <f t="shared" si="44"/>
        <v/>
      </c>
      <c r="F164" s="38" t="str">
        <f t="shared" si="45"/>
        <v/>
      </c>
      <c r="G164" s="38" t="str">
        <f t="shared" si="55"/>
        <v/>
      </c>
      <c r="H164" s="38" t="str">
        <f t="shared" si="56"/>
        <v/>
      </c>
      <c r="L164" t="str">
        <f t="shared" si="46"/>
        <v/>
      </c>
      <c r="M164" s="38" t="str">
        <f t="shared" si="47"/>
        <v/>
      </c>
      <c r="N164" s="38" t="str">
        <f t="shared" si="48"/>
        <v/>
      </c>
      <c r="O164" s="38" t="str">
        <f t="shared" si="49"/>
        <v/>
      </c>
      <c r="P164" s="38" t="str">
        <f t="shared" si="50"/>
        <v/>
      </c>
      <c r="Q164" s="38" t="str">
        <f t="shared" si="51"/>
        <v/>
      </c>
      <c r="R164" s="38" t="str">
        <f t="shared" si="52"/>
        <v/>
      </c>
      <c r="S164" s="38" t="str">
        <f t="shared" si="53"/>
        <v/>
      </c>
      <c r="T164" s="38" t="str">
        <f t="shared" si="54"/>
        <v/>
      </c>
      <c r="AG164" s="38"/>
    </row>
    <row r="165" spans="1:33" x14ac:dyDescent="0.2">
      <c r="A165" t="str">
        <f t="shared" si="40"/>
        <v/>
      </c>
      <c r="B165" s="38" t="str">
        <f t="shared" si="41"/>
        <v/>
      </c>
      <c r="C165" s="38" t="str">
        <f t="shared" si="42"/>
        <v/>
      </c>
      <c r="D165" s="38" t="str">
        <f t="shared" si="43"/>
        <v/>
      </c>
      <c r="E165" s="38" t="str">
        <f t="shared" si="44"/>
        <v/>
      </c>
      <c r="F165" s="38" t="str">
        <f t="shared" si="45"/>
        <v/>
      </c>
      <c r="G165" s="38" t="str">
        <f t="shared" si="55"/>
        <v/>
      </c>
      <c r="H165" s="38" t="str">
        <f t="shared" si="56"/>
        <v/>
      </c>
      <c r="L165" t="str">
        <f t="shared" si="46"/>
        <v/>
      </c>
      <c r="M165" s="38" t="str">
        <f t="shared" si="47"/>
        <v/>
      </c>
      <c r="N165" s="38" t="str">
        <f t="shared" si="48"/>
        <v/>
      </c>
      <c r="O165" s="38" t="str">
        <f t="shared" si="49"/>
        <v/>
      </c>
      <c r="P165" s="38" t="str">
        <f t="shared" si="50"/>
        <v/>
      </c>
      <c r="Q165" s="38" t="str">
        <f t="shared" si="51"/>
        <v/>
      </c>
      <c r="R165" s="38" t="str">
        <f t="shared" si="52"/>
        <v/>
      </c>
      <c r="S165" s="38" t="str">
        <f t="shared" si="53"/>
        <v/>
      </c>
      <c r="T165" s="38" t="str">
        <f t="shared" si="54"/>
        <v/>
      </c>
      <c r="AG165" s="38"/>
    </row>
    <row r="166" spans="1:33" x14ac:dyDescent="0.2">
      <c r="A166" t="str">
        <f t="shared" si="40"/>
        <v/>
      </c>
      <c r="B166" s="38" t="str">
        <f t="shared" si="41"/>
        <v/>
      </c>
      <c r="C166" s="38" t="str">
        <f t="shared" si="42"/>
        <v/>
      </c>
      <c r="D166" s="38" t="str">
        <f t="shared" si="43"/>
        <v/>
      </c>
      <c r="E166" s="38" t="str">
        <f t="shared" si="44"/>
        <v/>
      </c>
      <c r="F166" s="38" t="str">
        <f t="shared" si="45"/>
        <v/>
      </c>
      <c r="G166" s="38" t="str">
        <f t="shared" si="55"/>
        <v/>
      </c>
      <c r="H166" s="38" t="str">
        <f t="shared" si="56"/>
        <v/>
      </c>
      <c r="L166" t="str">
        <f t="shared" si="46"/>
        <v/>
      </c>
      <c r="M166" s="38" t="str">
        <f t="shared" si="47"/>
        <v/>
      </c>
      <c r="N166" s="38" t="str">
        <f t="shared" si="48"/>
        <v/>
      </c>
      <c r="O166" s="38" t="str">
        <f t="shared" si="49"/>
        <v/>
      </c>
      <c r="P166" s="38" t="str">
        <f t="shared" si="50"/>
        <v/>
      </c>
      <c r="Q166" s="38" t="str">
        <f t="shared" si="51"/>
        <v/>
      </c>
      <c r="R166" s="38" t="str">
        <f t="shared" si="52"/>
        <v/>
      </c>
      <c r="S166" s="38" t="str">
        <f t="shared" si="53"/>
        <v/>
      </c>
      <c r="T166" s="38" t="str">
        <f t="shared" si="54"/>
        <v/>
      </c>
      <c r="AG166" s="38"/>
    </row>
    <row r="167" spans="1:33" x14ac:dyDescent="0.2">
      <c r="A167" t="str">
        <f t="shared" si="40"/>
        <v/>
      </c>
      <c r="B167" s="38" t="str">
        <f t="shared" si="41"/>
        <v/>
      </c>
      <c r="C167" s="38" t="str">
        <f t="shared" si="42"/>
        <v/>
      </c>
      <c r="D167" s="38" t="str">
        <f t="shared" si="43"/>
        <v/>
      </c>
      <c r="E167" s="38" t="str">
        <f t="shared" si="44"/>
        <v/>
      </c>
      <c r="F167" s="38" t="str">
        <f t="shared" si="45"/>
        <v/>
      </c>
      <c r="G167" s="38" t="str">
        <f t="shared" si="55"/>
        <v/>
      </c>
      <c r="H167" s="38" t="str">
        <f t="shared" si="56"/>
        <v/>
      </c>
      <c r="L167" t="str">
        <f t="shared" si="46"/>
        <v/>
      </c>
      <c r="M167" s="38" t="str">
        <f t="shared" si="47"/>
        <v/>
      </c>
      <c r="N167" s="38" t="str">
        <f t="shared" si="48"/>
        <v/>
      </c>
      <c r="O167" s="38" t="str">
        <f t="shared" si="49"/>
        <v/>
      </c>
      <c r="P167" s="38" t="str">
        <f t="shared" si="50"/>
        <v/>
      </c>
      <c r="Q167" s="38" t="str">
        <f t="shared" si="51"/>
        <v/>
      </c>
      <c r="R167" s="38" t="str">
        <f t="shared" si="52"/>
        <v/>
      </c>
      <c r="S167" s="38" t="str">
        <f t="shared" si="53"/>
        <v/>
      </c>
      <c r="T167" s="38" t="str">
        <f t="shared" si="54"/>
        <v/>
      </c>
      <c r="AG167" s="38"/>
    </row>
    <row r="168" spans="1:33" x14ac:dyDescent="0.2">
      <c r="A168" t="str">
        <f t="shared" si="40"/>
        <v/>
      </c>
      <c r="B168" s="38" t="str">
        <f t="shared" si="41"/>
        <v/>
      </c>
      <c r="C168" s="38" t="str">
        <f t="shared" si="42"/>
        <v/>
      </c>
      <c r="D168" s="38" t="str">
        <f t="shared" si="43"/>
        <v/>
      </c>
      <c r="E168" s="38" t="str">
        <f t="shared" si="44"/>
        <v/>
      </c>
      <c r="F168" s="38" t="str">
        <f t="shared" si="45"/>
        <v/>
      </c>
      <c r="G168" s="38" t="str">
        <f t="shared" si="55"/>
        <v/>
      </c>
      <c r="H168" s="38" t="str">
        <f t="shared" si="56"/>
        <v/>
      </c>
      <c r="L168" t="str">
        <f t="shared" si="46"/>
        <v/>
      </c>
      <c r="M168" s="38" t="str">
        <f t="shared" si="47"/>
        <v/>
      </c>
      <c r="N168" s="38" t="str">
        <f t="shared" si="48"/>
        <v/>
      </c>
      <c r="O168" s="38" t="str">
        <f t="shared" si="49"/>
        <v/>
      </c>
      <c r="P168" s="38" t="str">
        <f t="shared" si="50"/>
        <v/>
      </c>
      <c r="Q168" s="38" t="str">
        <f t="shared" si="51"/>
        <v/>
      </c>
      <c r="R168" s="38" t="str">
        <f t="shared" si="52"/>
        <v/>
      </c>
      <c r="S168" s="38" t="str">
        <f t="shared" si="53"/>
        <v/>
      </c>
      <c r="T168" s="38" t="str">
        <f t="shared" si="54"/>
        <v/>
      </c>
      <c r="AG168" s="38"/>
    </row>
    <row r="169" spans="1:33" x14ac:dyDescent="0.2">
      <c r="A169" t="str">
        <f t="shared" si="40"/>
        <v/>
      </c>
      <c r="B169" s="38" t="str">
        <f t="shared" si="41"/>
        <v/>
      </c>
      <c r="C169" s="38" t="str">
        <f t="shared" si="42"/>
        <v/>
      </c>
      <c r="D169" s="38" t="str">
        <f t="shared" si="43"/>
        <v/>
      </c>
      <c r="E169" s="38" t="str">
        <f t="shared" si="44"/>
        <v/>
      </c>
      <c r="F169" s="38" t="str">
        <f t="shared" si="45"/>
        <v/>
      </c>
      <c r="G169" s="38" t="str">
        <f t="shared" si="55"/>
        <v/>
      </c>
      <c r="H169" s="38" t="str">
        <f t="shared" si="56"/>
        <v/>
      </c>
      <c r="L169" t="str">
        <f t="shared" si="46"/>
        <v/>
      </c>
      <c r="M169" s="38" t="str">
        <f t="shared" si="47"/>
        <v/>
      </c>
      <c r="N169" s="38" t="str">
        <f t="shared" si="48"/>
        <v/>
      </c>
      <c r="O169" s="38" t="str">
        <f t="shared" si="49"/>
        <v/>
      </c>
      <c r="P169" s="38" t="str">
        <f t="shared" si="50"/>
        <v/>
      </c>
      <c r="Q169" s="38" t="str">
        <f t="shared" si="51"/>
        <v/>
      </c>
      <c r="R169" s="38" t="str">
        <f t="shared" si="52"/>
        <v/>
      </c>
      <c r="S169" s="38" t="str">
        <f t="shared" si="53"/>
        <v/>
      </c>
      <c r="T169" s="38" t="str">
        <f t="shared" si="54"/>
        <v/>
      </c>
      <c r="AG169" s="38"/>
    </row>
    <row r="170" spans="1:33" x14ac:dyDescent="0.2">
      <c r="A170" t="str">
        <f t="shared" si="40"/>
        <v/>
      </c>
      <c r="B170" s="38" t="str">
        <f t="shared" si="41"/>
        <v/>
      </c>
      <c r="C170" s="38" t="str">
        <f t="shared" si="42"/>
        <v/>
      </c>
      <c r="D170" s="38" t="str">
        <f t="shared" si="43"/>
        <v/>
      </c>
      <c r="E170" s="38" t="str">
        <f t="shared" si="44"/>
        <v/>
      </c>
      <c r="F170" s="38" t="str">
        <f t="shared" si="45"/>
        <v/>
      </c>
      <c r="G170" s="38" t="str">
        <f t="shared" si="55"/>
        <v/>
      </c>
      <c r="H170" s="38" t="str">
        <f t="shared" si="56"/>
        <v/>
      </c>
      <c r="L170" t="str">
        <f t="shared" si="46"/>
        <v/>
      </c>
      <c r="M170" s="38" t="str">
        <f t="shared" si="47"/>
        <v/>
      </c>
      <c r="N170" s="38" t="str">
        <f t="shared" si="48"/>
        <v/>
      </c>
      <c r="O170" s="38" t="str">
        <f t="shared" si="49"/>
        <v/>
      </c>
      <c r="P170" s="38" t="str">
        <f t="shared" si="50"/>
        <v/>
      </c>
      <c r="Q170" s="38" t="str">
        <f t="shared" si="51"/>
        <v/>
      </c>
      <c r="R170" s="38" t="str">
        <f t="shared" si="52"/>
        <v/>
      </c>
      <c r="S170" s="38" t="str">
        <f t="shared" si="53"/>
        <v/>
      </c>
      <c r="T170" s="38" t="str">
        <f t="shared" si="54"/>
        <v/>
      </c>
      <c r="AG170" s="38"/>
    </row>
    <row r="171" spans="1:33" x14ac:dyDescent="0.2">
      <c r="A171" t="str">
        <f t="shared" si="40"/>
        <v/>
      </c>
      <c r="B171" s="38" t="str">
        <f t="shared" si="41"/>
        <v/>
      </c>
      <c r="C171" s="38" t="str">
        <f t="shared" si="42"/>
        <v/>
      </c>
      <c r="D171" s="38" t="str">
        <f t="shared" si="43"/>
        <v/>
      </c>
      <c r="E171" s="38" t="str">
        <f t="shared" si="44"/>
        <v/>
      </c>
      <c r="F171" s="38" t="str">
        <f t="shared" si="45"/>
        <v/>
      </c>
      <c r="G171" s="38" t="str">
        <f t="shared" si="55"/>
        <v/>
      </c>
      <c r="H171" s="38" t="str">
        <f t="shared" si="56"/>
        <v/>
      </c>
      <c r="L171" t="str">
        <f t="shared" si="46"/>
        <v/>
      </c>
      <c r="M171" s="38" t="str">
        <f t="shared" si="47"/>
        <v/>
      </c>
      <c r="N171" s="38" t="str">
        <f t="shared" si="48"/>
        <v/>
      </c>
      <c r="O171" s="38" t="str">
        <f t="shared" si="49"/>
        <v/>
      </c>
      <c r="P171" s="38" t="str">
        <f t="shared" si="50"/>
        <v/>
      </c>
      <c r="Q171" s="38" t="str">
        <f t="shared" si="51"/>
        <v/>
      </c>
      <c r="R171" s="38" t="str">
        <f t="shared" si="52"/>
        <v/>
      </c>
      <c r="S171" s="38" t="str">
        <f t="shared" si="53"/>
        <v/>
      </c>
      <c r="T171" s="38" t="str">
        <f t="shared" si="54"/>
        <v/>
      </c>
      <c r="AG171" s="38"/>
    </row>
    <row r="172" spans="1:33" x14ac:dyDescent="0.2">
      <c r="A172" t="str">
        <f t="shared" si="40"/>
        <v/>
      </c>
      <c r="B172" s="38" t="str">
        <f t="shared" si="41"/>
        <v/>
      </c>
      <c r="C172" s="38" t="str">
        <f t="shared" si="42"/>
        <v/>
      </c>
      <c r="D172" s="38" t="str">
        <f t="shared" si="43"/>
        <v/>
      </c>
      <c r="E172" s="38" t="str">
        <f t="shared" si="44"/>
        <v/>
      </c>
      <c r="F172" s="38" t="str">
        <f t="shared" si="45"/>
        <v/>
      </c>
      <c r="G172" s="38" t="str">
        <f t="shared" si="55"/>
        <v/>
      </c>
      <c r="H172" s="38" t="str">
        <f t="shared" si="56"/>
        <v/>
      </c>
      <c r="L172" t="str">
        <f t="shared" si="46"/>
        <v/>
      </c>
      <c r="M172" s="38" t="str">
        <f t="shared" si="47"/>
        <v/>
      </c>
      <c r="N172" s="38" t="str">
        <f t="shared" si="48"/>
        <v/>
      </c>
      <c r="O172" s="38" t="str">
        <f t="shared" si="49"/>
        <v/>
      </c>
      <c r="P172" s="38" t="str">
        <f t="shared" si="50"/>
        <v/>
      </c>
      <c r="Q172" s="38" t="str">
        <f t="shared" si="51"/>
        <v/>
      </c>
      <c r="R172" s="38" t="str">
        <f t="shared" si="52"/>
        <v/>
      </c>
      <c r="S172" s="38" t="str">
        <f t="shared" si="53"/>
        <v/>
      </c>
      <c r="T172" s="38" t="str">
        <f t="shared" si="54"/>
        <v/>
      </c>
      <c r="AG172" s="38"/>
    </row>
    <row r="173" spans="1:33" x14ac:dyDescent="0.2">
      <c r="A173" t="str">
        <f t="shared" si="40"/>
        <v/>
      </c>
      <c r="B173" s="38" t="str">
        <f t="shared" si="41"/>
        <v/>
      </c>
      <c r="C173" s="38" t="str">
        <f t="shared" si="42"/>
        <v/>
      </c>
      <c r="D173" s="38" t="str">
        <f t="shared" si="43"/>
        <v/>
      </c>
      <c r="E173" s="38" t="str">
        <f t="shared" si="44"/>
        <v/>
      </c>
      <c r="F173" s="38" t="str">
        <f t="shared" si="45"/>
        <v/>
      </c>
      <c r="G173" s="38" t="str">
        <f t="shared" si="55"/>
        <v/>
      </c>
      <c r="H173" s="38" t="str">
        <f t="shared" si="56"/>
        <v/>
      </c>
      <c r="L173" t="str">
        <f t="shared" si="46"/>
        <v/>
      </c>
      <c r="M173" s="38" t="str">
        <f t="shared" si="47"/>
        <v/>
      </c>
      <c r="N173" s="38" t="str">
        <f t="shared" si="48"/>
        <v/>
      </c>
      <c r="O173" s="38" t="str">
        <f t="shared" si="49"/>
        <v/>
      </c>
      <c r="P173" s="38" t="str">
        <f t="shared" si="50"/>
        <v/>
      </c>
      <c r="Q173" s="38" t="str">
        <f t="shared" si="51"/>
        <v/>
      </c>
      <c r="R173" s="38" t="str">
        <f t="shared" si="52"/>
        <v/>
      </c>
      <c r="S173" s="38" t="str">
        <f t="shared" si="53"/>
        <v/>
      </c>
      <c r="T173" s="38" t="str">
        <f t="shared" si="54"/>
        <v/>
      </c>
      <c r="AG173" s="38"/>
    </row>
    <row r="174" spans="1:33" x14ac:dyDescent="0.2">
      <c r="A174" t="str">
        <f t="shared" si="40"/>
        <v/>
      </c>
      <c r="B174" s="38" t="str">
        <f t="shared" si="41"/>
        <v/>
      </c>
      <c r="C174" s="38" t="str">
        <f t="shared" si="42"/>
        <v/>
      </c>
      <c r="D174" s="38" t="str">
        <f t="shared" si="43"/>
        <v/>
      </c>
      <c r="E174" s="38" t="str">
        <f t="shared" si="44"/>
        <v/>
      </c>
      <c r="F174" s="38" t="str">
        <f t="shared" si="45"/>
        <v/>
      </c>
      <c r="G174" s="38" t="str">
        <f t="shared" si="55"/>
        <v/>
      </c>
      <c r="H174" s="38" t="str">
        <f t="shared" si="56"/>
        <v/>
      </c>
      <c r="L174" t="str">
        <f t="shared" si="46"/>
        <v/>
      </c>
      <c r="M174" s="38" t="str">
        <f t="shared" si="47"/>
        <v/>
      </c>
      <c r="N174" s="38" t="str">
        <f t="shared" si="48"/>
        <v/>
      </c>
      <c r="O174" s="38" t="str">
        <f t="shared" si="49"/>
        <v/>
      </c>
      <c r="P174" s="38" t="str">
        <f t="shared" si="50"/>
        <v/>
      </c>
      <c r="Q174" s="38" t="str">
        <f t="shared" si="51"/>
        <v/>
      </c>
      <c r="R174" s="38" t="str">
        <f t="shared" si="52"/>
        <v/>
      </c>
      <c r="S174" s="38" t="str">
        <f t="shared" si="53"/>
        <v/>
      </c>
      <c r="T174" s="38" t="str">
        <f t="shared" si="54"/>
        <v/>
      </c>
      <c r="AG174" s="38"/>
    </row>
    <row r="175" spans="1:33" x14ac:dyDescent="0.2">
      <c r="A175" t="str">
        <f t="shared" si="40"/>
        <v/>
      </c>
      <c r="B175" s="38" t="str">
        <f t="shared" si="41"/>
        <v/>
      </c>
      <c r="C175" s="38" t="str">
        <f t="shared" si="42"/>
        <v/>
      </c>
      <c r="D175" s="38" t="str">
        <f t="shared" si="43"/>
        <v/>
      </c>
      <c r="E175" s="38" t="str">
        <f t="shared" si="44"/>
        <v/>
      </c>
      <c r="F175" s="38" t="str">
        <f t="shared" si="45"/>
        <v/>
      </c>
      <c r="G175" s="38" t="str">
        <f t="shared" si="55"/>
        <v/>
      </c>
      <c r="H175" s="38" t="str">
        <f t="shared" si="56"/>
        <v/>
      </c>
      <c r="L175" t="str">
        <f t="shared" si="46"/>
        <v/>
      </c>
      <c r="M175" s="38" t="str">
        <f t="shared" si="47"/>
        <v/>
      </c>
      <c r="N175" s="38" t="str">
        <f t="shared" si="48"/>
        <v/>
      </c>
      <c r="O175" s="38" t="str">
        <f t="shared" si="49"/>
        <v/>
      </c>
      <c r="P175" s="38" t="str">
        <f t="shared" si="50"/>
        <v/>
      </c>
      <c r="Q175" s="38" t="str">
        <f t="shared" si="51"/>
        <v/>
      </c>
      <c r="R175" s="38" t="str">
        <f t="shared" si="52"/>
        <v/>
      </c>
      <c r="S175" s="38" t="str">
        <f t="shared" si="53"/>
        <v/>
      </c>
      <c r="T175" s="38" t="str">
        <f t="shared" si="54"/>
        <v/>
      </c>
      <c r="AG175" s="38"/>
    </row>
    <row r="176" spans="1:33" x14ac:dyDescent="0.2">
      <c r="A176" t="str">
        <f t="shared" si="40"/>
        <v/>
      </c>
      <c r="B176" s="38" t="str">
        <f t="shared" si="41"/>
        <v/>
      </c>
      <c r="C176" s="38" t="str">
        <f t="shared" si="42"/>
        <v/>
      </c>
      <c r="D176" s="38" t="str">
        <f t="shared" si="43"/>
        <v/>
      </c>
      <c r="E176" s="38" t="str">
        <f t="shared" si="44"/>
        <v/>
      </c>
      <c r="F176" s="38" t="str">
        <f t="shared" si="45"/>
        <v/>
      </c>
      <c r="G176" s="38" t="str">
        <f t="shared" si="55"/>
        <v/>
      </c>
      <c r="H176" s="38" t="str">
        <f t="shared" si="56"/>
        <v/>
      </c>
      <c r="L176" t="str">
        <f t="shared" si="46"/>
        <v/>
      </c>
      <c r="M176" s="38" t="str">
        <f t="shared" si="47"/>
        <v/>
      </c>
      <c r="N176" s="38" t="str">
        <f t="shared" si="48"/>
        <v/>
      </c>
      <c r="O176" s="38" t="str">
        <f t="shared" si="49"/>
        <v/>
      </c>
      <c r="P176" s="38" t="str">
        <f t="shared" si="50"/>
        <v/>
      </c>
      <c r="Q176" s="38" t="str">
        <f t="shared" si="51"/>
        <v/>
      </c>
      <c r="R176" s="38" t="str">
        <f t="shared" si="52"/>
        <v/>
      </c>
      <c r="S176" s="38" t="str">
        <f t="shared" si="53"/>
        <v/>
      </c>
      <c r="T176" s="38" t="str">
        <f t="shared" si="54"/>
        <v/>
      </c>
      <c r="AG176" s="38"/>
    </row>
    <row r="177" spans="1:33" x14ac:dyDescent="0.2">
      <c r="A177" t="str">
        <f t="shared" si="40"/>
        <v/>
      </c>
      <c r="B177" s="38" t="str">
        <f t="shared" si="41"/>
        <v/>
      </c>
      <c r="C177" s="38" t="str">
        <f t="shared" si="42"/>
        <v/>
      </c>
      <c r="D177" s="38" t="str">
        <f t="shared" si="43"/>
        <v/>
      </c>
      <c r="E177" s="38" t="str">
        <f t="shared" si="44"/>
        <v/>
      </c>
      <c r="F177" s="38" t="str">
        <f t="shared" si="45"/>
        <v/>
      </c>
      <c r="G177" s="38" t="str">
        <f t="shared" si="55"/>
        <v/>
      </c>
      <c r="H177" s="38" t="str">
        <f t="shared" si="56"/>
        <v/>
      </c>
      <c r="L177" t="str">
        <f t="shared" si="46"/>
        <v/>
      </c>
      <c r="M177" s="38" t="str">
        <f t="shared" si="47"/>
        <v/>
      </c>
      <c r="N177" s="38" t="str">
        <f t="shared" si="48"/>
        <v/>
      </c>
      <c r="O177" s="38" t="str">
        <f t="shared" si="49"/>
        <v/>
      </c>
      <c r="P177" s="38" t="str">
        <f t="shared" si="50"/>
        <v/>
      </c>
      <c r="Q177" s="38" t="str">
        <f t="shared" si="51"/>
        <v/>
      </c>
      <c r="R177" s="38" t="str">
        <f t="shared" si="52"/>
        <v/>
      </c>
      <c r="S177" s="38" t="str">
        <f t="shared" si="53"/>
        <v/>
      </c>
      <c r="T177" s="38" t="str">
        <f t="shared" si="54"/>
        <v/>
      </c>
      <c r="AG177" s="38"/>
    </row>
    <row r="178" spans="1:33" x14ac:dyDescent="0.2">
      <c r="A178" t="str">
        <f t="shared" si="40"/>
        <v/>
      </c>
      <c r="B178" s="38" t="str">
        <f t="shared" si="41"/>
        <v/>
      </c>
      <c r="C178" s="38" t="str">
        <f t="shared" si="42"/>
        <v/>
      </c>
      <c r="D178" s="38" t="str">
        <f t="shared" si="43"/>
        <v/>
      </c>
      <c r="E178" s="38" t="str">
        <f t="shared" si="44"/>
        <v/>
      </c>
      <c r="F178" s="38" t="str">
        <f t="shared" si="45"/>
        <v/>
      </c>
      <c r="G178" s="38" t="str">
        <f t="shared" si="55"/>
        <v/>
      </c>
      <c r="H178" s="38" t="str">
        <f t="shared" si="56"/>
        <v/>
      </c>
      <c r="L178" t="str">
        <f t="shared" si="46"/>
        <v/>
      </c>
      <c r="M178" s="38" t="str">
        <f t="shared" si="47"/>
        <v/>
      </c>
      <c r="N178" s="38" t="str">
        <f t="shared" si="48"/>
        <v/>
      </c>
      <c r="O178" s="38" t="str">
        <f t="shared" si="49"/>
        <v/>
      </c>
      <c r="P178" s="38" t="str">
        <f t="shared" si="50"/>
        <v/>
      </c>
      <c r="Q178" s="38" t="str">
        <f t="shared" si="51"/>
        <v/>
      </c>
      <c r="R178" s="38" t="str">
        <f t="shared" si="52"/>
        <v/>
      </c>
      <c r="S178" s="38" t="str">
        <f t="shared" si="53"/>
        <v/>
      </c>
      <c r="T178" s="38" t="str">
        <f t="shared" si="54"/>
        <v/>
      </c>
      <c r="AG178" s="38"/>
    </row>
    <row r="179" spans="1:33" x14ac:dyDescent="0.2">
      <c r="A179" t="str">
        <f t="shared" si="40"/>
        <v/>
      </c>
      <c r="B179" s="38" t="str">
        <f t="shared" si="41"/>
        <v/>
      </c>
      <c r="C179" s="38" t="str">
        <f t="shared" si="42"/>
        <v/>
      </c>
      <c r="D179" s="38" t="str">
        <f t="shared" si="43"/>
        <v/>
      </c>
      <c r="E179" s="38" t="str">
        <f t="shared" si="44"/>
        <v/>
      </c>
      <c r="F179" s="38" t="str">
        <f t="shared" si="45"/>
        <v/>
      </c>
      <c r="G179" s="38" t="str">
        <f t="shared" si="55"/>
        <v/>
      </c>
      <c r="H179" s="38" t="str">
        <f t="shared" si="56"/>
        <v/>
      </c>
      <c r="L179" t="str">
        <f t="shared" si="46"/>
        <v/>
      </c>
      <c r="M179" s="38" t="str">
        <f t="shared" si="47"/>
        <v/>
      </c>
      <c r="N179" s="38" t="str">
        <f t="shared" si="48"/>
        <v/>
      </c>
      <c r="O179" s="38" t="str">
        <f t="shared" si="49"/>
        <v/>
      </c>
      <c r="P179" s="38" t="str">
        <f t="shared" si="50"/>
        <v/>
      </c>
      <c r="Q179" s="38" t="str">
        <f t="shared" si="51"/>
        <v/>
      </c>
      <c r="R179" s="38" t="str">
        <f t="shared" si="52"/>
        <v/>
      </c>
      <c r="S179" s="38" t="str">
        <f t="shared" si="53"/>
        <v/>
      </c>
      <c r="T179" s="38" t="str">
        <f t="shared" si="54"/>
        <v/>
      </c>
      <c r="AG179" s="38"/>
    </row>
    <row r="180" spans="1:33" x14ac:dyDescent="0.2">
      <c r="A180" t="str">
        <f t="shared" si="40"/>
        <v/>
      </c>
      <c r="B180" s="38" t="str">
        <f t="shared" si="41"/>
        <v/>
      </c>
      <c r="C180" s="38" t="str">
        <f t="shared" si="42"/>
        <v/>
      </c>
      <c r="D180" s="38" t="str">
        <f t="shared" si="43"/>
        <v/>
      </c>
      <c r="E180" s="38" t="str">
        <f t="shared" si="44"/>
        <v/>
      </c>
      <c r="F180" s="38" t="str">
        <f t="shared" si="45"/>
        <v/>
      </c>
      <c r="G180" s="38" t="str">
        <f t="shared" si="55"/>
        <v/>
      </c>
      <c r="H180" s="38" t="str">
        <f t="shared" si="56"/>
        <v/>
      </c>
      <c r="L180" t="str">
        <f t="shared" si="46"/>
        <v/>
      </c>
      <c r="M180" s="38" t="str">
        <f t="shared" si="47"/>
        <v/>
      </c>
      <c r="N180" s="38" t="str">
        <f t="shared" si="48"/>
        <v/>
      </c>
      <c r="O180" s="38" t="str">
        <f t="shared" si="49"/>
        <v/>
      </c>
      <c r="P180" s="38" t="str">
        <f t="shared" si="50"/>
        <v/>
      </c>
      <c r="Q180" s="38" t="str">
        <f t="shared" si="51"/>
        <v/>
      </c>
      <c r="R180" s="38" t="str">
        <f t="shared" si="52"/>
        <v/>
      </c>
      <c r="S180" s="38" t="str">
        <f t="shared" si="53"/>
        <v/>
      </c>
      <c r="T180" s="38" t="str">
        <f t="shared" si="54"/>
        <v/>
      </c>
      <c r="AG180" s="38"/>
    </row>
    <row r="181" spans="1:33" x14ac:dyDescent="0.2">
      <c r="A181" t="str">
        <f t="shared" si="40"/>
        <v/>
      </c>
      <c r="B181" s="38" t="str">
        <f t="shared" si="41"/>
        <v/>
      </c>
      <c r="C181" s="38" t="str">
        <f t="shared" si="42"/>
        <v/>
      </c>
      <c r="D181" s="38" t="str">
        <f t="shared" si="43"/>
        <v/>
      </c>
      <c r="E181" s="38" t="str">
        <f t="shared" si="44"/>
        <v/>
      </c>
      <c r="F181" s="38" t="str">
        <f t="shared" si="45"/>
        <v/>
      </c>
      <c r="G181" s="38" t="str">
        <f t="shared" si="55"/>
        <v/>
      </c>
      <c r="H181" s="38" t="str">
        <f t="shared" si="56"/>
        <v/>
      </c>
      <c r="L181" t="str">
        <f t="shared" si="46"/>
        <v/>
      </c>
      <c r="M181" s="38" t="str">
        <f t="shared" si="47"/>
        <v/>
      </c>
      <c r="N181" s="38" t="str">
        <f t="shared" si="48"/>
        <v/>
      </c>
      <c r="O181" s="38" t="str">
        <f t="shared" si="49"/>
        <v/>
      </c>
      <c r="P181" s="38" t="str">
        <f t="shared" si="50"/>
        <v/>
      </c>
      <c r="Q181" s="38" t="str">
        <f t="shared" si="51"/>
        <v/>
      </c>
      <c r="R181" s="38" t="str">
        <f t="shared" si="52"/>
        <v/>
      </c>
      <c r="S181" s="38" t="str">
        <f t="shared" si="53"/>
        <v/>
      </c>
      <c r="T181" s="38" t="str">
        <f t="shared" si="54"/>
        <v/>
      </c>
      <c r="AG181" s="38"/>
    </row>
    <row r="182" spans="1:33" x14ac:dyDescent="0.2">
      <c r="A182" t="str">
        <f t="shared" si="40"/>
        <v/>
      </c>
      <c r="B182" s="38" t="str">
        <f t="shared" si="41"/>
        <v/>
      </c>
      <c r="C182" s="38" t="str">
        <f t="shared" si="42"/>
        <v/>
      </c>
      <c r="D182" s="38" t="str">
        <f t="shared" si="43"/>
        <v/>
      </c>
      <c r="E182" s="38" t="str">
        <f t="shared" si="44"/>
        <v/>
      </c>
      <c r="F182" s="38" t="str">
        <f t="shared" si="45"/>
        <v/>
      </c>
      <c r="G182" s="38" t="str">
        <f t="shared" si="55"/>
        <v/>
      </c>
      <c r="H182" s="38" t="str">
        <f t="shared" si="56"/>
        <v/>
      </c>
      <c r="L182" t="str">
        <f t="shared" si="46"/>
        <v/>
      </c>
      <c r="M182" s="38" t="str">
        <f t="shared" si="47"/>
        <v/>
      </c>
      <c r="N182" s="38" t="str">
        <f t="shared" si="48"/>
        <v/>
      </c>
      <c r="O182" s="38" t="str">
        <f t="shared" si="49"/>
        <v/>
      </c>
      <c r="P182" s="38" t="str">
        <f t="shared" si="50"/>
        <v/>
      </c>
      <c r="Q182" s="38" t="str">
        <f t="shared" si="51"/>
        <v/>
      </c>
      <c r="R182" s="38" t="str">
        <f t="shared" si="52"/>
        <v/>
      </c>
      <c r="S182" s="38" t="str">
        <f t="shared" si="53"/>
        <v/>
      </c>
      <c r="T182" s="38" t="str">
        <f t="shared" si="54"/>
        <v/>
      </c>
      <c r="AG182" s="38"/>
    </row>
    <row r="183" spans="1:33" x14ac:dyDescent="0.2">
      <c r="A183" t="str">
        <f t="shared" si="40"/>
        <v/>
      </c>
      <c r="B183" s="38" t="str">
        <f t="shared" si="41"/>
        <v/>
      </c>
      <c r="C183" s="38" t="str">
        <f t="shared" si="42"/>
        <v/>
      </c>
      <c r="D183" s="38" t="str">
        <f t="shared" si="43"/>
        <v/>
      </c>
      <c r="E183" s="38" t="str">
        <f t="shared" si="44"/>
        <v/>
      </c>
      <c r="F183" s="38" t="str">
        <f t="shared" si="45"/>
        <v/>
      </c>
      <c r="G183" s="38" t="str">
        <f t="shared" si="55"/>
        <v/>
      </c>
      <c r="H183" s="38" t="str">
        <f t="shared" si="56"/>
        <v/>
      </c>
      <c r="L183" t="str">
        <f t="shared" si="46"/>
        <v/>
      </c>
      <c r="M183" s="38" t="str">
        <f t="shared" si="47"/>
        <v/>
      </c>
      <c r="N183" s="38" t="str">
        <f t="shared" si="48"/>
        <v/>
      </c>
      <c r="O183" s="38" t="str">
        <f t="shared" si="49"/>
        <v/>
      </c>
      <c r="P183" s="38" t="str">
        <f t="shared" si="50"/>
        <v/>
      </c>
      <c r="Q183" s="38" t="str">
        <f t="shared" si="51"/>
        <v/>
      </c>
      <c r="R183" s="38" t="str">
        <f t="shared" si="52"/>
        <v/>
      </c>
      <c r="S183" s="38" t="str">
        <f t="shared" si="53"/>
        <v/>
      </c>
      <c r="T183" s="38" t="str">
        <f t="shared" si="54"/>
        <v/>
      </c>
      <c r="AG183" s="38"/>
    </row>
    <row r="184" spans="1:33" x14ac:dyDescent="0.2">
      <c r="A184" t="str">
        <f t="shared" si="40"/>
        <v/>
      </c>
      <c r="B184" s="38" t="str">
        <f t="shared" si="41"/>
        <v/>
      </c>
      <c r="C184" s="38" t="str">
        <f t="shared" si="42"/>
        <v/>
      </c>
      <c r="D184" s="38" t="str">
        <f t="shared" si="43"/>
        <v/>
      </c>
      <c r="E184" s="38" t="str">
        <f t="shared" si="44"/>
        <v/>
      </c>
      <c r="F184" s="38" t="str">
        <f t="shared" si="45"/>
        <v/>
      </c>
      <c r="G184" s="38" t="str">
        <f t="shared" si="55"/>
        <v/>
      </c>
      <c r="H184" s="38" t="str">
        <f t="shared" si="56"/>
        <v/>
      </c>
      <c r="L184" t="str">
        <f t="shared" si="46"/>
        <v/>
      </c>
      <c r="M184" s="38" t="str">
        <f t="shared" si="47"/>
        <v/>
      </c>
      <c r="N184" s="38" t="str">
        <f t="shared" si="48"/>
        <v/>
      </c>
      <c r="O184" s="38" t="str">
        <f t="shared" si="49"/>
        <v/>
      </c>
      <c r="P184" s="38" t="str">
        <f t="shared" si="50"/>
        <v/>
      </c>
      <c r="Q184" s="38" t="str">
        <f t="shared" si="51"/>
        <v/>
      </c>
      <c r="R184" s="38" t="str">
        <f t="shared" si="52"/>
        <v/>
      </c>
      <c r="S184" s="38" t="str">
        <f t="shared" si="53"/>
        <v/>
      </c>
      <c r="T184" s="38" t="str">
        <f t="shared" si="54"/>
        <v/>
      </c>
      <c r="AG184" s="38"/>
    </row>
    <row r="185" spans="1:33" x14ac:dyDescent="0.2">
      <c r="A185" t="str">
        <f t="shared" si="40"/>
        <v/>
      </c>
      <c r="B185" s="38" t="str">
        <f t="shared" si="41"/>
        <v/>
      </c>
      <c r="C185" s="38" t="str">
        <f t="shared" si="42"/>
        <v/>
      </c>
      <c r="D185" s="38" t="str">
        <f t="shared" si="43"/>
        <v/>
      </c>
      <c r="E185" s="38" t="str">
        <f t="shared" si="44"/>
        <v/>
      </c>
      <c r="F185" s="38" t="str">
        <f t="shared" si="45"/>
        <v/>
      </c>
      <c r="G185" s="38" t="str">
        <f t="shared" si="55"/>
        <v/>
      </c>
      <c r="H185" s="38" t="str">
        <f t="shared" si="56"/>
        <v/>
      </c>
      <c r="L185" t="str">
        <f t="shared" si="46"/>
        <v/>
      </c>
      <c r="M185" s="38" t="str">
        <f t="shared" si="47"/>
        <v/>
      </c>
      <c r="N185" s="38" t="str">
        <f t="shared" si="48"/>
        <v/>
      </c>
      <c r="O185" s="38" t="str">
        <f t="shared" si="49"/>
        <v/>
      </c>
      <c r="P185" s="38" t="str">
        <f t="shared" si="50"/>
        <v/>
      </c>
      <c r="Q185" s="38" t="str">
        <f t="shared" si="51"/>
        <v/>
      </c>
      <c r="R185" s="38" t="str">
        <f t="shared" si="52"/>
        <v/>
      </c>
      <c r="S185" s="38" t="str">
        <f t="shared" si="53"/>
        <v/>
      </c>
      <c r="T185" s="38" t="str">
        <f t="shared" si="54"/>
        <v/>
      </c>
      <c r="AG185" s="38"/>
    </row>
    <row r="186" spans="1:33" x14ac:dyDescent="0.2">
      <c r="A186" t="str">
        <f t="shared" si="40"/>
        <v/>
      </c>
      <c r="B186" s="38" t="str">
        <f t="shared" si="41"/>
        <v/>
      </c>
      <c r="C186" s="38" t="str">
        <f t="shared" si="42"/>
        <v/>
      </c>
      <c r="D186" s="38" t="str">
        <f t="shared" si="43"/>
        <v/>
      </c>
      <c r="E186" s="38" t="str">
        <f t="shared" si="44"/>
        <v/>
      </c>
      <c r="F186" s="38" t="str">
        <f t="shared" si="45"/>
        <v/>
      </c>
      <c r="G186" s="38" t="str">
        <f t="shared" si="55"/>
        <v/>
      </c>
      <c r="H186" s="38" t="str">
        <f t="shared" si="56"/>
        <v/>
      </c>
      <c r="L186" t="str">
        <f t="shared" si="46"/>
        <v/>
      </c>
      <c r="M186" s="38" t="str">
        <f t="shared" si="47"/>
        <v/>
      </c>
      <c r="N186" s="38" t="str">
        <f t="shared" si="48"/>
        <v/>
      </c>
      <c r="O186" s="38" t="str">
        <f t="shared" si="49"/>
        <v/>
      </c>
      <c r="P186" s="38" t="str">
        <f t="shared" si="50"/>
        <v/>
      </c>
      <c r="Q186" s="38" t="str">
        <f t="shared" si="51"/>
        <v/>
      </c>
      <c r="R186" s="38" t="str">
        <f t="shared" si="52"/>
        <v/>
      </c>
      <c r="S186" s="38" t="str">
        <f t="shared" si="53"/>
        <v/>
      </c>
      <c r="T186" s="38" t="str">
        <f t="shared" si="54"/>
        <v/>
      </c>
      <c r="AG186" s="38"/>
    </row>
    <row r="187" spans="1:33" x14ac:dyDescent="0.2">
      <c r="A187" t="str">
        <f t="shared" si="40"/>
        <v/>
      </c>
      <c r="B187" s="38" t="str">
        <f t="shared" si="41"/>
        <v/>
      </c>
      <c r="C187" s="38" t="str">
        <f t="shared" si="42"/>
        <v/>
      </c>
      <c r="D187" s="38" t="str">
        <f t="shared" si="43"/>
        <v/>
      </c>
      <c r="E187" s="38" t="str">
        <f t="shared" si="44"/>
        <v/>
      </c>
      <c r="F187" s="38" t="str">
        <f t="shared" si="45"/>
        <v/>
      </c>
      <c r="G187" s="38" t="str">
        <f t="shared" si="55"/>
        <v/>
      </c>
      <c r="H187" s="38" t="str">
        <f t="shared" si="56"/>
        <v/>
      </c>
      <c r="L187" t="str">
        <f t="shared" si="46"/>
        <v/>
      </c>
      <c r="M187" s="38" t="str">
        <f t="shared" si="47"/>
        <v/>
      </c>
      <c r="N187" s="38" t="str">
        <f t="shared" si="48"/>
        <v/>
      </c>
      <c r="O187" s="38" t="str">
        <f t="shared" si="49"/>
        <v/>
      </c>
      <c r="P187" s="38" t="str">
        <f t="shared" si="50"/>
        <v/>
      </c>
      <c r="Q187" s="38" t="str">
        <f t="shared" si="51"/>
        <v/>
      </c>
      <c r="R187" s="38" t="str">
        <f t="shared" si="52"/>
        <v/>
      </c>
      <c r="S187" s="38" t="str">
        <f t="shared" si="53"/>
        <v/>
      </c>
      <c r="T187" s="38" t="str">
        <f t="shared" si="54"/>
        <v/>
      </c>
      <c r="AG187" s="38"/>
    </row>
    <row r="188" spans="1:33" x14ac:dyDescent="0.2">
      <c r="A188" t="str">
        <f t="shared" si="40"/>
        <v/>
      </c>
      <c r="B188" s="38" t="str">
        <f t="shared" si="41"/>
        <v/>
      </c>
      <c r="C188" s="38" t="str">
        <f t="shared" si="42"/>
        <v/>
      </c>
      <c r="D188" s="38" t="str">
        <f t="shared" si="43"/>
        <v/>
      </c>
      <c r="E188" s="38" t="str">
        <f t="shared" si="44"/>
        <v/>
      </c>
      <c r="F188" s="38" t="str">
        <f t="shared" si="45"/>
        <v/>
      </c>
      <c r="G188" s="38" t="str">
        <f t="shared" si="55"/>
        <v/>
      </c>
      <c r="H188" s="38" t="str">
        <f t="shared" si="56"/>
        <v/>
      </c>
      <c r="L188" t="str">
        <f t="shared" si="46"/>
        <v/>
      </c>
      <c r="M188" s="38" t="str">
        <f t="shared" si="47"/>
        <v/>
      </c>
      <c r="N188" s="38" t="str">
        <f t="shared" si="48"/>
        <v/>
      </c>
      <c r="O188" s="38" t="str">
        <f t="shared" si="49"/>
        <v/>
      </c>
      <c r="P188" s="38" t="str">
        <f t="shared" si="50"/>
        <v/>
      </c>
      <c r="Q188" s="38" t="str">
        <f t="shared" si="51"/>
        <v/>
      </c>
      <c r="R188" s="38" t="str">
        <f t="shared" si="52"/>
        <v/>
      </c>
      <c r="S188" s="38" t="str">
        <f t="shared" si="53"/>
        <v/>
      </c>
      <c r="T188" s="38" t="str">
        <f t="shared" si="54"/>
        <v/>
      </c>
      <c r="AG188" s="38"/>
    </row>
    <row r="189" spans="1:33" x14ac:dyDescent="0.2">
      <c r="A189" t="str">
        <f t="shared" si="40"/>
        <v/>
      </c>
      <c r="B189" s="38" t="str">
        <f t="shared" si="41"/>
        <v/>
      </c>
      <c r="C189" s="38" t="str">
        <f t="shared" si="42"/>
        <v/>
      </c>
      <c r="D189" s="38" t="str">
        <f t="shared" si="43"/>
        <v/>
      </c>
      <c r="E189" s="38" t="str">
        <f t="shared" si="44"/>
        <v/>
      </c>
      <c r="F189" s="38" t="str">
        <f t="shared" si="45"/>
        <v/>
      </c>
      <c r="G189" s="38" t="str">
        <f t="shared" si="55"/>
        <v/>
      </c>
      <c r="H189" s="38" t="str">
        <f t="shared" si="56"/>
        <v/>
      </c>
      <c r="L189" t="str">
        <f t="shared" si="46"/>
        <v/>
      </c>
      <c r="M189" s="38" t="str">
        <f t="shared" si="47"/>
        <v/>
      </c>
      <c r="N189" s="38" t="str">
        <f t="shared" si="48"/>
        <v/>
      </c>
      <c r="O189" s="38" t="str">
        <f t="shared" si="49"/>
        <v/>
      </c>
      <c r="P189" s="38" t="str">
        <f t="shared" si="50"/>
        <v/>
      </c>
      <c r="Q189" s="38" t="str">
        <f t="shared" si="51"/>
        <v/>
      </c>
      <c r="R189" s="38" t="str">
        <f t="shared" si="52"/>
        <v/>
      </c>
      <c r="S189" s="38" t="str">
        <f t="shared" si="53"/>
        <v/>
      </c>
      <c r="T189" s="38" t="str">
        <f t="shared" si="54"/>
        <v/>
      </c>
      <c r="AG189" s="38"/>
    </row>
    <row r="190" spans="1:33" x14ac:dyDescent="0.2">
      <c r="A190" t="str">
        <f t="shared" si="40"/>
        <v/>
      </c>
      <c r="B190" s="38" t="str">
        <f t="shared" si="41"/>
        <v/>
      </c>
      <c r="C190" s="38" t="str">
        <f t="shared" si="42"/>
        <v/>
      </c>
      <c r="D190" s="38" t="str">
        <f t="shared" si="43"/>
        <v/>
      </c>
      <c r="E190" s="38" t="str">
        <f t="shared" si="44"/>
        <v/>
      </c>
      <c r="F190" s="38" t="str">
        <f t="shared" si="45"/>
        <v/>
      </c>
      <c r="G190" s="38" t="str">
        <f t="shared" si="55"/>
        <v/>
      </c>
      <c r="H190" s="38" t="str">
        <f t="shared" si="56"/>
        <v/>
      </c>
      <c r="L190" t="str">
        <f t="shared" si="46"/>
        <v/>
      </c>
      <c r="M190" s="38" t="str">
        <f t="shared" si="47"/>
        <v/>
      </c>
      <c r="N190" s="38" t="str">
        <f t="shared" si="48"/>
        <v/>
      </c>
      <c r="O190" s="38" t="str">
        <f t="shared" si="49"/>
        <v/>
      </c>
      <c r="P190" s="38" t="str">
        <f t="shared" si="50"/>
        <v/>
      </c>
      <c r="Q190" s="38" t="str">
        <f t="shared" si="51"/>
        <v/>
      </c>
      <c r="R190" s="38" t="str">
        <f t="shared" si="52"/>
        <v/>
      </c>
      <c r="S190" s="38" t="str">
        <f t="shared" si="53"/>
        <v/>
      </c>
      <c r="T190" s="38" t="str">
        <f t="shared" si="54"/>
        <v/>
      </c>
      <c r="AG190" s="38"/>
    </row>
    <row r="191" spans="1:33" x14ac:dyDescent="0.2">
      <c r="A191" t="str">
        <f t="shared" si="40"/>
        <v/>
      </c>
      <c r="B191" s="38" t="str">
        <f t="shared" si="41"/>
        <v/>
      </c>
      <c r="C191" s="38" t="str">
        <f t="shared" si="42"/>
        <v/>
      </c>
      <c r="D191" s="38" t="str">
        <f t="shared" si="43"/>
        <v/>
      </c>
      <c r="E191" s="38" t="str">
        <f t="shared" si="44"/>
        <v/>
      </c>
      <c r="F191" s="38" t="str">
        <f t="shared" si="45"/>
        <v/>
      </c>
      <c r="G191" s="38" t="str">
        <f t="shared" si="55"/>
        <v/>
      </c>
      <c r="H191" s="38" t="str">
        <f t="shared" si="56"/>
        <v/>
      </c>
      <c r="L191" t="str">
        <f t="shared" si="46"/>
        <v/>
      </c>
      <c r="M191" s="38" t="str">
        <f t="shared" si="47"/>
        <v/>
      </c>
      <c r="N191" s="38" t="str">
        <f t="shared" si="48"/>
        <v/>
      </c>
      <c r="O191" s="38" t="str">
        <f t="shared" si="49"/>
        <v/>
      </c>
      <c r="P191" s="38" t="str">
        <f t="shared" si="50"/>
        <v/>
      </c>
      <c r="Q191" s="38" t="str">
        <f t="shared" si="51"/>
        <v/>
      </c>
      <c r="R191" s="38" t="str">
        <f t="shared" si="52"/>
        <v/>
      </c>
      <c r="S191" s="38" t="str">
        <f t="shared" si="53"/>
        <v/>
      </c>
      <c r="T191" s="38" t="str">
        <f t="shared" si="54"/>
        <v/>
      </c>
      <c r="AG191" s="38"/>
    </row>
    <row r="192" spans="1:33" x14ac:dyDescent="0.2">
      <c r="A192" t="str">
        <f t="shared" si="40"/>
        <v/>
      </c>
      <c r="B192" s="38" t="str">
        <f t="shared" si="41"/>
        <v/>
      </c>
      <c r="C192" s="38" t="str">
        <f t="shared" si="42"/>
        <v/>
      </c>
      <c r="D192" s="38" t="str">
        <f t="shared" si="43"/>
        <v/>
      </c>
      <c r="E192" s="38" t="str">
        <f t="shared" si="44"/>
        <v/>
      </c>
      <c r="F192" s="38" t="str">
        <f t="shared" si="45"/>
        <v/>
      </c>
      <c r="G192" s="38" t="str">
        <f t="shared" si="55"/>
        <v/>
      </c>
      <c r="H192" s="38" t="str">
        <f t="shared" si="56"/>
        <v/>
      </c>
      <c r="L192" t="str">
        <f t="shared" si="46"/>
        <v/>
      </c>
      <c r="M192" s="38" t="str">
        <f t="shared" si="47"/>
        <v/>
      </c>
      <c r="N192" s="38" t="str">
        <f t="shared" si="48"/>
        <v/>
      </c>
      <c r="O192" s="38" t="str">
        <f t="shared" si="49"/>
        <v/>
      </c>
      <c r="P192" s="38" t="str">
        <f t="shared" si="50"/>
        <v/>
      </c>
      <c r="Q192" s="38" t="str">
        <f t="shared" si="51"/>
        <v/>
      </c>
      <c r="R192" s="38" t="str">
        <f t="shared" si="52"/>
        <v/>
      </c>
      <c r="S192" s="38" t="str">
        <f t="shared" si="53"/>
        <v/>
      </c>
      <c r="T192" s="38" t="str">
        <f t="shared" si="54"/>
        <v/>
      </c>
      <c r="AG192" s="38"/>
    </row>
    <row r="193" spans="1:33" x14ac:dyDescent="0.2">
      <c r="A193" t="str">
        <f t="shared" si="40"/>
        <v/>
      </c>
      <c r="B193" s="38" t="str">
        <f t="shared" si="41"/>
        <v/>
      </c>
      <c r="C193" s="38" t="str">
        <f t="shared" si="42"/>
        <v/>
      </c>
      <c r="D193" s="38" t="str">
        <f t="shared" si="43"/>
        <v/>
      </c>
      <c r="E193" s="38" t="str">
        <f t="shared" si="44"/>
        <v/>
      </c>
      <c r="F193" s="38" t="str">
        <f t="shared" si="45"/>
        <v/>
      </c>
      <c r="G193" s="38" t="str">
        <f t="shared" si="55"/>
        <v/>
      </c>
      <c r="H193" s="38" t="str">
        <f t="shared" si="56"/>
        <v/>
      </c>
      <c r="L193" t="str">
        <f t="shared" si="46"/>
        <v/>
      </c>
      <c r="M193" s="38" t="str">
        <f t="shared" si="47"/>
        <v/>
      </c>
      <c r="N193" s="38" t="str">
        <f t="shared" si="48"/>
        <v/>
      </c>
      <c r="O193" s="38" t="str">
        <f t="shared" si="49"/>
        <v/>
      </c>
      <c r="P193" s="38" t="str">
        <f t="shared" si="50"/>
        <v/>
      </c>
      <c r="Q193" s="38" t="str">
        <f t="shared" si="51"/>
        <v/>
      </c>
      <c r="R193" s="38" t="str">
        <f t="shared" si="52"/>
        <v/>
      </c>
      <c r="S193" s="38" t="str">
        <f t="shared" si="53"/>
        <v/>
      </c>
      <c r="T193" s="38" t="str">
        <f t="shared" si="54"/>
        <v/>
      </c>
      <c r="AG193" s="38"/>
    </row>
    <row r="194" spans="1:33" x14ac:dyDescent="0.2">
      <c r="A194" t="str">
        <f t="shared" si="40"/>
        <v/>
      </c>
      <c r="B194" s="38" t="str">
        <f t="shared" si="41"/>
        <v/>
      </c>
      <c r="C194" s="38" t="str">
        <f t="shared" si="42"/>
        <v/>
      </c>
      <c r="D194" s="38" t="str">
        <f t="shared" si="43"/>
        <v/>
      </c>
      <c r="E194" s="38" t="str">
        <f t="shared" si="44"/>
        <v/>
      </c>
      <c r="F194" s="38" t="str">
        <f t="shared" si="45"/>
        <v/>
      </c>
      <c r="G194" s="38" t="str">
        <f t="shared" si="55"/>
        <v/>
      </c>
      <c r="H194" s="38" t="str">
        <f t="shared" si="56"/>
        <v/>
      </c>
      <c r="L194" t="str">
        <f t="shared" si="46"/>
        <v/>
      </c>
      <c r="M194" s="38" t="str">
        <f t="shared" si="47"/>
        <v/>
      </c>
      <c r="N194" s="38" t="str">
        <f t="shared" si="48"/>
        <v/>
      </c>
      <c r="O194" s="38" t="str">
        <f t="shared" si="49"/>
        <v/>
      </c>
      <c r="P194" s="38" t="str">
        <f t="shared" si="50"/>
        <v/>
      </c>
      <c r="Q194" s="38" t="str">
        <f t="shared" si="51"/>
        <v/>
      </c>
      <c r="R194" s="38" t="str">
        <f t="shared" si="52"/>
        <v/>
      </c>
      <c r="S194" s="38" t="str">
        <f t="shared" si="53"/>
        <v/>
      </c>
      <c r="T194" s="38" t="str">
        <f t="shared" si="54"/>
        <v/>
      </c>
      <c r="AG194" s="38"/>
    </row>
    <row r="195" spans="1:33" x14ac:dyDescent="0.2">
      <c r="A195" t="str">
        <f t="shared" si="40"/>
        <v/>
      </c>
      <c r="B195" s="38" t="str">
        <f t="shared" si="41"/>
        <v/>
      </c>
      <c r="C195" s="38" t="str">
        <f t="shared" si="42"/>
        <v/>
      </c>
      <c r="D195" s="38" t="str">
        <f t="shared" si="43"/>
        <v/>
      </c>
      <c r="E195" s="38" t="str">
        <f t="shared" si="44"/>
        <v/>
      </c>
      <c r="F195" s="38" t="str">
        <f t="shared" si="45"/>
        <v/>
      </c>
      <c r="G195" s="38" t="str">
        <f t="shared" si="55"/>
        <v/>
      </c>
      <c r="H195" s="38" t="str">
        <f t="shared" si="56"/>
        <v/>
      </c>
      <c r="L195" t="str">
        <f t="shared" si="46"/>
        <v/>
      </c>
      <c r="M195" s="38" t="str">
        <f t="shared" si="47"/>
        <v/>
      </c>
      <c r="N195" s="38" t="str">
        <f t="shared" si="48"/>
        <v/>
      </c>
      <c r="O195" s="38" t="str">
        <f t="shared" si="49"/>
        <v/>
      </c>
      <c r="P195" s="38" t="str">
        <f t="shared" si="50"/>
        <v/>
      </c>
      <c r="Q195" s="38" t="str">
        <f t="shared" si="51"/>
        <v/>
      </c>
      <c r="R195" s="38" t="str">
        <f t="shared" si="52"/>
        <v/>
      </c>
      <c r="S195" s="38" t="str">
        <f t="shared" si="53"/>
        <v/>
      </c>
      <c r="T195" s="38" t="str">
        <f t="shared" si="54"/>
        <v/>
      </c>
      <c r="AG195" s="38"/>
    </row>
    <row r="196" spans="1:33" x14ac:dyDescent="0.2">
      <c r="A196" t="str">
        <f t="shared" si="40"/>
        <v/>
      </c>
      <c r="B196" s="38" t="str">
        <f t="shared" si="41"/>
        <v/>
      </c>
      <c r="C196" s="38" t="str">
        <f t="shared" si="42"/>
        <v/>
      </c>
      <c r="D196" s="38" t="str">
        <f t="shared" si="43"/>
        <v/>
      </c>
      <c r="E196" s="38" t="str">
        <f t="shared" si="44"/>
        <v/>
      </c>
      <c r="F196" s="38" t="str">
        <f t="shared" si="45"/>
        <v/>
      </c>
      <c r="G196" s="38" t="str">
        <f t="shared" si="55"/>
        <v/>
      </c>
      <c r="H196" s="38" t="str">
        <f t="shared" si="56"/>
        <v/>
      </c>
      <c r="L196" t="str">
        <f t="shared" si="46"/>
        <v/>
      </c>
      <c r="M196" s="38" t="str">
        <f t="shared" si="47"/>
        <v/>
      </c>
      <c r="N196" s="38" t="str">
        <f t="shared" si="48"/>
        <v/>
      </c>
      <c r="O196" s="38" t="str">
        <f t="shared" si="49"/>
        <v/>
      </c>
      <c r="P196" s="38" t="str">
        <f t="shared" si="50"/>
        <v/>
      </c>
      <c r="Q196" s="38" t="str">
        <f t="shared" si="51"/>
        <v/>
      </c>
      <c r="R196" s="38" t="str">
        <f t="shared" si="52"/>
        <v/>
      </c>
      <c r="S196" s="38" t="str">
        <f t="shared" si="53"/>
        <v/>
      </c>
      <c r="T196" s="38" t="str">
        <f t="shared" si="54"/>
        <v/>
      </c>
      <c r="AG196" s="38"/>
    </row>
    <row r="197" spans="1:33" x14ac:dyDescent="0.2">
      <c r="A197" t="str">
        <f t="shared" si="40"/>
        <v/>
      </c>
      <c r="B197" s="38" t="str">
        <f t="shared" si="41"/>
        <v/>
      </c>
      <c r="C197" s="38" t="str">
        <f t="shared" si="42"/>
        <v/>
      </c>
      <c r="D197" s="38" t="str">
        <f t="shared" si="43"/>
        <v/>
      </c>
      <c r="E197" s="38" t="str">
        <f t="shared" si="44"/>
        <v/>
      </c>
      <c r="F197" s="38" t="str">
        <f t="shared" si="45"/>
        <v/>
      </c>
      <c r="G197" s="38" t="str">
        <f t="shared" si="55"/>
        <v/>
      </c>
      <c r="H197" s="38" t="str">
        <f t="shared" si="56"/>
        <v/>
      </c>
      <c r="L197" t="str">
        <f t="shared" si="46"/>
        <v/>
      </c>
      <c r="M197" s="38" t="str">
        <f t="shared" si="47"/>
        <v/>
      </c>
      <c r="N197" s="38" t="str">
        <f t="shared" si="48"/>
        <v/>
      </c>
      <c r="O197" s="38" t="str">
        <f t="shared" si="49"/>
        <v/>
      </c>
      <c r="P197" s="38" t="str">
        <f t="shared" si="50"/>
        <v/>
      </c>
      <c r="Q197" s="38" t="str">
        <f t="shared" si="51"/>
        <v/>
      </c>
      <c r="R197" s="38" t="str">
        <f t="shared" si="52"/>
        <v/>
      </c>
      <c r="S197" s="38" t="str">
        <f t="shared" si="53"/>
        <v/>
      </c>
      <c r="T197" s="38" t="str">
        <f t="shared" si="54"/>
        <v/>
      </c>
      <c r="AG197" s="38"/>
    </row>
    <row r="198" spans="1:33" x14ac:dyDescent="0.2">
      <c r="A198" t="str">
        <f t="shared" si="40"/>
        <v/>
      </c>
      <c r="B198" s="38" t="str">
        <f t="shared" si="41"/>
        <v/>
      </c>
      <c r="C198" s="38" t="str">
        <f t="shared" si="42"/>
        <v/>
      </c>
      <c r="D198" s="38" t="str">
        <f t="shared" si="43"/>
        <v/>
      </c>
      <c r="E198" s="38" t="str">
        <f t="shared" si="44"/>
        <v/>
      </c>
      <c r="F198" s="38" t="str">
        <f t="shared" si="45"/>
        <v/>
      </c>
      <c r="G198" s="38" t="str">
        <f t="shared" si="55"/>
        <v/>
      </c>
      <c r="H198" s="38" t="str">
        <f t="shared" si="56"/>
        <v/>
      </c>
      <c r="L198" t="str">
        <f t="shared" si="46"/>
        <v/>
      </c>
      <c r="M198" s="38" t="str">
        <f t="shared" si="47"/>
        <v/>
      </c>
      <c r="N198" s="38" t="str">
        <f t="shared" si="48"/>
        <v/>
      </c>
      <c r="O198" s="38" t="str">
        <f t="shared" si="49"/>
        <v/>
      </c>
      <c r="P198" s="38" t="str">
        <f t="shared" si="50"/>
        <v/>
      </c>
      <c r="Q198" s="38" t="str">
        <f t="shared" si="51"/>
        <v/>
      </c>
      <c r="R198" s="38" t="str">
        <f t="shared" si="52"/>
        <v/>
      </c>
      <c r="S198" s="38" t="str">
        <f t="shared" si="53"/>
        <v/>
      </c>
      <c r="T198" s="38" t="str">
        <f t="shared" si="54"/>
        <v/>
      </c>
      <c r="AG198" s="38"/>
    </row>
    <row r="199" spans="1:33" x14ac:dyDescent="0.2">
      <c r="A199" t="str">
        <f t="shared" si="40"/>
        <v/>
      </c>
      <c r="B199" s="38" t="str">
        <f t="shared" si="41"/>
        <v/>
      </c>
      <c r="C199" s="38" t="str">
        <f t="shared" si="42"/>
        <v/>
      </c>
      <c r="D199" s="38" t="str">
        <f t="shared" si="43"/>
        <v/>
      </c>
      <c r="E199" s="38" t="str">
        <f t="shared" si="44"/>
        <v/>
      </c>
      <c r="F199" s="38" t="str">
        <f t="shared" si="45"/>
        <v/>
      </c>
      <c r="G199" s="38" t="str">
        <f t="shared" si="55"/>
        <v/>
      </c>
      <c r="H199" s="38" t="str">
        <f t="shared" si="56"/>
        <v/>
      </c>
      <c r="L199" t="str">
        <f t="shared" si="46"/>
        <v/>
      </c>
      <c r="M199" s="38" t="str">
        <f t="shared" si="47"/>
        <v/>
      </c>
      <c r="N199" s="38" t="str">
        <f t="shared" si="48"/>
        <v/>
      </c>
      <c r="O199" s="38" t="str">
        <f t="shared" si="49"/>
        <v/>
      </c>
      <c r="P199" s="38" t="str">
        <f t="shared" si="50"/>
        <v/>
      </c>
      <c r="Q199" s="38" t="str">
        <f t="shared" si="51"/>
        <v/>
      </c>
      <c r="R199" s="38" t="str">
        <f t="shared" si="52"/>
        <v/>
      </c>
      <c r="S199" s="38" t="str">
        <f t="shared" si="53"/>
        <v/>
      </c>
      <c r="T199" s="38" t="str">
        <f t="shared" si="54"/>
        <v/>
      </c>
      <c r="AG199" s="38"/>
    </row>
    <row r="200" spans="1:33" x14ac:dyDescent="0.2">
      <c r="A200" t="str">
        <f t="shared" si="40"/>
        <v/>
      </c>
      <c r="B200" s="38" t="str">
        <f t="shared" si="41"/>
        <v/>
      </c>
      <c r="C200" s="38" t="str">
        <f t="shared" si="42"/>
        <v/>
      </c>
      <c r="D200" s="38" t="str">
        <f t="shared" si="43"/>
        <v/>
      </c>
      <c r="E200" s="38" t="str">
        <f t="shared" si="44"/>
        <v/>
      </c>
      <c r="F200" s="38" t="str">
        <f t="shared" si="45"/>
        <v/>
      </c>
      <c r="G200" s="38" t="str">
        <f t="shared" si="55"/>
        <v/>
      </c>
      <c r="H200" s="38" t="str">
        <f t="shared" si="56"/>
        <v/>
      </c>
      <c r="L200" t="str">
        <f t="shared" si="46"/>
        <v/>
      </c>
      <c r="M200" s="38" t="str">
        <f t="shared" si="47"/>
        <v/>
      </c>
      <c r="N200" s="38" t="str">
        <f t="shared" si="48"/>
        <v/>
      </c>
      <c r="O200" s="38" t="str">
        <f t="shared" si="49"/>
        <v/>
      </c>
      <c r="P200" s="38" t="str">
        <f t="shared" si="50"/>
        <v/>
      </c>
      <c r="Q200" s="38" t="str">
        <f t="shared" si="51"/>
        <v/>
      </c>
      <c r="R200" s="38" t="str">
        <f t="shared" si="52"/>
        <v/>
      </c>
      <c r="S200" s="38" t="str">
        <f t="shared" si="53"/>
        <v/>
      </c>
      <c r="T200" s="38" t="str">
        <f t="shared" si="54"/>
        <v/>
      </c>
      <c r="AG200" s="38"/>
    </row>
    <row r="201" spans="1:33" x14ac:dyDescent="0.2">
      <c r="A201" t="str">
        <f t="shared" si="40"/>
        <v/>
      </c>
      <c r="B201" s="38" t="str">
        <f t="shared" si="41"/>
        <v/>
      </c>
      <c r="C201" s="38" t="str">
        <f t="shared" si="42"/>
        <v/>
      </c>
      <c r="D201" s="38" t="str">
        <f t="shared" si="43"/>
        <v/>
      </c>
      <c r="E201" s="38" t="str">
        <f t="shared" si="44"/>
        <v/>
      </c>
      <c r="F201" s="38" t="str">
        <f t="shared" si="45"/>
        <v/>
      </c>
      <c r="G201" s="38" t="str">
        <f t="shared" si="55"/>
        <v/>
      </c>
      <c r="H201" s="38" t="str">
        <f t="shared" si="56"/>
        <v/>
      </c>
      <c r="L201" t="str">
        <f t="shared" si="46"/>
        <v/>
      </c>
      <c r="M201" s="38" t="str">
        <f t="shared" si="47"/>
        <v/>
      </c>
      <c r="N201" s="38" t="str">
        <f t="shared" si="48"/>
        <v/>
      </c>
      <c r="O201" s="38" t="str">
        <f t="shared" si="49"/>
        <v/>
      </c>
      <c r="P201" s="38" t="str">
        <f t="shared" si="50"/>
        <v/>
      </c>
      <c r="Q201" s="38" t="str">
        <f t="shared" si="51"/>
        <v/>
      </c>
      <c r="R201" s="38" t="str">
        <f t="shared" si="52"/>
        <v/>
      </c>
      <c r="S201" s="38" t="str">
        <f t="shared" si="53"/>
        <v/>
      </c>
      <c r="T201" s="38" t="str">
        <f t="shared" si="54"/>
        <v/>
      </c>
      <c r="AG201" s="38"/>
    </row>
    <row r="202" spans="1:33" x14ac:dyDescent="0.2">
      <c r="A202" t="str">
        <f t="shared" si="40"/>
        <v/>
      </c>
      <c r="B202" s="38" t="str">
        <f t="shared" si="41"/>
        <v/>
      </c>
      <c r="C202" s="38" t="str">
        <f t="shared" si="42"/>
        <v/>
      </c>
      <c r="D202" s="38" t="str">
        <f t="shared" si="43"/>
        <v/>
      </c>
      <c r="E202" s="38" t="str">
        <f t="shared" si="44"/>
        <v/>
      </c>
      <c r="F202" s="38" t="str">
        <f t="shared" si="45"/>
        <v/>
      </c>
      <c r="G202" s="38" t="str">
        <f t="shared" si="55"/>
        <v/>
      </c>
      <c r="H202" s="38" t="str">
        <f t="shared" si="56"/>
        <v/>
      </c>
      <c r="L202" t="str">
        <f t="shared" si="46"/>
        <v/>
      </c>
      <c r="M202" s="38" t="str">
        <f t="shared" si="47"/>
        <v/>
      </c>
      <c r="N202" s="38" t="str">
        <f t="shared" si="48"/>
        <v/>
      </c>
      <c r="O202" s="38" t="str">
        <f t="shared" si="49"/>
        <v/>
      </c>
      <c r="P202" s="38" t="str">
        <f t="shared" si="50"/>
        <v/>
      </c>
      <c r="Q202" s="38" t="str">
        <f t="shared" si="51"/>
        <v/>
      </c>
      <c r="R202" s="38" t="str">
        <f t="shared" si="52"/>
        <v/>
      </c>
      <c r="S202" s="38" t="str">
        <f t="shared" si="53"/>
        <v/>
      </c>
      <c r="T202" s="38" t="str">
        <f t="shared" si="54"/>
        <v/>
      </c>
      <c r="AG202" s="38"/>
    </row>
    <row r="203" spans="1:33" x14ac:dyDescent="0.2">
      <c r="A203" t="str">
        <f t="shared" si="40"/>
        <v/>
      </c>
      <c r="B203" s="38" t="str">
        <f t="shared" si="41"/>
        <v/>
      </c>
      <c r="C203" s="38" t="str">
        <f t="shared" si="42"/>
        <v/>
      </c>
      <c r="D203" s="38" t="str">
        <f t="shared" si="43"/>
        <v/>
      </c>
      <c r="E203" s="38" t="str">
        <f t="shared" si="44"/>
        <v/>
      </c>
      <c r="F203" s="38" t="str">
        <f t="shared" si="45"/>
        <v/>
      </c>
      <c r="G203" s="38" t="str">
        <f t="shared" si="55"/>
        <v/>
      </c>
      <c r="H203" s="38" t="str">
        <f t="shared" si="56"/>
        <v/>
      </c>
      <c r="L203" t="str">
        <f t="shared" si="46"/>
        <v/>
      </c>
      <c r="M203" s="38" t="str">
        <f t="shared" si="47"/>
        <v/>
      </c>
      <c r="N203" s="38" t="str">
        <f t="shared" si="48"/>
        <v/>
      </c>
      <c r="O203" s="38" t="str">
        <f t="shared" si="49"/>
        <v/>
      </c>
      <c r="P203" s="38" t="str">
        <f t="shared" si="50"/>
        <v/>
      </c>
      <c r="Q203" s="38" t="str">
        <f t="shared" si="51"/>
        <v/>
      </c>
      <c r="R203" s="38" t="str">
        <f t="shared" si="52"/>
        <v/>
      </c>
      <c r="S203" s="38" t="str">
        <f t="shared" si="53"/>
        <v/>
      </c>
      <c r="T203" s="38" t="str">
        <f t="shared" si="54"/>
        <v/>
      </c>
      <c r="AG203" s="38"/>
    </row>
    <row r="204" spans="1:33" x14ac:dyDescent="0.2">
      <c r="A204" t="str">
        <f t="shared" si="40"/>
        <v/>
      </c>
      <c r="B204" s="38" t="str">
        <f t="shared" si="41"/>
        <v/>
      </c>
      <c r="C204" s="38" t="str">
        <f t="shared" si="42"/>
        <v/>
      </c>
      <c r="D204" s="38" t="str">
        <f t="shared" si="43"/>
        <v/>
      </c>
      <c r="E204" s="38" t="str">
        <f t="shared" si="44"/>
        <v/>
      </c>
      <c r="F204" s="38" t="str">
        <f t="shared" si="45"/>
        <v/>
      </c>
      <c r="G204" s="38" t="str">
        <f t="shared" si="55"/>
        <v/>
      </c>
      <c r="H204" s="38" t="str">
        <f t="shared" si="56"/>
        <v/>
      </c>
      <c r="L204" t="str">
        <f t="shared" si="46"/>
        <v/>
      </c>
      <c r="M204" s="38" t="str">
        <f t="shared" si="47"/>
        <v/>
      </c>
      <c r="N204" s="38" t="str">
        <f t="shared" si="48"/>
        <v/>
      </c>
      <c r="O204" s="38" t="str">
        <f t="shared" si="49"/>
        <v/>
      </c>
      <c r="P204" s="38" t="str">
        <f t="shared" si="50"/>
        <v/>
      </c>
      <c r="Q204" s="38" t="str">
        <f t="shared" si="51"/>
        <v/>
      </c>
      <c r="R204" s="38" t="str">
        <f t="shared" si="52"/>
        <v/>
      </c>
      <c r="S204" s="38" t="str">
        <f t="shared" si="53"/>
        <v/>
      </c>
      <c r="T204" s="38" t="str">
        <f t="shared" si="54"/>
        <v/>
      </c>
      <c r="AG204" s="38"/>
    </row>
    <row r="205" spans="1:33" x14ac:dyDescent="0.2">
      <c r="A205" t="str">
        <f t="shared" si="40"/>
        <v/>
      </c>
      <c r="B205" s="38" t="str">
        <f t="shared" si="41"/>
        <v/>
      </c>
      <c r="C205" s="38" t="str">
        <f t="shared" si="42"/>
        <v/>
      </c>
      <c r="D205" s="38" t="str">
        <f t="shared" si="43"/>
        <v/>
      </c>
      <c r="E205" s="38" t="str">
        <f t="shared" si="44"/>
        <v/>
      </c>
      <c r="F205" s="38" t="str">
        <f t="shared" si="45"/>
        <v/>
      </c>
      <c r="G205" s="38" t="str">
        <f t="shared" si="55"/>
        <v/>
      </c>
      <c r="H205" s="38" t="str">
        <f t="shared" si="56"/>
        <v/>
      </c>
      <c r="L205" t="str">
        <f t="shared" si="46"/>
        <v/>
      </c>
      <c r="M205" s="38" t="str">
        <f t="shared" si="47"/>
        <v/>
      </c>
      <c r="N205" s="38" t="str">
        <f t="shared" si="48"/>
        <v/>
      </c>
      <c r="O205" s="38" t="str">
        <f t="shared" si="49"/>
        <v/>
      </c>
      <c r="P205" s="38" t="str">
        <f t="shared" si="50"/>
        <v/>
      </c>
      <c r="Q205" s="38" t="str">
        <f t="shared" si="51"/>
        <v/>
      </c>
      <c r="R205" s="38" t="str">
        <f t="shared" si="52"/>
        <v/>
      </c>
      <c r="S205" s="38" t="str">
        <f t="shared" si="53"/>
        <v/>
      </c>
      <c r="T205" s="38" t="str">
        <f t="shared" si="54"/>
        <v/>
      </c>
      <c r="AG205" s="38"/>
    </row>
    <row r="206" spans="1:33" x14ac:dyDescent="0.2">
      <c r="A206" t="str">
        <f t="shared" si="40"/>
        <v/>
      </c>
      <c r="B206" s="38" t="str">
        <f t="shared" si="41"/>
        <v/>
      </c>
      <c r="C206" s="38" t="str">
        <f t="shared" si="42"/>
        <v/>
      </c>
      <c r="D206" s="38" t="str">
        <f t="shared" si="43"/>
        <v/>
      </c>
      <c r="E206" s="38" t="str">
        <f t="shared" si="44"/>
        <v/>
      </c>
      <c r="F206" s="38" t="str">
        <f t="shared" si="45"/>
        <v/>
      </c>
      <c r="G206" s="38" t="str">
        <f t="shared" si="55"/>
        <v/>
      </c>
      <c r="H206" s="38" t="str">
        <f t="shared" si="56"/>
        <v/>
      </c>
      <c r="L206" t="str">
        <f t="shared" si="46"/>
        <v/>
      </c>
      <c r="M206" s="38" t="str">
        <f t="shared" si="47"/>
        <v/>
      </c>
      <c r="N206" s="38" t="str">
        <f t="shared" si="48"/>
        <v/>
      </c>
      <c r="O206" s="38" t="str">
        <f t="shared" si="49"/>
        <v/>
      </c>
      <c r="P206" s="38" t="str">
        <f t="shared" si="50"/>
        <v/>
      </c>
      <c r="Q206" s="38" t="str">
        <f t="shared" si="51"/>
        <v/>
      </c>
      <c r="R206" s="38" t="str">
        <f t="shared" si="52"/>
        <v/>
      </c>
      <c r="S206" s="38" t="str">
        <f t="shared" si="53"/>
        <v/>
      </c>
      <c r="T206" s="38" t="str">
        <f t="shared" si="54"/>
        <v/>
      </c>
      <c r="AG206" s="38"/>
    </row>
    <row r="207" spans="1:33" x14ac:dyDescent="0.2">
      <c r="A207" t="str">
        <f t="shared" si="40"/>
        <v/>
      </c>
      <c r="B207" s="38" t="str">
        <f t="shared" si="41"/>
        <v/>
      </c>
      <c r="C207" s="38" t="str">
        <f t="shared" si="42"/>
        <v/>
      </c>
      <c r="D207" s="38" t="str">
        <f t="shared" si="43"/>
        <v/>
      </c>
      <c r="E207" s="38" t="str">
        <f t="shared" si="44"/>
        <v/>
      </c>
      <c r="F207" s="38" t="str">
        <f t="shared" si="45"/>
        <v/>
      </c>
      <c r="G207" s="38" t="str">
        <f t="shared" si="55"/>
        <v/>
      </c>
      <c r="H207" s="38" t="str">
        <f t="shared" si="56"/>
        <v/>
      </c>
      <c r="L207" t="str">
        <f t="shared" si="46"/>
        <v/>
      </c>
      <c r="M207" s="38" t="str">
        <f t="shared" si="47"/>
        <v/>
      </c>
      <c r="N207" s="38" t="str">
        <f t="shared" si="48"/>
        <v/>
      </c>
      <c r="O207" s="38" t="str">
        <f t="shared" si="49"/>
        <v/>
      </c>
      <c r="P207" s="38" t="str">
        <f t="shared" si="50"/>
        <v/>
      </c>
      <c r="Q207" s="38" t="str">
        <f t="shared" si="51"/>
        <v/>
      </c>
      <c r="R207" s="38" t="str">
        <f t="shared" si="52"/>
        <v/>
      </c>
      <c r="S207" s="38" t="str">
        <f t="shared" si="53"/>
        <v/>
      </c>
      <c r="T207" s="38" t="str">
        <f t="shared" si="54"/>
        <v/>
      </c>
      <c r="AG207" s="38"/>
    </row>
    <row r="208" spans="1:33" x14ac:dyDescent="0.2">
      <c r="A208" t="str">
        <f t="shared" si="40"/>
        <v/>
      </c>
      <c r="B208" s="38" t="str">
        <f t="shared" si="41"/>
        <v/>
      </c>
      <c r="C208" s="38" t="str">
        <f t="shared" si="42"/>
        <v/>
      </c>
      <c r="D208" s="38" t="str">
        <f t="shared" si="43"/>
        <v/>
      </c>
      <c r="E208" s="38" t="str">
        <f t="shared" si="44"/>
        <v/>
      </c>
      <c r="F208" s="38" t="str">
        <f t="shared" si="45"/>
        <v/>
      </c>
      <c r="G208" s="38" t="str">
        <f t="shared" si="55"/>
        <v/>
      </c>
      <c r="H208" s="38" t="str">
        <f t="shared" si="56"/>
        <v/>
      </c>
      <c r="L208" t="str">
        <f t="shared" si="46"/>
        <v/>
      </c>
      <c r="M208" s="38" t="str">
        <f t="shared" si="47"/>
        <v/>
      </c>
      <c r="N208" s="38" t="str">
        <f t="shared" si="48"/>
        <v/>
      </c>
      <c r="O208" s="38" t="str">
        <f t="shared" si="49"/>
        <v/>
      </c>
      <c r="P208" s="38" t="str">
        <f t="shared" si="50"/>
        <v/>
      </c>
      <c r="Q208" s="38" t="str">
        <f t="shared" si="51"/>
        <v/>
      </c>
      <c r="R208" s="38" t="str">
        <f t="shared" si="52"/>
        <v/>
      </c>
      <c r="S208" s="38" t="str">
        <f t="shared" si="53"/>
        <v/>
      </c>
      <c r="T208" s="38" t="str">
        <f t="shared" si="54"/>
        <v/>
      </c>
      <c r="AG208" s="38"/>
    </row>
    <row r="209" spans="1:33" x14ac:dyDescent="0.2">
      <c r="A209" t="str">
        <f t="shared" si="40"/>
        <v/>
      </c>
      <c r="B209" s="38" t="str">
        <f t="shared" si="41"/>
        <v/>
      </c>
      <c r="C209" s="38" t="str">
        <f t="shared" si="42"/>
        <v/>
      </c>
      <c r="D209" s="38" t="str">
        <f t="shared" si="43"/>
        <v/>
      </c>
      <c r="E209" s="38" t="str">
        <f t="shared" si="44"/>
        <v/>
      </c>
      <c r="F209" s="38" t="str">
        <f t="shared" si="45"/>
        <v/>
      </c>
      <c r="G209" s="38" t="str">
        <f t="shared" si="55"/>
        <v/>
      </c>
      <c r="H209" s="38" t="str">
        <f t="shared" si="56"/>
        <v/>
      </c>
      <c r="L209" t="str">
        <f t="shared" si="46"/>
        <v/>
      </c>
      <c r="M209" s="38" t="str">
        <f t="shared" si="47"/>
        <v/>
      </c>
      <c r="N209" s="38" t="str">
        <f t="shared" si="48"/>
        <v/>
      </c>
      <c r="O209" s="38" t="str">
        <f t="shared" si="49"/>
        <v/>
      </c>
      <c r="P209" s="38" t="str">
        <f t="shared" si="50"/>
        <v/>
      </c>
      <c r="Q209" s="38" t="str">
        <f t="shared" si="51"/>
        <v/>
      </c>
      <c r="R209" s="38" t="str">
        <f t="shared" si="52"/>
        <v/>
      </c>
      <c r="S209" s="38" t="str">
        <f t="shared" si="53"/>
        <v/>
      </c>
      <c r="T209" s="38" t="str">
        <f t="shared" si="54"/>
        <v/>
      </c>
      <c r="AG209" s="38"/>
    </row>
    <row r="210" spans="1:33" x14ac:dyDescent="0.2">
      <c r="A210" t="str">
        <f t="shared" si="40"/>
        <v/>
      </c>
      <c r="B210" s="38" t="str">
        <f t="shared" si="41"/>
        <v/>
      </c>
      <c r="C210" s="38" t="str">
        <f t="shared" si="42"/>
        <v/>
      </c>
      <c r="D210" s="38" t="str">
        <f t="shared" si="43"/>
        <v/>
      </c>
      <c r="E210" s="38" t="str">
        <f t="shared" si="44"/>
        <v/>
      </c>
      <c r="F210" s="38" t="str">
        <f t="shared" si="45"/>
        <v/>
      </c>
      <c r="G210" s="38" t="str">
        <f t="shared" si="55"/>
        <v/>
      </c>
      <c r="H210" s="38" t="str">
        <f t="shared" si="56"/>
        <v/>
      </c>
      <c r="L210" t="str">
        <f t="shared" si="46"/>
        <v/>
      </c>
      <c r="M210" s="38" t="str">
        <f t="shared" si="47"/>
        <v/>
      </c>
      <c r="N210" s="38" t="str">
        <f t="shared" si="48"/>
        <v/>
      </c>
      <c r="O210" s="38" t="str">
        <f t="shared" si="49"/>
        <v/>
      </c>
      <c r="P210" s="38" t="str">
        <f t="shared" si="50"/>
        <v/>
      </c>
      <c r="Q210" s="38" t="str">
        <f t="shared" si="51"/>
        <v/>
      </c>
      <c r="R210" s="38" t="str">
        <f t="shared" si="52"/>
        <v/>
      </c>
      <c r="S210" s="38" t="str">
        <f t="shared" si="53"/>
        <v/>
      </c>
      <c r="T210" s="38" t="str">
        <f t="shared" si="54"/>
        <v/>
      </c>
      <c r="AG210" s="38"/>
    </row>
    <row r="211" spans="1:33" x14ac:dyDescent="0.2">
      <c r="A211" t="str">
        <f t="shared" si="40"/>
        <v/>
      </c>
      <c r="B211" s="38" t="str">
        <f t="shared" si="41"/>
        <v/>
      </c>
      <c r="C211" s="38" t="str">
        <f t="shared" si="42"/>
        <v/>
      </c>
      <c r="D211" s="38" t="str">
        <f t="shared" si="43"/>
        <v/>
      </c>
      <c r="E211" s="38" t="str">
        <f t="shared" si="44"/>
        <v/>
      </c>
      <c r="F211" s="38" t="str">
        <f t="shared" si="45"/>
        <v/>
      </c>
      <c r="G211" s="38" t="str">
        <f t="shared" si="55"/>
        <v/>
      </c>
      <c r="H211" s="38" t="str">
        <f t="shared" si="56"/>
        <v/>
      </c>
      <c r="L211" t="str">
        <f t="shared" si="46"/>
        <v/>
      </c>
      <c r="M211" s="38" t="str">
        <f t="shared" si="47"/>
        <v/>
      </c>
      <c r="N211" s="38" t="str">
        <f t="shared" si="48"/>
        <v/>
      </c>
      <c r="O211" s="38" t="str">
        <f t="shared" si="49"/>
        <v/>
      </c>
      <c r="P211" s="38" t="str">
        <f t="shared" si="50"/>
        <v/>
      </c>
      <c r="Q211" s="38" t="str">
        <f t="shared" si="51"/>
        <v/>
      </c>
      <c r="R211" s="38" t="str">
        <f t="shared" si="52"/>
        <v/>
      </c>
      <c r="S211" s="38" t="str">
        <f t="shared" si="53"/>
        <v/>
      </c>
      <c r="T211" s="38" t="str">
        <f t="shared" si="54"/>
        <v/>
      </c>
      <c r="AG211" s="38"/>
    </row>
    <row r="212" spans="1:33" x14ac:dyDescent="0.2">
      <c r="A212" t="str">
        <f t="shared" si="40"/>
        <v/>
      </c>
      <c r="B212" s="38" t="str">
        <f t="shared" si="41"/>
        <v/>
      </c>
      <c r="C212" s="38" t="str">
        <f t="shared" si="42"/>
        <v/>
      </c>
      <c r="D212" s="38" t="str">
        <f t="shared" si="43"/>
        <v/>
      </c>
      <c r="E212" s="38" t="str">
        <f t="shared" si="44"/>
        <v/>
      </c>
      <c r="F212" s="38" t="str">
        <f t="shared" si="45"/>
        <v/>
      </c>
      <c r="G212" s="38" t="str">
        <f t="shared" si="55"/>
        <v/>
      </c>
      <c r="H212" s="38" t="str">
        <f t="shared" si="56"/>
        <v/>
      </c>
      <c r="L212" t="str">
        <f t="shared" si="46"/>
        <v/>
      </c>
      <c r="M212" s="38" t="str">
        <f t="shared" si="47"/>
        <v/>
      </c>
      <c r="N212" s="38" t="str">
        <f t="shared" si="48"/>
        <v/>
      </c>
      <c r="O212" s="38" t="str">
        <f t="shared" si="49"/>
        <v/>
      </c>
      <c r="P212" s="38" t="str">
        <f t="shared" si="50"/>
        <v/>
      </c>
      <c r="Q212" s="38" t="str">
        <f t="shared" si="51"/>
        <v/>
      </c>
      <c r="R212" s="38" t="str">
        <f t="shared" si="52"/>
        <v/>
      </c>
      <c r="S212" s="38" t="str">
        <f t="shared" si="53"/>
        <v/>
      </c>
      <c r="T212" s="38" t="str">
        <f t="shared" si="54"/>
        <v/>
      </c>
      <c r="AG212" s="38"/>
    </row>
    <row r="213" spans="1:33" x14ac:dyDescent="0.2">
      <c r="A213" t="str">
        <f t="shared" si="40"/>
        <v/>
      </c>
      <c r="B213" s="38" t="str">
        <f t="shared" si="41"/>
        <v/>
      </c>
      <c r="C213" s="38" t="str">
        <f t="shared" si="42"/>
        <v/>
      </c>
      <c r="D213" s="38" t="str">
        <f t="shared" si="43"/>
        <v/>
      </c>
      <c r="E213" s="38" t="str">
        <f t="shared" si="44"/>
        <v/>
      </c>
      <c r="F213" s="38" t="str">
        <f t="shared" si="45"/>
        <v/>
      </c>
      <c r="G213" s="38" t="str">
        <f t="shared" si="55"/>
        <v/>
      </c>
      <c r="H213" s="38" t="str">
        <f t="shared" si="56"/>
        <v/>
      </c>
      <c r="L213" t="str">
        <f t="shared" si="46"/>
        <v/>
      </c>
      <c r="M213" s="38" t="str">
        <f t="shared" si="47"/>
        <v/>
      </c>
      <c r="N213" s="38" t="str">
        <f t="shared" si="48"/>
        <v/>
      </c>
      <c r="O213" s="38" t="str">
        <f t="shared" si="49"/>
        <v/>
      </c>
      <c r="P213" s="38" t="str">
        <f t="shared" si="50"/>
        <v/>
      </c>
      <c r="Q213" s="38" t="str">
        <f t="shared" si="51"/>
        <v/>
      </c>
      <c r="R213" s="38" t="str">
        <f t="shared" si="52"/>
        <v/>
      </c>
      <c r="S213" s="38" t="str">
        <f t="shared" si="53"/>
        <v/>
      </c>
      <c r="T213" s="38" t="str">
        <f t="shared" si="54"/>
        <v/>
      </c>
      <c r="AG213" s="38"/>
    </row>
    <row r="214" spans="1:33" x14ac:dyDescent="0.2">
      <c r="A214" t="str">
        <f t="shared" si="40"/>
        <v/>
      </c>
      <c r="B214" s="38" t="str">
        <f t="shared" si="41"/>
        <v/>
      </c>
      <c r="C214" s="38" t="str">
        <f t="shared" si="42"/>
        <v/>
      </c>
      <c r="D214" s="38" t="str">
        <f t="shared" si="43"/>
        <v/>
      </c>
      <c r="E214" s="38" t="str">
        <f t="shared" si="44"/>
        <v/>
      </c>
      <c r="F214" s="38" t="str">
        <f t="shared" si="45"/>
        <v/>
      </c>
      <c r="G214" s="38" t="str">
        <f t="shared" si="55"/>
        <v/>
      </c>
      <c r="H214" s="38" t="str">
        <f t="shared" si="56"/>
        <v/>
      </c>
      <c r="L214" t="str">
        <f t="shared" si="46"/>
        <v/>
      </c>
      <c r="M214" s="38" t="str">
        <f t="shared" si="47"/>
        <v/>
      </c>
      <c r="N214" s="38" t="str">
        <f t="shared" si="48"/>
        <v/>
      </c>
      <c r="O214" s="38" t="str">
        <f t="shared" si="49"/>
        <v/>
      </c>
      <c r="P214" s="38" t="str">
        <f t="shared" si="50"/>
        <v/>
      </c>
      <c r="Q214" s="38" t="str">
        <f t="shared" si="51"/>
        <v/>
      </c>
      <c r="R214" s="38" t="str">
        <f t="shared" si="52"/>
        <v/>
      </c>
      <c r="S214" s="38" t="str">
        <f t="shared" si="53"/>
        <v/>
      </c>
      <c r="T214" s="38" t="str">
        <f t="shared" si="54"/>
        <v/>
      </c>
      <c r="AG214" s="38"/>
    </row>
    <row r="215" spans="1:33" x14ac:dyDescent="0.2">
      <c r="A215" t="str">
        <f t="shared" si="40"/>
        <v/>
      </c>
      <c r="B215" s="38" t="str">
        <f t="shared" si="41"/>
        <v/>
      </c>
      <c r="C215" s="38" t="str">
        <f t="shared" si="42"/>
        <v/>
      </c>
      <c r="D215" s="38" t="str">
        <f t="shared" si="43"/>
        <v/>
      </c>
      <c r="E215" s="38" t="str">
        <f t="shared" si="44"/>
        <v/>
      </c>
      <c r="F215" s="38" t="str">
        <f t="shared" si="45"/>
        <v/>
      </c>
      <c r="G215" s="38" t="str">
        <f t="shared" si="55"/>
        <v/>
      </c>
      <c r="H215" s="38" t="str">
        <f t="shared" si="56"/>
        <v/>
      </c>
      <c r="L215" t="str">
        <f t="shared" si="46"/>
        <v/>
      </c>
      <c r="M215" s="38" t="str">
        <f t="shared" si="47"/>
        <v/>
      </c>
      <c r="N215" s="38" t="str">
        <f t="shared" si="48"/>
        <v/>
      </c>
      <c r="O215" s="38" t="str">
        <f t="shared" si="49"/>
        <v/>
      </c>
      <c r="P215" s="38" t="str">
        <f t="shared" si="50"/>
        <v/>
      </c>
      <c r="Q215" s="38" t="str">
        <f t="shared" si="51"/>
        <v/>
      </c>
      <c r="R215" s="38" t="str">
        <f t="shared" si="52"/>
        <v/>
      </c>
      <c r="S215" s="38" t="str">
        <f t="shared" si="53"/>
        <v/>
      </c>
      <c r="T215" s="38" t="str">
        <f t="shared" si="54"/>
        <v/>
      </c>
      <c r="AG215" s="38"/>
    </row>
    <row r="216" spans="1:33" x14ac:dyDescent="0.2">
      <c r="A216" t="str">
        <f t="shared" ref="A216:A279" si="57">IF(A215&lt;($B$6*$B$7),A215+1,"")</f>
        <v/>
      </c>
      <c r="B216" s="38" t="str">
        <f t="shared" ref="B216:B279" si="58">IF(A216="","",F215)</f>
        <v/>
      </c>
      <c r="C216" s="38" t="str">
        <f t="shared" ref="C216:C279" si="59">IF(A216="","",(B216*$B$8))</f>
        <v/>
      </c>
      <c r="D216" s="38" t="str">
        <f t="shared" ref="D216:D279" si="60">IF(A216="","", $B$5)</f>
        <v/>
      </c>
      <c r="E216" s="38" t="str">
        <f t="shared" ref="E216:E279" si="61">IF(D216="","",(D216-C216))</f>
        <v/>
      </c>
      <c r="F216" s="38" t="str">
        <f t="shared" ref="F216:F279" si="62">IF(A216="","", B216-E216)</f>
        <v/>
      </c>
      <c r="G216" s="38" t="str">
        <f t="shared" si="55"/>
        <v/>
      </c>
      <c r="H216" s="38" t="str">
        <f t="shared" si="56"/>
        <v/>
      </c>
      <c r="L216" t="str">
        <f t="shared" ref="L216:L279" si="63">IF(L215&lt;($B$6*$B$7),L215+1,"")</f>
        <v/>
      </c>
      <c r="M216" s="38" t="str">
        <f t="shared" ref="M216:M279" si="64">IF(L216="", "", R215)</f>
        <v/>
      </c>
      <c r="N216" s="38" t="str">
        <f t="shared" ref="N216:N279" si="65">IF(L216="","",$B$5)</f>
        <v/>
      </c>
      <c r="O216" s="38" t="str">
        <f t="shared" ref="O216:O279" si="66">IF(L216="","",M216-N216)</f>
        <v/>
      </c>
      <c r="P216" s="38" t="str">
        <f t="shared" ref="P216:P279" si="67">IF(L216="","",O215*$B$8)</f>
        <v/>
      </c>
      <c r="Q216" s="38" t="str">
        <f t="shared" ref="Q216:Q279" si="68">IF(L216="","",N216-P216)</f>
        <v/>
      </c>
      <c r="R216" s="38" t="str">
        <f t="shared" ref="R216:R279" si="69">IF(L216="","",O216*(1+$B$8))</f>
        <v/>
      </c>
      <c r="S216" s="38" t="str">
        <f t="shared" ref="S216:S279" si="70">IF(L216="","",S215+P216)</f>
        <v/>
      </c>
      <c r="T216" s="38" t="str">
        <f t="shared" ref="T216:T279" si="71">IF(L216="","",Q216+T215)</f>
        <v/>
      </c>
      <c r="AG216" s="38"/>
    </row>
    <row r="217" spans="1:33" x14ac:dyDescent="0.2">
      <c r="A217" t="str">
        <f t="shared" si="57"/>
        <v/>
      </c>
      <c r="B217" s="38" t="str">
        <f t="shared" si="58"/>
        <v/>
      </c>
      <c r="C217" s="38" t="str">
        <f t="shared" si="59"/>
        <v/>
      </c>
      <c r="D217" s="38" t="str">
        <f t="shared" si="60"/>
        <v/>
      </c>
      <c r="E217" s="38" t="str">
        <f t="shared" si="61"/>
        <v/>
      </c>
      <c r="F217" s="38" t="str">
        <f t="shared" si="62"/>
        <v/>
      </c>
      <c r="G217" s="38" t="str">
        <f t="shared" si="55"/>
        <v/>
      </c>
      <c r="H217" s="38" t="str">
        <f t="shared" si="56"/>
        <v/>
      </c>
      <c r="L217" t="str">
        <f t="shared" si="63"/>
        <v/>
      </c>
      <c r="M217" s="38" t="str">
        <f t="shared" si="64"/>
        <v/>
      </c>
      <c r="N217" s="38" t="str">
        <f t="shared" si="65"/>
        <v/>
      </c>
      <c r="O217" s="38" t="str">
        <f t="shared" si="66"/>
        <v/>
      </c>
      <c r="P217" s="38" t="str">
        <f t="shared" si="67"/>
        <v/>
      </c>
      <c r="Q217" s="38" t="str">
        <f t="shared" si="68"/>
        <v/>
      </c>
      <c r="R217" s="38" t="str">
        <f t="shared" si="69"/>
        <v/>
      </c>
      <c r="S217" s="38" t="str">
        <f t="shared" si="70"/>
        <v/>
      </c>
      <c r="T217" s="38" t="str">
        <f t="shared" si="71"/>
        <v/>
      </c>
      <c r="AG217" s="38"/>
    </row>
    <row r="218" spans="1:33" x14ac:dyDescent="0.2">
      <c r="A218" t="str">
        <f t="shared" si="57"/>
        <v/>
      </c>
      <c r="B218" s="38" t="str">
        <f t="shared" si="58"/>
        <v/>
      </c>
      <c r="C218" s="38" t="str">
        <f t="shared" si="59"/>
        <v/>
      </c>
      <c r="D218" s="38" t="str">
        <f t="shared" si="60"/>
        <v/>
      </c>
      <c r="E218" s="38" t="str">
        <f t="shared" si="61"/>
        <v/>
      </c>
      <c r="F218" s="38" t="str">
        <f t="shared" si="62"/>
        <v/>
      </c>
      <c r="G218" s="38" t="str">
        <f t="shared" ref="G218:G281" si="72">IF(A218="","", (G217+C218))</f>
        <v/>
      </c>
      <c r="H218" s="38" t="str">
        <f t="shared" ref="H218:H281" si="73">IF(A218="","",(H217+E218))</f>
        <v/>
      </c>
      <c r="L218" t="str">
        <f t="shared" si="63"/>
        <v/>
      </c>
      <c r="M218" s="38" t="str">
        <f t="shared" si="64"/>
        <v/>
      </c>
      <c r="N218" s="38" t="str">
        <f t="shared" si="65"/>
        <v/>
      </c>
      <c r="O218" s="38" t="str">
        <f t="shared" si="66"/>
        <v/>
      </c>
      <c r="P218" s="38" t="str">
        <f t="shared" si="67"/>
        <v/>
      </c>
      <c r="Q218" s="38" t="str">
        <f t="shared" si="68"/>
        <v/>
      </c>
      <c r="R218" s="38" t="str">
        <f t="shared" si="69"/>
        <v/>
      </c>
      <c r="S218" s="38" t="str">
        <f t="shared" si="70"/>
        <v/>
      </c>
      <c r="T218" s="38" t="str">
        <f t="shared" si="71"/>
        <v/>
      </c>
      <c r="AG218" s="38"/>
    </row>
    <row r="219" spans="1:33" x14ac:dyDescent="0.2">
      <c r="A219" t="str">
        <f t="shared" si="57"/>
        <v/>
      </c>
      <c r="B219" s="38" t="str">
        <f t="shared" si="58"/>
        <v/>
      </c>
      <c r="C219" s="38" t="str">
        <f t="shared" si="59"/>
        <v/>
      </c>
      <c r="D219" s="38" t="str">
        <f t="shared" si="60"/>
        <v/>
      </c>
      <c r="E219" s="38" t="str">
        <f t="shared" si="61"/>
        <v/>
      </c>
      <c r="F219" s="38" t="str">
        <f t="shared" si="62"/>
        <v/>
      </c>
      <c r="G219" s="38" t="str">
        <f t="shared" si="72"/>
        <v/>
      </c>
      <c r="H219" s="38" t="str">
        <f t="shared" si="73"/>
        <v/>
      </c>
      <c r="L219" t="str">
        <f t="shared" si="63"/>
        <v/>
      </c>
      <c r="M219" s="38" t="str">
        <f t="shared" si="64"/>
        <v/>
      </c>
      <c r="N219" s="38" t="str">
        <f t="shared" si="65"/>
        <v/>
      </c>
      <c r="O219" s="38" t="str">
        <f t="shared" si="66"/>
        <v/>
      </c>
      <c r="P219" s="38" t="str">
        <f t="shared" si="67"/>
        <v/>
      </c>
      <c r="Q219" s="38" t="str">
        <f t="shared" si="68"/>
        <v/>
      </c>
      <c r="R219" s="38" t="str">
        <f t="shared" si="69"/>
        <v/>
      </c>
      <c r="S219" s="38" t="str">
        <f t="shared" si="70"/>
        <v/>
      </c>
      <c r="T219" s="38" t="str">
        <f t="shared" si="71"/>
        <v/>
      </c>
      <c r="AG219" s="38"/>
    </row>
    <row r="220" spans="1:33" x14ac:dyDescent="0.2">
      <c r="A220" t="str">
        <f t="shared" si="57"/>
        <v/>
      </c>
      <c r="B220" s="38" t="str">
        <f t="shared" si="58"/>
        <v/>
      </c>
      <c r="C220" s="38" t="str">
        <f t="shared" si="59"/>
        <v/>
      </c>
      <c r="D220" s="38" t="str">
        <f t="shared" si="60"/>
        <v/>
      </c>
      <c r="E220" s="38" t="str">
        <f t="shared" si="61"/>
        <v/>
      </c>
      <c r="F220" s="38" t="str">
        <f t="shared" si="62"/>
        <v/>
      </c>
      <c r="G220" s="38" t="str">
        <f t="shared" si="72"/>
        <v/>
      </c>
      <c r="H220" s="38" t="str">
        <f t="shared" si="73"/>
        <v/>
      </c>
      <c r="L220" t="str">
        <f t="shared" si="63"/>
        <v/>
      </c>
      <c r="M220" s="38" t="str">
        <f t="shared" si="64"/>
        <v/>
      </c>
      <c r="N220" s="38" t="str">
        <f t="shared" si="65"/>
        <v/>
      </c>
      <c r="O220" s="38" t="str">
        <f t="shared" si="66"/>
        <v/>
      </c>
      <c r="P220" s="38" t="str">
        <f t="shared" si="67"/>
        <v/>
      </c>
      <c r="Q220" s="38" t="str">
        <f t="shared" si="68"/>
        <v/>
      </c>
      <c r="R220" s="38" t="str">
        <f t="shared" si="69"/>
        <v/>
      </c>
      <c r="S220" s="38" t="str">
        <f t="shared" si="70"/>
        <v/>
      </c>
      <c r="T220" s="38" t="str">
        <f t="shared" si="71"/>
        <v/>
      </c>
      <c r="AG220" s="38"/>
    </row>
    <row r="221" spans="1:33" x14ac:dyDescent="0.2">
      <c r="A221" t="str">
        <f t="shared" si="57"/>
        <v/>
      </c>
      <c r="B221" s="38" t="str">
        <f t="shared" si="58"/>
        <v/>
      </c>
      <c r="C221" s="38" t="str">
        <f t="shared" si="59"/>
        <v/>
      </c>
      <c r="D221" s="38" t="str">
        <f t="shared" si="60"/>
        <v/>
      </c>
      <c r="E221" s="38" t="str">
        <f t="shared" si="61"/>
        <v/>
      </c>
      <c r="F221" s="38" t="str">
        <f t="shared" si="62"/>
        <v/>
      </c>
      <c r="G221" s="38" t="str">
        <f t="shared" si="72"/>
        <v/>
      </c>
      <c r="H221" s="38" t="str">
        <f t="shared" si="73"/>
        <v/>
      </c>
      <c r="L221" t="str">
        <f t="shared" si="63"/>
        <v/>
      </c>
      <c r="M221" s="38" t="str">
        <f t="shared" si="64"/>
        <v/>
      </c>
      <c r="N221" s="38" t="str">
        <f t="shared" si="65"/>
        <v/>
      </c>
      <c r="O221" s="38" t="str">
        <f t="shared" si="66"/>
        <v/>
      </c>
      <c r="P221" s="38" t="str">
        <f t="shared" si="67"/>
        <v/>
      </c>
      <c r="Q221" s="38" t="str">
        <f t="shared" si="68"/>
        <v/>
      </c>
      <c r="R221" s="38" t="str">
        <f t="shared" si="69"/>
        <v/>
      </c>
      <c r="S221" s="38" t="str">
        <f t="shared" si="70"/>
        <v/>
      </c>
      <c r="T221" s="38" t="str">
        <f t="shared" si="71"/>
        <v/>
      </c>
      <c r="AG221" s="38"/>
    </row>
    <row r="222" spans="1:33" x14ac:dyDescent="0.2">
      <c r="A222" t="str">
        <f t="shared" si="57"/>
        <v/>
      </c>
      <c r="B222" s="38" t="str">
        <f t="shared" si="58"/>
        <v/>
      </c>
      <c r="C222" s="38" t="str">
        <f t="shared" si="59"/>
        <v/>
      </c>
      <c r="D222" s="38" t="str">
        <f t="shared" si="60"/>
        <v/>
      </c>
      <c r="E222" s="38" t="str">
        <f t="shared" si="61"/>
        <v/>
      </c>
      <c r="F222" s="38" t="str">
        <f t="shared" si="62"/>
        <v/>
      </c>
      <c r="G222" s="38" t="str">
        <f t="shared" si="72"/>
        <v/>
      </c>
      <c r="H222" s="38" t="str">
        <f t="shared" si="73"/>
        <v/>
      </c>
      <c r="L222" t="str">
        <f t="shared" si="63"/>
        <v/>
      </c>
      <c r="M222" s="38" t="str">
        <f t="shared" si="64"/>
        <v/>
      </c>
      <c r="N222" s="38" t="str">
        <f t="shared" si="65"/>
        <v/>
      </c>
      <c r="O222" s="38" t="str">
        <f t="shared" si="66"/>
        <v/>
      </c>
      <c r="P222" s="38" t="str">
        <f t="shared" si="67"/>
        <v/>
      </c>
      <c r="Q222" s="38" t="str">
        <f t="shared" si="68"/>
        <v/>
      </c>
      <c r="R222" s="38" t="str">
        <f t="shared" si="69"/>
        <v/>
      </c>
      <c r="S222" s="38" t="str">
        <f t="shared" si="70"/>
        <v/>
      </c>
      <c r="T222" s="38" t="str">
        <f t="shared" si="71"/>
        <v/>
      </c>
      <c r="AG222" s="38"/>
    </row>
    <row r="223" spans="1:33" x14ac:dyDescent="0.2">
      <c r="A223" t="str">
        <f t="shared" si="57"/>
        <v/>
      </c>
      <c r="B223" s="38" t="str">
        <f t="shared" si="58"/>
        <v/>
      </c>
      <c r="C223" s="38" t="str">
        <f t="shared" si="59"/>
        <v/>
      </c>
      <c r="D223" s="38" t="str">
        <f t="shared" si="60"/>
        <v/>
      </c>
      <c r="E223" s="38" t="str">
        <f t="shared" si="61"/>
        <v/>
      </c>
      <c r="F223" s="38" t="str">
        <f t="shared" si="62"/>
        <v/>
      </c>
      <c r="G223" s="38" t="str">
        <f t="shared" si="72"/>
        <v/>
      </c>
      <c r="H223" s="38" t="str">
        <f t="shared" si="73"/>
        <v/>
      </c>
      <c r="L223" t="str">
        <f t="shared" si="63"/>
        <v/>
      </c>
      <c r="M223" s="38" t="str">
        <f t="shared" si="64"/>
        <v/>
      </c>
      <c r="N223" s="38" t="str">
        <f t="shared" si="65"/>
        <v/>
      </c>
      <c r="O223" s="38" t="str">
        <f t="shared" si="66"/>
        <v/>
      </c>
      <c r="P223" s="38" t="str">
        <f t="shared" si="67"/>
        <v/>
      </c>
      <c r="Q223" s="38" t="str">
        <f t="shared" si="68"/>
        <v/>
      </c>
      <c r="R223" s="38" t="str">
        <f t="shared" si="69"/>
        <v/>
      </c>
      <c r="S223" s="38" t="str">
        <f t="shared" si="70"/>
        <v/>
      </c>
      <c r="T223" s="38" t="str">
        <f t="shared" si="71"/>
        <v/>
      </c>
      <c r="AG223" s="38"/>
    </row>
    <row r="224" spans="1:33" x14ac:dyDescent="0.2">
      <c r="A224" t="str">
        <f t="shared" si="57"/>
        <v/>
      </c>
      <c r="B224" s="38" t="str">
        <f t="shared" si="58"/>
        <v/>
      </c>
      <c r="C224" s="38" t="str">
        <f t="shared" si="59"/>
        <v/>
      </c>
      <c r="D224" s="38" t="str">
        <f t="shared" si="60"/>
        <v/>
      </c>
      <c r="E224" s="38" t="str">
        <f t="shared" si="61"/>
        <v/>
      </c>
      <c r="F224" s="38" t="str">
        <f t="shared" si="62"/>
        <v/>
      </c>
      <c r="G224" s="38" t="str">
        <f t="shared" si="72"/>
        <v/>
      </c>
      <c r="H224" s="38" t="str">
        <f t="shared" si="73"/>
        <v/>
      </c>
      <c r="L224" t="str">
        <f t="shared" si="63"/>
        <v/>
      </c>
      <c r="M224" s="38" t="str">
        <f t="shared" si="64"/>
        <v/>
      </c>
      <c r="N224" s="38" t="str">
        <f t="shared" si="65"/>
        <v/>
      </c>
      <c r="O224" s="38" t="str">
        <f t="shared" si="66"/>
        <v/>
      </c>
      <c r="P224" s="38" t="str">
        <f t="shared" si="67"/>
        <v/>
      </c>
      <c r="Q224" s="38" t="str">
        <f t="shared" si="68"/>
        <v/>
      </c>
      <c r="R224" s="38" t="str">
        <f t="shared" si="69"/>
        <v/>
      </c>
      <c r="S224" s="38" t="str">
        <f t="shared" si="70"/>
        <v/>
      </c>
      <c r="T224" s="38" t="str">
        <f t="shared" si="71"/>
        <v/>
      </c>
      <c r="AG224" s="38"/>
    </row>
    <row r="225" spans="1:33" x14ac:dyDescent="0.2">
      <c r="A225" t="str">
        <f t="shared" si="57"/>
        <v/>
      </c>
      <c r="B225" s="38" t="str">
        <f t="shared" si="58"/>
        <v/>
      </c>
      <c r="C225" s="38" t="str">
        <f t="shared" si="59"/>
        <v/>
      </c>
      <c r="D225" s="38" t="str">
        <f t="shared" si="60"/>
        <v/>
      </c>
      <c r="E225" s="38" t="str">
        <f t="shared" si="61"/>
        <v/>
      </c>
      <c r="F225" s="38" t="str">
        <f t="shared" si="62"/>
        <v/>
      </c>
      <c r="G225" s="38" t="str">
        <f t="shared" si="72"/>
        <v/>
      </c>
      <c r="H225" s="38" t="str">
        <f t="shared" si="73"/>
        <v/>
      </c>
      <c r="L225" t="str">
        <f t="shared" si="63"/>
        <v/>
      </c>
      <c r="M225" s="38" t="str">
        <f t="shared" si="64"/>
        <v/>
      </c>
      <c r="N225" s="38" t="str">
        <f t="shared" si="65"/>
        <v/>
      </c>
      <c r="O225" s="38" t="str">
        <f t="shared" si="66"/>
        <v/>
      </c>
      <c r="P225" s="38" t="str">
        <f t="shared" si="67"/>
        <v/>
      </c>
      <c r="Q225" s="38" t="str">
        <f t="shared" si="68"/>
        <v/>
      </c>
      <c r="R225" s="38" t="str">
        <f t="shared" si="69"/>
        <v/>
      </c>
      <c r="S225" s="38" t="str">
        <f t="shared" si="70"/>
        <v/>
      </c>
      <c r="T225" s="38" t="str">
        <f t="shared" si="71"/>
        <v/>
      </c>
      <c r="AG225" s="38"/>
    </row>
    <row r="226" spans="1:33" x14ac:dyDescent="0.2">
      <c r="A226" t="str">
        <f t="shared" si="57"/>
        <v/>
      </c>
      <c r="B226" s="38" t="str">
        <f t="shared" si="58"/>
        <v/>
      </c>
      <c r="C226" s="38" t="str">
        <f t="shared" si="59"/>
        <v/>
      </c>
      <c r="D226" s="38" t="str">
        <f t="shared" si="60"/>
        <v/>
      </c>
      <c r="E226" s="38" t="str">
        <f t="shared" si="61"/>
        <v/>
      </c>
      <c r="F226" s="38" t="str">
        <f t="shared" si="62"/>
        <v/>
      </c>
      <c r="G226" s="38" t="str">
        <f t="shared" si="72"/>
        <v/>
      </c>
      <c r="H226" s="38" t="str">
        <f t="shared" si="73"/>
        <v/>
      </c>
      <c r="L226" t="str">
        <f t="shared" si="63"/>
        <v/>
      </c>
      <c r="M226" s="38" t="str">
        <f t="shared" si="64"/>
        <v/>
      </c>
      <c r="N226" s="38" t="str">
        <f t="shared" si="65"/>
        <v/>
      </c>
      <c r="O226" s="38" t="str">
        <f t="shared" si="66"/>
        <v/>
      </c>
      <c r="P226" s="38" t="str">
        <f t="shared" si="67"/>
        <v/>
      </c>
      <c r="Q226" s="38" t="str">
        <f t="shared" si="68"/>
        <v/>
      </c>
      <c r="R226" s="38" t="str">
        <f t="shared" si="69"/>
        <v/>
      </c>
      <c r="S226" s="38" t="str">
        <f t="shared" si="70"/>
        <v/>
      </c>
      <c r="T226" s="38" t="str">
        <f t="shared" si="71"/>
        <v/>
      </c>
      <c r="AG226" s="38"/>
    </row>
    <row r="227" spans="1:33" x14ac:dyDescent="0.2">
      <c r="A227" t="str">
        <f t="shared" si="57"/>
        <v/>
      </c>
      <c r="B227" s="38" t="str">
        <f t="shared" si="58"/>
        <v/>
      </c>
      <c r="C227" s="38" t="str">
        <f t="shared" si="59"/>
        <v/>
      </c>
      <c r="D227" s="38" t="str">
        <f t="shared" si="60"/>
        <v/>
      </c>
      <c r="E227" s="38" t="str">
        <f t="shared" si="61"/>
        <v/>
      </c>
      <c r="F227" s="38" t="str">
        <f t="shared" si="62"/>
        <v/>
      </c>
      <c r="G227" s="38" t="str">
        <f t="shared" si="72"/>
        <v/>
      </c>
      <c r="H227" s="38" t="str">
        <f t="shared" si="73"/>
        <v/>
      </c>
      <c r="L227" t="str">
        <f t="shared" si="63"/>
        <v/>
      </c>
      <c r="M227" s="38" t="str">
        <f t="shared" si="64"/>
        <v/>
      </c>
      <c r="N227" s="38" t="str">
        <f t="shared" si="65"/>
        <v/>
      </c>
      <c r="O227" s="38" t="str">
        <f t="shared" si="66"/>
        <v/>
      </c>
      <c r="P227" s="38" t="str">
        <f t="shared" si="67"/>
        <v/>
      </c>
      <c r="Q227" s="38" t="str">
        <f t="shared" si="68"/>
        <v/>
      </c>
      <c r="R227" s="38" t="str">
        <f t="shared" si="69"/>
        <v/>
      </c>
      <c r="S227" s="38" t="str">
        <f t="shared" si="70"/>
        <v/>
      </c>
      <c r="T227" s="38" t="str">
        <f t="shared" si="71"/>
        <v/>
      </c>
      <c r="AG227" s="38"/>
    </row>
    <row r="228" spans="1:33" x14ac:dyDescent="0.2">
      <c r="A228" t="str">
        <f t="shared" si="57"/>
        <v/>
      </c>
      <c r="B228" s="38" t="str">
        <f t="shared" si="58"/>
        <v/>
      </c>
      <c r="C228" s="38" t="str">
        <f t="shared" si="59"/>
        <v/>
      </c>
      <c r="D228" s="38" t="str">
        <f t="shared" si="60"/>
        <v/>
      </c>
      <c r="E228" s="38" t="str">
        <f t="shared" si="61"/>
        <v/>
      </c>
      <c r="F228" s="38" t="str">
        <f t="shared" si="62"/>
        <v/>
      </c>
      <c r="G228" s="38" t="str">
        <f t="shared" si="72"/>
        <v/>
      </c>
      <c r="H228" s="38" t="str">
        <f t="shared" si="73"/>
        <v/>
      </c>
      <c r="L228" t="str">
        <f t="shared" si="63"/>
        <v/>
      </c>
      <c r="M228" s="38" t="str">
        <f t="shared" si="64"/>
        <v/>
      </c>
      <c r="N228" s="38" t="str">
        <f t="shared" si="65"/>
        <v/>
      </c>
      <c r="O228" s="38" t="str">
        <f t="shared" si="66"/>
        <v/>
      </c>
      <c r="P228" s="38" t="str">
        <f t="shared" si="67"/>
        <v/>
      </c>
      <c r="Q228" s="38" t="str">
        <f t="shared" si="68"/>
        <v/>
      </c>
      <c r="R228" s="38" t="str">
        <f t="shared" si="69"/>
        <v/>
      </c>
      <c r="S228" s="38" t="str">
        <f t="shared" si="70"/>
        <v/>
      </c>
      <c r="T228" s="38" t="str">
        <f t="shared" si="71"/>
        <v/>
      </c>
      <c r="AG228" s="38"/>
    </row>
    <row r="229" spans="1:33" x14ac:dyDescent="0.2">
      <c r="A229" t="str">
        <f t="shared" si="57"/>
        <v/>
      </c>
      <c r="B229" s="38" t="str">
        <f t="shared" si="58"/>
        <v/>
      </c>
      <c r="C229" s="38" t="str">
        <f t="shared" si="59"/>
        <v/>
      </c>
      <c r="D229" s="38" t="str">
        <f t="shared" si="60"/>
        <v/>
      </c>
      <c r="E229" s="38" t="str">
        <f t="shared" si="61"/>
        <v/>
      </c>
      <c r="F229" s="38" t="str">
        <f t="shared" si="62"/>
        <v/>
      </c>
      <c r="G229" s="38" t="str">
        <f t="shared" si="72"/>
        <v/>
      </c>
      <c r="H229" s="38" t="str">
        <f t="shared" si="73"/>
        <v/>
      </c>
      <c r="L229" t="str">
        <f t="shared" si="63"/>
        <v/>
      </c>
      <c r="M229" s="38" t="str">
        <f t="shared" si="64"/>
        <v/>
      </c>
      <c r="N229" s="38" t="str">
        <f t="shared" si="65"/>
        <v/>
      </c>
      <c r="O229" s="38" t="str">
        <f t="shared" si="66"/>
        <v/>
      </c>
      <c r="P229" s="38" t="str">
        <f t="shared" si="67"/>
        <v/>
      </c>
      <c r="Q229" s="38" t="str">
        <f t="shared" si="68"/>
        <v/>
      </c>
      <c r="R229" s="38" t="str">
        <f t="shared" si="69"/>
        <v/>
      </c>
      <c r="S229" s="38" t="str">
        <f t="shared" si="70"/>
        <v/>
      </c>
      <c r="T229" s="38" t="str">
        <f t="shared" si="71"/>
        <v/>
      </c>
      <c r="AG229" s="38"/>
    </row>
    <row r="230" spans="1:33" x14ac:dyDescent="0.2">
      <c r="A230" t="str">
        <f t="shared" si="57"/>
        <v/>
      </c>
      <c r="B230" s="38" t="str">
        <f t="shared" si="58"/>
        <v/>
      </c>
      <c r="C230" s="38" t="str">
        <f t="shared" si="59"/>
        <v/>
      </c>
      <c r="D230" s="38" t="str">
        <f t="shared" si="60"/>
        <v/>
      </c>
      <c r="E230" s="38" t="str">
        <f t="shared" si="61"/>
        <v/>
      </c>
      <c r="F230" s="38" t="str">
        <f t="shared" si="62"/>
        <v/>
      </c>
      <c r="G230" s="38" t="str">
        <f t="shared" si="72"/>
        <v/>
      </c>
      <c r="H230" s="38" t="str">
        <f t="shared" si="73"/>
        <v/>
      </c>
      <c r="L230" t="str">
        <f t="shared" si="63"/>
        <v/>
      </c>
      <c r="M230" s="38" t="str">
        <f t="shared" si="64"/>
        <v/>
      </c>
      <c r="N230" s="38" t="str">
        <f t="shared" si="65"/>
        <v/>
      </c>
      <c r="O230" s="38" t="str">
        <f t="shared" si="66"/>
        <v/>
      </c>
      <c r="P230" s="38" t="str">
        <f t="shared" si="67"/>
        <v/>
      </c>
      <c r="Q230" s="38" t="str">
        <f t="shared" si="68"/>
        <v/>
      </c>
      <c r="R230" s="38" t="str">
        <f t="shared" si="69"/>
        <v/>
      </c>
      <c r="S230" s="38" t="str">
        <f t="shared" si="70"/>
        <v/>
      </c>
      <c r="T230" s="38" t="str">
        <f t="shared" si="71"/>
        <v/>
      </c>
      <c r="AG230" s="38"/>
    </row>
    <row r="231" spans="1:33" x14ac:dyDescent="0.2">
      <c r="A231" t="str">
        <f t="shared" si="57"/>
        <v/>
      </c>
      <c r="B231" s="38" t="str">
        <f t="shared" si="58"/>
        <v/>
      </c>
      <c r="C231" s="38" t="str">
        <f t="shared" si="59"/>
        <v/>
      </c>
      <c r="D231" s="38" t="str">
        <f t="shared" si="60"/>
        <v/>
      </c>
      <c r="E231" s="38" t="str">
        <f t="shared" si="61"/>
        <v/>
      </c>
      <c r="F231" s="38" t="str">
        <f t="shared" si="62"/>
        <v/>
      </c>
      <c r="G231" s="38" t="str">
        <f t="shared" si="72"/>
        <v/>
      </c>
      <c r="H231" s="38" t="str">
        <f t="shared" si="73"/>
        <v/>
      </c>
      <c r="L231" t="str">
        <f t="shared" si="63"/>
        <v/>
      </c>
      <c r="M231" s="38" t="str">
        <f t="shared" si="64"/>
        <v/>
      </c>
      <c r="N231" s="38" t="str">
        <f t="shared" si="65"/>
        <v/>
      </c>
      <c r="O231" s="38" t="str">
        <f t="shared" si="66"/>
        <v/>
      </c>
      <c r="P231" s="38" t="str">
        <f t="shared" si="67"/>
        <v/>
      </c>
      <c r="Q231" s="38" t="str">
        <f t="shared" si="68"/>
        <v/>
      </c>
      <c r="R231" s="38" t="str">
        <f t="shared" si="69"/>
        <v/>
      </c>
      <c r="S231" s="38" t="str">
        <f t="shared" si="70"/>
        <v/>
      </c>
      <c r="T231" s="38" t="str">
        <f t="shared" si="71"/>
        <v/>
      </c>
      <c r="AG231" s="38"/>
    </row>
    <row r="232" spans="1:33" x14ac:dyDescent="0.2">
      <c r="A232" t="str">
        <f t="shared" si="57"/>
        <v/>
      </c>
      <c r="B232" s="38" t="str">
        <f t="shared" si="58"/>
        <v/>
      </c>
      <c r="C232" s="38" t="str">
        <f t="shared" si="59"/>
        <v/>
      </c>
      <c r="D232" s="38" t="str">
        <f t="shared" si="60"/>
        <v/>
      </c>
      <c r="E232" s="38" t="str">
        <f t="shared" si="61"/>
        <v/>
      </c>
      <c r="F232" s="38" t="str">
        <f t="shared" si="62"/>
        <v/>
      </c>
      <c r="G232" s="38" t="str">
        <f t="shared" si="72"/>
        <v/>
      </c>
      <c r="H232" s="38" t="str">
        <f t="shared" si="73"/>
        <v/>
      </c>
      <c r="L232" t="str">
        <f t="shared" si="63"/>
        <v/>
      </c>
      <c r="M232" s="38" t="str">
        <f t="shared" si="64"/>
        <v/>
      </c>
      <c r="N232" s="38" t="str">
        <f t="shared" si="65"/>
        <v/>
      </c>
      <c r="O232" s="38" t="str">
        <f t="shared" si="66"/>
        <v/>
      </c>
      <c r="P232" s="38" t="str">
        <f t="shared" si="67"/>
        <v/>
      </c>
      <c r="Q232" s="38" t="str">
        <f t="shared" si="68"/>
        <v/>
      </c>
      <c r="R232" s="38" t="str">
        <f t="shared" si="69"/>
        <v/>
      </c>
      <c r="S232" s="38" t="str">
        <f t="shared" si="70"/>
        <v/>
      </c>
      <c r="T232" s="38" t="str">
        <f t="shared" si="71"/>
        <v/>
      </c>
      <c r="AG232" s="38"/>
    </row>
    <row r="233" spans="1:33" x14ac:dyDescent="0.2">
      <c r="A233" t="str">
        <f t="shared" si="57"/>
        <v/>
      </c>
      <c r="B233" s="38" t="str">
        <f t="shared" si="58"/>
        <v/>
      </c>
      <c r="C233" s="38" t="str">
        <f t="shared" si="59"/>
        <v/>
      </c>
      <c r="D233" s="38" t="str">
        <f t="shared" si="60"/>
        <v/>
      </c>
      <c r="E233" s="38" t="str">
        <f t="shared" si="61"/>
        <v/>
      </c>
      <c r="F233" s="38" t="str">
        <f t="shared" si="62"/>
        <v/>
      </c>
      <c r="G233" s="38" t="str">
        <f t="shared" si="72"/>
        <v/>
      </c>
      <c r="H233" s="38" t="str">
        <f t="shared" si="73"/>
        <v/>
      </c>
      <c r="L233" t="str">
        <f t="shared" si="63"/>
        <v/>
      </c>
      <c r="M233" s="38" t="str">
        <f t="shared" si="64"/>
        <v/>
      </c>
      <c r="N233" s="38" t="str">
        <f t="shared" si="65"/>
        <v/>
      </c>
      <c r="O233" s="38" t="str">
        <f t="shared" si="66"/>
        <v/>
      </c>
      <c r="P233" s="38" t="str">
        <f t="shared" si="67"/>
        <v/>
      </c>
      <c r="Q233" s="38" t="str">
        <f t="shared" si="68"/>
        <v/>
      </c>
      <c r="R233" s="38" t="str">
        <f t="shared" si="69"/>
        <v/>
      </c>
      <c r="S233" s="38" t="str">
        <f t="shared" si="70"/>
        <v/>
      </c>
      <c r="T233" s="38" t="str">
        <f t="shared" si="71"/>
        <v/>
      </c>
      <c r="AG233" s="38"/>
    </row>
    <row r="234" spans="1:33" x14ac:dyDescent="0.2">
      <c r="A234" t="str">
        <f t="shared" si="57"/>
        <v/>
      </c>
      <c r="B234" s="38" t="str">
        <f t="shared" si="58"/>
        <v/>
      </c>
      <c r="C234" s="38" t="str">
        <f t="shared" si="59"/>
        <v/>
      </c>
      <c r="D234" s="38" t="str">
        <f t="shared" si="60"/>
        <v/>
      </c>
      <c r="E234" s="38" t="str">
        <f t="shared" si="61"/>
        <v/>
      </c>
      <c r="F234" s="38" t="str">
        <f t="shared" si="62"/>
        <v/>
      </c>
      <c r="G234" s="38" t="str">
        <f t="shared" si="72"/>
        <v/>
      </c>
      <c r="H234" s="38" t="str">
        <f t="shared" si="73"/>
        <v/>
      </c>
      <c r="L234" t="str">
        <f t="shared" si="63"/>
        <v/>
      </c>
      <c r="M234" s="38" t="str">
        <f t="shared" si="64"/>
        <v/>
      </c>
      <c r="N234" s="38" t="str">
        <f t="shared" si="65"/>
        <v/>
      </c>
      <c r="O234" s="38" t="str">
        <f t="shared" si="66"/>
        <v/>
      </c>
      <c r="P234" s="38" t="str">
        <f t="shared" si="67"/>
        <v/>
      </c>
      <c r="Q234" s="38" t="str">
        <f t="shared" si="68"/>
        <v/>
      </c>
      <c r="R234" s="38" t="str">
        <f t="shared" si="69"/>
        <v/>
      </c>
      <c r="S234" s="38" t="str">
        <f t="shared" si="70"/>
        <v/>
      </c>
      <c r="T234" s="38" t="str">
        <f t="shared" si="71"/>
        <v/>
      </c>
      <c r="AG234" s="38"/>
    </row>
    <row r="235" spans="1:33" x14ac:dyDescent="0.2">
      <c r="A235" t="str">
        <f t="shared" si="57"/>
        <v/>
      </c>
      <c r="B235" s="38" t="str">
        <f t="shared" si="58"/>
        <v/>
      </c>
      <c r="C235" s="38" t="str">
        <f t="shared" si="59"/>
        <v/>
      </c>
      <c r="D235" s="38" t="str">
        <f t="shared" si="60"/>
        <v/>
      </c>
      <c r="E235" s="38" t="str">
        <f t="shared" si="61"/>
        <v/>
      </c>
      <c r="F235" s="38" t="str">
        <f t="shared" si="62"/>
        <v/>
      </c>
      <c r="G235" s="38" t="str">
        <f t="shared" si="72"/>
        <v/>
      </c>
      <c r="H235" s="38" t="str">
        <f t="shared" si="73"/>
        <v/>
      </c>
      <c r="L235" t="str">
        <f t="shared" si="63"/>
        <v/>
      </c>
      <c r="M235" s="38" t="str">
        <f t="shared" si="64"/>
        <v/>
      </c>
      <c r="N235" s="38" t="str">
        <f t="shared" si="65"/>
        <v/>
      </c>
      <c r="O235" s="38" t="str">
        <f t="shared" si="66"/>
        <v/>
      </c>
      <c r="P235" s="38" t="str">
        <f t="shared" si="67"/>
        <v/>
      </c>
      <c r="Q235" s="38" t="str">
        <f t="shared" si="68"/>
        <v/>
      </c>
      <c r="R235" s="38" t="str">
        <f t="shared" si="69"/>
        <v/>
      </c>
      <c r="S235" s="38" t="str">
        <f t="shared" si="70"/>
        <v/>
      </c>
      <c r="T235" s="38" t="str">
        <f t="shared" si="71"/>
        <v/>
      </c>
      <c r="AG235" s="38"/>
    </row>
    <row r="236" spans="1:33" x14ac:dyDescent="0.2">
      <c r="A236" t="str">
        <f t="shared" si="57"/>
        <v/>
      </c>
      <c r="B236" s="38" t="str">
        <f t="shared" si="58"/>
        <v/>
      </c>
      <c r="C236" s="38" t="str">
        <f t="shared" si="59"/>
        <v/>
      </c>
      <c r="D236" s="38" t="str">
        <f t="shared" si="60"/>
        <v/>
      </c>
      <c r="E236" s="38" t="str">
        <f t="shared" si="61"/>
        <v/>
      </c>
      <c r="F236" s="38" t="str">
        <f t="shared" si="62"/>
        <v/>
      </c>
      <c r="G236" s="38" t="str">
        <f t="shared" si="72"/>
        <v/>
      </c>
      <c r="H236" s="38" t="str">
        <f t="shared" si="73"/>
        <v/>
      </c>
      <c r="L236" t="str">
        <f t="shared" si="63"/>
        <v/>
      </c>
      <c r="M236" s="38" t="str">
        <f t="shared" si="64"/>
        <v/>
      </c>
      <c r="N236" s="38" t="str">
        <f t="shared" si="65"/>
        <v/>
      </c>
      <c r="O236" s="38" t="str">
        <f t="shared" si="66"/>
        <v/>
      </c>
      <c r="P236" s="38" t="str">
        <f t="shared" si="67"/>
        <v/>
      </c>
      <c r="Q236" s="38" t="str">
        <f t="shared" si="68"/>
        <v/>
      </c>
      <c r="R236" s="38" t="str">
        <f t="shared" si="69"/>
        <v/>
      </c>
      <c r="S236" s="38" t="str">
        <f t="shared" si="70"/>
        <v/>
      </c>
      <c r="T236" s="38" t="str">
        <f t="shared" si="71"/>
        <v/>
      </c>
      <c r="AG236" s="38"/>
    </row>
    <row r="237" spans="1:33" x14ac:dyDescent="0.2">
      <c r="A237" t="str">
        <f t="shared" si="57"/>
        <v/>
      </c>
      <c r="B237" s="38" t="str">
        <f t="shared" si="58"/>
        <v/>
      </c>
      <c r="C237" s="38" t="str">
        <f t="shared" si="59"/>
        <v/>
      </c>
      <c r="D237" s="38" t="str">
        <f t="shared" si="60"/>
        <v/>
      </c>
      <c r="E237" s="38" t="str">
        <f t="shared" si="61"/>
        <v/>
      </c>
      <c r="F237" s="38" t="str">
        <f t="shared" si="62"/>
        <v/>
      </c>
      <c r="G237" s="38" t="str">
        <f t="shared" si="72"/>
        <v/>
      </c>
      <c r="H237" s="38" t="str">
        <f t="shared" si="73"/>
        <v/>
      </c>
      <c r="L237" t="str">
        <f t="shared" si="63"/>
        <v/>
      </c>
      <c r="M237" s="38" t="str">
        <f t="shared" si="64"/>
        <v/>
      </c>
      <c r="N237" s="38" t="str">
        <f t="shared" si="65"/>
        <v/>
      </c>
      <c r="O237" s="38" t="str">
        <f t="shared" si="66"/>
        <v/>
      </c>
      <c r="P237" s="38" t="str">
        <f t="shared" si="67"/>
        <v/>
      </c>
      <c r="Q237" s="38" t="str">
        <f t="shared" si="68"/>
        <v/>
      </c>
      <c r="R237" s="38" t="str">
        <f t="shared" si="69"/>
        <v/>
      </c>
      <c r="S237" s="38" t="str">
        <f t="shared" si="70"/>
        <v/>
      </c>
      <c r="T237" s="38" t="str">
        <f t="shared" si="71"/>
        <v/>
      </c>
      <c r="AG237" s="38"/>
    </row>
    <row r="238" spans="1:33" x14ac:dyDescent="0.2">
      <c r="A238" t="str">
        <f t="shared" si="57"/>
        <v/>
      </c>
      <c r="B238" s="38" t="str">
        <f t="shared" si="58"/>
        <v/>
      </c>
      <c r="C238" s="38" t="str">
        <f t="shared" si="59"/>
        <v/>
      </c>
      <c r="D238" s="38" t="str">
        <f t="shared" si="60"/>
        <v/>
      </c>
      <c r="E238" s="38" t="str">
        <f t="shared" si="61"/>
        <v/>
      </c>
      <c r="F238" s="38" t="str">
        <f t="shared" si="62"/>
        <v/>
      </c>
      <c r="G238" s="38" t="str">
        <f t="shared" si="72"/>
        <v/>
      </c>
      <c r="H238" s="38" t="str">
        <f t="shared" si="73"/>
        <v/>
      </c>
      <c r="L238" t="str">
        <f t="shared" si="63"/>
        <v/>
      </c>
      <c r="M238" s="38" t="str">
        <f t="shared" si="64"/>
        <v/>
      </c>
      <c r="N238" s="38" t="str">
        <f t="shared" si="65"/>
        <v/>
      </c>
      <c r="O238" s="38" t="str">
        <f t="shared" si="66"/>
        <v/>
      </c>
      <c r="P238" s="38" t="str">
        <f t="shared" si="67"/>
        <v/>
      </c>
      <c r="Q238" s="38" t="str">
        <f t="shared" si="68"/>
        <v/>
      </c>
      <c r="R238" s="38" t="str">
        <f t="shared" si="69"/>
        <v/>
      </c>
      <c r="S238" s="38" t="str">
        <f t="shared" si="70"/>
        <v/>
      </c>
      <c r="T238" s="38" t="str">
        <f t="shared" si="71"/>
        <v/>
      </c>
      <c r="AG238" s="38"/>
    </row>
    <row r="239" spans="1:33" x14ac:dyDescent="0.2">
      <c r="A239" t="str">
        <f t="shared" si="57"/>
        <v/>
      </c>
      <c r="B239" s="38" t="str">
        <f t="shared" si="58"/>
        <v/>
      </c>
      <c r="C239" s="38" t="str">
        <f t="shared" si="59"/>
        <v/>
      </c>
      <c r="D239" s="38" t="str">
        <f t="shared" si="60"/>
        <v/>
      </c>
      <c r="E239" s="38" t="str">
        <f t="shared" si="61"/>
        <v/>
      </c>
      <c r="F239" s="38" t="str">
        <f t="shared" si="62"/>
        <v/>
      </c>
      <c r="G239" s="38" t="str">
        <f t="shared" si="72"/>
        <v/>
      </c>
      <c r="H239" s="38" t="str">
        <f t="shared" si="73"/>
        <v/>
      </c>
      <c r="L239" t="str">
        <f t="shared" si="63"/>
        <v/>
      </c>
      <c r="M239" s="38" t="str">
        <f t="shared" si="64"/>
        <v/>
      </c>
      <c r="N239" s="38" t="str">
        <f t="shared" si="65"/>
        <v/>
      </c>
      <c r="O239" s="38" t="str">
        <f t="shared" si="66"/>
        <v/>
      </c>
      <c r="P239" s="38" t="str">
        <f t="shared" si="67"/>
        <v/>
      </c>
      <c r="Q239" s="38" t="str">
        <f t="shared" si="68"/>
        <v/>
      </c>
      <c r="R239" s="38" t="str">
        <f t="shared" si="69"/>
        <v/>
      </c>
      <c r="S239" s="38" t="str">
        <f t="shared" si="70"/>
        <v/>
      </c>
      <c r="T239" s="38" t="str">
        <f t="shared" si="71"/>
        <v/>
      </c>
      <c r="AG239" s="38"/>
    </row>
    <row r="240" spans="1:33" x14ac:dyDescent="0.2">
      <c r="A240" t="str">
        <f t="shared" si="57"/>
        <v/>
      </c>
      <c r="B240" s="38" t="str">
        <f t="shared" si="58"/>
        <v/>
      </c>
      <c r="C240" s="38" t="str">
        <f t="shared" si="59"/>
        <v/>
      </c>
      <c r="D240" s="38" t="str">
        <f t="shared" si="60"/>
        <v/>
      </c>
      <c r="E240" s="38" t="str">
        <f t="shared" si="61"/>
        <v/>
      </c>
      <c r="F240" s="38" t="str">
        <f t="shared" si="62"/>
        <v/>
      </c>
      <c r="G240" s="38" t="str">
        <f t="shared" si="72"/>
        <v/>
      </c>
      <c r="H240" s="38" t="str">
        <f t="shared" si="73"/>
        <v/>
      </c>
      <c r="L240" t="str">
        <f t="shared" si="63"/>
        <v/>
      </c>
      <c r="M240" s="38" t="str">
        <f t="shared" si="64"/>
        <v/>
      </c>
      <c r="N240" s="38" t="str">
        <f t="shared" si="65"/>
        <v/>
      </c>
      <c r="O240" s="38" t="str">
        <f t="shared" si="66"/>
        <v/>
      </c>
      <c r="P240" s="38" t="str">
        <f t="shared" si="67"/>
        <v/>
      </c>
      <c r="Q240" s="38" t="str">
        <f t="shared" si="68"/>
        <v/>
      </c>
      <c r="R240" s="38" t="str">
        <f t="shared" si="69"/>
        <v/>
      </c>
      <c r="S240" s="38" t="str">
        <f t="shared" si="70"/>
        <v/>
      </c>
      <c r="T240" s="38" t="str">
        <f t="shared" si="71"/>
        <v/>
      </c>
      <c r="AG240" s="38"/>
    </row>
    <row r="241" spans="1:33" x14ac:dyDescent="0.2">
      <c r="A241" t="str">
        <f t="shared" si="57"/>
        <v/>
      </c>
      <c r="B241" s="38" t="str">
        <f t="shared" si="58"/>
        <v/>
      </c>
      <c r="C241" s="38" t="str">
        <f t="shared" si="59"/>
        <v/>
      </c>
      <c r="D241" s="38" t="str">
        <f t="shared" si="60"/>
        <v/>
      </c>
      <c r="E241" s="38" t="str">
        <f t="shared" si="61"/>
        <v/>
      </c>
      <c r="F241" s="38" t="str">
        <f t="shared" si="62"/>
        <v/>
      </c>
      <c r="G241" s="38" t="str">
        <f t="shared" si="72"/>
        <v/>
      </c>
      <c r="H241" s="38" t="str">
        <f t="shared" si="73"/>
        <v/>
      </c>
      <c r="L241" t="str">
        <f t="shared" si="63"/>
        <v/>
      </c>
      <c r="M241" s="38" t="str">
        <f t="shared" si="64"/>
        <v/>
      </c>
      <c r="N241" s="38" t="str">
        <f t="shared" si="65"/>
        <v/>
      </c>
      <c r="O241" s="38" t="str">
        <f t="shared" si="66"/>
        <v/>
      </c>
      <c r="P241" s="38" t="str">
        <f t="shared" si="67"/>
        <v/>
      </c>
      <c r="Q241" s="38" t="str">
        <f t="shared" si="68"/>
        <v/>
      </c>
      <c r="R241" s="38" t="str">
        <f t="shared" si="69"/>
        <v/>
      </c>
      <c r="S241" s="38" t="str">
        <f t="shared" si="70"/>
        <v/>
      </c>
      <c r="T241" s="38" t="str">
        <f t="shared" si="71"/>
        <v/>
      </c>
      <c r="AG241" s="38"/>
    </row>
    <row r="242" spans="1:33" x14ac:dyDescent="0.2">
      <c r="A242" t="str">
        <f t="shared" si="57"/>
        <v/>
      </c>
      <c r="B242" s="38" t="str">
        <f t="shared" si="58"/>
        <v/>
      </c>
      <c r="C242" s="38" t="str">
        <f t="shared" si="59"/>
        <v/>
      </c>
      <c r="D242" s="38" t="str">
        <f t="shared" si="60"/>
        <v/>
      </c>
      <c r="E242" s="38" t="str">
        <f t="shared" si="61"/>
        <v/>
      </c>
      <c r="F242" s="38" t="str">
        <f t="shared" si="62"/>
        <v/>
      </c>
      <c r="G242" s="38" t="str">
        <f t="shared" si="72"/>
        <v/>
      </c>
      <c r="H242" s="38" t="str">
        <f t="shared" si="73"/>
        <v/>
      </c>
      <c r="L242" t="str">
        <f t="shared" si="63"/>
        <v/>
      </c>
      <c r="M242" s="38" t="str">
        <f t="shared" si="64"/>
        <v/>
      </c>
      <c r="N242" s="38" t="str">
        <f t="shared" si="65"/>
        <v/>
      </c>
      <c r="O242" s="38" t="str">
        <f t="shared" si="66"/>
        <v/>
      </c>
      <c r="P242" s="38" t="str">
        <f t="shared" si="67"/>
        <v/>
      </c>
      <c r="Q242" s="38" t="str">
        <f t="shared" si="68"/>
        <v/>
      </c>
      <c r="R242" s="38" t="str">
        <f t="shared" si="69"/>
        <v/>
      </c>
      <c r="S242" s="38" t="str">
        <f t="shared" si="70"/>
        <v/>
      </c>
      <c r="T242" s="38" t="str">
        <f t="shared" si="71"/>
        <v/>
      </c>
      <c r="AG242" s="38"/>
    </row>
    <row r="243" spans="1:33" x14ac:dyDescent="0.2">
      <c r="A243" t="str">
        <f t="shared" si="57"/>
        <v/>
      </c>
      <c r="B243" s="38" t="str">
        <f t="shared" si="58"/>
        <v/>
      </c>
      <c r="C243" s="38" t="str">
        <f t="shared" si="59"/>
        <v/>
      </c>
      <c r="D243" s="38" t="str">
        <f t="shared" si="60"/>
        <v/>
      </c>
      <c r="E243" s="38" t="str">
        <f t="shared" si="61"/>
        <v/>
      </c>
      <c r="F243" s="38" t="str">
        <f t="shared" si="62"/>
        <v/>
      </c>
      <c r="G243" s="38" t="str">
        <f t="shared" si="72"/>
        <v/>
      </c>
      <c r="H243" s="38" t="str">
        <f t="shared" si="73"/>
        <v/>
      </c>
      <c r="L243" t="str">
        <f t="shared" si="63"/>
        <v/>
      </c>
      <c r="M243" s="38" t="str">
        <f t="shared" si="64"/>
        <v/>
      </c>
      <c r="N243" s="38" t="str">
        <f t="shared" si="65"/>
        <v/>
      </c>
      <c r="O243" s="38" t="str">
        <f t="shared" si="66"/>
        <v/>
      </c>
      <c r="P243" s="38" t="str">
        <f t="shared" si="67"/>
        <v/>
      </c>
      <c r="Q243" s="38" t="str">
        <f t="shared" si="68"/>
        <v/>
      </c>
      <c r="R243" s="38" t="str">
        <f t="shared" si="69"/>
        <v/>
      </c>
      <c r="S243" s="38" t="str">
        <f t="shared" si="70"/>
        <v/>
      </c>
      <c r="T243" s="38" t="str">
        <f t="shared" si="71"/>
        <v/>
      </c>
      <c r="AG243" s="38"/>
    </row>
    <row r="244" spans="1:33" x14ac:dyDescent="0.2">
      <c r="A244" t="str">
        <f t="shared" si="57"/>
        <v/>
      </c>
      <c r="B244" s="38" t="str">
        <f t="shared" si="58"/>
        <v/>
      </c>
      <c r="C244" s="38" t="str">
        <f t="shared" si="59"/>
        <v/>
      </c>
      <c r="D244" s="38" t="str">
        <f t="shared" si="60"/>
        <v/>
      </c>
      <c r="E244" s="38" t="str">
        <f t="shared" si="61"/>
        <v/>
      </c>
      <c r="F244" s="38" t="str">
        <f t="shared" si="62"/>
        <v/>
      </c>
      <c r="G244" s="38" t="str">
        <f t="shared" si="72"/>
        <v/>
      </c>
      <c r="H244" s="38" t="str">
        <f t="shared" si="73"/>
        <v/>
      </c>
      <c r="L244" t="str">
        <f t="shared" si="63"/>
        <v/>
      </c>
      <c r="M244" s="38" t="str">
        <f t="shared" si="64"/>
        <v/>
      </c>
      <c r="N244" s="38" t="str">
        <f t="shared" si="65"/>
        <v/>
      </c>
      <c r="O244" s="38" t="str">
        <f t="shared" si="66"/>
        <v/>
      </c>
      <c r="P244" s="38" t="str">
        <f t="shared" si="67"/>
        <v/>
      </c>
      <c r="Q244" s="38" t="str">
        <f t="shared" si="68"/>
        <v/>
      </c>
      <c r="R244" s="38" t="str">
        <f t="shared" si="69"/>
        <v/>
      </c>
      <c r="S244" s="38" t="str">
        <f t="shared" si="70"/>
        <v/>
      </c>
      <c r="T244" s="38" t="str">
        <f t="shared" si="71"/>
        <v/>
      </c>
      <c r="AG244" s="38"/>
    </row>
    <row r="245" spans="1:33" x14ac:dyDescent="0.2">
      <c r="A245" t="str">
        <f t="shared" si="57"/>
        <v/>
      </c>
      <c r="B245" s="38" t="str">
        <f t="shared" si="58"/>
        <v/>
      </c>
      <c r="C245" s="38" t="str">
        <f t="shared" si="59"/>
        <v/>
      </c>
      <c r="D245" s="38" t="str">
        <f t="shared" si="60"/>
        <v/>
      </c>
      <c r="E245" s="38" t="str">
        <f t="shared" si="61"/>
        <v/>
      </c>
      <c r="F245" s="38" t="str">
        <f t="shared" si="62"/>
        <v/>
      </c>
      <c r="G245" s="38" t="str">
        <f t="shared" si="72"/>
        <v/>
      </c>
      <c r="H245" s="38" t="str">
        <f t="shared" si="73"/>
        <v/>
      </c>
      <c r="L245" t="str">
        <f t="shared" si="63"/>
        <v/>
      </c>
      <c r="M245" s="38" t="str">
        <f t="shared" si="64"/>
        <v/>
      </c>
      <c r="N245" s="38" t="str">
        <f t="shared" si="65"/>
        <v/>
      </c>
      <c r="O245" s="38" t="str">
        <f t="shared" si="66"/>
        <v/>
      </c>
      <c r="P245" s="38" t="str">
        <f t="shared" si="67"/>
        <v/>
      </c>
      <c r="Q245" s="38" t="str">
        <f t="shared" si="68"/>
        <v/>
      </c>
      <c r="R245" s="38" t="str">
        <f t="shared" si="69"/>
        <v/>
      </c>
      <c r="S245" s="38" t="str">
        <f t="shared" si="70"/>
        <v/>
      </c>
      <c r="T245" s="38" t="str">
        <f t="shared" si="71"/>
        <v/>
      </c>
      <c r="AG245" s="38"/>
    </row>
    <row r="246" spans="1:33" x14ac:dyDescent="0.2">
      <c r="A246" t="str">
        <f t="shared" si="57"/>
        <v/>
      </c>
      <c r="B246" s="38" t="str">
        <f t="shared" si="58"/>
        <v/>
      </c>
      <c r="C246" s="38" t="str">
        <f t="shared" si="59"/>
        <v/>
      </c>
      <c r="D246" s="38" t="str">
        <f t="shared" si="60"/>
        <v/>
      </c>
      <c r="E246" s="38" t="str">
        <f t="shared" si="61"/>
        <v/>
      </c>
      <c r="F246" s="38" t="str">
        <f t="shared" si="62"/>
        <v/>
      </c>
      <c r="G246" s="38" t="str">
        <f t="shared" si="72"/>
        <v/>
      </c>
      <c r="H246" s="38" t="str">
        <f t="shared" si="73"/>
        <v/>
      </c>
      <c r="L246" t="str">
        <f t="shared" si="63"/>
        <v/>
      </c>
      <c r="M246" s="38" t="str">
        <f t="shared" si="64"/>
        <v/>
      </c>
      <c r="N246" s="38" t="str">
        <f t="shared" si="65"/>
        <v/>
      </c>
      <c r="O246" s="38" t="str">
        <f t="shared" si="66"/>
        <v/>
      </c>
      <c r="P246" s="38" t="str">
        <f t="shared" si="67"/>
        <v/>
      </c>
      <c r="Q246" s="38" t="str">
        <f t="shared" si="68"/>
        <v/>
      </c>
      <c r="R246" s="38" t="str">
        <f t="shared" si="69"/>
        <v/>
      </c>
      <c r="S246" s="38" t="str">
        <f t="shared" si="70"/>
        <v/>
      </c>
      <c r="T246" s="38" t="str">
        <f t="shared" si="71"/>
        <v/>
      </c>
      <c r="AG246" s="38"/>
    </row>
    <row r="247" spans="1:33" x14ac:dyDescent="0.2">
      <c r="A247" t="str">
        <f t="shared" si="57"/>
        <v/>
      </c>
      <c r="B247" s="38" t="str">
        <f t="shared" si="58"/>
        <v/>
      </c>
      <c r="C247" s="38" t="str">
        <f t="shared" si="59"/>
        <v/>
      </c>
      <c r="D247" s="38" t="str">
        <f t="shared" si="60"/>
        <v/>
      </c>
      <c r="E247" s="38" t="str">
        <f t="shared" si="61"/>
        <v/>
      </c>
      <c r="F247" s="38" t="str">
        <f t="shared" si="62"/>
        <v/>
      </c>
      <c r="G247" s="38" t="str">
        <f t="shared" si="72"/>
        <v/>
      </c>
      <c r="H247" s="38" t="str">
        <f t="shared" si="73"/>
        <v/>
      </c>
      <c r="L247" t="str">
        <f t="shared" si="63"/>
        <v/>
      </c>
      <c r="M247" s="38" t="str">
        <f t="shared" si="64"/>
        <v/>
      </c>
      <c r="N247" s="38" t="str">
        <f t="shared" si="65"/>
        <v/>
      </c>
      <c r="O247" s="38" t="str">
        <f t="shared" si="66"/>
        <v/>
      </c>
      <c r="P247" s="38" t="str">
        <f t="shared" si="67"/>
        <v/>
      </c>
      <c r="Q247" s="38" t="str">
        <f t="shared" si="68"/>
        <v/>
      </c>
      <c r="R247" s="38" t="str">
        <f t="shared" si="69"/>
        <v/>
      </c>
      <c r="S247" s="38" t="str">
        <f t="shared" si="70"/>
        <v/>
      </c>
      <c r="T247" s="38" t="str">
        <f t="shared" si="71"/>
        <v/>
      </c>
      <c r="AG247" s="38"/>
    </row>
    <row r="248" spans="1:33" x14ac:dyDescent="0.2">
      <c r="A248" t="str">
        <f t="shared" si="57"/>
        <v/>
      </c>
      <c r="B248" s="38" t="str">
        <f t="shared" si="58"/>
        <v/>
      </c>
      <c r="C248" s="38" t="str">
        <f t="shared" si="59"/>
        <v/>
      </c>
      <c r="D248" s="38" t="str">
        <f t="shared" si="60"/>
        <v/>
      </c>
      <c r="E248" s="38" t="str">
        <f t="shared" si="61"/>
        <v/>
      </c>
      <c r="F248" s="38" t="str">
        <f t="shared" si="62"/>
        <v/>
      </c>
      <c r="G248" s="38" t="str">
        <f t="shared" si="72"/>
        <v/>
      </c>
      <c r="H248" s="38" t="str">
        <f t="shared" si="73"/>
        <v/>
      </c>
      <c r="L248" t="str">
        <f t="shared" si="63"/>
        <v/>
      </c>
      <c r="M248" s="38" t="str">
        <f t="shared" si="64"/>
        <v/>
      </c>
      <c r="N248" s="38" t="str">
        <f t="shared" si="65"/>
        <v/>
      </c>
      <c r="O248" s="38" t="str">
        <f t="shared" si="66"/>
        <v/>
      </c>
      <c r="P248" s="38" t="str">
        <f t="shared" si="67"/>
        <v/>
      </c>
      <c r="Q248" s="38" t="str">
        <f t="shared" si="68"/>
        <v/>
      </c>
      <c r="R248" s="38" t="str">
        <f t="shared" si="69"/>
        <v/>
      </c>
      <c r="S248" s="38" t="str">
        <f t="shared" si="70"/>
        <v/>
      </c>
      <c r="T248" s="38" t="str">
        <f t="shared" si="71"/>
        <v/>
      </c>
      <c r="AG248" s="38"/>
    </row>
    <row r="249" spans="1:33" x14ac:dyDescent="0.2">
      <c r="A249" t="str">
        <f t="shared" si="57"/>
        <v/>
      </c>
      <c r="B249" s="38" t="str">
        <f t="shared" si="58"/>
        <v/>
      </c>
      <c r="C249" s="38" t="str">
        <f t="shared" si="59"/>
        <v/>
      </c>
      <c r="D249" s="38" t="str">
        <f t="shared" si="60"/>
        <v/>
      </c>
      <c r="E249" s="38" t="str">
        <f t="shared" si="61"/>
        <v/>
      </c>
      <c r="F249" s="38" t="str">
        <f t="shared" si="62"/>
        <v/>
      </c>
      <c r="G249" s="38" t="str">
        <f t="shared" si="72"/>
        <v/>
      </c>
      <c r="H249" s="38" t="str">
        <f t="shared" si="73"/>
        <v/>
      </c>
      <c r="L249" t="str">
        <f t="shared" si="63"/>
        <v/>
      </c>
      <c r="M249" s="38" t="str">
        <f t="shared" si="64"/>
        <v/>
      </c>
      <c r="N249" s="38" t="str">
        <f t="shared" si="65"/>
        <v/>
      </c>
      <c r="O249" s="38" t="str">
        <f t="shared" si="66"/>
        <v/>
      </c>
      <c r="P249" s="38" t="str">
        <f t="shared" si="67"/>
        <v/>
      </c>
      <c r="Q249" s="38" t="str">
        <f t="shared" si="68"/>
        <v/>
      </c>
      <c r="R249" s="38" t="str">
        <f t="shared" si="69"/>
        <v/>
      </c>
      <c r="S249" s="38" t="str">
        <f t="shared" si="70"/>
        <v/>
      </c>
      <c r="T249" s="38" t="str">
        <f t="shared" si="71"/>
        <v/>
      </c>
      <c r="AG249" s="38"/>
    </row>
    <row r="250" spans="1:33" x14ac:dyDescent="0.2">
      <c r="A250" t="str">
        <f t="shared" si="57"/>
        <v/>
      </c>
      <c r="B250" s="38" t="str">
        <f t="shared" si="58"/>
        <v/>
      </c>
      <c r="C250" s="38" t="str">
        <f t="shared" si="59"/>
        <v/>
      </c>
      <c r="D250" s="38" t="str">
        <f t="shared" si="60"/>
        <v/>
      </c>
      <c r="E250" s="38" t="str">
        <f t="shared" si="61"/>
        <v/>
      </c>
      <c r="F250" s="38" t="str">
        <f t="shared" si="62"/>
        <v/>
      </c>
      <c r="G250" s="38" t="str">
        <f t="shared" si="72"/>
        <v/>
      </c>
      <c r="H250" s="38" t="str">
        <f t="shared" si="73"/>
        <v/>
      </c>
      <c r="L250" t="str">
        <f t="shared" si="63"/>
        <v/>
      </c>
      <c r="M250" s="38" t="str">
        <f t="shared" si="64"/>
        <v/>
      </c>
      <c r="N250" s="38" t="str">
        <f t="shared" si="65"/>
        <v/>
      </c>
      <c r="O250" s="38" t="str">
        <f t="shared" si="66"/>
        <v/>
      </c>
      <c r="P250" s="38" t="str">
        <f t="shared" si="67"/>
        <v/>
      </c>
      <c r="Q250" s="38" t="str">
        <f t="shared" si="68"/>
        <v/>
      </c>
      <c r="R250" s="38" t="str">
        <f t="shared" si="69"/>
        <v/>
      </c>
      <c r="S250" s="38" t="str">
        <f t="shared" si="70"/>
        <v/>
      </c>
      <c r="T250" s="38" t="str">
        <f t="shared" si="71"/>
        <v/>
      </c>
      <c r="AG250" s="38"/>
    </row>
    <row r="251" spans="1:33" x14ac:dyDescent="0.2">
      <c r="A251" t="str">
        <f t="shared" si="57"/>
        <v/>
      </c>
      <c r="B251" s="38" t="str">
        <f t="shared" si="58"/>
        <v/>
      </c>
      <c r="C251" s="38" t="str">
        <f t="shared" si="59"/>
        <v/>
      </c>
      <c r="D251" s="38" t="str">
        <f t="shared" si="60"/>
        <v/>
      </c>
      <c r="E251" s="38" t="str">
        <f t="shared" si="61"/>
        <v/>
      </c>
      <c r="F251" s="38" t="str">
        <f t="shared" si="62"/>
        <v/>
      </c>
      <c r="G251" s="38" t="str">
        <f t="shared" si="72"/>
        <v/>
      </c>
      <c r="H251" s="38" t="str">
        <f t="shared" si="73"/>
        <v/>
      </c>
      <c r="L251" t="str">
        <f t="shared" si="63"/>
        <v/>
      </c>
      <c r="M251" s="38" t="str">
        <f t="shared" si="64"/>
        <v/>
      </c>
      <c r="N251" s="38" t="str">
        <f t="shared" si="65"/>
        <v/>
      </c>
      <c r="O251" s="38" t="str">
        <f t="shared" si="66"/>
        <v/>
      </c>
      <c r="P251" s="38" t="str">
        <f t="shared" si="67"/>
        <v/>
      </c>
      <c r="Q251" s="38" t="str">
        <f t="shared" si="68"/>
        <v/>
      </c>
      <c r="R251" s="38" t="str">
        <f t="shared" si="69"/>
        <v/>
      </c>
      <c r="S251" s="38" t="str">
        <f t="shared" si="70"/>
        <v/>
      </c>
      <c r="T251" s="38" t="str">
        <f t="shared" si="71"/>
        <v/>
      </c>
      <c r="AG251" s="38"/>
    </row>
    <row r="252" spans="1:33" x14ac:dyDescent="0.2">
      <c r="A252" t="str">
        <f t="shared" si="57"/>
        <v/>
      </c>
      <c r="B252" s="38" t="str">
        <f t="shared" si="58"/>
        <v/>
      </c>
      <c r="C252" s="38" t="str">
        <f t="shared" si="59"/>
        <v/>
      </c>
      <c r="D252" s="38" t="str">
        <f t="shared" si="60"/>
        <v/>
      </c>
      <c r="E252" s="38" t="str">
        <f t="shared" si="61"/>
        <v/>
      </c>
      <c r="F252" s="38" t="str">
        <f t="shared" si="62"/>
        <v/>
      </c>
      <c r="G252" s="38" t="str">
        <f t="shared" si="72"/>
        <v/>
      </c>
      <c r="H252" s="38" t="str">
        <f t="shared" si="73"/>
        <v/>
      </c>
      <c r="L252" t="str">
        <f t="shared" si="63"/>
        <v/>
      </c>
      <c r="M252" s="38" t="str">
        <f t="shared" si="64"/>
        <v/>
      </c>
      <c r="N252" s="38" t="str">
        <f t="shared" si="65"/>
        <v/>
      </c>
      <c r="O252" s="38" t="str">
        <f t="shared" si="66"/>
        <v/>
      </c>
      <c r="P252" s="38" t="str">
        <f t="shared" si="67"/>
        <v/>
      </c>
      <c r="Q252" s="38" t="str">
        <f t="shared" si="68"/>
        <v/>
      </c>
      <c r="R252" s="38" t="str">
        <f t="shared" si="69"/>
        <v/>
      </c>
      <c r="S252" s="38" t="str">
        <f t="shared" si="70"/>
        <v/>
      </c>
      <c r="T252" s="38" t="str">
        <f t="shared" si="71"/>
        <v/>
      </c>
      <c r="AG252" s="38"/>
    </row>
    <row r="253" spans="1:33" x14ac:dyDescent="0.2">
      <c r="A253" t="str">
        <f t="shared" si="57"/>
        <v/>
      </c>
      <c r="B253" s="38" t="str">
        <f t="shared" si="58"/>
        <v/>
      </c>
      <c r="C253" s="38" t="str">
        <f t="shared" si="59"/>
        <v/>
      </c>
      <c r="D253" s="38" t="str">
        <f t="shared" si="60"/>
        <v/>
      </c>
      <c r="E253" s="38" t="str">
        <f t="shared" si="61"/>
        <v/>
      </c>
      <c r="F253" s="38" t="str">
        <f t="shared" si="62"/>
        <v/>
      </c>
      <c r="G253" s="38" t="str">
        <f t="shared" si="72"/>
        <v/>
      </c>
      <c r="H253" s="38" t="str">
        <f t="shared" si="73"/>
        <v/>
      </c>
      <c r="L253" t="str">
        <f t="shared" si="63"/>
        <v/>
      </c>
      <c r="M253" s="38" t="str">
        <f t="shared" si="64"/>
        <v/>
      </c>
      <c r="N253" s="38" t="str">
        <f t="shared" si="65"/>
        <v/>
      </c>
      <c r="O253" s="38" t="str">
        <f t="shared" si="66"/>
        <v/>
      </c>
      <c r="P253" s="38" t="str">
        <f t="shared" si="67"/>
        <v/>
      </c>
      <c r="Q253" s="38" t="str">
        <f t="shared" si="68"/>
        <v/>
      </c>
      <c r="R253" s="38" t="str">
        <f t="shared" si="69"/>
        <v/>
      </c>
      <c r="S253" s="38" t="str">
        <f t="shared" si="70"/>
        <v/>
      </c>
      <c r="T253" s="38" t="str">
        <f t="shared" si="71"/>
        <v/>
      </c>
      <c r="AG253" s="38"/>
    </row>
    <row r="254" spans="1:33" x14ac:dyDescent="0.2">
      <c r="A254" t="str">
        <f t="shared" si="57"/>
        <v/>
      </c>
      <c r="B254" s="38" t="str">
        <f t="shared" si="58"/>
        <v/>
      </c>
      <c r="C254" s="38" t="str">
        <f t="shared" si="59"/>
        <v/>
      </c>
      <c r="D254" s="38" t="str">
        <f t="shared" si="60"/>
        <v/>
      </c>
      <c r="E254" s="38" t="str">
        <f t="shared" si="61"/>
        <v/>
      </c>
      <c r="F254" s="38" t="str">
        <f t="shared" si="62"/>
        <v/>
      </c>
      <c r="G254" s="38" t="str">
        <f t="shared" si="72"/>
        <v/>
      </c>
      <c r="H254" s="38" t="str">
        <f t="shared" si="73"/>
        <v/>
      </c>
      <c r="L254" t="str">
        <f t="shared" si="63"/>
        <v/>
      </c>
      <c r="M254" s="38" t="str">
        <f t="shared" si="64"/>
        <v/>
      </c>
      <c r="N254" s="38" t="str">
        <f t="shared" si="65"/>
        <v/>
      </c>
      <c r="O254" s="38" t="str">
        <f t="shared" si="66"/>
        <v/>
      </c>
      <c r="P254" s="38" t="str">
        <f t="shared" si="67"/>
        <v/>
      </c>
      <c r="Q254" s="38" t="str">
        <f t="shared" si="68"/>
        <v/>
      </c>
      <c r="R254" s="38" t="str">
        <f t="shared" si="69"/>
        <v/>
      </c>
      <c r="S254" s="38" t="str">
        <f t="shared" si="70"/>
        <v/>
      </c>
      <c r="T254" s="38" t="str">
        <f t="shared" si="71"/>
        <v/>
      </c>
      <c r="AG254" s="38"/>
    </row>
    <row r="255" spans="1:33" x14ac:dyDescent="0.2">
      <c r="A255" t="str">
        <f t="shared" si="57"/>
        <v/>
      </c>
      <c r="B255" s="38" t="str">
        <f t="shared" si="58"/>
        <v/>
      </c>
      <c r="C255" s="38" t="str">
        <f t="shared" si="59"/>
        <v/>
      </c>
      <c r="D255" s="38" t="str">
        <f t="shared" si="60"/>
        <v/>
      </c>
      <c r="E255" s="38" t="str">
        <f t="shared" si="61"/>
        <v/>
      </c>
      <c r="F255" s="38" t="str">
        <f t="shared" si="62"/>
        <v/>
      </c>
      <c r="G255" s="38" t="str">
        <f t="shared" si="72"/>
        <v/>
      </c>
      <c r="H255" s="38" t="str">
        <f t="shared" si="73"/>
        <v/>
      </c>
      <c r="L255" t="str">
        <f t="shared" si="63"/>
        <v/>
      </c>
      <c r="M255" s="38" t="str">
        <f t="shared" si="64"/>
        <v/>
      </c>
      <c r="N255" s="38" t="str">
        <f t="shared" si="65"/>
        <v/>
      </c>
      <c r="O255" s="38" t="str">
        <f t="shared" si="66"/>
        <v/>
      </c>
      <c r="P255" s="38" t="str">
        <f t="shared" si="67"/>
        <v/>
      </c>
      <c r="Q255" s="38" t="str">
        <f t="shared" si="68"/>
        <v/>
      </c>
      <c r="R255" s="38" t="str">
        <f t="shared" si="69"/>
        <v/>
      </c>
      <c r="S255" s="38" t="str">
        <f t="shared" si="70"/>
        <v/>
      </c>
      <c r="T255" s="38" t="str">
        <f t="shared" si="71"/>
        <v/>
      </c>
      <c r="AG255" s="38"/>
    </row>
    <row r="256" spans="1:33" x14ac:dyDescent="0.2">
      <c r="A256" t="str">
        <f t="shared" si="57"/>
        <v/>
      </c>
      <c r="B256" s="38" t="str">
        <f t="shared" si="58"/>
        <v/>
      </c>
      <c r="C256" s="38" t="str">
        <f t="shared" si="59"/>
        <v/>
      </c>
      <c r="D256" s="38" t="str">
        <f t="shared" si="60"/>
        <v/>
      </c>
      <c r="E256" s="38" t="str">
        <f t="shared" si="61"/>
        <v/>
      </c>
      <c r="F256" s="38" t="str">
        <f t="shared" si="62"/>
        <v/>
      </c>
      <c r="G256" s="38" t="str">
        <f t="shared" si="72"/>
        <v/>
      </c>
      <c r="H256" s="38" t="str">
        <f t="shared" si="73"/>
        <v/>
      </c>
      <c r="L256" t="str">
        <f t="shared" si="63"/>
        <v/>
      </c>
      <c r="M256" s="38" t="str">
        <f t="shared" si="64"/>
        <v/>
      </c>
      <c r="N256" s="38" t="str">
        <f t="shared" si="65"/>
        <v/>
      </c>
      <c r="O256" s="38" t="str">
        <f t="shared" si="66"/>
        <v/>
      </c>
      <c r="P256" s="38" t="str">
        <f t="shared" si="67"/>
        <v/>
      </c>
      <c r="Q256" s="38" t="str">
        <f t="shared" si="68"/>
        <v/>
      </c>
      <c r="R256" s="38" t="str">
        <f t="shared" si="69"/>
        <v/>
      </c>
      <c r="S256" s="38" t="str">
        <f t="shared" si="70"/>
        <v/>
      </c>
      <c r="T256" s="38" t="str">
        <f t="shared" si="71"/>
        <v/>
      </c>
      <c r="AG256" s="38"/>
    </row>
    <row r="257" spans="1:33" x14ac:dyDescent="0.2">
      <c r="A257" t="str">
        <f t="shared" si="57"/>
        <v/>
      </c>
      <c r="B257" s="38" t="str">
        <f t="shared" si="58"/>
        <v/>
      </c>
      <c r="C257" s="38" t="str">
        <f t="shared" si="59"/>
        <v/>
      </c>
      <c r="D257" s="38" t="str">
        <f t="shared" si="60"/>
        <v/>
      </c>
      <c r="E257" s="38" t="str">
        <f t="shared" si="61"/>
        <v/>
      </c>
      <c r="F257" s="38" t="str">
        <f t="shared" si="62"/>
        <v/>
      </c>
      <c r="G257" s="38" t="str">
        <f t="shared" si="72"/>
        <v/>
      </c>
      <c r="H257" s="38" t="str">
        <f t="shared" si="73"/>
        <v/>
      </c>
      <c r="L257" t="str">
        <f t="shared" si="63"/>
        <v/>
      </c>
      <c r="M257" s="38" t="str">
        <f t="shared" si="64"/>
        <v/>
      </c>
      <c r="N257" s="38" t="str">
        <f t="shared" si="65"/>
        <v/>
      </c>
      <c r="O257" s="38" t="str">
        <f t="shared" si="66"/>
        <v/>
      </c>
      <c r="P257" s="38" t="str">
        <f t="shared" si="67"/>
        <v/>
      </c>
      <c r="Q257" s="38" t="str">
        <f t="shared" si="68"/>
        <v/>
      </c>
      <c r="R257" s="38" t="str">
        <f t="shared" si="69"/>
        <v/>
      </c>
      <c r="S257" s="38" t="str">
        <f t="shared" si="70"/>
        <v/>
      </c>
      <c r="T257" s="38" t="str">
        <f t="shared" si="71"/>
        <v/>
      </c>
      <c r="AG257" s="38"/>
    </row>
    <row r="258" spans="1:33" x14ac:dyDescent="0.2">
      <c r="A258" t="str">
        <f t="shared" si="57"/>
        <v/>
      </c>
      <c r="B258" s="38" t="str">
        <f t="shared" si="58"/>
        <v/>
      </c>
      <c r="C258" s="38" t="str">
        <f t="shared" si="59"/>
        <v/>
      </c>
      <c r="D258" s="38" t="str">
        <f t="shared" si="60"/>
        <v/>
      </c>
      <c r="E258" s="38" t="str">
        <f t="shared" si="61"/>
        <v/>
      </c>
      <c r="F258" s="38" t="str">
        <f t="shared" si="62"/>
        <v/>
      </c>
      <c r="G258" s="38" t="str">
        <f t="shared" si="72"/>
        <v/>
      </c>
      <c r="H258" s="38" t="str">
        <f t="shared" si="73"/>
        <v/>
      </c>
      <c r="L258" t="str">
        <f t="shared" si="63"/>
        <v/>
      </c>
      <c r="M258" s="38" t="str">
        <f t="shared" si="64"/>
        <v/>
      </c>
      <c r="N258" s="38" t="str">
        <f t="shared" si="65"/>
        <v/>
      </c>
      <c r="O258" s="38" t="str">
        <f t="shared" si="66"/>
        <v/>
      </c>
      <c r="P258" s="38" t="str">
        <f t="shared" si="67"/>
        <v/>
      </c>
      <c r="Q258" s="38" t="str">
        <f t="shared" si="68"/>
        <v/>
      </c>
      <c r="R258" s="38" t="str">
        <f t="shared" si="69"/>
        <v/>
      </c>
      <c r="S258" s="38" t="str">
        <f t="shared" si="70"/>
        <v/>
      </c>
      <c r="T258" s="38" t="str">
        <f t="shared" si="71"/>
        <v/>
      </c>
      <c r="AG258" s="38"/>
    </row>
    <row r="259" spans="1:33" x14ac:dyDescent="0.2">
      <c r="A259" t="str">
        <f t="shared" si="57"/>
        <v/>
      </c>
      <c r="B259" s="38" t="str">
        <f t="shared" si="58"/>
        <v/>
      </c>
      <c r="C259" s="38" t="str">
        <f t="shared" si="59"/>
        <v/>
      </c>
      <c r="D259" s="38" t="str">
        <f t="shared" si="60"/>
        <v/>
      </c>
      <c r="E259" s="38" t="str">
        <f t="shared" si="61"/>
        <v/>
      </c>
      <c r="F259" s="38" t="str">
        <f t="shared" si="62"/>
        <v/>
      </c>
      <c r="G259" s="38" t="str">
        <f t="shared" si="72"/>
        <v/>
      </c>
      <c r="H259" s="38" t="str">
        <f t="shared" si="73"/>
        <v/>
      </c>
      <c r="L259" t="str">
        <f t="shared" si="63"/>
        <v/>
      </c>
      <c r="M259" s="38" t="str">
        <f t="shared" si="64"/>
        <v/>
      </c>
      <c r="N259" s="38" t="str">
        <f t="shared" si="65"/>
        <v/>
      </c>
      <c r="O259" s="38" t="str">
        <f t="shared" si="66"/>
        <v/>
      </c>
      <c r="P259" s="38" t="str">
        <f t="shared" si="67"/>
        <v/>
      </c>
      <c r="Q259" s="38" t="str">
        <f t="shared" si="68"/>
        <v/>
      </c>
      <c r="R259" s="38" t="str">
        <f t="shared" si="69"/>
        <v/>
      </c>
      <c r="S259" s="38" t="str">
        <f t="shared" si="70"/>
        <v/>
      </c>
      <c r="T259" s="38" t="str">
        <f t="shared" si="71"/>
        <v/>
      </c>
      <c r="AG259" s="38"/>
    </row>
    <row r="260" spans="1:33" x14ac:dyDescent="0.2">
      <c r="A260" t="str">
        <f t="shared" si="57"/>
        <v/>
      </c>
      <c r="B260" s="38" t="str">
        <f t="shared" si="58"/>
        <v/>
      </c>
      <c r="C260" s="38" t="str">
        <f t="shared" si="59"/>
        <v/>
      </c>
      <c r="D260" s="38" t="str">
        <f t="shared" si="60"/>
        <v/>
      </c>
      <c r="E260" s="38" t="str">
        <f t="shared" si="61"/>
        <v/>
      </c>
      <c r="F260" s="38" t="str">
        <f t="shared" si="62"/>
        <v/>
      </c>
      <c r="G260" s="38" t="str">
        <f t="shared" si="72"/>
        <v/>
      </c>
      <c r="H260" s="38" t="str">
        <f t="shared" si="73"/>
        <v/>
      </c>
      <c r="L260" t="str">
        <f t="shared" si="63"/>
        <v/>
      </c>
      <c r="M260" s="38" t="str">
        <f t="shared" si="64"/>
        <v/>
      </c>
      <c r="N260" s="38" t="str">
        <f t="shared" si="65"/>
        <v/>
      </c>
      <c r="O260" s="38" t="str">
        <f t="shared" si="66"/>
        <v/>
      </c>
      <c r="P260" s="38" t="str">
        <f t="shared" si="67"/>
        <v/>
      </c>
      <c r="Q260" s="38" t="str">
        <f t="shared" si="68"/>
        <v/>
      </c>
      <c r="R260" s="38" t="str">
        <f t="shared" si="69"/>
        <v/>
      </c>
      <c r="S260" s="38" t="str">
        <f t="shared" si="70"/>
        <v/>
      </c>
      <c r="T260" s="38" t="str">
        <f t="shared" si="71"/>
        <v/>
      </c>
      <c r="AG260" s="38"/>
    </row>
    <row r="261" spans="1:33" x14ac:dyDescent="0.2">
      <c r="A261" t="str">
        <f t="shared" si="57"/>
        <v/>
      </c>
      <c r="B261" s="38" t="str">
        <f t="shared" si="58"/>
        <v/>
      </c>
      <c r="C261" s="38" t="str">
        <f t="shared" si="59"/>
        <v/>
      </c>
      <c r="D261" s="38" t="str">
        <f t="shared" si="60"/>
        <v/>
      </c>
      <c r="E261" s="38" t="str">
        <f t="shared" si="61"/>
        <v/>
      </c>
      <c r="F261" s="38" t="str">
        <f t="shared" si="62"/>
        <v/>
      </c>
      <c r="G261" s="38" t="str">
        <f t="shared" si="72"/>
        <v/>
      </c>
      <c r="H261" s="38" t="str">
        <f t="shared" si="73"/>
        <v/>
      </c>
      <c r="L261" t="str">
        <f t="shared" si="63"/>
        <v/>
      </c>
      <c r="M261" s="38" t="str">
        <f t="shared" si="64"/>
        <v/>
      </c>
      <c r="N261" s="38" t="str">
        <f t="shared" si="65"/>
        <v/>
      </c>
      <c r="O261" s="38" t="str">
        <f t="shared" si="66"/>
        <v/>
      </c>
      <c r="P261" s="38" t="str">
        <f t="shared" si="67"/>
        <v/>
      </c>
      <c r="Q261" s="38" t="str">
        <f t="shared" si="68"/>
        <v/>
      </c>
      <c r="R261" s="38" t="str">
        <f t="shared" si="69"/>
        <v/>
      </c>
      <c r="S261" s="38" t="str">
        <f t="shared" si="70"/>
        <v/>
      </c>
      <c r="T261" s="38" t="str">
        <f t="shared" si="71"/>
        <v/>
      </c>
      <c r="AG261" s="38"/>
    </row>
    <row r="262" spans="1:33" x14ac:dyDescent="0.2">
      <c r="A262" t="str">
        <f t="shared" si="57"/>
        <v/>
      </c>
      <c r="B262" s="38" t="str">
        <f t="shared" si="58"/>
        <v/>
      </c>
      <c r="C262" s="38" t="str">
        <f t="shared" si="59"/>
        <v/>
      </c>
      <c r="D262" s="38" t="str">
        <f t="shared" si="60"/>
        <v/>
      </c>
      <c r="E262" s="38" t="str">
        <f t="shared" si="61"/>
        <v/>
      </c>
      <c r="F262" s="38" t="str">
        <f t="shared" si="62"/>
        <v/>
      </c>
      <c r="G262" s="38" t="str">
        <f t="shared" si="72"/>
        <v/>
      </c>
      <c r="H262" s="38" t="str">
        <f t="shared" si="73"/>
        <v/>
      </c>
      <c r="L262" t="str">
        <f t="shared" si="63"/>
        <v/>
      </c>
      <c r="M262" s="38" t="str">
        <f t="shared" si="64"/>
        <v/>
      </c>
      <c r="N262" s="38" t="str">
        <f t="shared" si="65"/>
        <v/>
      </c>
      <c r="O262" s="38" t="str">
        <f t="shared" si="66"/>
        <v/>
      </c>
      <c r="P262" s="38" t="str">
        <f t="shared" si="67"/>
        <v/>
      </c>
      <c r="Q262" s="38" t="str">
        <f t="shared" si="68"/>
        <v/>
      </c>
      <c r="R262" s="38" t="str">
        <f t="shared" si="69"/>
        <v/>
      </c>
      <c r="S262" s="38" t="str">
        <f t="shared" si="70"/>
        <v/>
      </c>
      <c r="T262" s="38" t="str">
        <f t="shared" si="71"/>
        <v/>
      </c>
      <c r="AG262" s="38"/>
    </row>
    <row r="263" spans="1:33" x14ac:dyDescent="0.2">
      <c r="A263" t="str">
        <f t="shared" si="57"/>
        <v/>
      </c>
      <c r="B263" s="38" t="str">
        <f t="shared" si="58"/>
        <v/>
      </c>
      <c r="C263" s="38" t="str">
        <f t="shared" si="59"/>
        <v/>
      </c>
      <c r="D263" s="38" t="str">
        <f t="shared" si="60"/>
        <v/>
      </c>
      <c r="E263" s="38" t="str">
        <f t="shared" si="61"/>
        <v/>
      </c>
      <c r="F263" s="38" t="str">
        <f t="shared" si="62"/>
        <v/>
      </c>
      <c r="G263" s="38" t="str">
        <f t="shared" si="72"/>
        <v/>
      </c>
      <c r="H263" s="38" t="str">
        <f t="shared" si="73"/>
        <v/>
      </c>
      <c r="L263" t="str">
        <f t="shared" si="63"/>
        <v/>
      </c>
      <c r="M263" s="38" t="str">
        <f t="shared" si="64"/>
        <v/>
      </c>
      <c r="N263" s="38" t="str">
        <f t="shared" si="65"/>
        <v/>
      </c>
      <c r="O263" s="38" t="str">
        <f t="shared" si="66"/>
        <v/>
      </c>
      <c r="P263" s="38" t="str">
        <f t="shared" si="67"/>
        <v/>
      </c>
      <c r="Q263" s="38" t="str">
        <f t="shared" si="68"/>
        <v/>
      </c>
      <c r="R263" s="38" t="str">
        <f t="shared" si="69"/>
        <v/>
      </c>
      <c r="S263" s="38" t="str">
        <f t="shared" si="70"/>
        <v/>
      </c>
      <c r="T263" s="38" t="str">
        <f t="shared" si="71"/>
        <v/>
      </c>
      <c r="AG263" s="38"/>
    </row>
    <row r="264" spans="1:33" x14ac:dyDescent="0.2">
      <c r="A264" t="str">
        <f t="shared" si="57"/>
        <v/>
      </c>
      <c r="B264" s="38" t="str">
        <f t="shared" si="58"/>
        <v/>
      </c>
      <c r="C264" s="38" t="str">
        <f t="shared" si="59"/>
        <v/>
      </c>
      <c r="D264" s="38" t="str">
        <f t="shared" si="60"/>
        <v/>
      </c>
      <c r="E264" s="38" t="str">
        <f t="shared" si="61"/>
        <v/>
      </c>
      <c r="F264" s="38" t="str">
        <f t="shared" si="62"/>
        <v/>
      </c>
      <c r="G264" s="38" t="str">
        <f t="shared" si="72"/>
        <v/>
      </c>
      <c r="H264" s="38" t="str">
        <f t="shared" si="73"/>
        <v/>
      </c>
      <c r="L264" t="str">
        <f t="shared" si="63"/>
        <v/>
      </c>
      <c r="M264" s="38" t="str">
        <f t="shared" si="64"/>
        <v/>
      </c>
      <c r="N264" s="38" t="str">
        <f t="shared" si="65"/>
        <v/>
      </c>
      <c r="O264" s="38" t="str">
        <f t="shared" si="66"/>
        <v/>
      </c>
      <c r="P264" s="38" t="str">
        <f t="shared" si="67"/>
        <v/>
      </c>
      <c r="Q264" s="38" t="str">
        <f t="shared" si="68"/>
        <v/>
      </c>
      <c r="R264" s="38" t="str">
        <f t="shared" si="69"/>
        <v/>
      </c>
      <c r="S264" s="38" t="str">
        <f t="shared" si="70"/>
        <v/>
      </c>
      <c r="T264" s="38" t="str">
        <f t="shared" si="71"/>
        <v/>
      </c>
      <c r="AG264" s="38"/>
    </row>
    <row r="265" spans="1:33" x14ac:dyDescent="0.2">
      <c r="A265" t="str">
        <f t="shared" si="57"/>
        <v/>
      </c>
      <c r="B265" s="38" t="str">
        <f t="shared" si="58"/>
        <v/>
      </c>
      <c r="C265" s="38" t="str">
        <f t="shared" si="59"/>
        <v/>
      </c>
      <c r="D265" s="38" t="str">
        <f t="shared" si="60"/>
        <v/>
      </c>
      <c r="E265" s="38" t="str">
        <f t="shared" si="61"/>
        <v/>
      </c>
      <c r="F265" s="38" t="str">
        <f t="shared" si="62"/>
        <v/>
      </c>
      <c r="G265" s="38" t="str">
        <f t="shared" si="72"/>
        <v/>
      </c>
      <c r="H265" s="38" t="str">
        <f t="shared" si="73"/>
        <v/>
      </c>
      <c r="L265" t="str">
        <f t="shared" si="63"/>
        <v/>
      </c>
      <c r="M265" s="38" t="str">
        <f t="shared" si="64"/>
        <v/>
      </c>
      <c r="N265" s="38" t="str">
        <f t="shared" si="65"/>
        <v/>
      </c>
      <c r="O265" s="38" t="str">
        <f t="shared" si="66"/>
        <v/>
      </c>
      <c r="P265" s="38" t="str">
        <f t="shared" si="67"/>
        <v/>
      </c>
      <c r="Q265" s="38" t="str">
        <f t="shared" si="68"/>
        <v/>
      </c>
      <c r="R265" s="38" t="str">
        <f t="shared" si="69"/>
        <v/>
      </c>
      <c r="S265" s="38" t="str">
        <f t="shared" si="70"/>
        <v/>
      </c>
      <c r="T265" s="38" t="str">
        <f t="shared" si="71"/>
        <v/>
      </c>
      <c r="AG265" s="38"/>
    </row>
    <row r="266" spans="1:33" x14ac:dyDescent="0.2">
      <c r="A266" t="str">
        <f t="shared" si="57"/>
        <v/>
      </c>
      <c r="B266" s="38" t="str">
        <f t="shared" si="58"/>
        <v/>
      </c>
      <c r="C266" s="38" t="str">
        <f t="shared" si="59"/>
        <v/>
      </c>
      <c r="D266" s="38" t="str">
        <f t="shared" si="60"/>
        <v/>
      </c>
      <c r="E266" s="38" t="str">
        <f t="shared" si="61"/>
        <v/>
      </c>
      <c r="F266" s="38" t="str">
        <f t="shared" si="62"/>
        <v/>
      </c>
      <c r="G266" s="38" t="str">
        <f t="shared" si="72"/>
        <v/>
      </c>
      <c r="H266" s="38" t="str">
        <f t="shared" si="73"/>
        <v/>
      </c>
      <c r="L266" t="str">
        <f t="shared" si="63"/>
        <v/>
      </c>
      <c r="M266" s="38" t="str">
        <f t="shared" si="64"/>
        <v/>
      </c>
      <c r="N266" s="38" t="str">
        <f t="shared" si="65"/>
        <v/>
      </c>
      <c r="O266" s="38" t="str">
        <f t="shared" si="66"/>
        <v/>
      </c>
      <c r="P266" s="38" t="str">
        <f t="shared" si="67"/>
        <v/>
      </c>
      <c r="Q266" s="38" t="str">
        <f t="shared" si="68"/>
        <v/>
      </c>
      <c r="R266" s="38" t="str">
        <f t="shared" si="69"/>
        <v/>
      </c>
      <c r="S266" s="38" t="str">
        <f t="shared" si="70"/>
        <v/>
      </c>
      <c r="T266" s="38" t="str">
        <f t="shared" si="71"/>
        <v/>
      </c>
      <c r="AG266" s="38"/>
    </row>
    <row r="267" spans="1:33" x14ac:dyDescent="0.2">
      <c r="A267" t="str">
        <f t="shared" si="57"/>
        <v/>
      </c>
      <c r="B267" s="38" t="str">
        <f t="shared" si="58"/>
        <v/>
      </c>
      <c r="C267" s="38" t="str">
        <f t="shared" si="59"/>
        <v/>
      </c>
      <c r="D267" s="38" t="str">
        <f t="shared" si="60"/>
        <v/>
      </c>
      <c r="E267" s="38" t="str">
        <f t="shared" si="61"/>
        <v/>
      </c>
      <c r="F267" s="38" t="str">
        <f t="shared" si="62"/>
        <v/>
      </c>
      <c r="G267" s="38" t="str">
        <f t="shared" si="72"/>
        <v/>
      </c>
      <c r="H267" s="38" t="str">
        <f t="shared" si="73"/>
        <v/>
      </c>
      <c r="L267" t="str">
        <f t="shared" si="63"/>
        <v/>
      </c>
      <c r="M267" s="38" t="str">
        <f t="shared" si="64"/>
        <v/>
      </c>
      <c r="N267" s="38" t="str">
        <f t="shared" si="65"/>
        <v/>
      </c>
      <c r="O267" s="38" t="str">
        <f t="shared" si="66"/>
        <v/>
      </c>
      <c r="P267" s="38" t="str">
        <f t="shared" si="67"/>
        <v/>
      </c>
      <c r="Q267" s="38" t="str">
        <f t="shared" si="68"/>
        <v/>
      </c>
      <c r="R267" s="38" t="str">
        <f t="shared" si="69"/>
        <v/>
      </c>
      <c r="S267" s="38" t="str">
        <f t="shared" si="70"/>
        <v/>
      </c>
      <c r="T267" s="38" t="str">
        <f t="shared" si="71"/>
        <v/>
      </c>
      <c r="AG267" s="38"/>
    </row>
    <row r="268" spans="1:33" x14ac:dyDescent="0.2">
      <c r="A268" t="str">
        <f t="shared" si="57"/>
        <v/>
      </c>
      <c r="B268" s="38" t="str">
        <f t="shared" si="58"/>
        <v/>
      </c>
      <c r="C268" s="38" t="str">
        <f t="shared" si="59"/>
        <v/>
      </c>
      <c r="D268" s="38" t="str">
        <f t="shared" si="60"/>
        <v/>
      </c>
      <c r="E268" s="38" t="str">
        <f t="shared" si="61"/>
        <v/>
      </c>
      <c r="F268" s="38" t="str">
        <f t="shared" si="62"/>
        <v/>
      </c>
      <c r="G268" s="38" t="str">
        <f t="shared" si="72"/>
        <v/>
      </c>
      <c r="H268" s="38" t="str">
        <f t="shared" si="73"/>
        <v/>
      </c>
      <c r="L268" t="str">
        <f t="shared" si="63"/>
        <v/>
      </c>
      <c r="M268" s="38" t="str">
        <f t="shared" si="64"/>
        <v/>
      </c>
      <c r="N268" s="38" t="str">
        <f t="shared" si="65"/>
        <v/>
      </c>
      <c r="O268" s="38" t="str">
        <f t="shared" si="66"/>
        <v/>
      </c>
      <c r="P268" s="38" t="str">
        <f t="shared" si="67"/>
        <v/>
      </c>
      <c r="Q268" s="38" t="str">
        <f t="shared" si="68"/>
        <v/>
      </c>
      <c r="R268" s="38" t="str">
        <f t="shared" si="69"/>
        <v/>
      </c>
      <c r="S268" s="38" t="str">
        <f t="shared" si="70"/>
        <v/>
      </c>
      <c r="T268" s="38" t="str">
        <f t="shared" si="71"/>
        <v/>
      </c>
      <c r="AG268" s="38"/>
    </row>
    <row r="269" spans="1:33" x14ac:dyDescent="0.2">
      <c r="A269" t="str">
        <f t="shared" si="57"/>
        <v/>
      </c>
      <c r="B269" s="38" t="str">
        <f t="shared" si="58"/>
        <v/>
      </c>
      <c r="C269" s="38" t="str">
        <f t="shared" si="59"/>
        <v/>
      </c>
      <c r="D269" s="38" t="str">
        <f t="shared" si="60"/>
        <v/>
      </c>
      <c r="E269" s="38" t="str">
        <f t="shared" si="61"/>
        <v/>
      </c>
      <c r="F269" s="38" t="str">
        <f t="shared" si="62"/>
        <v/>
      </c>
      <c r="G269" s="38" t="str">
        <f t="shared" si="72"/>
        <v/>
      </c>
      <c r="H269" s="38" t="str">
        <f t="shared" si="73"/>
        <v/>
      </c>
      <c r="L269" t="str">
        <f t="shared" si="63"/>
        <v/>
      </c>
      <c r="M269" s="38" t="str">
        <f t="shared" si="64"/>
        <v/>
      </c>
      <c r="N269" s="38" t="str">
        <f t="shared" si="65"/>
        <v/>
      </c>
      <c r="O269" s="38" t="str">
        <f t="shared" si="66"/>
        <v/>
      </c>
      <c r="P269" s="38" t="str">
        <f t="shared" si="67"/>
        <v/>
      </c>
      <c r="Q269" s="38" t="str">
        <f t="shared" si="68"/>
        <v/>
      </c>
      <c r="R269" s="38" t="str">
        <f t="shared" si="69"/>
        <v/>
      </c>
      <c r="S269" s="38" t="str">
        <f t="shared" si="70"/>
        <v/>
      </c>
      <c r="T269" s="38" t="str">
        <f t="shared" si="71"/>
        <v/>
      </c>
      <c r="AG269" s="38"/>
    </row>
    <row r="270" spans="1:33" x14ac:dyDescent="0.2">
      <c r="A270" t="str">
        <f t="shared" si="57"/>
        <v/>
      </c>
      <c r="B270" s="38" t="str">
        <f t="shared" si="58"/>
        <v/>
      </c>
      <c r="C270" s="38" t="str">
        <f t="shared" si="59"/>
        <v/>
      </c>
      <c r="D270" s="38" t="str">
        <f t="shared" si="60"/>
        <v/>
      </c>
      <c r="E270" s="38" t="str">
        <f t="shared" si="61"/>
        <v/>
      </c>
      <c r="F270" s="38" t="str">
        <f t="shared" si="62"/>
        <v/>
      </c>
      <c r="G270" s="38" t="str">
        <f t="shared" si="72"/>
        <v/>
      </c>
      <c r="H270" s="38" t="str">
        <f t="shared" si="73"/>
        <v/>
      </c>
      <c r="L270" t="str">
        <f t="shared" si="63"/>
        <v/>
      </c>
      <c r="M270" s="38" t="str">
        <f t="shared" si="64"/>
        <v/>
      </c>
      <c r="N270" s="38" t="str">
        <f t="shared" si="65"/>
        <v/>
      </c>
      <c r="O270" s="38" t="str">
        <f t="shared" si="66"/>
        <v/>
      </c>
      <c r="P270" s="38" t="str">
        <f t="shared" si="67"/>
        <v/>
      </c>
      <c r="Q270" s="38" t="str">
        <f t="shared" si="68"/>
        <v/>
      </c>
      <c r="R270" s="38" t="str">
        <f t="shared" si="69"/>
        <v/>
      </c>
      <c r="S270" s="38" t="str">
        <f t="shared" si="70"/>
        <v/>
      </c>
      <c r="T270" s="38" t="str">
        <f t="shared" si="71"/>
        <v/>
      </c>
      <c r="AG270" s="38"/>
    </row>
    <row r="271" spans="1:33" x14ac:dyDescent="0.2">
      <c r="A271" t="str">
        <f t="shared" si="57"/>
        <v/>
      </c>
      <c r="B271" s="38" t="str">
        <f t="shared" si="58"/>
        <v/>
      </c>
      <c r="C271" s="38" t="str">
        <f t="shared" si="59"/>
        <v/>
      </c>
      <c r="D271" s="38" t="str">
        <f t="shared" si="60"/>
        <v/>
      </c>
      <c r="E271" s="38" t="str">
        <f t="shared" si="61"/>
        <v/>
      </c>
      <c r="F271" s="38" t="str">
        <f t="shared" si="62"/>
        <v/>
      </c>
      <c r="G271" s="38" t="str">
        <f t="shared" si="72"/>
        <v/>
      </c>
      <c r="H271" s="38" t="str">
        <f t="shared" si="73"/>
        <v/>
      </c>
      <c r="L271" t="str">
        <f t="shared" si="63"/>
        <v/>
      </c>
      <c r="M271" s="38" t="str">
        <f t="shared" si="64"/>
        <v/>
      </c>
      <c r="N271" s="38" t="str">
        <f t="shared" si="65"/>
        <v/>
      </c>
      <c r="O271" s="38" t="str">
        <f t="shared" si="66"/>
        <v/>
      </c>
      <c r="P271" s="38" t="str">
        <f t="shared" si="67"/>
        <v/>
      </c>
      <c r="Q271" s="38" t="str">
        <f t="shared" si="68"/>
        <v/>
      </c>
      <c r="R271" s="38" t="str">
        <f t="shared" si="69"/>
        <v/>
      </c>
      <c r="S271" s="38" t="str">
        <f t="shared" si="70"/>
        <v/>
      </c>
      <c r="T271" s="38" t="str">
        <f t="shared" si="71"/>
        <v/>
      </c>
      <c r="AG271" s="38"/>
    </row>
    <row r="272" spans="1:33" x14ac:dyDescent="0.2">
      <c r="A272" t="str">
        <f t="shared" si="57"/>
        <v/>
      </c>
      <c r="B272" s="38" t="str">
        <f t="shared" si="58"/>
        <v/>
      </c>
      <c r="C272" s="38" t="str">
        <f t="shared" si="59"/>
        <v/>
      </c>
      <c r="D272" s="38" t="str">
        <f t="shared" si="60"/>
        <v/>
      </c>
      <c r="E272" s="38" t="str">
        <f t="shared" si="61"/>
        <v/>
      </c>
      <c r="F272" s="38" t="str">
        <f t="shared" si="62"/>
        <v/>
      </c>
      <c r="G272" s="38" t="str">
        <f t="shared" si="72"/>
        <v/>
      </c>
      <c r="H272" s="38" t="str">
        <f t="shared" si="73"/>
        <v/>
      </c>
      <c r="L272" t="str">
        <f t="shared" si="63"/>
        <v/>
      </c>
      <c r="M272" s="38" t="str">
        <f t="shared" si="64"/>
        <v/>
      </c>
      <c r="N272" s="38" t="str">
        <f t="shared" si="65"/>
        <v/>
      </c>
      <c r="O272" s="38" t="str">
        <f t="shared" si="66"/>
        <v/>
      </c>
      <c r="P272" s="38" t="str">
        <f t="shared" si="67"/>
        <v/>
      </c>
      <c r="Q272" s="38" t="str">
        <f t="shared" si="68"/>
        <v/>
      </c>
      <c r="R272" s="38" t="str">
        <f t="shared" si="69"/>
        <v/>
      </c>
      <c r="S272" s="38" t="str">
        <f t="shared" si="70"/>
        <v/>
      </c>
      <c r="T272" s="38" t="str">
        <f t="shared" si="71"/>
        <v/>
      </c>
      <c r="AG272" s="38"/>
    </row>
    <row r="273" spans="1:33" x14ac:dyDescent="0.2">
      <c r="A273" t="str">
        <f t="shared" si="57"/>
        <v/>
      </c>
      <c r="B273" s="38" t="str">
        <f t="shared" si="58"/>
        <v/>
      </c>
      <c r="C273" s="38" t="str">
        <f t="shared" si="59"/>
        <v/>
      </c>
      <c r="D273" s="38" t="str">
        <f t="shared" si="60"/>
        <v/>
      </c>
      <c r="E273" s="38" t="str">
        <f t="shared" si="61"/>
        <v/>
      </c>
      <c r="F273" s="38" t="str">
        <f t="shared" si="62"/>
        <v/>
      </c>
      <c r="G273" s="38" t="str">
        <f t="shared" si="72"/>
        <v/>
      </c>
      <c r="H273" s="38" t="str">
        <f t="shared" si="73"/>
        <v/>
      </c>
      <c r="L273" t="str">
        <f t="shared" si="63"/>
        <v/>
      </c>
      <c r="M273" s="38" t="str">
        <f t="shared" si="64"/>
        <v/>
      </c>
      <c r="N273" s="38" t="str">
        <f t="shared" si="65"/>
        <v/>
      </c>
      <c r="O273" s="38" t="str">
        <f t="shared" si="66"/>
        <v/>
      </c>
      <c r="P273" s="38" t="str">
        <f t="shared" si="67"/>
        <v/>
      </c>
      <c r="Q273" s="38" t="str">
        <f t="shared" si="68"/>
        <v/>
      </c>
      <c r="R273" s="38" t="str">
        <f t="shared" si="69"/>
        <v/>
      </c>
      <c r="S273" s="38" t="str">
        <f t="shared" si="70"/>
        <v/>
      </c>
      <c r="T273" s="38" t="str">
        <f t="shared" si="71"/>
        <v/>
      </c>
      <c r="AG273" s="38"/>
    </row>
    <row r="274" spans="1:33" x14ac:dyDescent="0.2">
      <c r="A274" t="str">
        <f t="shared" si="57"/>
        <v/>
      </c>
      <c r="B274" s="38" t="str">
        <f t="shared" si="58"/>
        <v/>
      </c>
      <c r="C274" s="38" t="str">
        <f t="shared" si="59"/>
        <v/>
      </c>
      <c r="D274" s="38" t="str">
        <f t="shared" si="60"/>
        <v/>
      </c>
      <c r="E274" s="38" t="str">
        <f t="shared" si="61"/>
        <v/>
      </c>
      <c r="F274" s="38" t="str">
        <f t="shared" si="62"/>
        <v/>
      </c>
      <c r="G274" s="38" t="str">
        <f t="shared" si="72"/>
        <v/>
      </c>
      <c r="H274" s="38" t="str">
        <f t="shared" si="73"/>
        <v/>
      </c>
      <c r="L274" t="str">
        <f t="shared" si="63"/>
        <v/>
      </c>
      <c r="M274" s="38" t="str">
        <f t="shared" si="64"/>
        <v/>
      </c>
      <c r="N274" s="38" t="str">
        <f t="shared" si="65"/>
        <v/>
      </c>
      <c r="O274" s="38" t="str">
        <f t="shared" si="66"/>
        <v/>
      </c>
      <c r="P274" s="38" t="str">
        <f t="shared" si="67"/>
        <v/>
      </c>
      <c r="Q274" s="38" t="str">
        <f t="shared" si="68"/>
        <v/>
      </c>
      <c r="R274" s="38" t="str">
        <f t="shared" si="69"/>
        <v/>
      </c>
      <c r="S274" s="38" t="str">
        <f t="shared" si="70"/>
        <v/>
      </c>
      <c r="T274" s="38" t="str">
        <f t="shared" si="71"/>
        <v/>
      </c>
      <c r="AG274" s="38"/>
    </row>
    <row r="275" spans="1:33" x14ac:dyDescent="0.2">
      <c r="A275" t="str">
        <f t="shared" si="57"/>
        <v/>
      </c>
      <c r="B275" s="38" t="str">
        <f t="shared" si="58"/>
        <v/>
      </c>
      <c r="C275" s="38" t="str">
        <f t="shared" si="59"/>
        <v/>
      </c>
      <c r="D275" s="38" t="str">
        <f t="shared" si="60"/>
        <v/>
      </c>
      <c r="E275" s="38" t="str">
        <f t="shared" si="61"/>
        <v/>
      </c>
      <c r="F275" s="38" t="str">
        <f t="shared" si="62"/>
        <v/>
      </c>
      <c r="G275" s="38" t="str">
        <f t="shared" si="72"/>
        <v/>
      </c>
      <c r="H275" s="38" t="str">
        <f t="shared" si="73"/>
        <v/>
      </c>
      <c r="L275" t="str">
        <f t="shared" si="63"/>
        <v/>
      </c>
      <c r="M275" s="38" t="str">
        <f t="shared" si="64"/>
        <v/>
      </c>
      <c r="N275" s="38" t="str">
        <f t="shared" si="65"/>
        <v/>
      </c>
      <c r="O275" s="38" t="str">
        <f t="shared" si="66"/>
        <v/>
      </c>
      <c r="P275" s="38" t="str">
        <f t="shared" si="67"/>
        <v/>
      </c>
      <c r="Q275" s="38" t="str">
        <f t="shared" si="68"/>
        <v/>
      </c>
      <c r="R275" s="38" t="str">
        <f t="shared" si="69"/>
        <v/>
      </c>
      <c r="S275" s="38" t="str">
        <f t="shared" si="70"/>
        <v/>
      </c>
      <c r="T275" s="38" t="str">
        <f t="shared" si="71"/>
        <v/>
      </c>
      <c r="AG275" s="38"/>
    </row>
    <row r="276" spans="1:33" x14ac:dyDescent="0.2">
      <c r="A276" t="str">
        <f t="shared" si="57"/>
        <v/>
      </c>
      <c r="B276" s="38" t="str">
        <f t="shared" si="58"/>
        <v/>
      </c>
      <c r="C276" s="38" t="str">
        <f t="shared" si="59"/>
        <v/>
      </c>
      <c r="D276" s="38" t="str">
        <f t="shared" si="60"/>
        <v/>
      </c>
      <c r="E276" s="38" t="str">
        <f t="shared" si="61"/>
        <v/>
      </c>
      <c r="F276" s="38" t="str">
        <f t="shared" si="62"/>
        <v/>
      </c>
      <c r="G276" s="38" t="str">
        <f t="shared" si="72"/>
        <v/>
      </c>
      <c r="H276" s="38" t="str">
        <f t="shared" si="73"/>
        <v/>
      </c>
      <c r="L276" t="str">
        <f t="shared" si="63"/>
        <v/>
      </c>
      <c r="M276" s="38" t="str">
        <f t="shared" si="64"/>
        <v/>
      </c>
      <c r="N276" s="38" t="str">
        <f t="shared" si="65"/>
        <v/>
      </c>
      <c r="O276" s="38" t="str">
        <f t="shared" si="66"/>
        <v/>
      </c>
      <c r="P276" s="38" t="str">
        <f t="shared" si="67"/>
        <v/>
      </c>
      <c r="Q276" s="38" t="str">
        <f t="shared" si="68"/>
        <v/>
      </c>
      <c r="R276" s="38" t="str">
        <f t="shared" si="69"/>
        <v/>
      </c>
      <c r="S276" s="38" t="str">
        <f t="shared" si="70"/>
        <v/>
      </c>
      <c r="T276" s="38" t="str">
        <f t="shared" si="71"/>
        <v/>
      </c>
      <c r="AG276" s="38"/>
    </row>
    <row r="277" spans="1:33" x14ac:dyDescent="0.2">
      <c r="A277" t="str">
        <f t="shared" si="57"/>
        <v/>
      </c>
      <c r="B277" s="38" t="str">
        <f t="shared" si="58"/>
        <v/>
      </c>
      <c r="C277" s="38" t="str">
        <f t="shared" si="59"/>
        <v/>
      </c>
      <c r="D277" s="38" t="str">
        <f t="shared" si="60"/>
        <v/>
      </c>
      <c r="E277" s="38" t="str">
        <f t="shared" si="61"/>
        <v/>
      </c>
      <c r="F277" s="38" t="str">
        <f t="shared" si="62"/>
        <v/>
      </c>
      <c r="G277" s="38" t="str">
        <f t="shared" si="72"/>
        <v/>
      </c>
      <c r="H277" s="38" t="str">
        <f t="shared" si="73"/>
        <v/>
      </c>
      <c r="L277" t="str">
        <f t="shared" si="63"/>
        <v/>
      </c>
      <c r="M277" s="38" t="str">
        <f t="shared" si="64"/>
        <v/>
      </c>
      <c r="N277" s="38" t="str">
        <f t="shared" si="65"/>
        <v/>
      </c>
      <c r="O277" s="38" t="str">
        <f t="shared" si="66"/>
        <v/>
      </c>
      <c r="P277" s="38" t="str">
        <f t="shared" si="67"/>
        <v/>
      </c>
      <c r="Q277" s="38" t="str">
        <f t="shared" si="68"/>
        <v/>
      </c>
      <c r="R277" s="38" t="str">
        <f t="shared" si="69"/>
        <v/>
      </c>
      <c r="S277" s="38" t="str">
        <f t="shared" si="70"/>
        <v/>
      </c>
      <c r="T277" s="38" t="str">
        <f t="shared" si="71"/>
        <v/>
      </c>
      <c r="AG277" s="38"/>
    </row>
    <row r="278" spans="1:33" x14ac:dyDescent="0.2">
      <c r="A278" t="str">
        <f t="shared" si="57"/>
        <v/>
      </c>
      <c r="B278" s="38" t="str">
        <f t="shared" si="58"/>
        <v/>
      </c>
      <c r="C278" s="38" t="str">
        <f t="shared" si="59"/>
        <v/>
      </c>
      <c r="D278" s="38" t="str">
        <f t="shared" si="60"/>
        <v/>
      </c>
      <c r="E278" s="38" t="str">
        <f t="shared" si="61"/>
        <v/>
      </c>
      <c r="F278" s="38" t="str">
        <f t="shared" si="62"/>
        <v/>
      </c>
      <c r="G278" s="38" t="str">
        <f t="shared" si="72"/>
        <v/>
      </c>
      <c r="H278" s="38" t="str">
        <f t="shared" si="73"/>
        <v/>
      </c>
      <c r="L278" t="str">
        <f t="shared" si="63"/>
        <v/>
      </c>
      <c r="M278" s="38" t="str">
        <f t="shared" si="64"/>
        <v/>
      </c>
      <c r="N278" s="38" t="str">
        <f t="shared" si="65"/>
        <v/>
      </c>
      <c r="O278" s="38" t="str">
        <f t="shared" si="66"/>
        <v/>
      </c>
      <c r="P278" s="38" t="str">
        <f t="shared" si="67"/>
        <v/>
      </c>
      <c r="Q278" s="38" t="str">
        <f t="shared" si="68"/>
        <v/>
      </c>
      <c r="R278" s="38" t="str">
        <f t="shared" si="69"/>
        <v/>
      </c>
      <c r="S278" s="38" t="str">
        <f t="shared" si="70"/>
        <v/>
      </c>
      <c r="T278" s="38" t="str">
        <f t="shared" si="71"/>
        <v/>
      </c>
      <c r="AG278" s="38"/>
    </row>
    <row r="279" spans="1:33" x14ac:dyDescent="0.2">
      <c r="A279" t="str">
        <f t="shared" si="57"/>
        <v/>
      </c>
      <c r="B279" s="38" t="str">
        <f t="shared" si="58"/>
        <v/>
      </c>
      <c r="C279" s="38" t="str">
        <f t="shared" si="59"/>
        <v/>
      </c>
      <c r="D279" s="38" t="str">
        <f t="shared" si="60"/>
        <v/>
      </c>
      <c r="E279" s="38" t="str">
        <f t="shared" si="61"/>
        <v/>
      </c>
      <c r="F279" s="38" t="str">
        <f t="shared" si="62"/>
        <v/>
      </c>
      <c r="G279" s="38" t="str">
        <f t="shared" si="72"/>
        <v/>
      </c>
      <c r="H279" s="38" t="str">
        <f t="shared" si="73"/>
        <v/>
      </c>
      <c r="L279" t="str">
        <f t="shared" si="63"/>
        <v/>
      </c>
      <c r="M279" s="38" t="str">
        <f t="shared" si="64"/>
        <v/>
      </c>
      <c r="N279" s="38" t="str">
        <f t="shared" si="65"/>
        <v/>
      </c>
      <c r="O279" s="38" t="str">
        <f t="shared" si="66"/>
        <v/>
      </c>
      <c r="P279" s="38" t="str">
        <f t="shared" si="67"/>
        <v/>
      </c>
      <c r="Q279" s="38" t="str">
        <f t="shared" si="68"/>
        <v/>
      </c>
      <c r="R279" s="38" t="str">
        <f t="shared" si="69"/>
        <v/>
      </c>
      <c r="S279" s="38" t="str">
        <f t="shared" si="70"/>
        <v/>
      </c>
      <c r="T279" s="38" t="str">
        <f t="shared" si="71"/>
        <v/>
      </c>
      <c r="AG279" s="38"/>
    </row>
    <row r="280" spans="1:33" x14ac:dyDescent="0.2">
      <c r="A280" t="str">
        <f t="shared" ref="A280:A343" si="74">IF(A279&lt;($B$6*$B$7),A279+1,"")</f>
        <v/>
      </c>
      <c r="B280" s="38" t="str">
        <f t="shared" ref="B280:B343" si="75">IF(A280="","",F279)</f>
        <v/>
      </c>
      <c r="C280" s="38" t="str">
        <f t="shared" ref="C280:C343" si="76">IF(A280="","",(B280*$B$8))</f>
        <v/>
      </c>
      <c r="D280" s="38" t="str">
        <f t="shared" ref="D280:D343" si="77">IF(A280="","", $B$5)</f>
        <v/>
      </c>
      <c r="E280" s="38" t="str">
        <f t="shared" ref="E280:E343" si="78">IF(D280="","",(D280-C280))</f>
        <v/>
      </c>
      <c r="F280" s="38" t="str">
        <f t="shared" ref="F280:F343" si="79">IF(A280="","", B280-E280)</f>
        <v/>
      </c>
      <c r="G280" s="38" t="str">
        <f t="shared" si="72"/>
        <v/>
      </c>
      <c r="H280" s="38" t="str">
        <f t="shared" si="73"/>
        <v/>
      </c>
      <c r="L280" t="str">
        <f t="shared" ref="L280:L343" si="80">IF(L279&lt;($B$6*$B$7),L279+1,"")</f>
        <v/>
      </c>
      <c r="M280" s="38" t="str">
        <f t="shared" ref="M280:M343" si="81">IF(L280="", "", R279)</f>
        <v/>
      </c>
      <c r="N280" s="38" t="str">
        <f t="shared" ref="N280:N343" si="82">IF(L280="","",$B$5)</f>
        <v/>
      </c>
      <c r="O280" s="38" t="str">
        <f t="shared" ref="O280:O343" si="83">IF(L280="","",M280-N280)</f>
        <v/>
      </c>
      <c r="P280" s="38" t="str">
        <f t="shared" ref="P280:P343" si="84">IF(L280="","",O279*$B$8)</f>
        <v/>
      </c>
      <c r="Q280" s="38" t="str">
        <f t="shared" ref="Q280:Q343" si="85">IF(L280="","",N280-P280)</f>
        <v/>
      </c>
      <c r="R280" s="38" t="str">
        <f t="shared" ref="R280:R343" si="86">IF(L280="","",O280*(1+$B$8))</f>
        <v/>
      </c>
      <c r="S280" s="38" t="str">
        <f t="shared" ref="S280:S343" si="87">IF(L280="","",S279+P280)</f>
        <v/>
      </c>
      <c r="T280" s="38" t="str">
        <f t="shared" ref="T280:T343" si="88">IF(L280="","",Q280+T279)</f>
        <v/>
      </c>
      <c r="AG280" s="38"/>
    </row>
    <row r="281" spans="1:33" x14ac:dyDescent="0.2">
      <c r="A281" t="str">
        <f t="shared" si="74"/>
        <v/>
      </c>
      <c r="B281" s="38" t="str">
        <f t="shared" si="75"/>
        <v/>
      </c>
      <c r="C281" s="38" t="str">
        <f t="shared" si="76"/>
        <v/>
      </c>
      <c r="D281" s="38" t="str">
        <f t="shared" si="77"/>
        <v/>
      </c>
      <c r="E281" s="38" t="str">
        <f t="shared" si="78"/>
        <v/>
      </c>
      <c r="F281" s="38" t="str">
        <f t="shared" si="79"/>
        <v/>
      </c>
      <c r="G281" s="38" t="str">
        <f t="shared" si="72"/>
        <v/>
      </c>
      <c r="H281" s="38" t="str">
        <f t="shared" si="73"/>
        <v/>
      </c>
      <c r="L281" t="str">
        <f t="shared" si="80"/>
        <v/>
      </c>
      <c r="M281" s="38" t="str">
        <f t="shared" si="81"/>
        <v/>
      </c>
      <c r="N281" s="38" t="str">
        <f t="shared" si="82"/>
        <v/>
      </c>
      <c r="O281" s="38" t="str">
        <f t="shared" si="83"/>
        <v/>
      </c>
      <c r="P281" s="38" t="str">
        <f t="shared" si="84"/>
        <v/>
      </c>
      <c r="Q281" s="38" t="str">
        <f t="shared" si="85"/>
        <v/>
      </c>
      <c r="R281" s="38" t="str">
        <f t="shared" si="86"/>
        <v/>
      </c>
      <c r="S281" s="38" t="str">
        <f t="shared" si="87"/>
        <v/>
      </c>
      <c r="T281" s="38" t="str">
        <f t="shared" si="88"/>
        <v/>
      </c>
      <c r="AG281" s="38"/>
    </row>
    <row r="282" spans="1:33" x14ac:dyDescent="0.2">
      <c r="A282" t="str">
        <f t="shared" si="74"/>
        <v/>
      </c>
      <c r="B282" s="38" t="str">
        <f t="shared" si="75"/>
        <v/>
      </c>
      <c r="C282" s="38" t="str">
        <f t="shared" si="76"/>
        <v/>
      </c>
      <c r="D282" s="38" t="str">
        <f t="shared" si="77"/>
        <v/>
      </c>
      <c r="E282" s="38" t="str">
        <f t="shared" si="78"/>
        <v/>
      </c>
      <c r="F282" s="38" t="str">
        <f t="shared" si="79"/>
        <v/>
      </c>
      <c r="G282" s="38" t="str">
        <f t="shared" ref="G282:G345" si="89">IF(A282="","", (G281+C282))</f>
        <v/>
      </c>
      <c r="H282" s="38" t="str">
        <f t="shared" ref="H282:H345" si="90">IF(A282="","",(H281+E282))</f>
        <v/>
      </c>
      <c r="L282" t="str">
        <f t="shared" si="80"/>
        <v/>
      </c>
      <c r="M282" s="38" t="str">
        <f t="shared" si="81"/>
        <v/>
      </c>
      <c r="N282" s="38" t="str">
        <f t="shared" si="82"/>
        <v/>
      </c>
      <c r="O282" s="38" t="str">
        <f t="shared" si="83"/>
        <v/>
      </c>
      <c r="P282" s="38" t="str">
        <f t="shared" si="84"/>
        <v/>
      </c>
      <c r="Q282" s="38" t="str">
        <f t="shared" si="85"/>
        <v/>
      </c>
      <c r="R282" s="38" t="str">
        <f t="shared" si="86"/>
        <v/>
      </c>
      <c r="S282" s="38" t="str">
        <f t="shared" si="87"/>
        <v/>
      </c>
      <c r="T282" s="38" t="str">
        <f t="shared" si="88"/>
        <v/>
      </c>
      <c r="AG282" s="38"/>
    </row>
    <row r="283" spans="1:33" x14ac:dyDescent="0.2">
      <c r="A283" t="str">
        <f t="shared" si="74"/>
        <v/>
      </c>
      <c r="B283" s="38" t="str">
        <f t="shared" si="75"/>
        <v/>
      </c>
      <c r="C283" s="38" t="str">
        <f t="shared" si="76"/>
        <v/>
      </c>
      <c r="D283" s="38" t="str">
        <f t="shared" si="77"/>
        <v/>
      </c>
      <c r="E283" s="38" t="str">
        <f t="shared" si="78"/>
        <v/>
      </c>
      <c r="F283" s="38" t="str">
        <f t="shared" si="79"/>
        <v/>
      </c>
      <c r="G283" s="38" t="str">
        <f t="shared" si="89"/>
        <v/>
      </c>
      <c r="H283" s="38" t="str">
        <f t="shared" si="90"/>
        <v/>
      </c>
      <c r="L283" t="str">
        <f t="shared" si="80"/>
        <v/>
      </c>
      <c r="M283" s="38" t="str">
        <f t="shared" si="81"/>
        <v/>
      </c>
      <c r="N283" s="38" t="str">
        <f t="shared" si="82"/>
        <v/>
      </c>
      <c r="O283" s="38" t="str">
        <f t="shared" si="83"/>
        <v/>
      </c>
      <c r="P283" s="38" t="str">
        <f t="shared" si="84"/>
        <v/>
      </c>
      <c r="Q283" s="38" t="str">
        <f t="shared" si="85"/>
        <v/>
      </c>
      <c r="R283" s="38" t="str">
        <f t="shared" si="86"/>
        <v/>
      </c>
      <c r="S283" s="38" t="str">
        <f t="shared" si="87"/>
        <v/>
      </c>
      <c r="T283" s="38" t="str">
        <f t="shared" si="88"/>
        <v/>
      </c>
      <c r="AG283" s="38"/>
    </row>
    <row r="284" spans="1:33" x14ac:dyDescent="0.2">
      <c r="A284" t="str">
        <f t="shared" si="74"/>
        <v/>
      </c>
      <c r="B284" s="38" t="str">
        <f t="shared" si="75"/>
        <v/>
      </c>
      <c r="C284" s="38" t="str">
        <f t="shared" si="76"/>
        <v/>
      </c>
      <c r="D284" s="38" t="str">
        <f t="shared" si="77"/>
        <v/>
      </c>
      <c r="E284" s="38" t="str">
        <f t="shared" si="78"/>
        <v/>
      </c>
      <c r="F284" s="38" t="str">
        <f t="shared" si="79"/>
        <v/>
      </c>
      <c r="G284" s="38" t="str">
        <f t="shared" si="89"/>
        <v/>
      </c>
      <c r="H284" s="38" t="str">
        <f t="shared" si="90"/>
        <v/>
      </c>
      <c r="L284" t="str">
        <f t="shared" si="80"/>
        <v/>
      </c>
      <c r="M284" s="38" t="str">
        <f t="shared" si="81"/>
        <v/>
      </c>
      <c r="N284" s="38" t="str">
        <f t="shared" si="82"/>
        <v/>
      </c>
      <c r="O284" s="38" t="str">
        <f t="shared" si="83"/>
        <v/>
      </c>
      <c r="P284" s="38" t="str">
        <f t="shared" si="84"/>
        <v/>
      </c>
      <c r="Q284" s="38" t="str">
        <f t="shared" si="85"/>
        <v/>
      </c>
      <c r="R284" s="38" t="str">
        <f t="shared" si="86"/>
        <v/>
      </c>
      <c r="S284" s="38" t="str">
        <f t="shared" si="87"/>
        <v/>
      </c>
      <c r="T284" s="38" t="str">
        <f t="shared" si="88"/>
        <v/>
      </c>
      <c r="AG284" s="38"/>
    </row>
    <row r="285" spans="1:33" x14ac:dyDescent="0.2">
      <c r="A285" t="str">
        <f t="shared" si="74"/>
        <v/>
      </c>
      <c r="B285" s="38" t="str">
        <f t="shared" si="75"/>
        <v/>
      </c>
      <c r="C285" s="38" t="str">
        <f t="shared" si="76"/>
        <v/>
      </c>
      <c r="D285" s="38" t="str">
        <f t="shared" si="77"/>
        <v/>
      </c>
      <c r="E285" s="38" t="str">
        <f t="shared" si="78"/>
        <v/>
      </c>
      <c r="F285" s="38" t="str">
        <f t="shared" si="79"/>
        <v/>
      </c>
      <c r="G285" s="38" t="str">
        <f t="shared" si="89"/>
        <v/>
      </c>
      <c r="H285" s="38" t="str">
        <f t="shared" si="90"/>
        <v/>
      </c>
      <c r="L285" t="str">
        <f t="shared" si="80"/>
        <v/>
      </c>
      <c r="M285" s="38" t="str">
        <f t="shared" si="81"/>
        <v/>
      </c>
      <c r="N285" s="38" t="str">
        <f t="shared" si="82"/>
        <v/>
      </c>
      <c r="O285" s="38" t="str">
        <f t="shared" si="83"/>
        <v/>
      </c>
      <c r="P285" s="38" t="str">
        <f t="shared" si="84"/>
        <v/>
      </c>
      <c r="Q285" s="38" t="str">
        <f t="shared" si="85"/>
        <v/>
      </c>
      <c r="R285" s="38" t="str">
        <f t="shared" si="86"/>
        <v/>
      </c>
      <c r="S285" s="38" t="str">
        <f t="shared" si="87"/>
        <v/>
      </c>
      <c r="T285" s="38" t="str">
        <f t="shared" si="88"/>
        <v/>
      </c>
      <c r="AG285" s="38"/>
    </row>
    <row r="286" spans="1:33" x14ac:dyDescent="0.2">
      <c r="A286" t="str">
        <f t="shared" si="74"/>
        <v/>
      </c>
      <c r="B286" s="38" t="str">
        <f t="shared" si="75"/>
        <v/>
      </c>
      <c r="C286" s="38" t="str">
        <f t="shared" si="76"/>
        <v/>
      </c>
      <c r="D286" s="38" t="str">
        <f t="shared" si="77"/>
        <v/>
      </c>
      <c r="E286" s="38" t="str">
        <f t="shared" si="78"/>
        <v/>
      </c>
      <c r="F286" s="38" t="str">
        <f t="shared" si="79"/>
        <v/>
      </c>
      <c r="G286" s="38" t="str">
        <f t="shared" si="89"/>
        <v/>
      </c>
      <c r="H286" s="38" t="str">
        <f t="shared" si="90"/>
        <v/>
      </c>
      <c r="L286" t="str">
        <f t="shared" si="80"/>
        <v/>
      </c>
      <c r="M286" s="38" t="str">
        <f t="shared" si="81"/>
        <v/>
      </c>
      <c r="N286" s="38" t="str">
        <f t="shared" si="82"/>
        <v/>
      </c>
      <c r="O286" s="38" t="str">
        <f t="shared" si="83"/>
        <v/>
      </c>
      <c r="P286" s="38" t="str">
        <f t="shared" si="84"/>
        <v/>
      </c>
      <c r="Q286" s="38" t="str">
        <f t="shared" si="85"/>
        <v/>
      </c>
      <c r="R286" s="38" t="str">
        <f t="shared" si="86"/>
        <v/>
      </c>
      <c r="S286" s="38" t="str">
        <f t="shared" si="87"/>
        <v/>
      </c>
      <c r="T286" s="38" t="str">
        <f t="shared" si="88"/>
        <v/>
      </c>
      <c r="AG286" s="38"/>
    </row>
    <row r="287" spans="1:33" x14ac:dyDescent="0.2">
      <c r="A287" t="str">
        <f t="shared" si="74"/>
        <v/>
      </c>
      <c r="B287" s="38" t="str">
        <f t="shared" si="75"/>
        <v/>
      </c>
      <c r="C287" s="38" t="str">
        <f t="shared" si="76"/>
        <v/>
      </c>
      <c r="D287" s="38" t="str">
        <f t="shared" si="77"/>
        <v/>
      </c>
      <c r="E287" s="38" t="str">
        <f t="shared" si="78"/>
        <v/>
      </c>
      <c r="F287" s="38" t="str">
        <f t="shared" si="79"/>
        <v/>
      </c>
      <c r="G287" s="38" t="str">
        <f t="shared" si="89"/>
        <v/>
      </c>
      <c r="H287" s="38" t="str">
        <f t="shared" si="90"/>
        <v/>
      </c>
      <c r="L287" t="str">
        <f t="shared" si="80"/>
        <v/>
      </c>
      <c r="M287" s="38" t="str">
        <f t="shared" si="81"/>
        <v/>
      </c>
      <c r="N287" s="38" t="str">
        <f t="shared" si="82"/>
        <v/>
      </c>
      <c r="O287" s="38" t="str">
        <f t="shared" si="83"/>
        <v/>
      </c>
      <c r="P287" s="38" t="str">
        <f t="shared" si="84"/>
        <v/>
      </c>
      <c r="Q287" s="38" t="str">
        <f t="shared" si="85"/>
        <v/>
      </c>
      <c r="R287" s="38" t="str">
        <f t="shared" si="86"/>
        <v/>
      </c>
      <c r="S287" s="38" t="str">
        <f t="shared" si="87"/>
        <v/>
      </c>
      <c r="T287" s="38" t="str">
        <f t="shared" si="88"/>
        <v/>
      </c>
      <c r="AG287" s="38"/>
    </row>
    <row r="288" spans="1:33" x14ac:dyDescent="0.2">
      <c r="A288" t="str">
        <f t="shared" si="74"/>
        <v/>
      </c>
      <c r="B288" s="38" t="str">
        <f t="shared" si="75"/>
        <v/>
      </c>
      <c r="C288" s="38" t="str">
        <f t="shared" si="76"/>
        <v/>
      </c>
      <c r="D288" s="38" t="str">
        <f t="shared" si="77"/>
        <v/>
      </c>
      <c r="E288" s="38" t="str">
        <f t="shared" si="78"/>
        <v/>
      </c>
      <c r="F288" s="38" t="str">
        <f t="shared" si="79"/>
        <v/>
      </c>
      <c r="G288" s="38" t="str">
        <f t="shared" si="89"/>
        <v/>
      </c>
      <c r="H288" s="38" t="str">
        <f t="shared" si="90"/>
        <v/>
      </c>
      <c r="L288" t="str">
        <f t="shared" si="80"/>
        <v/>
      </c>
      <c r="M288" s="38" t="str">
        <f t="shared" si="81"/>
        <v/>
      </c>
      <c r="N288" s="38" t="str">
        <f t="shared" si="82"/>
        <v/>
      </c>
      <c r="O288" s="38" t="str">
        <f t="shared" si="83"/>
        <v/>
      </c>
      <c r="P288" s="38" t="str">
        <f t="shared" si="84"/>
        <v/>
      </c>
      <c r="Q288" s="38" t="str">
        <f t="shared" si="85"/>
        <v/>
      </c>
      <c r="R288" s="38" t="str">
        <f t="shared" si="86"/>
        <v/>
      </c>
      <c r="S288" s="38" t="str">
        <f t="shared" si="87"/>
        <v/>
      </c>
      <c r="T288" s="38" t="str">
        <f t="shared" si="88"/>
        <v/>
      </c>
      <c r="AG288" s="38"/>
    </row>
    <row r="289" spans="1:33" x14ac:dyDescent="0.2">
      <c r="A289" t="str">
        <f t="shared" si="74"/>
        <v/>
      </c>
      <c r="B289" s="38" t="str">
        <f t="shared" si="75"/>
        <v/>
      </c>
      <c r="C289" s="38" t="str">
        <f t="shared" si="76"/>
        <v/>
      </c>
      <c r="D289" s="38" t="str">
        <f t="shared" si="77"/>
        <v/>
      </c>
      <c r="E289" s="38" t="str">
        <f t="shared" si="78"/>
        <v/>
      </c>
      <c r="F289" s="38" t="str">
        <f t="shared" si="79"/>
        <v/>
      </c>
      <c r="G289" s="38" t="str">
        <f t="shared" si="89"/>
        <v/>
      </c>
      <c r="H289" s="38" t="str">
        <f t="shared" si="90"/>
        <v/>
      </c>
      <c r="L289" t="str">
        <f t="shared" si="80"/>
        <v/>
      </c>
      <c r="M289" s="38" t="str">
        <f t="shared" si="81"/>
        <v/>
      </c>
      <c r="N289" s="38" t="str">
        <f t="shared" si="82"/>
        <v/>
      </c>
      <c r="O289" s="38" t="str">
        <f t="shared" si="83"/>
        <v/>
      </c>
      <c r="P289" s="38" t="str">
        <f t="shared" si="84"/>
        <v/>
      </c>
      <c r="Q289" s="38" t="str">
        <f t="shared" si="85"/>
        <v/>
      </c>
      <c r="R289" s="38" t="str">
        <f t="shared" si="86"/>
        <v/>
      </c>
      <c r="S289" s="38" t="str">
        <f t="shared" si="87"/>
        <v/>
      </c>
      <c r="T289" s="38" t="str">
        <f t="shared" si="88"/>
        <v/>
      </c>
      <c r="AG289" s="38"/>
    </row>
    <row r="290" spans="1:33" x14ac:dyDescent="0.2">
      <c r="A290" t="str">
        <f t="shared" si="74"/>
        <v/>
      </c>
      <c r="B290" s="38" t="str">
        <f t="shared" si="75"/>
        <v/>
      </c>
      <c r="C290" s="38" t="str">
        <f t="shared" si="76"/>
        <v/>
      </c>
      <c r="D290" s="38" t="str">
        <f t="shared" si="77"/>
        <v/>
      </c>
      <c r="E290" s="38" t="str">
        <f t="shared" si="78"/>
        <v/>
      </c>
      <c r="F290" s="38" t="str">
        <f t="shared" si="79"/>
        <v/>
      </c>
      <c r="G290" s="38" t="str">
        <f t="shared" si="89"/>
        <v/>
      </c>
      <c r="H290" s="38" t="str">
        <f t="shared" si="90"/>
        <v/>
      </c>
      <c r="L290" t="str">
        <f t="shared" si="80"/>
        <v/>
      </c>
      <c r="M290" s="38" t="str">
        <f t="shared" si="81"/>
        <v/>
      </c>
      <c r="N290" s="38" t="str">
        <f t="shared" si="82"/>
        <v/>
      </c>
      <c r="O290" s="38" t="str">
        <f t="shared" si="83"/>
        <v/>
      </c>
      <c r="P290" s="38" t="str">
        <f t="shared" si="84"/>
        <v/>
      </c>
      <c r="Q290" s="38" t="str">
        <f t="shared" si="85"/>
        <v/>
      </c>
      <c r="R290" s="38" t="str">
        <f t="shared" si="86"/>
        <v/>
      </c>
      <c r="S290" s="38" t="str">
        <f t="shared" si="87"/>
        <v/>
      </c>
      <c r="T290" s="38" t="str">
        <f t="shared" si="88"/>
        <v/>
      </c>
      <c r="AG290" s="38"/>
    </row>
    <row r="291" spans="1:33" x14ac:dyDescent="0.2">
      <c r="A291" t="str">
        <f t="shared" si="74"/>
        <v/>
      </c>
      <c r="B291" s="38" t="str">
        <f t="shared" si="75"/>
        <v/>
      </c>
      <c r="C291" s="38" t="str">
        <f t="shared" si="76"/>
        <v/>
      </c>
      <c r="D291" s="38" t="str">
        <f t="shared" si="77"/>
        <v/>
      </c>
      <c r="E291" s="38" t="str">
        <f t="shared" si="78"/>
        <v/>
      </c>
      <c r="F291" s="38" t="str">
        <f t="shared" si="79"/>
        <v/>
      </c>
      <c r="G291" s="38" t="str">
        <f t="shared" si="89"/>
        <v/>
      </c>
      <c r="H291" s="38" t="str">
        <f t="shared" si="90"/>
        <v/>
      </c>
      <c r="L291" t="str">
        <f t="shared" si="80"/>
        <v/>
      </c>
      <c r="M291" s="38" t="str">
        <f t="shared" si="81"/>
        <v/>
      </c>
      <c r="N291" s="38" t="str">
        <f t="shared" si="82"/>
        <v/>
      </c>
      <c r="O291" s="38" t="str">
        <f t="shared" si="83"/>
        <v/>
      </c>
      <c r="P291" s="38" t="str">
        <f t="shared" si="84"/>
        <v/>
      </c>
      <c r="Q291" s="38" t="str">
        <f t="shared" si="85"/>
        <v/>
      </c>
      <c r="R291" s="38" t="str">
        <f t="shared" si="86"/>
        <v/>
      </c>
      <c r="S291" s="38" t="str">
        <f t="shared" si="87"/>
        <v/>
      </c>
      <c r="T291" s="38" t="str">
        <f t="shared" si="88"/>
        <v/>
      </c>
      <c r="AG291" s="38"/>
    </row>
    <row r="292" spans="1:33" x14ac:dyDescent="0.2">
      <c r="A292" t="str">
        <f t="shared" si="74"/>
        <v/>
      </c>
      <c r="B292" s="38" t="str">
        <f t="shared" si="75"/>
        <v/>
      </c>
      <c r="C292" s="38" t="str">
        <f t="shared" si="76"/>
        <v/>
      </c>
      <c r="D292" s="38" t="str">
        <f t="shared" si="77"/>
        <v/>
      </c>
      <c r="E292" s="38" t="str">
        <f t="shared" si="78"/>
        <v/>
      </c>
      <c r="F292" s="38" t="str">
        <f t="shared" si="79"/>
        <v/>
      </c>
      <c r="G292" s="38" t="str">
        <f t="shared" si="89"/>
        <v/>
      </c>
      <c r="H292" s="38" t="str">
        <f t="shared" si="90"/>
        <v/>
      </c>
      <c r="L292" t="str">
        <f t="shared" si="80"/>
        <v/>
      </c>
      <c r="M292" s="38" t="str">
        <f t="shared" si="81"/>
        <v/>
      </c>
      <c r="N292" s="38" t="str">
        <f t="shared" si="82"/>
        <v/>
      </c>
      <c r="O292" s="38" t="str">
        <f t="shared" si="83"/>
        <v/>
      </c>
      <c r="P292" s="38" t="str">
        <f t="shared" si="84"/>
        <v/>
      </c>
      <c r="Q292" s="38" t="str">
        <f t="shared" si="85"/>
        <v/>
      </c>
      <c r="R292" s="38" t="str">
        <f t="shared" si="86"/>
        <v/>
      </c>
      <c r="S292" s="38" t="str">
        <f t="shared" si="87"/>
        <v/>
      </c>
      <c r="T292" s="38" t="str">
        <f t="shared" si="88"/>
        <v/>
      </c>
      <c r="AG292" s="38"/>
    </row>
    <row r="293" spans="1:33" x14ac:dyDescent="0.2">
      <c r="A293" t="str">
        <f t="shared" si="74"/>
        <v/>
      </c>
      <c r="B293" s="38" t="str">
        <f t="shared" si="75"/>
        <v/>
      </c>
      <c r="C293" s="38" t="str">
        <f t="shared" si="76"/>
        <v/>
      </c>
      <c r="D293" s="38" t="str">
        <f t="shared" si="77"/>
        <v/>
      </c>
      <c r="E293" s="38" t="str">
        <f t="shared" si="78"/>
        <v/>
      </c>
      <c r="F293" s="38" t="str">
        <f t="shared" si="79"/>
        <v/>
      </c>
      <c r="G293" s="38" t="str">
        <f t="shared" si="89"/>
        <v/>
      </c>
      <c r="H293" s="38" t="str">
        <f t="shared" si="90"/>
        <v/>
      </c>
      <c r="L293" t="str">
        <f t="shared" si="80"/>
        <v/>
      </c>
      <c r="M293" s="38" t="str">
        <f t="shared" si="81"/>
        <v/>
      </c>
      <c r="N293" s="38" t="str">
        <f t="shared" si="82"/>
        <v/>
      </c>
      <c r="O293" s="38" t="str">
        <f t="shared" si="83"/>
        <v/>
      </c>
      <c r="P293" s="38" t="str">
        <f t="shared" si="84"/>
        <v/>
      </c>
      <c r="Q293" s="38" t="str">
        <f t="shared" si="85"/>
        <v/>
      </c>
      <c r="R293" s="38" t="str">
        <f t="shared" si="86"/>
        <v/>
      </c>
      <c r="S293" s="38" t="str">
        <f t="shared" si="87"/>
        <v/>
      </c>
      <c r="T293" s="38" t="str">
        <f t="shared" si="88"/>
        <v/>
      </c>
      <c r="AG293" s="38"/>
    </row>
    <row r="294" spans="1:33" x14ac:dyDescent="0.2">
      <c r="A294" t="str">
        <f t="shared" si="74"/>
        <v/>
      </c>
      <c r="B294" s="38" t="str">
        <f t="shared" si="75"/>
        <v/>
      </c>
      <c r="C294" s="38" t="str">
        <f t="shared" si="76"/>
        <v/>
      </c>
      <c r="D294" s="38" t="str">
        <f t="shared" si="77"/>
        <v/>
      </c>
      <c r="E294" s="38" t="str">
        <f t="shared" si="78"/>
        <v/>
      </c>
      <c r="F294" s="38" t="str">
        <f t="shared" si="79"/>
        <v/>
      </c>
      <c r="G294" s="38" t="str">
        <f t="shared" si="89"/>
        <v/>
      </c>
      <c r="H294" s="38" t="str">
        <f t="shared" si="90"/>
        <v/>
      </c>
      <c r="L294" t="str">
        <f t="shared" si="80"/>
        <v/>
      </c>
      <c r="M294" s="38" t="str">
        <f t="shared" si="81"/>
        <v/>
      </c>
      <c r="N294" s="38" t="str">
        <f t="shared" si="82"/>
        <v/>
      </c>
      <c r="O294" s="38" t="str">
        <f t="shared" si="83"/>
        <v/>
      </c>
      <c r="P294" s="38" t="str">
        <f t="shared" si="84"/>
        <v/>
      </c>
      <c r="Q294" s="38" t="str">
        <f t="shared" si="85"/>
        <v/>
      </c>
      <c r="R294" s="38" t="str">
        <f t="shared" si="86"/>
        <v/>
      </c>
      <c r="S294" s="38" t="str">
        <f t="shared" si="87"/>
        <v/>
      </c>
      <c r="T294" s="38" t="str">
        <f t="shared" si="88"/>
        <v/>
      </c>
      <c r="AG294" s="38"/>
    </row>
    <row r="295" spans="1:33" x14ac:dyDescent="0.2">
      <c r="A295" t="str">
        <f t="shared" si="74"/>
        <v/>
      </c>
      <c r="B295" s="38" t="str">
        <f t="shared" si="75"/>
        <v/>
      </c>
      <c r="C295" s="38" t="str">
        <f t="shared" si="76"/>
        <v/>
      </c>
      <c r="D295" s="38" t="str">
        <f t="shared" si="77"/>
        <v/>
      </c>
      <c r="E295" s="38" t="str">
        <f t="shared" si="78"/>
        <v/>
      </c>
      <c r="F295" s="38" t="str">
        <f t="shared" si="79"/>
        <v/>
      </c>
      <c r="G295" s="38" t="str">
        <f t="shared" si="89"/>
        <v/>
      </c>
      <c r="H295" s="38" t="str">
        <f t="shared" si="90"/>
        <v/>
      </c>
      <c r="L295" t="str">
        <f t="shared" si="80"/>
        <v/>
      </c>
      <c r="M295" s="38" t="str">
        <f t="shared" si="81"/>
        <v/>
      </c>
      <c r="N295" s="38" t="str">
        <f t="shared" si="82"/>
        <v/>
      </c>
      <c r="O295" s="38" t="str">
        <f t="shared" si="83"/>
        <v/>
      </c>
      <c r="P295" s="38" t="str">
        <f t="shared" si="84"/>
        <v/>
      </c>
      <c r="Q295" s="38" t="str">
        <f t="shared" si="85"/>
        <v/>
      </c>
      <c r="R295" s="38" t="str">
        <f t="shared" si="86"/>
        <v/>
      </c>
      <c r="S295" s="38" t="str">
        <f t="shared" si="87"/>
        <v/>
      </c>
      <c r="T295" s="38" t="str">
        <f t="shared" si="88"/>
        <v/>
      </c>
      <c r="AG295" s="38"/>
    </row>
    <row r="296" spans="1:33" x14ac:dyDescent="0.2">
      <c r="A296" t="str">
        <f t="shared" si="74"/>
        <v/>
      </c>
      <c r="B296" s="38" t="str">
        <f t="shared" si="75"/>
        <v/>
      </c>
      <c r="C296" s="38" t="str">
        <f t="shared" si="76"/>
        <v/>
      </c>
      <c r="D296" s="38" t="str">
        <f t="shared" si="77"/>
        <v/>
      </c>
      <c r="E296" s="38" t="str">
        <f t="shared" si="78"/>
        <v/>
      </c>
      <c r="F296" s="38" t="str">
        <f t="shared" si="79"/>
        <v/>
      </c>
      <c r="G296" s="38" t="str">
        <f t="shared" si="89"/>
        <v/>
      </c>
      <c r="H296" s="38" t="str">
        <f t="shared" si="90"/>
        <v/>
      </c>
      <c r="L296" t="str">
        <f t="shared" si="80"/>
        <v/>
      </c>
      <c r="M296" s="38" t="str">
        <f t="shared" si="81"/>
        <v/>
      </c>
      <c r="N296" s="38" t="str">
        <f t="shared" si="82"/>
        <v/>
      </c>
      <c r="O296" s="38" t="str">
        <f t="shared" si="83"/>
        <v/>
      </c>
      <c r="P296" s="38" t="str">
        <f t="shared" si="84"/>
        <v/>
      </c>
      <c r="Q296" s="38" t="str">
        <f t="shared" si="85"/>
        <v/>
      </c>
      <c r="R296" s="38" t="str">
        <f t="shared" si="86"/>
        <v/>
      </c>
      <c r="S296" s="38" t="str">
        <f t="shared" si="87"/>
        <v/>
      </c>
      <c r="T296" s="38" t="str">
        <f t="shared" si="88"/>
        <v/>
      </c>
      <c r="AG296" s="38"/>
    </row>
    <row r="297" spans="1:33" x14ac:dyDescent="0.2">
      <c r="A297" t="str">
        <f t="shared" si="74"/>
        <v/>
      </c>
      <c r="B297" s="38" t="str">
        <f t="shared" si="75"/>
        <v/>
      </c>
      <c r="C297" s="38" t="str">
        <f t="shared" si="76"/>
        <v/>
      </c>
      <c r="D297" s="38" t="str">
        <f t="shared" si="77"/>
        <v/>
      </c>
      <c r="E297" s="38" t="str">
        <f t="shared" si="78"/>
        <v/>
      </c>
      <c r="F297" s="38" t="str">
        <f t="shared" si="79"/>
        <v/>
      </c>
      <c r="G297" s="38" t="str">
        <f t="shared" si="89"/>
        <v/>
      </c>
      <c r="H297" s="38" t="str">
        <f t="shared" si="90"/>
        <v/>
      </c>
      <c r="L297" t="str">
        <f t="shared" si="80"/>
        <v/>
      </c>
      <c r="M297" s="38" t="str">
        <f t="shared" si="81"/>
        <v/>
      </c>
      <c r="N297" s="38" t="str">
        <f t="shared" si="82"/>
        <v/>
      </c>
      <c r="O297" s="38" t="str">
        <f t="shared" si="83"/>
        <v/>
      </c>
      <c r="P297" s="38" t="str">
        <f t="shared" si="84"/>
        <v/>
      </c>
      <c r="Q297" s="38" t="str">
        <f t="shared" si="85"/>
        <v/>
      </c>
      <c r="R297" s="38" t="str">
        <f t="shared" si="86"/>
        <v/>
      </c>
      <c r="S297" s="38" t="str">
        <f t="shared" si="87"/>
        <v/>
      </c>
      <c r="T297" s="38" t="str">
        <f t="shared" si="88"/>
        <v/>
      </c>
      <c r="AG297" s="38"/>
    </row>
    <row r="298" spans="1:33" x14ac:dyDescent="0.2">
      <c r="A298" t="str">
        <f t="shared" si="74"/>
        <v/>
      </c>
      <c r="B298" s="38" t="str">
        <f t="shared" si="75"/>
        <v/>
      </c>
      <c r="C298" s="38" t="str">
        <f t="shared" si="76"/>
        <v/>
      </c>
      <c r="D298" s="38" t="str">
        <f t="shared" si="77"/>
        <v/>
      </c>
      <c r="E298" s="38" t="str">
        <f t="shared" si="78"/>
        <v/>
      </c>
      <c r="F298" s="38" t="str">
        <f t="shared" si="79"/>
        <v/>
      </c>
      <c r="G298" s="38" t="str">
        <f t="shared" si="89"/>
        <v/>
      </c>
      <c r="H298" s="38" t="str">
        <f t="shared" si="90"/>
        <v/>
      </c>
      <c r="L298" t="str">
        <f t="shared" si="80"/>
        <v/>
      </c>
      <c r="M298" s="38" t="str">
        <f t="shared" si="81"/>
        <v/>
      </c>
      <c r="N298" s="38" t="str">
        <f t="shared" si="82"/>
        <v/>
      </c>
      <c r="O298" s="38" t="str">
        <f t="shared" si="83"/>
        <v/>
      </c>
      <c r="P298" s="38" t="str">
        <f t="shared" si="84"/>
        <v/>
      </c>
      <c r="Q298" s="38" t="str">
        <f t="shared" si="85"/>
        <v/>
      </c>
      <c r="R298" s="38" t="str">
        <f t="shared" si="86"/>
        <v/>
      </c>
      <c r="S298" s="38" t="str">
        <f t="shared" si="87"/>
        <v/>
      </c>
      <c r="T298" s="38" t="str">
        <f t="shared" si="88"/>
        <v/>
      </c>
      <c r="AG298" s="38"/>
    </row>
    <row r="299" spans="1:33" x14ac:dyDescent="0.2">
      <c r="A299" t="str">
        <f t="shared" si="74"/>
        <v/>
      </c>
      <c r="B299" s="38" t="str">
        <f t="shared" si="75"/>
        <v/>
      </c>
      <c r="C299" s="38" t="str">
        <f t="shared" si="76"/>
        <v/>
      </c>
      <c r="D299" s="38" t="str">
        <f t="shared" si="77"/>
        <v/>
      </c>
      <c r="E299" s="38" t="str">
        <f t="shared" si="78"/>
        <v/>
      </c>
      <c r="F299" s="38" t="str">
        <f t="shared" si="79"/>
        <v/>
      </c>
      <c r="G299" s="38" t="str">
        <f t="shared" si="89"/>
        <v/>
      </c>
      <c r="H299" s="38" t="str">
        <f t="shared" si="90"/>
        <v/>
      </c>
      <c r="L299" t="str">
        <f t="shared" si="80"/>
        <v/>
      </c>
      <c r="M299" s="38" t="str">
        <f t="shared" si="81"/>
        <v/>
      </c>
      <c r="N299" s="38" t="str">
        <f t="shared" si="82"/>
        <v/>
      </c>
      <c r="O299" s="38" t="str">
        <f t="shared" si="83"/>
        <v/>
      </c>
      <c r="P299" s="38" t="str">
        <f t="shared" si="84"/>
        <v/>
      </c>
      <c r="Q299" s="38" t="str">
        <f t="shared" si="85"/>
        <v/>
      </c>
      <c r="R299" s="38" t="str">
        <f t="shared" si="86"/>
        <v/>
      </c>
      <c r="S299" s="38" t="str">
        <f t="shared" si="87"/>
        <v/>
      </c>
      <c r="T299" s="38" t="str">
        <f t="shared" si="88"/>
        <v/>
      </c>
      <c r="AG299" s="38"/>
    </row>
    <row r="300" spans="1:33" x14ac:dyDescent="0.2">
      <c r="A300" t="str">
        <f t="shared" si="74"/>
        <v/>
      </c>
      <c r="B300" s="38" t="str">
        <f t="shared" si="75"/>
        <v/>
      </c>
      <c r="C300" s="38" t="str">
        <f t="shared" si="76"/>
        <v/>
      </c>
      <c r="D300" s="38" t="str">
        <f t="shared" si="77"/>
        <v/>
      </c>
      <c r="E300" s="38" t="str">
        <f t="shared" si="78"/>
        <v/>
      </c>
      <c r="F300" s="38" t="str">
        <f t="shared" si="79"/>
        <v/>
      </c>
      <c r="G300" s="38" t="str">
        <f t="shared" si="89"/>
        <v/>
      </c>
      <c r="H300" s="38" t="str">
        <f t="shared" si="90"/>
        <v/>
      </c>
      <c r="L300" t="str">
        <f t="shared" si="80"/>
        <v/>
      </c>
      <c r="M300" s="38" t="str">
        <f t="shared" si="81"/>
        <v/>
      </c>
      <c r="N300" s="38" t="str">
        <f t="shared" si="82"/>
        <v/>
      </c>
      <c r="O300" s="38" t="str">
        <f t="shared" si="83"/>
        <v/>
      </c>
      <c r="P300" s="38" t="str">
        <f t="shared" si="84"/>
        <v/>
      </c>
      <c r="Q300" s="38" t="str">
        <f t="shared" si="85"/>
        <v/>
      </c>
      <c r="R300" s="38" t="str">
        <f t="shared" si="86"/>
        <v/>
      </c>
      <c r="S300" s="38" t="str">
        <f t="shared" si="87"/>
        <v/>
      </c>
      <c r="T300" s="38" t="str">
        <f t="shared" si="88"/>
        <v/>
      </c>
      <c r="AG300" s="38"/>
    </row>
    <row r="301" spans="1:33" x14ac:dyDescent="0.2">
      <c r="A301" t="str">
        <f t="shared" si="74"/>
        <v/>
      </c>
      <c r="B301" s="38" t="str">
        <f t="shared" si="75"/>
        <v/>
      </c>
      <c r="C301" s="38" t="str">
        <f t="shared" si="76"/>
        <v/>
      </c>
      <c r="D301" s="38" t="str">
        <f t="shared" si="77"/>
        <v/>
      </c>
      <c r="E301" s="38" t="str">
        <f t="shared" si="78"/>
        <v/>
      </c>
      <c r="F301" s="38" t="str">
        <f t="shared" si="79"/>
        <v/>
      </c>
      <c r="G301" s="38" t="str">
        <f t="shared" si="89"/>
        <v/>
      </c>
      <c r="H301" s="38" t="str">
        <f t="shared" si="90"/>
        <v/>
      </c>
      <c r="L301" t="str">
        <f t="shared" si="80"/>
        <v/>
      </c>
      <c r="M301" s="38" t="str">
        <f t="shared" si="81"/>
        <v/>
      </c>
      <c r="N301" s="38" t="str">
        <f t="shared" si="82"/>
        <v/>
      </c>
      <c r="O301" s="38" t="str">
        <f t="shared" si="83"/>
        <v/>
      </c>
      <c r="P301" s="38" t="str">
        <f t="shared" si="84"/>
        <v/>
      </c>
      <c r="Q301" s="38" t="str">
        <f t="shared" si="85"/>
        <v/>
      </c>
      <c r="R301" s="38" t="str">
        <f t="shared" si="86"/>
        <v/>
      </c>
      <c r="S301" s="38" t="str">
        <f t="shared" si="87"/>
        <v/>
      </c>
      <c r="T301" s="38" t="str">
        <f t="shared" si="88"/>
        <v/>
      </c>
      <c r="AG301" s="38"/>
    </row>
    <row r="302" spans="1:33" x14ac:dyDescent="0.2">
      <c r="A302" t="str">
        <f t="shared" si="74"/>
        <v/>
      </c>
      <c r="B302" s="38" t="str">
        <f t="shared" si="75"/>
        <v/>
      </c>
      <c r="C302" s="38" t="str">
        <f t="shared" si="76"/>
        <v/>
      </c>
      <c r="D302" s="38" t="str">
        <f t="shared" si="77"/>
        <v/>
      </c>
      <c r="E302" s="38" t="str">
        <f t="shared" si="78"/>
        <v/>
      </c>
      <c r="F302" s="38" t="str">
        <f t="shared" si="79"/>
        <v/>
      </c>
      <c r="G302" s="38" t="str">
        <f t="shared" si="89"/>
        <v/>
      </c>
      <c r="H302" s="38" t="str">
        <f t="shared" si="90"/>
        <v/>
      </c>
      <c r="L302" t="str">
        <f t="shared" si="80"/>
        <v/>
      </c>
      <c r="M302" s="38" t="str">
        <f t="shared" si="81"/>
        <v/>
      </c>
      <c r="N302" s="38" t="str">
        <f t="shared" si="82"/>
        <v/>
      </c>
      <c r="O302" s="38" t="str">
        <f t="shared" si="83"/>
        <v/>
      </c>
      <c r="P302" s="38" t="str">
        <f t="shared" si="84"/>
        <v/>
      </c>
      <c r="Q302" s="38" t="str">
        <f t="shared" si="85"/>
        <v/>
      </c>
      <c r="R302" s="38" t="str">
        <f t="shared" si="86"/>
        <v/>
      </c>
      <c r="S302" s="38" t="str">
        <f t="shared" si="87"/>
        <v/>
      </c>
      <c r="T302" s="38" t="str">
        <f t="shared" si="88"/>
        <v/>
      </c>
      <c r="AG302" s="38"/>
    </row>
    <row r="303" spans="1:33" x14ac:dyDescent="0.2">
      <c r="A303" t="str">
        <f t="shared" si="74"/>
        <v/>
      </c>
      <c r="B303" s="38" t="str">
        <f t="shared" si="75"/>
        <v/>
      </c>
      <c r="C303" s="38" t="str">
        <f t="shared" si="76"/>
        <v/>
      </c>
      <c r="D303" s="38" t="str">
        <f t="shared" si="77"/>
        <v/>
      </c>
      <c r="E303" s="38" t="str">
        <f t="shared" si="78"/>
        <v/>
      </c>
      <c r="F303" s="38" t="str">
        <f t="shared" si="79"/>
        <v/>
      </c>
      <c r="G303" s="38" t="str">
        <f t="shared" si="89"/>
        <v/>
      </c>
      <c r="H303" s="38" t="str">
        <f t="shared" si="90"/>
        <v/>
      </c>
      <c r="L303" t="str">
        <f t="shared" si="80"/>
        <v/>
      </c>
      <c r="M303" s="38" t="str">
        <f t="shared" si="81"/>
        <v/>
      </c>
      <c r="N303" s="38" t="str">
        <f t="shared" si="82"/>
        <v/>
      </c>
      <c r="O303" s="38" t="str">
        <f t="shared" si="83"/>
        <v/>
      </c>
      <c r="P303" s="38" t="str">
        <f t="shared" si="84"/>
        <v/>
      </c>
      <c r="Q303" s="38" t="str">
        <f t="shared" si="85"/>
        <v/>
      </c>
      <c r="R303" s="38" t="str">
        <f t="shared" si="86"/>
        <v/>
      </c>
      <c r="S303" s="38" t="str">
        <f t="shared" si="87"/>
        <v/>
      </c>
      <c r="T303" s="38" t="str">
        <f t="shared" si="88"/>
        <v/>
      </c>
      <c r="AG303" s="38"/>
    </row>
    <row r="304" spans="1:33" x14ac:dyDescent="0.2">
      <c r="A304" t="str">
        <f t="shared" si="74"/>
        <v/>
      </c>
      <c r="B304" s="38" t="str">
        <f t="shared" si="75"/>
        <v/>
      </c>
      <c r="C304" s="38" t="str">
        <f t="shared" si="76"/>
        <v/>
      </c>
      <c r="D304" s="38" t="str">
        <f t="shared" si="77"/>
        <v/>
      </c>
      <c r="E304" s="38" t="str">
        <f t="shared" si="78"/>
        <v/>
      </c>
      <c r="F304" s="38" t="str">
        <f t="shared" si="79"/>
        <v/>
      </c>
      <c r="G304" s="38" t="str">
        <f t="shared" si="89"/>
        <v/>
      </c>
      <c r="H304" s="38" t="str">
        <f t="shared" si="90"/>
        <v/>
      </c>
      <c r="L304" t="str">
        <f t="shared" si="80"/>
        <v/>
      </c>
      <c r="M304" s="38" t="str">
        <f t="shared" si="81"/>
        <v/>
      </c>
      <c r="N304" s="38" t="str">
        <f t="shared" si="82"/>
        <v/>
      </c>
      <c r="O304" s="38" t="str">
        <f t="shared" si="83"/>
        <v/>
      </c>
      <c r="P304" s="38" t="str">
        <f t="shared" si="84"/>
        <v/>
      </c>
      <c r="Q304" s="38" t="str">
        <f t="shared" si="85"/>
        <v/>
      </c>
      <c r="R304" s="38" t="str">
        <f t="shared" si="86"/>
        <v/>
      </c>
      <c r="S304" s="38" t="str">
        <f t="shared" si="87"/>
        <v/>
      </c>
      <c r="T304" s="38" t="str">
        <f t="shared" si="88"/>
        <v/>
      </c>
      <c r="AG304" s="38"/>
    </row>
    <row r="305" spans="1:33" x14ac:dyDescent="0.2">
      <c r="A305" t="str">
        <f t="shared" si="74"/>
        <v/>
      </c>
      <c r="B305" s="38" t="str">
        <f t="shared" si="75"/>
        <v/>
      </c>
      <c r="C305" s="38" t="str">
        <f t="shared" si="76"/>
        <v/>
      </c>
      <c r="D305" s="38" t="str">
        <f t="shared" si="77"/>
        <v/>
      </c>
      <c r="E305" s="38" t="str">
        <f t="shared" si="78"/>
        <v/>
      </c>
      <c r="F305" s="38" t="str">
        <f t="shared" si="79"/>
        <v/>
      </c>
      <c r="G305" s="38" t="str">
        <f t="shared" si="89"/>
        <v/>
      </c>
      <c r="H305" s="38" t="str">
        <f t="shared" si="90"/>
        <v/>
      </c>
      <c r="L305" t="str">
        <f t="shared" si="80"/>
        <v/>
      </c>
      <c r="M305" s="38" t="str">
        <f t="shared" si="81"/>
        <v/>
      </c>
      <c r="N305" s="38" t="str">
        <f t="shared" si="82"/>
        <v/>
      </c>
      <c r="O305" s="38" t="str">
        <f t="shared" si="83"/>
        <v/>
      </c>
      <c r="P305" s="38" t="str">
        <f t="shared" si="84"/>
        <v/>
      </c>
      <c r="Q305" s="38" t="str">
        <f t="shared" si="85"/>
        <v/>
      </c>
      <c r="R305" s="38" t="str">
        <f t="shared" si="86"/>
        <v/>
      </c>
      <c r="S305" s="38" t="str">
        <f t="shared" si="87"/>
        <v/>
      </c>
      <c r="T305" s="38" t="str">
        <f t="shared" si="88"/>
        <v/>
      </c>
      <c r="AG305" s="38"/>
    </row>
    <row r="306" spans="1:33" x14ac:dyDescent="0.2">
      <c r="A306" t="str">
        <f t="shared" si="74"/>
        <v/>
      </c>
      <c r="B306" s="38" t="str">
        <f t="shared" si="75"/>
        <v/>
      </c>
      <c r="C306" s="38" t="str">
        <f t="shared" si="76"/>
        <v/>
      </c>
      <c r="D306" s="38" t="str">
        <f t="shared" si="77"/>
        <v/>
      </c>
      <c r="E306" s="38" t="str">
        <f t="shared" si="78"/>
        <v/>
      </c>
      <c r="F306" s="38" t="str">
        <f t="shared" si="79"/>
        <v/>
      </c>
      <c r="G306" s="38" t="str">
        <f t="shared" si="89"/>
        <v/>
      </c>
      <c r="H306" s="38" t="str">
        <f t="shared" si="90"/>
        <v/>
      </c>
      <c r="L306" t="str">
        <f t="shared" si="80"/>
        <v/>
      </c>
      <c r="M306" s="38" t="str">
        <f t="shared" si="81"/>
        <v/>
      </c>
      <c r="N306" s="38" t="str">
        <f t="shared" si="82"/>
        <v/>
      </c>
      <c r="O306" s="38" t="str">
        <f t="shared" si="83"/>
        <v/>
      </c>
      <c r="P306" s="38" t="str">
        <f t="shared" si="84"/>
        <v/>
      </c>
      <c r="Q306" s="38" t="str">
        <f t="shared" si="85"/>
        <v/>
      </c>
      <c r="R306" s="38" t="str">
        <f t="shared" si="86"/>
        <v/>
      </c>
      <c r="S306" s="38" t="str">
        <f t="shared" si="87"/>
        <v/>
      </c>
      <c r="T306" s="38" t="str">
        <f t="shared" si="88"/>
        <v/>
      </c>
      <c r="AG306" s="38"/>
    </row>
    <row r="307" spans="1:33" x14ac:dyDescent="0.2">
      <c r="A307" t="str">
        <f t="shared" si="74"/>
        <v/>
      </c>
      <c r="B307" s="38" t="str">
        <f t="shared" si="75"/>
        <v/>
      </c>
      <c r="C307" s="38" t="str">
        <f t="shared" si="76"/>
        <v/>
      </c>
      <c r="D307" s="38" t="str">
        <f t="shared" si="77"/>
        <v/>
      </c>
      <c r="E307" s="38" t="str">
        <f t="shared" si="78"/>
        <v/>
      </c>
      <c r="F307" s="38" t="str">
        <f t="shared" si="79"/>
        <v/>
      </c>
      <c r="G307" s="38" t="str">
        <f t="shared" si="89"/>
        <v/>
      </c>
      <c r="H307" s="38" t="str">
        <f t="shared" si="90"/>
        <v/>
      </c>
      <c r="L307" t="str">
        <f t="shared" si="80"/>
        <v/>
      </c>
      <c r="M307" s="38" t="str">
        <f t="shared" si="81"/>
        <v/>
      </c>
      <c r="N307" s="38" t="str">
        <f t="shared" si="82"/>
        <v/>
      </c>
      <c r="O307" s="38" t="str">
        <f t="shared" si="83"/>
        <v/>
      </c>
      <c r="P307" s="38" t="str">
        <f t="shared" si="84"/>
        <v/>
      </c>
      <c r="Q307" s="38" t="str">
        <f t="shared" si="85"/>
        <v/>
      </c>
      <c r="R307" s="38" t="str">
        <f t="shared" si="86"/>
        <v/>
      </c>
      <c r="S307" s="38" t="str">
        <f t="shared" si="87"/>
        <v/>
      </c>
      <c r="T307" s="38" t="str">
        <f t="shared" si="88"/>
        <v/>
      </c>
      <c r="AG307" s="38"/>
    </row>
    <row r="308" spans="1:33" x14ac:dyDescent="0.2">
      <c r="A308" t="str">
        <f t="shared" si="74"/>
        <v/>
      </c>
      <c r="B308" s="38" t="str">
        <f t="shared" si="75"/>
        <v/>
      </c>
      <c r="C308" s="38" t="str">
        <f t="shared" si="76"/>
        <v/>
      </c>
      <c r="D308" s="38" t="str">
        <f t="shared" si="77"/>
        <v/>
      </c>
      <c r="E308" s="38" t="str">
        <f t="shared" si="78"/>
        <v/>
      </c>
      <c r="F308" s="38" t="str">
        <f t="shared" si="79"/>
        <v/>
      </c>
      <c r="G308" s="38" t="str">
        <f t="shared" si="89"/>
        <v/>
      </c>
      <c r="H308" s="38" t="str">
        <f t="shared" si="90"/>
        <v/>
      </c>
      <c r="L308" t="str">
        <f t="shared" si="80"/>
        <v/>
      </c>
      <c r="M308" s="38" t="str">
        <f t="shared" si="81"/>
        <v/>
      </c>
      <c r="N308" s="38" t="str">
        <f t="shared" si="82"/>
        <v/>
      </c>
      <c r="O308" s="38" t="str">
        <f t="shared" si="83"/>
        <v/>
      </c>
      <c r="P308" s="38" t="str">
        <f t="shared" si="84"/>
        <v/>
      </c>
      <c r="Q308" s="38" t="str">
        <f t="shared" si="85"/>
        <v/>
      </c>
      <c r="R308" s="38" t="str">
        <f t="shared" si="86"/>
        <v/>
      </c>
      <c r="S308" s="38" t="str">
        <f t="shared" si="87"/>
        <v/>
      </c>
      <c r="T308" s="38" t="str">
        <f t="shared" si="88"/>
        <v/>
      </c>
      <c r="AG308" s="38"/>
    </row>
    <row r="309" spans="1:33" x14ac:dyDescent="0.2">
      <c r="A309" t="str">
        <f t="shared" si="74"/>
        <v/>
      </c>
      <c r="B309" s="38" t="str">
        <f t="shared" si="75"/>
        <v/>
      </c>
      <c r="C309" s="38" t="str">
        <f t="shared" si="76"/>
        <v/>
      </c>
      <c r="D309" s="38" t="str">
        <f t="shared" si="77"/>
        <v/>
      </c>
      <c r="E309" s="38" t="str">
        <f t="shared" si="78"/>
        <v/>
      </c>
      <c r="F309" s="38" t="str">
        <f t="shared" si="79"/>
        <v/>
      </c>
      <c r="G309" s="38" t="str">
        <f t="shared" si="89"/>
        <v/>
      </c>
      <c r="H309" s="38" t="str">
        <f t="shared" si="90"/>
        <v/>
      </c>
      <c r="L309" t="str">
        <f t="shared" si="80"/>
        <v/>
      </c>
      <c r="M309" s="38" t="str">
        <f t="shared" si="81"/>
        <v/>
      </c>
      <c r="N309" s="38" t="str">
        <f t="shared" si="82"/>
        <v/>
      </c>
      <c r="O309" s="38" t="str">
        <f t="shared" si="83"/>
        <v/>
      </c>
      <c r="P309" s="38" t="str">
        <f t="shared" si="84"/>
        <v/>
      </c>
      <c r="Q309" s="38" t="str">
        <f t="shared" si="85"/>
        <v/>
      </c>
      <c r="R309" s="38" t="str">
        <f t="shared" si="86"/>
        <v/>
      </c>
      <c r="S309" s="38" t="str">
        <f t="shared" si="87"/>
        <v/>
      </c>
      <c r="T309" s="38" t="str">
        <f t="shared" si="88"/>
        <v/>
      </c>
      <c r="AG309" s="38"/>
    </row>
    <row r="310" spans="1:33" x14ac:dyDescent="0.2">
      <c r="A310" t="str">
        <f t="shared" si="74"/>
        <v/>
      </c>
      <c r="B310" s="38" t="str">
        <f t="shared" si="75"/>
        <v/>
      </c>
      <c r="C310" s="38" t="str">
        <f t="shared" si="76"/>
        <v/>
      </c>
      <c r="D310" s="38" t="str">
        <f t="shared" si="77"/>
        <v/>
      </c>
      <c r="E310" s="38" t="str">
        <f t="shared" si="78"/>
        <v/>
      </c>
      <c r="F310" s="38" t="str">
        <f t="shared" si="79"/>
        <v/>
      </c>
      <c r="G310" s="38" t="str">
        <f t="shared" si="89"/>
        <v/>
      </c>
      <c r="H310" s="38" t="str">
        <f t="shared" si="90"/>
        <v/>
      </c>
      <c r="L310" t="str">
        <f t="shared" si="80"/>
        <v/>
      </c>
      <c r="M310" s="38" t="str">
        <f t="shared" si="81"/>
        <v/>
      </c>
      <c r="N310" s="38" t="str">
        <f t="shared" si="82"/>
        <v/>
      </c>
      <c r="O310" s="38" t="str">
        <f t="shared" si="83"/>
        <v/>
      </c>
      <c r="P310" s="38" t="str">
        <f t="shared" si="84"/>
        <v/>
      </c>
      <c r="Q310" s="38" t="str">
        <f t="shared" si="85"/>
        <v/>
      </c>
      <c r="R310" s="38" t="str">
        <f t="shared" si="86"/>
        <v/>
      </c>
      <c r="S310" s="38" t="str">
        <f t="shared" si="87"/>
        <v/>
      </c>
      <c r="T310" s="38" t="str">
        <f t="shared" si="88"/>
        <v/>
      </c>
      <c r="AF310">
        <f t="shared" ref="AF310:AF342" si="91">IF(AF309&lt;($B$6*$B$7),AF309+1,"")</f>
        <v>1</v>
      </c>
      <c r="AG310" s="38" t="str">
        <f t="shared" ref="AG310:AG340" si="92">F311</f>
        <v/>
      </c>
    </row>
    <row r="311" spans="1:33" x14ac:dyDescent="0.2">
      <c r="A311" t="str">
        <f t="shared" si="74"/>
        <v/>
      </c>
      <c r="B311" s="38" t="str">
        <f t="shared" si="75"/>
        <v/>
      </c>
      <c r="C311" s="38" t="str">
        <f t="shared" si="76"/>
        <v/>
      </c>
      <c r="D311" s="38" t="str">
        <f t="shared" si="77"/>
        <v/>
      </c>
      <c r="E311" s="38" t="str">
        <f t="shared" si="78"/>
        <v/>
      </c>
      <c r="F311" s="38" t="str">
        <f t="shared" si="79"/>
        <v/>
      </c>
      <c r="G311" s="38" t="str">
        <f t="shared" si="89"/>
        <v/>
      </c>
      <c r="H311" s="38" t="str">
        <f t="shared" si="90"/>
        <v/>
      </c>
      <c r="L311" t="str">
        <f t="shared" si="80"/>
        <v/>
      </c>
      <c r="M311" s="38" t="str">
        <f t="shared" si="81"/>
        <v/>
      </c>
      <c r="N311" s="38" t="str">
        <f t="shared" si="82"/>
        <v/>
      </c>
      <c r="O311" s="38" t="str">
        <f t="shared" si="83"/>
        <v/>
      </c>
      <c r="P311" s="38" t="str">
        <f t="shared" si="84"/>
        <v/>
      </c>
      <c r="Q311" s="38" t="str">
        <f t="shared" si="85"/>
        <v/>
      </c>
      <c r="R311" s="38" t="str">
        <f t="shared" si="86"/>
        <v/>
      </c>
      <c r="S311" s="38" t="str">
        <f t="shared" si="87"/>
        <v/>
      </c>
      <c r="T311" s="38" t="str">
        <f t="shared" si="88"/>
        <v/>
      </c>
      <c r="AF311">
        <f t="shared" si="91"/>
        <v>2</v>
      </c>
      <c r="AG311" s="38" t="str">
        <f t="shared" si="92"/>
        <v/>
      </c>
    </row>
    <row r="312" spans="1:33" x14ac:dyDescent="0.2">
      <c r="A312" t="str">
        <f t="shared" si="74"/>
        <v/>
      </c>
      <c r="B312" s="38" t="str">
        <f t="shared" si="75"/>
        <v/>
      </c>
      <c r="C312" s="38" t="str">
        <f t="shared" si="76"/>
        <v/>
      </c>
      <c r="D312" s="38" t="str">
        <f t="shared" si="77"/>
        <v/>
      </c>
      <c r="E312" s="38" t="str">
        <f t="shared" si="78"/>
        <v/>
      </c>
      <c r="F312" s="38" t="str">
        <f t="shared" si="79"/>
        <v/>
      </c>
      <c r="G312" s="38" t="str">
        <f t="shared" si="89"/>
        <v/>
      </c>
      <c r="H312" s="38" t="str">
        <f t="shared" si="90"/>
        <v/>
      </c>
      <c r="L312" t="str">
        <f t="shared" si="80"/>
        <v/>
      </c>
      <c r="M312" s="38" t="str">
        <f t="shared" si="81"/>
        <v/>
      </c>
      <c r="N312" s="38" t="str">
        <f t="shared" si="82"/>
        <v/>
      </c>
      <c r="O312" s="38" t="str">
        <f t="shared" si="83"/>
        <v/>
      </c>
      <c r="P312" s="38" t="str">
        <f t="shared" si="84"/>
        <v/>
      </c>
      <c r="Q312" s="38" t="str">
        <f t="shared" si="85"/>
        <v/>
      </c>
      <c r="R312" s="38" t="str">
        <f t="shared" si="86"/>
        <v/>
      </c>
      <c r="S312" s="38" t="str">
        <f t="shared" si="87"/>
        <v/>
      </c>
      <c r="T312" s="38" t="str">
        <f t="shared" si="88"/>
        <v/>
      </c>
      <c r="AF312">
        <f t="shared" si="91"/>
        <v>3</v>
      </c>
      <c r="AG312" s="38" t="str">
        <f t="shared" si="92"/>
        <v/>
      </c>
    </row>
    <row r="313" spans="1:33" x14ac:dyDescent="0.2">
      <c r="A313" t="str">
        <f t="shared" si="74"/>
        <v/>
      </c>
      <c r="B313" s="38" t="str">
        <f t="shared" si="75"/>
        <v/>
      </c>
      <c r="C313" s="38" t="str">
        <f t="shared" si="76"/>
        <v/>
      </c>
      <c r="D313" s="38" t="str">
        <f t="shared" si="77"/>
        <v/>
      </c>
      <c r="E313" s="38" t="str">
        <f t="shared" si="78"/>
        <v/>
      </c>
      <c r="F313" s="38" t="str">
        <f t="shared" si="79"/>
        <v/>
      </c>
      <c r="G313" s="38" t="str">
        <f t="shared" si="89"/>
        <v/>
      </c>
      <c r="H313" s="38" t="str">
        <f t="shared" si="90"/>
        <v/>
      </c>
      <c r="L313" t="str">
        <f t="shared" si="80"/>
        <v/>
      </c>
      <c r="M313" s="38" t="str">
        <f t="shared" si="81"/>
        <v/>
      </c>
      <c r="N313" s="38" t="str">
        <f t="shared" si="82"/>
        <v/>
      </c>
      <c r="O313" s="38" t="str">
        <f t="shared" si="83"/>
        <v/>
      </c>
      <c r="P313" s="38" t="str">
        <f t="shared" si="84"/>
        <v/>
      </c>
      <c r="Q313" s="38" t="str">
        <f t="shared" si="85"/>
        <v/>
      </c>
      <c r="R313" s="38" t="str">
        <f t="shared" si="86"/>
        <v/>
      </c>
      <c r="S313" s="38" t="str">
        <f t="shared" si="87"/>
        <v/>
      </c>
      <c r="T313" s="38" t="str">
        <f t="shared" si="88"/>
        <v/>
      </c>
      <c r="AF313">
        <f t="shared" si="91"/>
        <v>4</v>
      </c>
      <c r="AG313" s="38" t="str">
        <f t="shared" si="92"/>
        <v/>
      </c>
    </row>
    <row r="314" spans="1:33" x14ac:dyDescent="0.2">
      <c r="A314" t="str">
        <f t="shared" si="74"/>
        <v/>
      </c>
      <c r="B314" s="38" t="str">
        <f t="shared" si="75"/>
        <v/>
      </c>
      <c r="C314" s="38" t="str">
        <f t="shared" si="76"/>
        <v/>
      </c>
      <c r="D314" s="38" t="str">
        <f t="shared" si="77"/>
        <v/>
      </c>
      <c r="E314" s="38" t="str">
        <f t="shared" si="78"/>
        <v/>
      </c>
      <c r="F314" s="38" t="str">
        <f t="shared" si="79"/>
        <v/>
      </c>
      <c r="G314" s="38" t="str">
        <f t="shared" si="89"/>
        <v/>
      </c>
      <c r="H314" s="38" t="str">
        <f t="shared" si="90"/>
        <v/>
      </c>
      <c r="L314" t="str">
        <f t="shared" si="80"/>
        <v/>
      </c>
      <c r="M314" s="38" t="str">
        <f t="shared" si="81"/>
        <v/>
      </c>
      <c r="N314" s="38" t="str">
        <f t="shared" si="82"/>
        <v/>
      </c>
      <c r="O314" s="38" t="str">
        <f t="shared" si="83"/>
        <v/>
      </c>
      <c r="P314" s="38" t="str">
        <f t="shared" si="84"/>
        <v/>
      </c>
      <c r="Q314" s="38" t="str">
        <f t="shared" si="85"/>
        <v/>
      </c>
      <c r="R314" s="38" t="str">
        <f t="shared" si="86"/>
        <v/>
      </c>
      <c r="S314" s="38" t="str">
        <f t="shared" si="87"/>
        <v/>
      </c>
      <c r="T314" s="38" t="str">
        <f t="shared" si="88"/>
        <v/>
      </c>
      <c r="AF314">
        <f t="shared" si="91"/>
        <v>5</v>
      </c>
      <c r="AG314" s="38" t="str">
        <f t="shared" si="92"/>
        <v/>
      </c>
    </row>
    <row r="315" spans="1:33" x14ac:dyDescent="0.2">
      <c r="A315" t="str">
        <f t="shared" si="74"/>
        <v/>
      </c>
      <c r="B315" s="38" t="str">
        <f t="shared" si="75"/>
        <v/>
      </c>
      <c r="C315" s="38" t="str">
        <f t="shared" si="76"/>
        <v/>
      </c>
      <c r="D315" s="38" t="str">
        <f t="shared" si="77"/>
        <v/>
      </c>
      <c r="E315" s="38" t="str">
        <f t="shared" si="78"/>
        <v/>
      </c>
      <c r="F315" s="38" t="str">
        <f t="shared" si="79"/>
        <v/>
      </c>
      <c r="G315" s="38" t="str">
        <f t="shared" si="89"/>
        <v/>
      </c>
      <c r="H315" s="38" t="str">
        <f t="shared" si="90"/>
        <v/>
      </c>
      <c r="L315" t="str">
        <f t="shared" si="80"/>
        <v/>
      </c>
      <c r="M315" s="38" t="str">
        <f t="shared" si="81"/>
        <v/>
      </c>
      <c r="N315" s="38" t="str">
        <f t="shared" si="82"/>
        <v/>
      </c>
      <c r="O315" s="38" t="str">
        <f t="shared" si="83"/>
        <v/>
      </c>
      <c r="P315" s="38" t="str">
        <f t="shared" si="84"/>
        <v/>
      </c>
      <c r="Q315" s="38" t="str">
        <f t="shared" si="85"/>
        <v/>
      </c>
      <c r="R315" s="38" t="str">
        <f t="shared" si="86"/>
        <v/>
      </c>
      <c r="S315" s="38" t="str">
        <f t="shared" si="87"/>
        <v/>
      </c>
      <c r="T315" s="38" t="str">
        <f t="shared" si="88"/>
        <v/>
      </c>
      <c r="AF315">
        <f t="shared" si="91"/>
        <v>6</v>
      </c>
      <c r="AG315" s="38" t="str">
        <f t="shared" si="92"/>
        <v/>
      </c>
    </row>
    <row r="316" spans="1:33" x14ac:dyDescent="0.2">
      <c r="A316" t="str">
        <f t="shared" si="74"/>
        <v/>
      </c>
      <c r="B316" s="38" t="str">
        <f t="shared" si="75"/>
        <v/>
      </c>
      <c r="C316" s="38" t="str">
        <f t="shared" si="76"/>
        <v/>
      </c>
      <c r="D316" s="38" t="str">
        <f t="shared" si="77"/>
        <v/>
      </c>
      <c r="E316" s="38" t="str">
        <f t="shared" si="78"/>
        <v/>
      </c>
      <c r="F316" s="38" t="str">
        <f t="shared" si="79"/>
        <v/>
      </c>
      <c r="G316" s="38" t="str">
        <f t="shared" si="89"/>
        <v/>
      </c>
      <c r="H316" s="38" t="str">
        <f t="shared" si="90"/>
        <v/>
      </c>
      <c r="L316" t="str">
        <f t="shared" si="80"/>
        <v/>
      </c>
      <c r="M316" s="38" t="str">
        <f t="shared" si="81"/>
        <v/>
      </c>
      <c r="N316" s="38" t="str">
        <f t="shared" si="82"/>
        <v/>
      </c>
      <c r="O316" s="38" t="str">
        <f t="shared" si="83"/>
        <v/>
      </c>
      <c r="P316" s="38" t="str">
        <f t="shared" si="84"/>
        <v/>
      </c>
      <c r="Q316" s="38" t="str">
        <f t="shared" si="85"/>
        <v/>
      </c>
      <c r="R316" s="38" t="str">
        <f t="shared" si="86"/>
        <v/>
      </c>
      <c r="S316" s="38" t="str">
        <f t="shared" si="87"/>
        <v/>
      </c>
      <c r="T316" s="38" t="str">
        <f t="shared" si="88"/>
        <v/>
      </c>
      <c r="AF316">
        <f t="shared" si="91"/>
        <v>7</v>
      </c>
      <c r="AG316" s="38" t="str">
        <f t="shared" si="92"/>
        <v/>
      </c>
    </row>
    <row r="317" spans="1:33" x14ac:dyDescent="0.2">
      <c r="A317" t="str">
        <f t="shared" si="74"/>
        <v/>
      </c>
      <c r="B317" s="38" t="str">
        <f t="shared" si="75"/>
        <v/>
      </c>
      <c r="C317" s="38" t="str">
        <f t="shared" si="76"/>
        <v/>
      </c>
      <c r="D317" s="38" t="str">
        <f t="shared" si="77"/>
        <v/>
      </c>
      <c r="E317" s="38" t="str">
        <f t="shared" si="78"/>
        <v/>
      </c>
      <c r="F317" s="38" t="str">
        <f t="shared" si="79"/>
        <v/>
      </c>
      <c r="G317" s="38" t="str">
        <f t="shared" si="89"/>
        <v/>
      </c>
      <c r="H317" s="38" t="str">
        <f t="shared" si="90"/>
        <v/>
      </c>
      <c r="L317" t="str">
        <f t="shared" si="80"/>
        <v/>
      </c>
      <c r="M317" s="38" t="str">
        <f t="shared" si="81"/>
        <v/>
      </c>
      <c r="N317" s="38" t="str">
        <f t="shared" si="82"/>
        <v/>
      </c>
      <c r="O317" s="38" t="str">
        <f t="shared" si="83"/>
        <v/>
      </c>
      <c r="P317" s="38" t="str">
        <f t="shared" si="84"/>
        <v/>
      </c>
      <c r="Q317" s="38" t="str">
        <f t="shared" si="85"/>
        <v/>
      </c>
      <c r="R317" s="38" t="str">
        <f t="shared" si="86"/>
        <v/>
      </c>
      <c r="S317" s="38" t="str">
        <f t="shared" si="87"/>
        <v/>
      </c>
      <c r="T317" s="38" t="str">
        <f t="shared" si="88"/>
        <v/>
      </c>
      <c r="AF317">
        <f t="shared" si="91"/>
        <v>8</v>
      </c>
      <c r="AG317" s="38" t="str">
        <f t="shared" si="92"/>
        <v/>
      </c>
    </row>
    <row r="318" spans="1:33" x14ac:dyDescent="0.2">
      <c r="A318" t="str">
        <f t="shared" si="74"/>
        <v/>
      </c>
      <c r="B318" s="38" t="str">
        <f t="shared" si="75"/>
        <v/>
      </c>
      <c r="C318" s="38" t="str">
        <f t="shared" si="76"/>
        <v/>
      </c>
      <c r="D318" s="38" t="str">
        <f t="shared" si="77"/>
        <v/>
      </c>
      <c r="E318" s="38" t="str">
        <f t="shared" si="78"/>
        <v/>
      </c>
      <c r="F318" s="38" t="str">
        <f t="shared" si="79"/>
        <v/>
      </c>
      <c r="G318" s="38" t="str">
        <f t="shared" si="89"/>
        <v/>
      </c>
      <c r="H318" s="38" t="str">
        <f t="shared" si="90"/>
        <v/>
      </c>
      <c r="L318" t="str">
        <f t="shared" si="80"/>
        <v/>
      </c>
      <c r="M318" s="38" t="str">
        <f t="shared" si="81"/>
        <v/>
      </c>
      <c r="N318" s="38" t="str">
        <f t="shared" si="82"/>
        <v/>
      </c>
      <c r="O318" s="38" t="str">
        <f t="shared" si="83"/>
        <v/>
      </c>
      <c r="P318" s="38" t="str">
        <f t="shared" si="84"/>
        <v/>
      </c>
      <c r="Q318" s="38" t="str">
        <f t="shared" si="85"/>
        <v/>
      </c>
      <c r="R318" s="38" t="str">
        <f t="shared" si="86"/>
        <v/>
      </c>
      <c r="S318" s="38" t="str">
        <f t="shared" si="87"/>
        <v/>
      </c>
      <c r="T318" s="38" t="str">
        <f t="shared" si="88"/>
        <v/>
      </c>
      <c r="AF318">
        <f t="shared" si="91"/>
        <v>9</v>
      </c>
      <c r="AG318" s="38" t="str">
        <f t="shared" si="92"/>
        <v/>
      </c>
    </row>
    <row r="319" spans="1:33" x14ac:dyDescent="0.2">
      <c r="A319" t="str">
        <f t="shared" si="74"/>
        <v/>
      </c>
      <c r="B319" s="38" t="str">
        <f t="shared" si="75"/>
        <v/>
      </c>
      <c r="C319" s="38" t="str">
        <f t="shared" si="76"/>
        <v/>
      </c>
      <c r="D319" s="38" t="str">
        <f t="shared" si="77"/>
        <v/>
      </c>
      <c r="E319" s="38" t="str">
        <f t="shared" si="78"/>
        <v/>
      </c>
      <c r="F319" s="38" t="str">
        <f t="shared" si="79"/>
        <v/>
      </c>
      <c r="G319" s="38" t="str">
        <f t="shared" si="89"/>
        <v/>
      </c>
      <c r="H319" s="38" t="str">
        <f t="shared" si="90"/>
        <v/>
      </c>
      <c r="L319" t="str">
        <f t="shared" si="80"/>
        <v/>
      </c>
      <c r="M319" s="38" t="str">
        <f t="shared" si="81"/>
        <v/>
      </c>
      <c r="N319" s="38" t="str">
        <f t="shared" si="82"/>
        <v/>
      </c>
      <c r="O319" s="38" t="str">
        <f t="shared" si="83"/>
        <v/>
      </c>
      <c r="P319" s="38" t="str">
        <f t="shared" si="84"/>
        <v/>
      </c>
      <c r="Q319" s="38" t="str">
        <f t="shared" si="85"/>
        <v/>
      </c>
      <c r="R319" s="38" t="str">
        <f t="shared" si="86"/>
        <v/>
      </c>
      <c r="S319" s="38" t="str">
        <f t="shared" si="87"/>
        <v/>
      </c>
      <c r="T319" s="38" t="str">
        <f t="shared" si="88"/>
        <v/>
      </c>
      <c r="AF319">
        <f t="shared" si="91"/>
        <v>10</v>
      </c>
      <c r="AG319" s="38" t="str">
        <f t="shared" si="92"/>
        <v/>
      </c>
    </row>
    <row r="320" spans="1:33" x14ac:dyDescent="0.2">
      <c r="A320" t="str">
        <f t="shared" si="74"/>
        <v/>
      </c>
      <c r="B320" s="38" t="str">
        <f t="shared" si="75"/>
        <v/>
      </c>
      <c r="C320" s="38" t="str">
        <f t="shared" si="76"/>
        <v/>
      </c>
      <c r="D320" s="38" t="str">
        <f t="shared" si="77"/>
        <v/>
      </c>
      <c r="E320" s="38" t="str">
        <f t="shared" si="78"/>
        <v/>
      </c>
      <c r="F320" s="38" t="str">
        <f t="shared" si="79"/>
        <v/>
      </c>
      <c r="G320" s="38" t="str">
        <f t="shared" si="89"/>
        <v/>
      </c>
      <c r="H320" s="38" t="str">
        <f t="shared" si="90"/>
        <v/>
      </c>
      <c r="L320" t="str">
        <f t="shared" si="80"/>
        <v/>
      </c>
      <c r="M320" s="38" t="str">
        <f t="shared" si="81"/>
        <v/>
      </c>
      <c r="N320" s="38" t="str">
        <f t="shared" si="82"/>
        <v/>
      </c>
      <c r="O320" s="38" t="str">
        <f t="shared" si="83"/>
        <v/>
      </c>
      <c r="P320" s="38" t="str">
        <f t="shared" si="84"/>
        <v/>
      </c>
      <c r="Q320" s="38" t="str">
        <f t="shared" si="85"/>
        <v/>
      </c>
      <c r="R320" s="38" t="str">
        <f t="shared" si="86"/>
        <v/>
      </c>
      <c r="S320" s="38" t="str">
        <f t="shared" si="87"/>
        <v/>
      </c>
      <c r="T320" s="38" t="str">
        <f t="shared" si="88"/>
        <v/>
      </c>
      <c r="AF320">
        <f t="shared" si="91"/>
        <v>11</v>
      </c>
      <c r="AG320" s="38" t="str">
        <f t="shared" si="92"/>
        <v/>
      </c>
    </row>
    <row r="321" spans="1:33" x14ac:dyDescent="0.2">
      <c r="A321" t="str">
        <f t="shared" si="74"/>
        <v/>
      </c>
      <c r="B321" s="38" t="str">
        <f t="shared" si="75"/>
        <v/>
      </c>
      <c r="C321" s="38" t="str">
        <f t="shared" si="76"/>
        <v/>
      </c>
      <c r="D321" s="38" t="str">
        <f t="shared" si="77"/>
        <v/>
      </c>
      <c r="E321" s="38" t="str">
        <f t="shared" si="78"/>
        <v/>
      </c>
      <c r="F321" s="38" t="str">
        <f t="shared" si="79"/>
        <v/>
      </c>
      <c r="G321" s="38" t="str">
        <f t="shared" si="89"/>
        <v/>
      </c>
      <c r="H321" s="38" t="str">
        <f t="shared" si="90"/>
        <v/>
      </c>
      <c r="L321" t="str">
        <f t="shared" si="80"/>
        <v/>
      </c>
      <c r="M321" s="38" t="str">
        <f t="shared" si="81"/>
        <v/>
      </c>
      <c r="N321" s="38" t="str">
        <f t="shared" si="82"/>
        <v/>
      </c>
      <c r="O321" s="38" t="str">
        <f t="shared" si="83"/>
        <v/>
      </c>
      <c r="P321" s="38" t="str">
        <f t="shared" si="84"/>
        <v/>
      </c>
      <c r="Q321" s="38" t="str">
        <f t="shared" si="85"/>
        <v/>
      </c>
      <c r="R321" s="38" t="str">
        <f t="shared" si="86"/>
        <v/>
      </c>
      <c r="S321" s="38" t="str">
        <f t="shared" si="87"/>
        <v/>
      </c>
      <c r="T321" s="38" t="str">
        <f t="shared" si="88"/>
        <v/>
      </c>
      <c r="AF321">
        <f t="shared" si="91"/>
        <v>12</v>
      </c>
      <c r="AG321" s="38" t="str">
        <f t="shared" si="92"/>
        <v/>
      </c>
    </row>
    <row r="322" spans="1:33" x14ac:dyDescent="0.2">
      <c r="A322" t="str">
        <f t="shared" si="74"/>
        <v/>
      </c>
      <c r="B322" s="38" t="str">
        <f t="shared" si="75"/>
        <v/>
      </c>
      <c r="C322" s="38" t="str">
        <f t="shared" si="76"/>
        <v/>
      </c>
      <c r="D322" s="38" t="str">
        <f t="shared" si="77"/>
        <v/>
      </c>
      <c r="E322" s="38" t="str">
        <f t="shared" si="78"/>
        <v/>
      </c>
      <c r="F322" s="38" t="str">
        <f t="shared" si="79"/>
        <v/>
      </c>
      <c r="G322" s="38" t="str">
        <f t="shared" si="89"/>
        <v/>
      </c>
      <c r="H322" s="38" t="str">
        <f t="shared" si="90"/>
        <v/>
      </c>
      <c r="L322" t="str">
        <f t="shared" si="80"/>
        <v/>
      </c>
      <c r="M322" s="38" t="str">
        <f t="shared" si="81"/>
        <v/>
      </c>
      <c r="N322" s="38" t="str">
        <f t="shared" si="82"/>
        <v/>
      </c>
      <c r="O322" s="38" t="str">
        <f t="shared" si="83"/>
        <v/>
      </c>
      <c r="P322" s="38" t="str">
        <f t="shared" si="84"/>
        <v/>
      </c>
      <c r="Q322" s="38" t="str">
        <f t="shared" si="85"/>
        <v/>
      </c>
      <c r="R322" s="38" t="str">
        <f t="shared" si="86"/>
        <v/>
      </c>
      <c r="S322" s="38" t="str">
        <f t="shared" si="87"/>
        <v/>
      </c>
      <c r="T322" s="38" t="str">
        <f t="shared" si="88"/>
        <v/>
      </c>
      <c r="AF322">
        <f t="shared" si="91"/>
        <v>13</v>
      </c>
      <c r="AG322" s="38" t="str">
        <f t="shared" si="92"/>
        <v/>
      </c>
    </row>
    <row r="323" spans="1:33" x14ac:dyDescent="0.2">
      <c r="A323" t="str">
        <f t="shared" si="74"/>
        <v/>
      </c>
      <c r="B323" s="38" t="str">
        <f t="shared" si="75"/>
        <v/>
      </c>
      <c r="C323" s="38" t="str">
        <f t="shared" si="76"/>
        <v/>
      </c>
      <c r="D323" s="38" t="str">
        <f t="shared" si="77"/>
        <v/>
      </c>
      <c r="E323" s="38" t="str">
        <f t="shared" si="78"/>
        <v/>
      </c>
      <c r="F323" s="38" t="str">
        <f t="shared" si="79"/>
        <v/>
      </c>
      <c r="G323" s="38" t="str">
        <f t="shared" si="89"/>
        <v/>
      </c>
      <c r="H323" s="38" t="str">
        <f t="shared" si="90"/>
        <v/>
      </c>
      <c r="L323" t="str">
        <f t="shared" si="80"/>
        <v/>
      </c>
      <c r="M323" s="38" t="str">
        <f t="shared" si="81"/>
        <v/>
      </c>
      <c r="N323" s="38" t="str">
        <f t="shared" si="82"/>
        <v/>
      </c>
      <c r="O323" s="38" t="str">
        <f t="shared" si="83"/>
        <v/>
      </c>
      <c r="P323" s="38" t="str">
        <f t="shared" si="84"/>
        <v/>
      </c>
      <c r="Q323" s="38" t="str">
        <f t="shared" si="85"/>
        <v/>
      </c>
      <c r="R323" s="38" t="str">
        <f t="shared" si="86"/>
        <v/>
      </c>
      <c r="S323" s="38" t="str">
        <f t="shared" si="87"/>
        <v/>
      </c>
      <c r="T323" s="38" t="str">
        <f t="shared" si="88"/>
        <v/>
      </c>
      <c r="AF323">
        <f t="shared" si="91"/>
        <v>14</v>
      </c>
      <c r="AG323" s="38" t="str">
        <f t="shared" si="92"/>
        <v/>
      </c>
    </row>
    <row r="324" spans="1:33" x14ac:dyDescent="0.2">
      <c r="A324" t="str">
        <f t="shared" si="74"/>
        <v/>
      </c>
      <c r="B324" s="38" t="str">
        <f t="shared" si="75"/>
        <v/>
      </c>
      <c r="C324" s="38" t="str">
        <f t="shared" si="76"/>
        <v/>
      </c>
      <c r="D324" s="38" t="str">
        <f t="shared" si="77"/>
        <v/>
      </c>
      <c r="E324" s="38" t="str">
        <f t="shared" si="78"/>
        <v/>
      </c>
      <c r="F324" s="38" t="str">
        <f t="shared" si="79"/>
        <v/>
      </c>
      <c r="G324" s="38" t="str">
        <f t="shared" si="89"/>
        <v/>
      </c>
      <c r="H324" s="38" t="str">
        <f t="shared" si="90"/>
        <v/>
      </c>
      <c r="L324" t="str">
        <f t="shared" si="80"/>
        <v/>
      </c>
      <c r="M324" s="38" t="str">
        <f t="shared" si="81"/>
        <v/>
      </c>
      <c r="N324" s="38" t="str">
        <f t="shared" si="82"/>
        <v/>
      </c>
      <c r="O324" s="38" t="str">
        <f t="shared" si="83"/>
        <v/>
      </c>
      <c r="P324" s="38" t="str">
        <f t="shared" si="84"/>
        <v/>
      </c>
      <c r="Q324" s="38" t="str">
        <f t="shared" si="85"/>
        <v/>
      </c>
      <c r="R324" s="38" t="str">
        <f t="shared" si="86"/>
        <v/>
      </c>
      <c r="S324" s="38" t="str">
        <f t="shared" si="87"/>
        <v/>
      </c>
      <c r="T324" s="38" t="str">
        <f t="shared" si="88"/>
        <v/>
      </c>
      <c r="AF324">
        <f t="shared" si="91"/>
        <v>15</v>
      </c>
      <c r="AG324" s="38" t="str">
        <f t="shared" si="92"/>
        <v/>
      </c>
    </row>
    <row r="325" spans="1:33" x14ac:dyDescent="0.2">
      <c r="A325" t="str">
        <f t="shared" si="74"/>
        <v/>
      </c>
      <c r="B325" s="38" t="str">
        <f t="shared" si="75"/>
        <v/>
      </c>
      <c r="C325" s="38" t="str">
        <f t="shared" si="76"/>
        <v/>
      </c>
      <c r="D325" s="38" t="str">
        <f t="shared" si="77"/>
        <v/>
      </c>
      <c r="E325" s="38" t="str">
        <f t="shared" si="78"/>
        <v/>
      </c>
      <c r="F325" s="38" t="str">
        <f t="shared" si="79"/>
        <v/>
      </c>
      <c r="G325" s="38" t="str">
        <f t="shared" si="89"/>
        <v/>
      </c>
      <c r="H325" s="38" t="str">
        <f t="shared" si="90"/>
        <v/>
      </c>
      <c r="L325" t="str">
        <f t="shared" si="80"/>
        <v/>
      </c>
      <c r="M325" s="38" t="str">
        <f t="shared" si="81"/>
        <v/>
      </c>
      <c r="N325" s="38" t="str">
        <f t="shared" si="82"/>
        <v/>
      </c>
      <c r="O325" s="38" t="str">
        <f t="shared" si="83"/>
        <v/>
      </c>
      <c r="P325" s="38" t="str">
        <f t="shared" si="84"/>
        <v/>
      </c>
      <c r="Q325" s="38" t="str">
        <f t="shared" si="85"/>
        <v/>
      </c>
      <c r="R325" s="38" t="str">
        <f t="shared" si="86"/>
        <v/>
      </c>
      <c r="S325" s="38" t="str">
        <f t="shared" si="87"/>
        <v/>
      </c>
      <c r="T325" s="38" t="str">
        <f t="shared" si="88"/>
        <v/>
      </c>
      <c r="AF325">
        <f t="shared" si="91"/>
        <v>16</v>
      </c>
      <c r="AG325" s="38" t="str">
        <f t="shared" si="92"/>
        <v/>
      </c>
    </row>
    <row r="326" spans="1:33" x14ac:dyDescent="0.2">
      <c r="A326" t="str">
        <f t="shared" si="74"/>
        <v/>
      </c>
      <c r="B326" s="38" t="str">
        <f t="shared" si="75"/>
        <v/>
      </c>
      <c r="C326" s="38" t="str">
        <f t="shared" si="76"/>
        <v/>
      </c>
      <c r="D326" s="38" t="str">
        <f t="shared" si="77"/>
        <v/>
      </c>
      <c r="E326" s="38" t="str">
        <f t="shared" si="78"/>
        <v/>
      </c>
      <c r="F326" s="38" t="str">
        <f t="shared" si="79"/>
        <v/>
      </c>
      <c r="G326" s="38" t="str">
        <f t="shared" si="89"/>
        <v/>
      </c>
      <c r="H326" s="38" t="str">
        <f t="shared" si="90"/>
        <v/>
      </c>
      <c r="L326" t="str">
        <f t="shared" si="80"/>
        <v/>
      </c>
      <c r="M326" s="38" t="str">
        <f t="shared" si="81"/>
        <v/>
      </c>
      <c r="N326" s="38" t="str">
        <f t="shared" si="82"/>
        <v/>
      </c>
      <c r="O326" s="38" t="str">
        <f t="shared" si="83"/>
        <v/>
      </c>
      <c r="P326" s="38" t="str">
        <f t="shared" si="84"/>
        <v/>
      </c>
      <c r="Q326" s="38" t="str">
        <f t="shared" si="85"/>
        <v/>
      </c>
      <c r="R326" s="38" t="str">
        <f t="shared" si="86"/>
        <v/>
      </c>
      <c r="S326" s="38" t="str">
        <f t="shared" si="87"/>
        <v/>
      </c>
      <c r="T326" s="38" t="str">
        <f t="shared" si="88"/>
        <v/>
      </c>
      <c r="AF326">
        <f t="shared" si="91"/>
        <v>17</v>
      </c>
      <c r="AG326" s="38" t="str">
        <f t="shared" si="92"/>
        <v/>
      </c>
    </row>
    <row r="327" spans="1:33" x14ac:dyDescent="0.2">
      <c r="A327" t="str">
        <f t="shared" si="74"/>
        <v/>
      </c>
      <c r="B327" s="38" t="str">
        <f t="shared" si="75"/>
        <v/>
      </c>
      <c r="C327" s="38" t="str">
        <f t="shared" si="76"/>
        <v/>
      </c>
      <c r="D327" s="38" t="str">
        <f t="shared" si="77"/>
        <v/>
      </c>
      <c r="E327" s="38" t="str">
        <f t="shared" si="78"/>
        <v/>
      </c>
      <c r="F327" s="38" t="str">
        <f t="shared" si="79"/>
        <v/>
      </c>
      <c r="G327" s="38" t="str">
        <f t="shared" si="89"/>
        <v/>
      </c>
      <c r="H327" s="38" t="str">
        <f t="shared" si="90"/>
        <v/>
      </c>
      <c r="L327" t="str">
        <f t="shared" si="80"/>
        <v/>
      </c>
      <c r="M327" s="38" t="str">
        <f t="shared" si="81"/>
        <v/>
      </c>
      <c r="N327" s="38" t="str">
        <f t="shared" si="82"/>
        <v/>
      </c>
      <c r="O327" s="38" t="str">
        <f t="shared" si="83"/>
        <v/>
      </c>
      <c r="P327" s="38" t="str">
        <f t="shared" si="84"/>
        <v/>
      </c>
      <c r="Q327" s="38" t="str">
        <f t="shared" si="85"/>
        <v/>
      </c>
      <c r="R327" s="38" t="str">
        <f t="shared" si="86"/>
        <v/>
      </c>
      <c r="S327" s="38" t="str">
        <f t="shared" si="87"/>
        <v/>
      </c>
      <c r="T327" s="38" t="str">
        <f t="shared" si="88"/>
        <v/>
      </c>
      <c r="AF327">
        <f t="shared" si="91"/>
        <v>18</v>
      </c>
      <c r="AG327" s="38" t="str">
        <f t="shared" si="92"/>
        <v/>
      </c>
    </row>
    <row r="328" spans="1:33" x14ac:dyDescent="0.2">
      <c r="A328" t="str">
        <f t="shared" si="74"/>
        <v/>
      </c>
      <c r="B328" s="38" t="str">
        <f t="shared" si="75"/>
        <v/>
      </c>
      <c r="C328" s="38" t="str">
        <f t="shared" si="76"/>
        <v/>
      </c>
      <c r="D328" s="38" t="str">
        <f t="shared" si="77"/>
        <v/>
      </c>
      <c r="E328" s="38" t="str">
        <f t="shared" si="78"/>
        <v/>
      </c>
      <c r="F328" s="38" t="str">
        <f t="shared" si="79"/>
        <v/>
      </c>
      <c r="G328" s="38" t="str">
        <f t="shared" si="89"/>
        <v/>
      </c>
      <c r="H328" s="38" t="str">
        <f t="shared" si="90"/>
        <v/>
      </c>
      <c r="L328" t="str">
        <f t="shared" si="80"/>
        <v/>
      </c>
      <c r="M328" s="38" t="str">
        <f t="shared" si="81"/>
        <v/>
      </c>
      <c r="N328" s="38" t="str">
        <f t="shared" si="82"/>
        <v/>
      </c>
      <c r="O328" s="38" t="str">
        <f t="shared" si="83"/>
        <v/>
      </c>
      <c r="P328" s="38" t="str">
        <f t="shared" si="84"/>
        <v/>
      </c>
      <c r="Q328" s="38" t="str">
        <f t="shared" si="85"/>
        <v/>
      </c>
      <c r="R328" s="38" t="str">
        <f t="shared" si="86"/>
        <v/>
      </c>
      <c r="S328" s="38" t="str">
        <f t="shared" si="87"/>
        <v/>
      </c>
      <c r="T328" s="38" t="str">
        <f t="shared" si="88"/>
        <v/>
      </c>
      <c r="AF328">
        <f t="shared" si="91"/>
        <v>19</v>
      </c>
      <c r="AG328" s="38" t="str">
        <f t="shared" si="92"/>
        <v/>
      </c>
    </row>
    <row r="329" spans="1:33" x14ac:dyDescent="0.2">
      <c r="A329" t="str">
        <f t="shared" si="74"/>
        <v/>
      </c>
      <c r="B329" s="38" t="str">
        <f t="shared" si="75"/>
        <v/>
      </c>
      <c r="C329" s="38" t="str">
        <f t="shared" si="76"/>
        <v/>
      </c>
      <c r="D329" s="38" t="str">
        <f t="shared" si="77"/>
        <v/>
      </c>
      <c r="E329" s="38" t="str">
        <f t="shared" si="78"/>
        <v/>
      </c>
      <c r="F329" s="38" t="str">
        <f t="shared" si="79"/>
        <v/>
      </c>
      <c r="G329" s="38" t="str">
        <f t="shared" si="89"/>
        <v/>
      </c>
      <c r="H329" s="38" t="str">
        <f t="shared" si="90"/>
        <v/>
      </c>
      <c r="L329" t="str">
        <f t="shared" si="80"/>
        <v/>
      </c>
      <c r="M329" s="38" t="str">
        <f t="shared" si="81"/>
        <v/>
      </c>
      <c r="N329" s="38" t="str">
        <f t="shared" si="82"/>
        <v/>
      </c>
      <c r="O329" s="38" t="str">
        <f t="shared" si="83"/>
        <v/>
      </c>
      <c r="P329" s="38" t="str">
        <f t="shared" si="84"/>
        <v/>
      </c>
      <c r="Q329" s="38" t="str">
        <f t="shared" si="85"/>
        <v/>
      </c>
      <c r="R329" s="38" t="str">
        <f t="shared" si="86"/>
        <v/>
      </c>
      <c r="S329" s="38" t="str">
        <f t="shared" si="87"/>
        <v/>
      </c>
      <c r="T329" s="38" t="str">
        <f t="shared" si="88"/>
        <v/>
      </c>
      <c r="AF329" t="str">
        <f t="shared" si="91"/>
        <v/>
      </c>
      <c r="AG329" s="38" t="str">
        <f t="shared" si="92"/>
        <v/>
      </c>
    </row>
    <row r="330" spans="1:33" x14ac:dyDescent="0.2">
      <c r="A330" t="str">
        <f t="shared" si="74"/>
        <v/>
      </c>
      <c r="B330" s="38" t="str">
        <f t="shared" si="75"/>
        <v/>
      </c>
      <c r="C330" s="38" t="str">
        <f t="shared" si="76"/>
        <v/>
      </c>
      <c r="D330" s="38" t="str">
        <f t="shared" si="77"/>
        <v/>
      </c>
      <c r="E330" s="38" t="str">
        <f t="shared" si="78"/>
        <v/>
      </c>
      <c r="F330" s="38" t="str">
        <f t="shared" si="79"/>
        <v/>
      </c>
      <c r="G330" s="38" t="str">
        <f t="shared" si="89"/>
        <v/>
      </c>
      <c r="H330" s="38" t="str">
        <f t="shared" si="90"/>
        <v/>
      </c>
      <c r="L330" t="str">
        <f t="shared" si="80"/>
        <v/>
      </c>
      <c r="M330" s="38" t="str">
        <f t="shared" si="81"/>
        <v/>
      </c>
      <c r="N330" s="38" t="str">
        <f t="shared" si="82"/>
        <v/>
      </c>
      <c r="O330" s="38" t="str">
        <f t="shared" si="83"/>
        <v/>
      </c>
      <c r="P330" s="38" t="str">
        <f t="shared" si="84"/>
        <v/>
      </c>
      <c r="Q330" s="38" t="str">
        <f t="shared" si="85"/>
        <v/>
      </c>
      <c r="R330" s="38" t="str">
        <f t="shared" si="86"/>
        <v/>
      </c>
      <c r="S330" s="38" t="str">
        <f t="shared" si="87"/>
        <v/>
      </c>
      <c r="T330" s="38" t="str">
        <f t="shared" si="88"/>
        <v/>
      </c>
      <c r="AF330" t="str">
        <f t="shared" si="91"/>
        <v/>
      </c>
      <c r="AG330" s="38" t="str">
        <f t="shared" si="92"/>
        <v/>
      </c>
    </row>
    <row r="331" spans="1:33" x14ac:dyDescent="0.2">
      <c r="A331" t="str">
        <f t="shared" si="74"/>
        <v/>
      </c>
      <c r="B331" s="38" t="str">
        <f t="shared" si="75"/>
        <v/>
      </c>
      <c r="C331" s="38" t="str">
        <f t="shared" si="76"/>
        <v/>
      </c>
      <c r="D331" s="38" t="str">
        <f t="shared" si="77"/>
        <v/>
      </c>
      <c r="E331" s="38" t="str">
        <f t="shared" si="78"/>
        <v/>
      </c>
      <c r="F331" s="38" t="str">
        <f t="shared" si="79"/>
        <v/>
      </c>
      <c r="G331" s="38" t="str">
        <f t="shared" si="89"/>
        <v/>
      </c>
      <c r="H331" s="38" t="str">
        <f t="shared" si="90"/>
        <v/>
      </c>
      <c r="L331" t="str">
        <f t="shared" si="80"/>
        <v/>
      </c>
      <c r="M331" s="38" t="str">
        <f t="shared" si="81"/>
        <v/>
      </c>
      <c r="N331" s="38" t="str">
        <f t="shared" si="82"/>
        <v/>
      </c>
      <c r="O331" s="38" t="str">
        <f t="shared" si="83"/>
        <v/>
      </c>
      <c r="P331" s="38" t="str">
        <f t="shared" si="84"/>
        <v/>
      </c>
      <c r="Q331" s="38" t="str">
        <f t="shared" si="85"/>
        <v/>
      </c>
      <c r="R331" s="38" t="str">
        <f t="shared" si="86"/>
        <v/>
      </c>
      <c r="S331" s="38" t="str">
        <f t="shared" si="87"/>
        <v/>
      </c>
      <c r="T331" s="38" t="str">
        <f t="shared" si="88"/>
        <v/>
      </c>
      <c r="AF331" t="str">
        <f t="shared" si="91"/>
        <v/>
      </c>
      <c r="AG331" s="38" t="str">
        <f t="shared" si="92"/>
        <v/>
      </c>
    </row>
    <row r="332" spans="1:33" x14ac:dyDescent="0.2">
      <c r="A332" t="str">
        <f t="shared" si="74"/>
        <v/>
      </c>
      <c r="B332" s="38" t="str">
        <f t="shared" si="75"/>
        <v/>
      </c>
      <c r="C332" s="38" t="str">
        <f t="shared" si="76"/>
        <v/>
      </c>
      <c r="D332" s="38" t="str">
        <f t="shared" si="77"/>
        <v/>
      </c>
      <c r="E332" s="38" t="str">
        <f t="shared" si="78"/>
        <v/>
      </c>
      <c r="F332" s="38" t="str">
        <f t="shared" si="79"/>
        <v/>
      </c>
      <c r="G332" s="38" t="str">
        <f t="shared" si="89"/>
        <v/>
      </c>
      <c r="H332" s="38" t="str">
        <f t="shared" si="90"/>
        <v/>
      </c>
      <c r="L332" t="str">
        <f t="shared" si="80"/>
        <v/>
      </c>
      <c r="M332" s="38" t="str">
        <f t="shared" si="81"/>
        <v/>
      </c>
      <c r="N332" s="38" t="str">
        <f t="shared" si="82"/>
        <v/>
      </c>
      <c r="O332" s="38" t="str">
        <f t="shared" si="83"/>
        <v/>
      </c>
      <c r="P332" s="38" t="str">
        <f t="shared" si="84"/>
        <v/>
      </c>
      <c r="Q332" s="38" t="str">
        <f t="shared" si="85"/>
        <v/>
      </c>
      <c r="R332" s="38" t="str">
        <f t="shared" si="86"/>
        <v/>
      </c>
      <c r="S332" s="38" t="str">
        <f t="shared" si="87"/>
        <v/>
      </c>
      <c r="T332" s="38" t="str">
        <f t="shared" si="88"/>
        <v/>
      </c>
      <c r="AF332" t="str">
        <f t="shared" si="91"/>
        <v/>
      </c>
      <c r="AG332" s="38" t="str">
        <f t="shared" si="92"/>
        <v/>
      </c>
    </row>
    <row r="333" spans="1:33" x14ac:dyDescent="0.2">
      <c r="A333" t="str">
        <f t="shared" si="74"/>
        <v/>
      </c>
      <c r="B333" s="38" t="str">
        <f t="shared" si="75"/>
        <v/>
      </c>
      <c r="C333" s="38" t="str">
        <f t="shared" si="76"/>
        <v/>
      </c>
      <c r="D333" s="38" t="str">
        <f t="shared" si="77"/>
        <v/>
      </c>
      <c r="E333" s="38" t="str">
        <f t="shared" si="78"/>
        <v/>
      </c>
      <c r="F333" s="38" t="str">
        <f t="shared" si="79"/>
        <v/>
      </c>
      <c r="G333" s="38" t="str">
        <f t="shared" si="89"/>
        <v/>
      </c>
      <c r="H333" s="38" t="str">
        <f t="shared" si="90"/>
        <v/>
      </c>
      <c r="L333" t="str">
        <f t="shared" si="80"/>
        <v/>
      </c>
      <c r="M333" s="38" t="str">
        <f t="shared" si="81"/>
        <v/>
      </c>
      <c r="N333" s="38" t="str">
        <f t="shared" si="82"/>
        <v/>
      </c>
      <c r="O333" s="38" t="str">
        <f t="shared" si="83"/>
        <v/>
      </c>
      <c r="P333" s="38" t="str">
        <f t="shared" si="84"/>
        <v/>
      </c>
      <c r="Q333" s="38" t="str">
        <f t="shared" si="85"/>
        <v/>
      </c>
      <c r="R333" s="38" t="str">
        <f t="shared" si="86"/>
        <v/>
      </c>
      <c r="S333" s="38" t="str">
        <f t="shared" si="87"/>
        <v/>
      </c>
      <c r="T333" s="38" t="str">
        <f t="shared" si="88"/>
        <v/>
      </c>
      <c r="AF333" t="str">
        <f t="shared" si="91"/>
        <v/>
      </c>
      <c r="AG333" s="38" t="str">
        <f t="shared" si="92"/>
        <v/>
      </c>
    </row>
    <row r="334" spans="1:33" x14ac:dyDescent="0.2">
      <c r="A334" t="str">
        <f t="shared" si="74"/>
        <v/>
      </c>
      <c r="B334" s="38" t="str">
        <f t="shared" si="75"/>
        <v/>
      </c>
      <c r="C334" s="38" t="str">
        <f t="shared" si="76"/>
        <v/>
      </c>
      <c r="D334" s="38" t="str">
        <f t="shared" si="77"/>
        <v/>
      </c>
      <c r="E334" s="38" t="str">
        <f t="shared" si="78"/>
        <v/>
      </c>
      <c r="F334" s="38" t="str">
        <f t="shared" si="79"/>
        <v/>
      </c>
      <c r="G334" s="38" t="str">
        <f t="shared" si="89"/>
        <v/>
      </c>
      <c r="H334" s="38" t="str">
        <f t="shared" si="90"/>
        <v/>
      </c>
      <c r="L334" t="str">
        <f t="shared" si="80"/>
        <v/>
      </c>
      <c r="M334" s="38" t="str">
        <f t="shared" si="81"/>
        <v/>
      </c>
      <c r="N334" s="38" t="str">
        <f t="shared" si="82"/>
        <v/>
      </c>
      <c r="O334" s="38" t="str">
        <f t="shared" si="83"/>
        <v/>
      </c>
      <c r="P334" s="38" t="str">
        <f t="shared" si="84"/>
        <v/>
      </c>
      <c r="Q334" s="38" t="str">
        <f t="shared" si="85"/>
        <v/>
      </c>
      <c r="R334" s="38" t="str">
        <f t="shared" si="86"/>
        <v/>
      </c>
      <c r="S334" s="38" t="str">
        <f t="shared" si="87"/>
        <v/>
      </c>
      <c r="T334" s="38" t="str">
        <f t="shared" si="88"/>
        <v/>
      </c>
      <c r="AF334" t="str">
        <f t="shared" si="91"/>
        <v/>
      </c>
      <c r="AG334" s="38" t="str">
        <f t="shared" si="92"/>
        <v/>
      </c>
    </row>
    <row r="335" spans="1:33" x14ac:dyDescent="0.2">
      <c r="A335" t="str">
        <f t="shared" si="74"/>
        <v/>
      </c>
      <c r="B335" s="38" t="str">
        <f t="shared" si="75"/>
        <v/>
      </c>
      <c r="C335" s="38" t="str">
        <f t="shared" si="76"/>
        <v/>
      </c>
      <c r="D335" s="38" t="str">
        <f t="shared" si="77"/>
        <v/>
      </c>
      <c r="E335" s="38" t="str">
        <f t="shared" si="78"/>
        <v/>
      </c>
      <c r="F335" s="38" t="str">
        <f t="shared" si="79"/>
        <v/>
      </c>
      <c r="G335" s="38" t="str">
        <f t="shared" si="89"/>
        <v/>
      </c>
      <c r="H335" s="38" t="str">
        <f t="shared" si="90"/>
        <v/>
      </c>
      <c r="L335" t="str">
        <f t="shared" si="80"/>
        <v/>
      </c>
      <c r="M335" s="38" t="str">
        <f t="shared" si="81"/>
        <v/>
      </c>
      <c r="N335" s="38" t="str">
        <f t="shared" si="82"/>
        <v/>
      </c>
      <c r="O335" s="38" t="str">
        <f t="shared" si="83"/>
        <v/>
      </c>
      <c r="P335" s="38" t="str">
        <f t="shared" si="84"/>
        <v/>
      </c>
      <c r="Q335" s="38" t="str">
        <f t="shared" si="85"/>
        <v/>
      </c>
      <c r="R335" s="38" t="str">
        <f t="shared" si="86"/>
        <v/>
      </c>
      <c r="S335" s="38" t="str">
        <f t="shared" si="87"/>
        <v/>
      </c>
      <c r="T335" s="38" t="str">
        <f t="shared" si="88"/>
        <v/>
      </c>
      <c r="AF335" t="str">
        <f t="shared" si="91"/>
        <v/>
      </c>
      <c r="AG335" s="38" t="str">
        <f t="shared" si="92"/>
        <v/>
      </c>
    </row>
    <row r="336" spans="1:33" x14ac:dyDescent="0.2">
      <c r="A336" t="str">
        <f t="shared" si="74"/>
        <v/>
      </c>
      <c r="B336" s="38" t="str">
        <f t="shared" si="75"/>
        <v/>
      </c>
      <c r="C336" s="38" t="str">
        <f t="shared" si="76"/>
        <v/>
      </c>
      <c r="D336" s="38" t="str">
        <f t="shared" si="77"/>
        <v/>
      </c>
      <c r="E336" s="38" t="str">
        <f t="shared" si="78"/>
        <v/>
      </c>
      <c r="F336" s="38" t="str">
        <f t="shared" si="79"/>
        <v/>
      </c>
      <c r="G336" s="38" t="str">
        <f t="shared" si="89"/>
        <v/>
      </c>
      <c r="H336" s="38" t="str">
        <f t="shared" si="90"/>
        <v/>
      </c>
      <c r="L336" t="str">
        <f t="shared" si="80"/>
        <v/>
      </c>
      <c r="M336" s="38" t="str">
        <f t="shared" si="81"/>
        <v/>
      </c>
      <c r="N336" s="38" t="str">
        <f t="shared" si="82"/>
        <v/>
      </c>
      <c r="O336" s="38" t="str">
        <f t="shared" si="83"/>
        <v/>
      </c>
      <c r="P336" s="38" t="str">
        <f t="shared" si="84"/>
        <v/>
      </c>
      <c r="Q336" s="38" t="str">
        <f t="shared" si="85"/>
        <v/>
      </c>
      <c r="R336" s="38" t="str">
        <f t="shared" si="86"/>
        <v/>
      </c>
      <c r="S336" s="38" t="str">
        <f t="shared" si="87"/>
        <v/>
      </c>
      <c r="T336" s="38" t="str">
        <f t="shared" si="88"/>
        <v/>
      </c>
      <c r="AF336" t="str">
        <f t="shared" si="91"/>
        <v/>
      </c>
      <c r="AG336" s="38" t="str">
        <f t="shared" si="92"/>
        <v/>
      </c>
    </row>
    <row r="337" spans="1:33" x14ac:dyDescent="0.2">
      <c r="A337" t="str">
        <f t="shared" si="74"/>
        <v/>
      </c>
      <c r="B337" s="38" t="str">
        <f t="shared" si="75"/>
        <v/>
      </c>
      <c r="C337" s="38" t="str">
        <f t="shared" si="76"/>
        <v/>
      </c>
      <c r="D337" s="38" t="str">
        <f t="shared" si="77"/>
        <v/>
      </c>
      <c r="E337" s="38" t="str">
        <f t="shared" si="78"/>
        <v/>
      </c>
      <c r="F337" s="38" t="str">
        <f t="shared" si="79"/>
        <v/>
      </c>
      <c r="G337" s="38" t="str">
        <f t="shared" si="89"/>
        <v/>
      </c>
      <c r="H337" s="38" t="str">
        <f t="shared" si="90"/>
        <v/>
      </c>
      <c r="L337" t="str">
        <f t="shared" si="80"/>
        <v/>
      </c>
      <c r="M337" s="38" t="str">
        <f t="shared" si="81"/>
        <v/>
      </c>
      <c r="N337" s="38" t="str">
        <f t="shared" si="82"/>
        <v/>
      </c>
      <c r="O337" s="38" t="str">
        <f t="shared" si="83"/>
        <v/>
      </c>
      <c r="P337" s="38" t="str">
        <f t="shared" si="84"/>
        <v/>
      </c>
      <c r="Q337" s="38" t="str">
        <f t="shared" si="85"/>
        <v/>
      </c>
      <c r="R337" s="38" t="str">
        <f t="shared" si="86"/>
        <v/>
      </c>
      <c r="S337" s="38" t="str">
        <f t="shared" si="87"/>
        <v/>
      </c>
      <c r="T337" s="38" t="str">
        <f t="shared" si="88"/>
        <v/>
      </c>
      <c r="AF337" t="str">
        <f t="shared" si="91"/>
        <v/>
      </c>
      <c r="AG337" s="38" t="str">
        <f t="shared" si="92"/>
        <v/>
      </c>
    </row>
    <row r="338" spans="1:33" x14ac:dyDescent="0.2">
      <c r="A338" t="str">
        <f t="shared" si="74"/>
        <v/>
      </c>
      <c r="B338" s="38" t="str">
        <f t="shared" si="75"/>
        <v/>
      </c>
      <c r="C338" s="38" t="str">
        <f t="shared" si="76"/>
        <v/>
      </c>
      <c r="D338" s="38" t="str">
        <f t="shared" si="77"/>
        <v/>
      </c>
      <c r="E338" s="38" t="str">
        <f t="shared" si="78"/>
        <v/>
      </c>
      <c r="F338" s="38" t="str">
        <f t="shared" si="79"/>
        <v/>
      </c>
      <c r="G338" s="38" t="str">
        <f t="shared" si="89"/>
        <v/>
      </c>
      <c r="H338" s="38" t="str">
        <f t="shared" si="90"/>
        <v/>
      </c>
      <c r="L338" t="str">
        <f t="shared" si="80"/>
        <v/>
      </c>
      <c r="M338" s="38" t="str">
        <f t="shared" si="81"/>
        <v/>
      </c>
      <c r="N338" s="38" t="str">
        <f t="shared" si="82"/>
        <v/>
      </c>
      <c r="O338" s="38" t="str">
        <f t="shared" si="83"/>
        <v/>
      </c>
      <c r="P338" s="38" t="str">
        <f t="shared" si="84"/>
        <v/>
      </c>
      <c r="Q338" s="38" t="str">
        <f t="shared" si="85"/>
        <v/>
      </c>
      <c r="R338" s="38" t="str">
        <f t="shared" si="86"/>
        <v/>
      </c>
      <c r="S338" s="38" t="str">
        <f t="shared" si="87"/>
        <v/>
      </c>
      <c r="T338" s="38" t="str">
        <f t="shared" si="88"/>
        <v/>
      </c>
      <c r="AF338" t="str">
        <f t="shared" si="91"/>
        <v/>
      </c>
      <c r="AG338" s="38" t="str">
        <f t="shared" si="92"/>
        <v/>
      </c>
    </row>
    <row r="339" spans="1:33" x14ac:dyDescent="0.2">
      <c r="A339" t="str">
        <f t="shared" si="74"/>
        <v/>
      </c>
      <c r="B339" s="38" t="str">
        <f t="shared" si="75"/>
        <v/>
      </c>
      <c r="C339" s="38" t="str">
        <f t="shared" si="76"/>
        <v/>
      </c>
      <c r="D339" s="38" t="str">
        <f t="shared" si="77"/>
        <v/>
      </c>
      <c r="E339" s="38" t="str">
        <f t="shared" si="78"/>
        <v/>
      </c>
      <c r="F339" s="38" t="str">
        <f t="shared" si="79"/>
        <v/>
      </c>
      <c r="G339" s="38" t="str">
        <f t="shared" si="89"/>
        <v/>
      </c>
      <c r="H339" s="38" t="str">
        <f t="shared" si="90"/>
        <v/>
      </c>
      <c r="L339" t="str">
        <f t="shared" si="80"/>
        <v/>
      </c>
      <c r="M339" s="38" t="str">
        <f t="shared" si="81"/>
        <v/>
      </c>
      <c r="N339" s="38" t="str">
        <f t="shared" si="82"/>
        <v/>
      </c>
      <c r="O339" s="38" t="str">
        <f t="shared" si="83"/>
        <v/>
      </c>
      <c r="P339" s="38" t="str">
        <f t="shared" si="84"/>
        <v/>
      </c>
      <c r="Q339" s="38" t="str">
        <f t="shared" si="85"/>
        <v/>
      </c>
      <c r="R339" s="38" t="str">
        <f t="shared" si="86"/>
        <v/>
      </c>
      <c r="S339" s="38" t="str">
        <f t="shared" si="87"/>
        <v/>
      </c>
      <c r="T339" s="38" t="str">
        <f t="shared" si="88"/>
        <v/>
      </c>
      <c r="AF339" t="str">
        <f t="shared" si="91"/>
        <v/>
      </c>
      <c r="AG339" s="38" t="str">
        <f t="shared" si="92"/>
        <v/>
      </c>
    </row>
    <row r="340" spans="1:33" x14ac:dyDescent="0.2">
      <c r="A340" t="str">
        <f t="shared" si="74"/>
        <v/>
      </c>
      <c r="B340" s="38" t="str">
        <f t="shared" si="75"/>
        <v/>
      </c>
      <c r="C340" s="38" t="str">
        <f t="shared" si="76"/>
        <v/>
      </c>
      <c r="D340" s="38" t="str">
        <f t="shared" si="77"/>
        <v/>
      </c>
      <c r="E340" s="38" t="str">
        <f t="shared" si="78"/>
        <v/>
      </c>
      <c r="F340" s="38" t="str">
        <f t="shared" si="79"/>
        <v/>
      </c>
      <c r="G340" s="38" t="str">
        <f t="shared" si="89"/>
        <v/>
      </c>
      <c r="H340" s="38" t="str">
        <f t="shared" si="90"/>
        <v/>
      </c>
      <c r="L340" t="str">
        <f t="shared" si="80"/>
        <v/>
      </c>
      <c r="M340" s="38" t="str">
        <f t="shared" si="81"/>
        <v/>
      </c>
      <c r="N340" s="38" t="str">
        <f t="shared" si="82"/>
        <v/>
      </c>
      <c r="O340" s="38" t="str">
        <f t="shared" si="83"/>
        <v/>
      </c>
      <c r="P340" s="38" t="str">
        <f t="shared" si="84"/>
        <v/>
      </c>
      <c r="Q340" s="38" t="str">
        <f t="shared" si="85"/>
        <v/>
      </c>
      <c r="R340" s="38" t="str">
        <f t="shared" si="86"/>
        <v/>
      </c>
      <c r="S340" s="38" t="str">
        <f t="shared" si="87"/>
        <v/>
      </c>
      <c r="T340" s="38" t="str">
        <f t="shared" si="88"/>
        <v/>
      </c>
      <c r="AF340" t="str">
        <f t="shared" si="91"/>
        <v/>
      </c>
      <c r="AG340" s="38" t="str">
        <f t="shared" si="92"/>
        <v/>
      </c>
    </row>
    <row r="341" spans="1:33" x14ac:dyDescent="0.2">
      <c r="A341" t="str">
        <f t="shared" si="74"/>
        <v/>
      </c>
      <c r="B341" s="38" t="str">
        <f t="shared" si="75"/>
        <v/>
      </c>
      <c r="C341" s="38" t="str">
        <f t="shared" si="76"/>
        <v/>
      </c>
      <c r="D341" s="38" t="str">
        <f t="shared" si="77"/>
        <v/>
      </c>
      <c r="E341" s="38" t="str">
        <f t="shared" si="78"/>
        <v/>
      </c>
      <c r="F341" s="38" t="str">
        <f t="shared" si="79"/>
        <v/>
      </c>
      <c r="G341" s="38" t="str">
        <f t="shared" si="89"/>
        <v/>
      </c>
      <c r="H341" s="38" t="str">
        <f t="shared" si="90"/>
        <v/>
      </c>
      <c r="L341" t="str">
        <f t="shared" si="80"/>
        <v/>
      </c>
      <c r="M341" s="38" t="str">
        <f t="shared" si="81"/>
        <v/>
      </c>
      <c r="N341" s="38" t="str">
        <f t="shared" si="82"/>
        <v/>
      </c>
      <c r="O341" s="38" t="str">
        <f t="shared" si="83"/>
        <v/>
      </c>
      <c r="P341" s="38" t="str">
        <f t="shared" si="84"/>
        <v/>
      </c>
      <c r="Q341" s="38" t="str">
        <f t="shared" si="85"/>
        <v/>
      </c>
      <c r="R341" s="38" t="str">
        <f t="shared" si="86"/>
        <v/>
      </c>
      <c r="S341" s="38" t="str">
        <f t="shared" si="87"/>
        <v/>
      </c>
      <c r="T341" s="38" t="str">
        <f t="shared" si="88"/>
        <v/>
      </c>
      <c r="AF341" t="str">
        <f t="shared" si="91"/>
        <v/>
      </c>
      <c r="AG341" s="38" t="str">
        <f t="shared" ref="AG341:AG404" si="93">F342</f>
        <v/>
      </c>
    </row>
    <row r="342" spans="1:33" x14ac:dyDescent="0.2">
      <c r="A342" t="str">
        <f t="shared" si="74"/>
        <v/>
      </c>
      <c r="B342" s="38" t="str">
        <f t="shared" si="75"/>
        <v/>
      </c>
      <c r="C342" s="38" t="str">
        <f t="shared" si="76"/>
        <v/>
      </c>
      <c r="D342" s="38" t="str">
        <f t="shared" si="77"/>
        <v/>
      </c>
      <c r="E342" s="38" t="str">
        <f t="shared" si="78"/>
        <v/>
      </c>
      <c r="F342" s="38" t="str">
        <f t="shared" si="79"/>
        <v/>
      </c>
      <c r="G342" s="38" t="str">
        <f t="shared" si="89"/>
        <v/>
      </c>
      <c r="H342" s="38" t="str">
        <f t="shared" si="90"/>
        <v/>
      </c>
      <c r="L342" t="str">
        <f t="shared" si="80"/>
        <v/>
      </c>
      <c r="M342" s="38" t="str">
        <f t="shared" si="81"/>
        <v/>
      </c>
      <c r="N342" s="38" t="str">
        <f t="shared" si="82"/>
        <v/>
      </c>
      <c r="O342" s="38" t="str">
        <f t="shared" si="83"/>
        <v/>
      </c>
      <c r="P342" s="38" t="str">
        <f t="shared" si="84"/>
        <v/>
      </c>
      <c r="Q342" s="38" t="str">
        <f t="shared" si="85"/>
        <v/>
      </c>
      <c r="R342" s="38" t="str">
        <f t="shared" si="86"/>
        <v/>
      </c>
      <c r="S342" s="38" t="str">
        <f t="shared" si="87"/>
        <v/>
      </c>
      <c r="T342" s="38" t="str">
        <f t="shared" si="88"/>
        <v/>
      </c>
      <c r="AF342" t="str">
        <f t="shared" si="91"/>
        <v/>
      </c>
      <c r="AG342" s="38" t="str">
        <f t="shared" si="93"/>
        <v/>
      </c>
    </row>
    <row r="343" spans="1:33" x14ac:dyDescent="0.2">
      <c r="A343" t="str">
        <f t="shared" si="74"/>
        <v/>
      </c>
      <c r="B343" s="38" t="str">
        <f t="shared" si="75"/>
        <v/>
      </c>
      <c r="C343" s="38" t="str">
        <f t="shared" si="76"/>
        <v/>
      </c>
      <c r="D343" s="38" t="str">
        <f t="shared" si="77"/>
        <v/>
      </c>
      <c r="E343" s="38" t="str">
        <f t="shared" si="78"/>
        <v/>
      </c>
      <c r="F343" s="38" t="str">
        <f t="shared" si="79"/>
        <v/>
      </c>
      <c r="G343" s="38" t="str">
        <f t="shared" si="89"/>
        <v/>
      </c>
      <c r="H343" s="38" t="str">
        <f t="shared" si="90"/>
        <v/>
      </c>
      <c r="L343" t="str">
        <f t="shared" si="80"/>
        <v/>
      </c>
      <c r="M343" s="38" t="str">
        <f t="shared" si="81"/>
        <v/>
      </c>
      <c r="N343" s="38" t="str">
        <f t="shared" si="82"/>
        <v/>
      </c>
      <c r="O343" s="38" t="str">
        <f t="shared" si="83"/>
        <v/>
      </c>
      <c r="P343" s="38" t="str">
        <f t="shared" si="84"/>
        <v/>
      </c>
      <c r="Q343" s="38" t="str">
        <f t="shared" si="85"/>
        <v/>
      </c>
      <c r="R343" s="38" t="str">
        <f t="shared" si="86"/>
        <v/>
      </c>
      <c r="S343" s="38" t="str">
        <f t="shared" si="87"/>
        <v/>
      </c>
      <c r="T343" s="38" t="str">
        <f t="shared" si="88"/>
        <v/>
      </c>
      <c r="AF343" t="str">
        <f t="shared" ref="AF343:AF406" si="94">IF(AF342&lt;($B$6*$B$7),AF342+1,"")</f>
        <v/>
      </c>
      <c r="AG343" s="38" t="str">
        <f t="shared" si="93"/>
        <v/>
      </c>
    </row>
    <row r="344" spans="1:33" x14ac:dyDescent="0.2">
      <c r="A344" t="str">
        <f t="shared" ref="A344:A407" si="95">IF(A343&lt;($B$6*$B$7),A343+1,"")</f>
        <v/>
      </c>
      <c r="B344" s="38" t="str">
        <f t="shared" ref="B344:B407" si="96">IF(A344="","",F343)</f>
        <v/>
      </c>
      <c r="C344" s="38" t="str">
        <f t="shared" ref="C344:C407" si="97">IF(A344="","",(B344*$B$8))</f>
        <v/>
      </c>
      <c r="D344" s="38" t="str">
        <f t="shared" ref="D344:D407" si="98">IF(A344="","", $B$5)</f>
        <v/>
      </c>
      <c r="E344" s="38" t="str">
        <f t="shared" ref="E344:E407" si="99">IF(D344="","",(D344-C344))</f>
        <v/>
      </c>
      <c r="F344" s="38" t="str">
        <f t="shared" ref="F344:F407" si="100">IF(A344="","", B344-E344)</f>
        <v/>
      </c>
      <c r="G344" s="38" t="str">
        <f t="shared" si="89"/>
        <v/>
      </c>
      <c r="H344" s="38" t="str">
        <f t="shared" si="90"/>
        <v/>
      </c>
      <c r="L344" t="str">
        <f t="shared" ref="L344:L407" si="101">IF(L343&lt;($B$6*$B$7),L343+1,"")</f>
        <v/>
      </c>
      <c r="M344" s="38" t="str">
        <f t="shared" ref="M344:M407" si="102">IF(L344="", "", R343)</f>
        <v/>
      </c>
      <c r="N344" s="38" t="str">
        <f t="shared" ref="N344:N407" si="103">IF(L344="","",$B$5)</f>
        <v/>
      </c>
      <c r="O344" s="38" t="str">
        <f t="shared" ref="O344:O407" si="104">IF(L344="","",M344-N344)</f>
        <v/>
      </c>
      <c r="P344" s="38" t="str">
        <f t="shared" ref="P344:P407" si="105">IF(L344="","",O343*$B$8)</f>
        <v/>
      </c>
      <c r="Q344" s="38" t="str">
        <f t="shared" ref="Q344:Q407" si="106">IF(L344="","",N344-P344)</f>
        <v/>
      </c>
      <c r="R344" s="38" t="str">
        <f t="shared" ref="R344:R407" si="107">IF(L344="","",O344*(1+$B$8))</f>
        <v/>
      </c>
      <c r="S344" s="38" t="str">
        <f t="shared" ref="S344:S407" si="108">IF(L344="","",S343+P344)</f>
        <v/>
      </c>
      <c r="T344" s="38" t="str">
        <f t="shared" ref="T344:T407" si="109">IF(L344="","",Q344+T343)</f>
        <v/>
      </c>
      <c r="AF344" t="str">
        <f t="shared" si="94"/>
        <v/>
      </c>
      <c r="AG344" s="38" t="str">
        <f t="shared" si="93"/>
        <v/>
      </c>
    </row>
    <row r="345" spans="1:33" x14ac:dyDescent="0.2">
      <c r="A345" t="str">
        <f t="shared" si="95"/>
        <v/>
      </c>
      <c r="B345" s="38" t="str">
        <f t="shared" si="96"/>
        <v/>
      </c>
      <c r="C345" s="38" t="str">
        <f t="shared" si="97"/>
        <v/>
      </c>
      <c r="D345" s="38" t="str">
        <f t="shared" si="98"/>
        <v/>
      </c>
      <c r="E345" s="38" t="str">
        <f t="shared" si="99"/>
        <v/>
      </c>
      <c r="F345" s="38" t="str">
        <f t="shared" si="100"/>
        <v/>
      </c>
      <c r="G345" s="38" t="str">
        <f t="shared" si="89"/>
        <v/>
      </c>
      <c r="H345" s="38" t="str">
        <f t="shared" si="90"/>
        <v/>
      </c>
      <c r="L345" t="str">
        <f t="shared" si="101"/>
        <v/>
      </c>
      <c r="M345" s="38" t="str">
        <f t="shared" si="102"/>
        <v/>
      </c>
      <c r="N345" s="38" t="str">
        <f t="shared" si="103"/>
        <v/>
      </c>
      <c r="O345" s="38" t="str">
        <f t="shared" si="104"/>
        <v/>
      </c>
      <c r="P345" s="38" t="str">
        <f t="shared" si="105"/>
        <v/>
      </c>
      <c r="Q345" s="38" t="str">
        <f t="shared" si="106"/>
        <v/>
      </c>
      <c r="R345" s="38" t="str">
        <f t="shared" si="107"/>
        <v/>
      </c>
      <c r="S345" s="38" t="str">
        <f t="shared" si="108"/>
        <v/>
      </c>
      <c r="T345" s="38" t="str">
        <f t="shared" si="109"/>
        <v/>
      </c>
      <c r="AF345" t="str">
        <f t="shared" si="94"/>
        <v/>
      </c>
      <c r="AG345" s="38" t="str">
        <f t="shared" si="93"/>
        <v/>
      </c>
    </row>
    <row r="346" spans="1:33" x14ac:dyDescent="0.2">
      <c r="A346" t="str">
        <f t="shared" si="95"/>
        <v/>
      </c>
      <c r="B346" s="38" t="str">
        <f t="shared" si="96"/>
        <v/>
      </c>
      <c r="C346" s="38" t="str">
        <f t="shared" si="97"/>
        <v/>
      </c>
      <c r="D346" s="38" t="str">
        <f t="shared" si="98"/>
        <v/>
      </c>
      <c r="E346" s="38" t="str">
        <f t="shared" si="99"/>
        <v/>
      </c>
      <c r="F346" s="38" t="str">
        <f t="shared" si="100"/>
        <v/>
      </c>
      <c r="G346" s="38" t="str">
        <f t="shared" ref="G346:G409" si="110">IF(A346="","", (G345+C346))</f>
        <v/>
      </c>
      <c r="H346" s="38" t="str">
        <f t="shared" ref="H346:H409" si="111">IF(A346="","",(H345+E346))</f>
        <v/>
      </c>
      <c r="L346" t="str">
        <f t="shared" si="101"/>
        <v/>
      </c>
      <c r="M346" s="38" t="str">
        <f t="shared" si="102"/>
        <v/>
      </c>
      <c r="N346" s="38" t="str">
        <f t="shared" si="103"/>
        <v/>
      </c>
      <c r="O346" s="38" t="str">
        <f t="shared" si="104"/>
        <v/>
      </c>
      <c r="P346" s="38" t="str">
        <f t="shared" si="105"/>
        <v/>
      </c>
      <c r="Q346" s="38" t="str">
        <f t="shared" si="106"/>
        <v/>
      </c>
      <c r="R346" s="38" t="str">
        <f t="shared" si="107"/>
        <v/>
      </c>
      <c r="S346" s="38" t="str">
        <f t="shared" si="108"/>
        <v/>
      </c>
      <c r="T346" s="38" t="str">
        <f t="shared" si="109"/>
        <v/>
      </c>
      <c r="AF346" t="str">
        <f t="shared" si="94"/>
        <v/>
      </c>
      <c r="AG346" s="38" t="str">
        <f t="shared" si="93"/>
        <v/>
      </c>
    </row>
    <row r="347" spans="1:33" x14ac:dyDescent="0.2">
      <c r="A347" t="str">
        <f t="shared" si="95"/>
        <v/>
      </c>
      <c r="B347" s="38" t="str">
        <f t="shared" si="96"/>
        <v/>
      </c>
      <c r="C347" s="38" t="str">
        <f t="shared" si="97"/>
        <v/>
      </c>
      <c r="D347" s="38" t="str">
        <f t="shared" si="98"/>
        <v/>
      </c>
      <c r="E347" s="38" t="str">
        <f t="shared" si="99"/>
        <v/>
      </c>
      <c r="F347" s="38" t="str">
        <f t="shared" si="100"/>
        <v/>
      </c>
      <c r="G347" s="38" t="str">
        <f t="shared" si="110"/>
        <v/>
      </c>
      <c r="H347" s="38" t="str">
        <f t="shared" si="111"/>
        <v/>
      </c>
      <c r="L347" t="str">
        <f t="shared" si="101"/>
        <v/>
      </c>
      <c r="M347" s="38" t="str">
        <f t="shared" si="102"/>
        <v/>
      </c>
      <c r="N347" s="38" t="str">
        <f t="shared" si="103"/>
        <v/>
      </c>
      <c r="O347" s="38" t="str">
        <f t="shared" si="104"/>
        <v/>
      </c>
      <c r="P347" s="38" t="str">
        <f t="shared" si="105"/>
        <v/>
      </c>
      <c r="Q347" s="38" t="str">
        <f t="shared" si="106"/>
        <v/>
      </c>
      <c r="R347" s="38" t="str">
        <f t="shared" si="107"/>
        <v/>
      </c>
      <c r="S347" s="38" t="str">
        <f t="shared" si="108"/>
        <v/>
      </c>
      <c r="T347" s="38" t="str">
        <f t="shared" si="109"/>
        <v/>
      </c>
      <c r="AF347" t="str">
        <f t="shared" si="94"/>
        <v/>
      </c>
      <c r="AG347" s="38" t="str">
        <f t="shared" si="93"/>
        <v/>
      </c>
    </row>
    <row r="348" spans="1:33" x14ac:dyDescent="0.2">
      <c r="A348" t="str">
        <f t="shared" si="95"/>
        <v/>
      </c>
      <c r="B348" s="38" t="str">
        <f t="shared" si="96"/>
        <v/>
      </c>
      <c r="C348" s="38" t="str">
        <f t="shared" si="97"/>
        <v/>
      </c>
      <c r="D348" s="38" t="str">
        <f t="shared" si="98"/>
        <v/>
      </c>
      <c r="E348" s="38" t="str">
        <f t="shared" si="99"/>
        <v/>
      </c>
      <c r="F348" s="38" t="str">
        <f t="shared" si="100"/>
        <v/>
      </c>
      <c r="G348" s="38" t="str">
        <f t="shared" si="110"/>
        <v/>
      </c>
      <c r="H348" s="38" t="str">
        <f t="shared" si="111"/>
        <v/>
      </c>
      <c r="L348" t="str">
        <f t="shared" si="101"/>
        <v/>
      </c>
      <c r="M348" s="38" t="str">
        <f t="shared" si="102"/>
        <v/>
      </c>
      <c r="N348" s="38" t="str">
        <f t="shared" si="103"/>
        <v/>
      </c>
      <c r="O348" s="38" t="str">
        <f t="shared" si="104"/>
        <v/>
      </c>
      <c r="P348" s="38" t="str">
        <f t="shared" si="105"/>
        <v/>
      </c>
      <c r="Q348" s="38" t="str">
        <f t="shared" si="106"/>
        <v/>
      </c>
      <c r="R348" s="38" t="str">
        <f t="shared" si="107"/>
        <v/>
      </c>
      <c r="S348" s="38" t="str">
        <f t="shared" si="108"/>
        <v/>
      </c>
      <c r="T348" s="38" t="str">
        <f t="shared" si="109"/>
        <v/>
      </c>
      <c r="AF348" t="str">
        <f t="shared" si="94"/>
        <v/>
      </c>
      <c r="AG348" s="38" t="str">
        <f t="shared" si="93"/>
        <v/>
      </c>
    </row>
    <row r="349" spans="1:33" x14ac:dyDescent="0.2">
      <c r="A349" t="str">
        <f t="shared" si="95"/>
        <v/>
      </c>
      <c r="B349" s="38" t="str">
        <f t="shared" si="96"/>
        <v/>
      </c>
      <c r="C349" s="38" t="str">
        <f t="shared" si="97"/>
        <v/>
      </c>
      <c r="D349" s="38" t="str">
        <f t="shared" si="98"/>
        <v/>
      </c>
      <c r="E349" s="38" t="str">
        <f t="shared" si="99"/>
        <v/>
      </c>
      <c r="F349" s="38" t="str">
        <f t="shared" si="100"/>
        <v/>
      </c>
      <c r="G349" s="38" t="str">
        <f t="shared" si="110"/>
        <v/>
      </c>
      <c r="H349" s="38" t="str">
        <f t="shared" si="111"/>
        <v/>
      </c>
      <c r="L349" t="str">
        <f t="shared" si="101"/>
        <v/>
      </c>
      <c r="M349" s="38" t="str">
        <f t="shared" si="102"/>
        <v/>
      </c>
      <c r="N349" s="38" t="str">
        <f t="shared" si="103"/>
        <v/>
      </c>
      <c r="O349" s="38" t="str">
        <f t="shared" si="104"/>
        <v/>
      </c>
      <c r="P349" s="38" t="str">
        <f t="shared" si="105"/>
        <v/>
      </c>
      <c r="Q349" s="38" t="str">
        <f t="shared" si="106"/>
        <v/>
      </c>
      <c r="R349" s="38" t="str">
        <f t="shared" si="107"/>
        <v/>
      </c>
      <c r="S349" s="38" t="str">
        <f t="shared" si="108"/>
        <v/>
      </c>
      <c r="T349" s="38" t="str">
        <f t="shared" si="109"/>
        <v/>
      </c>
      <c r="AF349" t="str">
        <f t="shared" si="94"/>
        <v/>
      </c>
      <c r="AG349" s="38" t="str">
        <f t="shared" si="93"/>
        <v/>
      </c>
    </row>
    <row r="350" spans="1:33" x14ac:dyDescent="0.2">
      <c r="A350" t="str">
        <f t="shared" si="95"/>
        <v/>
      </c>
      <c r="B350" s="38" t="str">
        <f t="shared" si="96"/>
        <v/>
      </c>
      <c r="C350" s="38" t="str">
        <f t="shared" si="97"/>
        <v/>
      </c>
      <c r="D350" s="38" t="str">
        <f t="shared" si="98"/>
        <v/>
      </c>
      <c r="E350" s="38" t="str">
        <f t="shared" si="99"/>
        <v/>
      </c>
      <c r="F350" s="38" t="str">
        <f t="shared" si="100"/>
        <v/>
      </c>
      <c r="G350" s="38" t="str">
        <f t="shared" si="110"/>
        <v/>
      </c>
      <c r="H350" s="38" t="str">
        <f t="shared" si="111"/>
        <v/>
      </c>
      <c r="L350" t="str">
        <f t="shared" si="101"/>
        <v/>
      </c>
      <c r="M350" s="38" t="str">
        <f t="shared" si="102"/>
        <v/>
      </c>
      <c r="N350" s="38" t="str">
        <f t="shared" si="103"/>
        <v/>
      </c>
      <c r="O350" s="38" t="str">
        <f t="shared" si="104"/>
        <v/>
      </c>
      <c r="P350" s="38" t="str">
        <f t="shared" si="105"/>
        <v/>
      </c>
      <c r="Q350" s="38" t="str">
        <f t="shared" si="106"/>
        <v/>
      </c>
      <c r="R350" s="38" t="str">
        <f t="shared" si="107"/>
        <v/>
      </c>
      <c r="S350" s="38" t="str">
        <f t="shared" si="108"/>
        <v/>
      </c>
      <c r="T350" s="38" t="str">
        <f t="shared" si="109"/>
        <v/>
      </c>
      <c r="AF350" t="str">
        <f t="shared" si="94"/>
        <v/>
      </c>
      <c r="AG350" s="38" t="str">
        <f t="shared" si="93"/>
        <v/>
      </c>
    </row>
    <row r="351" spans="1:33" x14ac:dyDescent="0.2">
      <c r="A351" t="str">
        <f t="shared" si="95"/>
        <v/>
      </c>
      <c r="B351" s="38" t="str">
        <f t="shared" si="96"/>
        <v/>
      </c>
      <c r="C351" s="38" t="str">
        <f t="shared" si="97"/>
        <v/>
      </c>
      <c r="D351" s="38" t="str">
        <f t="shared" si="98"/>
        <v/>
      </c>
      <c r="E351" s="38" t="str">
        <f t="shared" si="99"/>
        <v/>
      </c>
      <c r="F351" s="38" t="str">
        <f t="shared" si="100"/>
        <v/>
      </c>
      <c r="G351" s="38" t="str">
        <f t="shared" si="110"/>
        <v/>
      </c>
      <c r="H351" s="38" t="str">
        <f t="shared" si="111"/>
        <v/>
      </c>
      <c r="L351" t="str">
        <f t="shared" si="101"/>
        <v/>
      </c>
      <c r="M351" s="38" t="str">
        <f t="shared" si="102"/>
        <v/>
      </c>
      <c r="N351" s="38" t="str">
        <f t="shared" si="103"/>
        <v/>
      </c>
      <c r="O351" s="38" t="str">
        <f t="shared" si="104"/>
        <v/>
      </c>
      <c r="P351" s="38" t="str">
        <f t="shared" si="105"/>
        <v/>
      </c>
      <c r="Q351" s="38" t="str">
        <f t="shared" si="106"/>
        <v/>
      </c>
      <c r="R351" s="38" t="str">
        <f t="shared" si="107"/>
        <v/>
      </c>
      <c r="S351" s="38" t="str">
        <f t="shared" si="108"/>
        <v/>
      </c>
      <c r="T351" s="38" t="str">
        <f t="shared" si="109"/>
        <v/>
      </c>
      <c r="AF351" t="str">
        <f t="shared" si="94"/>
        <v/>
      </c>
      <c r="AG351" s="38" t="str">
        <f t="shared" si="93"/>
        <v/>
      </c>
    </row>
    <row r="352" spans="1:33" x14ac:dyDescent="0.2">
      <c r="A352" t="str">
        <f t="shared" si="95"/>
        <v/>
      </c>
      <c r="B352" s="38" t="str">
        <f t="shared" si="96"/>
        <v/>
      </c>
      <c r="C352" s="38" t="str">
        <f t="shared" si="97"/>
        <v/>
      </c>
      <c r="D352" s="38" t="str">
        <f t="shared" si="98"/>
        <v/>
      </c>
      <c r="E352" s="38" t="str">
        <f t="shared" si="99"/>
        <v/>
      </c>
      <c r="F352" s="38" t="str">
        <f t="shared" si="100"/>
        <v/>
      </c>
      <c r="G352" s="38" t="str">
        <f t="shared" si="110"/>
        <v/>
      </c>
      <c r="H352" s="38" t="str">
        <f t="shared" si="111"/>
        <v/>
      </c>
      <c r="L352" t="str">
        <f t="shared" si="101"/>
        <v/>
      </c>
      <c r="M352" s="38" t="str">
        <f t="shared" si="102"/>
        <v/>
      </c>
      <c r="N352" s="38" t="str">
        <f t="shared" si="103"/>
        <v/>
      </c>
      <c r="O352" s="38" t="str">
        <f t="shared" si="104"/>
        <v/>
      </c>
      <c r="P352" s="38" t="str">
        <f t="shared" si="105"/>
        <v/>
      </c>
      <c r="Q352" s="38" t="str">
        <f t="shared" si="106"/>
        <v/>
      </c>
      <c r="R352" s="38" t="str">
        <f t="shared" si="107"/>
        <v/>
      </c>
      <c r="S352" s="38" t="str">
        <f t="shared" si="108"/>
        <v/>
      </c>
      <c r="T352" s="38" t="str">
        <f t="shared" si="109"/>
        <v/>
      </c>
      <c r="AF352" t="str">
        <f t="shared" si="94"/>
        <v/>
      </c>
      <c r="AG352" s="38" t="str">
        <f t="shared" si="93"/>
        <v/>
      </c>
    </row>
    <row r="353" spans="1:33" x14ac:dyDescent="0.2">
      <c r="A353" t="str">
        <f t="shared" si="95"/>
        <v/>
      </c>
      <c r="B353" s="38" t="str">
        <f t="shared" si="96"/>
        <v/>
      </c>
      <c r="C353" s="38" t="str">
        <f t="shared" si="97"/>
        <v/>
      </c>
      <c r="D353" s="38" t="str">
        <f t="shared" si="98"/>
        <v/>
      </c>
      <c r="E353" s="38" t="str">
        <f t="shared" si="99"/>
        <v/>
      </c>
      <c r="F353" s="38" t="str">
        <f t="shared" si="100"/>
        <v/>
      </c>
      <c r="G353" s="38" t="str">
        <f t="shared" si="110"/>
        <v/>
      </c>
      <c r="H353" s="38" t="str">
        <f t="shared" si="111"/>
        <v/>
      </c>
      <c r="L353" t="str">
        <f t="shared" si="101"/>
        <v/>
      </c>
      <c r="M353" s="38" t="str">
        <f t="shared" si="102"/>
        <v/>
      </c>
      <c r="N353" s="38" t="str">
        <f t="shared" si="103"/>
        <v/>
      </c>
      <c r="O353" s="38" t="str">
        <f t="shared" si="104"/>
        <v/>
      </c>
      <c r="P353" s="38" t="str">
        <f t="shared" si="105"/>
        <v/>
      </c>
      <c r="Q353" s="38" t="str">
        <f t="shared" si="106"/>
        <v/>
      </c>
      <c r="R353" s="38" t="str">
        <f t="shared" si="107"/>
        <v/>
      </c>
      <c r="S353" s="38" t="str">
        <f t="shared" si="108"/>
        <v/>
      </c>
      <c r="T353" s="38" t="str">
        <f t="shared" si="109"/>
        <v/>
      </c>
      <c r="AF353" t="str">
        <f t="shared" si="94"/>
        <v/>
      </c>
      <c r="AG353" s="38" t="str">
        <f t="shared" si="93"/>
        <v/>
      </c>
    </row>
    <row r="354" spans="1:33" x14ac:dyDescent="0.2">
      <c r="A354" t="str">
        <f t="shared" si="95"/>
        <v/>
      </c>
      <c r="B354" s="38" t="str">
        <f t="shared" si="96"/>
        <v/>
      </c>
      <c r="C354" s="38" t="str">
        <f t="shared" si="97"/>
        <v/>
      </c>
      <c r="D354" s="38" t="str">
        <f t="shared" si="98"/>
        <v/>
      </c>
      <c r="E354" s="38" t="str">
        <f t="shared" si="99"/>
        <v/>
      </c>
      <c r="F354" s="38" t="str">
        <f t="shared" si="100"/>
        <v/>
      </c>
      <c r="G354" s="38" t="str">
        <f t="shared" si="110"/>
        <v/>
      </c>
      <c r="H354" s="38" t="str">
        <f t="shared" si="111"/>
        <v/>
      </c>
      <c r="L354" t="str">
        <f t="shared" si="101"/>
        <v/>
      </c>
      <c r="M354" s="38" t="str">
        <f t="shared" si="102"/>
        <v/>
      </c>
      <c r="N354" s="38" t="str">
        <f t="shared" si="103"/>
        <v/>
      </c>
      <c r="O354" s="38" t="str">
        <f t="shared" si="104"/>
        <v/>
      </c>
      <c r="P354" s="38" t="str">
        <f t="shared" si="105"/>
        <v/>
      </c>
      <c r="Q354" s="38" t="str">
        <f t="shared" si="106"/>
        <v/>
      </c>
      <c r="R354" s="38" t="str">
        <f t="shared" si="107"/>
        <v/>
      </c>
      <c r="S354" s="38" t="str">
        <f t="shared" si="108"/>
        <v/>
      </c>
      <c r="T354" s="38" t="str">
        <f t="shared" si="109"/>
        <v/>
      </c>
      <c r="AF354" t="str">
        <f t="shared" si="94"/>
        <v/>
      </c>
      <c r="AG354" s="38" t="str">
        <f t="shared" si="93"/>
        <v/>
      </c>
    </row>
    <row r="355" spans="1:33" x14ac:dyDescent="0.2">
      <c r="A355" t="str">
        <f t="shared" si="95"/>
        <v/>
      </c>
      <c r="B355" s="38" t="str">
        <f t="shared" si="96"/>
        <v/>
      </c>
      <c r="C355" s="38" t="str">
        <f t="shared" si="97"/>
        <v/>
      </c>
      <c r="D355" s="38" t="str">
        <f t="shared" si="98"/>
        <v/>
      </c>
      <c r="E355" s="38" t="str">
        <f t="shared" si="99"/>
        <v/>
      </c>
      <c r="F355" s="38" t="str">
        <f t="shared" si="100"/>
        <v/>
      </c>
      <c r="G355" s="38" t="str">
        <f t="shared" si="110"/>
        <v/>
      </c>
      <c r="H355" s="38" t="str">
        <f t="shared" si="111"/>
        <v/>
      </c>
      <c r="L355" t="str">
        <f t="shared" si="101"/>
        <v/>
      </c>
      <c r="M355" s="38" t="str">
        <f t="shared" si="102"/>
        <v/>
      </c>
      <c r="N355" s="38" t="str">
        <f t="shared" si="103"/>
        <v/>
      </c>
      <c r="O355" s="38" t="str">
        <f t="shared" si="104"/>
        <v/>
      </c>
      <c r="P355" s="38" t="str">
        <f t="shared" si="105"/>
        <v/>
      </c>
      <c r="Q355" s="38" t="str">
        <f t="shared" si="106"/>
        <v/>
      </c>
      <c r="R355" s="38" t="str">
        <f t="shared" si="107"/>
        <v/>
      </c>
      <c r="S355" s="38" t="str">
        <f t="shared" si="108"/>
        <v/>
      </c>
      <c r="T355" s="38" t="str">
        <f t="shared" si="109"/>
        <v/>
      </c>
      <c r="AF355" t="str">
        <f t="shared" si="94"/>
        <v/>
      </c>
      <c r="AG355" s="38" t="str">
        <f t="shared" si="93"/>
        <v/>
      </c>
    </row>
    <row r="356" spans="1:33" x14ac:dyDescent="0.2">
      <c r="A356" t="str">
        <f t="shared" si="95"/>
        <v/>
      </c>
      <c r="B356" s="38" t="str">
        <f t="shared" si="96"/>
        <v/>
      </c>
      <c r="C356" s="38" t="str">
        <f t="shared" si="97"/>
        <v/>
      </c>
      <c r="D356" s="38" t="str">
        <f t="shared" si="98"/>
        <v/>
      </c>
      <c r="E356" s="38" t="str">
        <f t="shared" si="99"/>
        <v/>
      </c>
      <c r="F356" s="38" t="str">
        <f t="shared" si="100"/>
        <v/>
      </c>
      <c r="G356" s="38" t="str">
        <f t="shared" si="110"/>
        <v/>
      </c>
      <c r="H356" s="38" t="str">
        <f t="shared" si="111"/>
        <v/>
      </c>
      <c r="L356" t="str">
        <f t="shared" si="101"/>
        <v/>
      </c>
      <c r="M356" s="38" t="str">
        <f t="shared" si="102"/>
        <v/>
      </c>
      <c r="N356" s="38" t="str">
        <f t="shared" si="103"/>
        <v/>
      </c>
      <c r="O356" s="38" t="str">
        <f t="shared" si="104"/>
        <v/>
      </c>
      <c r="P356" s="38" t="str">
        <f t="shared" si="105"/>
        <v/>
      </c>
      <c r="Q356" s="38" t="str">
        <f t="shared" si="106"/>
        <v/>
      </c>
      <c r="R356" s="38" t="str">
        <f t="shared" si="107"/>
        <v/>
      </c>
      <c r="S356" s="38" t="str">
        <f t="shared" si="108"/>
        <v/>
      </c>
      <c r="T356" s="38" t="str">
        <f t="shared" si="109"/>
        <v/>
      </c>
      <c r="AF356" t="str">
        <f t="shared" si="94"/>
        <v/>
      </c>
      <c r="AG356" s="38" t="str">
        <f t="shared" si="93"/>
        <v/>
      </c>
    </row>
    <row r="357" spans="1:33" x14ac:dyDescent="0.2">
      <c r="A357" t="str">
        <f t="shared" si="95"/>
        <v/>
      </c>
      <c r="B357" s="38" t="str">
        <f t="shared" si="96"/>
        <v/>
      </c>
      <c r="C357" s="38" t="str">
        <f t="shared" si="97"/>
        <v/>
      </c>
      <c r="D357" s="38" t="str">
        <f t="shared" si="98"/>
        <v/>
      </c>
      <c r="E357" s="38" t="str">
        <f t="shared" si="99"/>
        <v/>
      </c>
      <c r="F357" s="38" t="str">
        <f t="shared" si="100"/>
        <v/>
      </c>
      <c r="G357" s="38" t="str">
        <f t="shared" si="110"/>
        <v/>
      </c>
      <c r="H357" s="38" t="str">
        <f t="shared" si="111"/>
        <v/>
      </c>
      <c r="L357" t="str">
        <f t="shared" si="101"/>
        <v/>
      </c>
      <c r="M357" s="38" t="str">
        <f t="shared" si="102"/>
        <v/>
      </c>
      <c r="N357" s="38" t="str">
        <f t="shared" si="103"/>
        <v/>
      </c>
      <c r="O357" s="38" t="str">
        <f t="shared" si="104"/>
        <v/>
      </c>
      <c r="P357" s="38" t="str">
        <f t="shared" si="105"/>
        <v/>
      </c>
      <c r="Q357" s="38" t="str">
        <f t="shared" si="106"/>
        <v/>
      </c>
      <c r="R357" s="38" t="str">
        <f t="shared" si="107"/>
        <v/>
      </c>
      <c r="S357" s="38" t="str">
        <f t="shared" si="108"/>
        <v/>
      </c>
      <c r="T357" s="38" t="str">
        <f t="shared" si="109"/>
        <v/>
      </c>
      <c r="AF357" t="str">
        <f t="shared" si="94"/>
        <v/>
      </c>
      <c r="AG357" s="38" t="str">
        <f t="shared" si="93"/>
        <v/>
      </c>
    </row>
    <row r="358" spans="1:33" x14ac:dyDescent="0.2">
      <c r="A358" t="str">
        <f t="shared" si="95"/>
        <v/>
      </c>
      <c r="B358" s="38" t="str">
        <f t="shared" si="96"/>
        <v/>
      </c>
      <c r="C358" s="38" t="str">
        <f t="shared" si="97"/>
        <v/>
      </c>
      <c r="D358" s="38" t="str">
        <f t="shared" si="98"/>
        <v/>
      </c>
      <c r="E358" s="38" t="str">
        <f t="shared" si="99"/>
        <v/>
      </c>
      <c r="F358" s="38" t="str">
        <f t="shared" si="100"/>
        <v/>
      </c>
      <c r="G358" s="38" t="str">
        <f t="shared" si="110"/>
        <v/>
      </c>
      <c r="H358" s="38" t="str">
        <f t="shared" si="111"/>
        <v/>
      </c>
      <c r="L358" t="str">
        <f t="shared" si="101"/>
        <v/>
      </c>
      <c r="M358" s="38" t="str">
        <f t="shared" si="102"/>
        <v/>
      </c>
      <c r="N358" s="38" t="str">
        <f t="shared" si="103"/>
        <v/>
      </c>
      <c r="O358" s="38" t="str">
        <f t="shared" si="104"/>
        <v/>
      </c>
      <c r="P358" s="38" t="str">
        <f t="shared" si="105"/>
        <v/>
      </c>
      <c r="Q358" s="38" t="str">
        <f t="shared" si="106"/>
        <v/>
      </c>
      <c r="R358" s="38" t="str">
        <f t="shared" si="107"/>
        <v/>
      </c>
      <c r="S358" s="38" t="str">
        <f t="shared" si="108"/>
        <v/>
      </c>
      <c r="T358" s="38" t="str">
        <f t="shared" si="109"/>
        <v/>
      </c>
      <c r="AF358" t="str">
        <f t="shared" si="94"/>
        <v/>
      </c>
      <c r="AG358" s="38" t="str">
        <f t="shared" si="93"/>
        <v/>
      </c>
    </row>
    <row r="359" spans="1:33" x14ac:dyDescent="0.2">
      <c r="A359" t="str">
        <f t="shared" si="95"/>
        <v/>
      </c>
      <c r="B359" s="38" t="str">
        <f t="shared" si="96"/>
        <v/>
      </c>
      <c r="C359" s="38" t="str">
        <f t="shared" si="97"/>
        <v/>
      </c>
      <c r="D359" s="38" t="str">
        <f t="shared" si="98"/>
        <v/>
      </c>
      <c r="E359" s="38" t="str">
        <f t="shared" si="99"/>
        <v/>
      </c>
      <c r="F359" s="38" t="str">
        <f t="shared" si="100"/>
        <v/>
      </c>
      <c r="G359" s="38" t="str">
        <f t="shared" si="110"/>
        <v/>
      </c>
      <c r="H359" s="38" t="str">
        <f t="shared" si="111"/>
        <v/>
      </c>
      <c r="L359" t="str">
        <f t="shared" si="101"/>
        <v/>
      </c>
      <c r="M359" s="38" t="str">
        <f t="shared" si="102"/>
        <v/>
      </c>
      <c r="N359" s="38" t="str">
        <f t="shared" si="103"/>
        <v/>
      </c>
      <c r="O359" s="38" t="str">
        <f t="shared" si="104"/>
        <v/>
      </c>
      <c r="P359" s="38" t="str">
        <f t="shared" si="105"/>
        <v/>
      </c>
      <c r="Q359" s="38" t="str">
        <f t="shared" si="106"/>
        <v/>
      </c>
      <c r="R359" s="38" t="str">
        <f t="shared" si="107"/>
        <v/>
      </c>
      <c r="S359" s="38" t="str">
        <f t="shared" si="108"/>
        <v/>
      </c>
      <c r="T359" s="38" t="str">
        <f t="shared" si="109"/>
        <v/>
      </c>
      <c r="AF359" t="str">
        <f t="shared" si="94"/>
        <v/>
      </c>
      <c r="AG359" s="38" t="str">
        <f t="shared" si="93"/>
        <v/>
      </c>
    </row>
    <row r="360" spans="1:33" x14ac:dyDescent="0.2">
      <c r="A360" t="str">
        <f t="shared" si="95"/>
        <v/>
      </c>
      <c r="B360" s="38" t="str">
        <f t="shared" si="96"/>
        <v/>
      </c>
      <c r="C360" s="38" t="str">
        <f t="shared" si="97"/>
        <v/>
      </c>
      <c r="D360" s="38" t="str">
        <f t="shared" si="98"/>
        <v/>
      </c>
      <c r="E360" s="38" t="str">
        <f t="shared" si="99"/>
        <v/>
      </c>
      <c r="F360" s="38" t="str">
        <f t="shared" si="100"/>
        <v/>
      </c>
      <c r="G360" s="38" t="str">
        <f t="shared" si="110"/>
        <v/>
      </c>
      <c r="H360" s="38" t="str">
        <f t="shared" si="111"/>
        <v/>
      </c>
      <c r="L360" t="str">
        <f t="shared" si="101"/>
        <v/>
      </c>
      <c r="M360" s="38" t="str">
        <f t="shared" si="102"/>
        <v/>
      </c>
      <c r="N360" s="38" t="str">
        <f t="shared" si="103"/>
        <v/>
      </c>
      <c r="O360" s="38" t="str">
        <f t="shared" si="104"/>
        <v/>
      </c>
      <c r="P360" s="38" t="str">
        <f t="shared" si="105"/>
        <v/>
      </c>
      <c r="Q360" s="38" t="str">
        <f t="shared" si="106"/>
        <v/>
      </c>
      <c r="R360" s="38" t="str">
        <f t="shared" si="107"/>
        <v/>
      </c>
      <c r="S360" s="38" t="str">
        <f t="shared" si="108"/>
        <v/>
      </c>
      <c r="T360" s="38" t="str">
        <f t="shared" si="109"/>
        <v/>
      </c>
      <c r="AF360" t="str">
        <f t="shared" si="94"/>
        <v/>
      </c>
      <c r="AG360" s="38" t="str">
        <f t="shared" si="93"/>
        <v/>
      </c>
    </row>
    <row r="361" spans="1:33" x14ac:dyDescent="0.2">
      <c r="A361" t="str">
        <f t="shared" si="95"/>
        <v/>
      </c>
      <c r="B361" s="38" t="str">
        <f t="shared" si="96"/>
        <v/>
      </c>
      <c r="C361" s="38" t="str">
        <f t="shared" si="97"/>
        <v/>
      </c>
      <c r="D361" s="38" t="str">
        <f t="shared" si="98"/>
        <v/>
      </c>
      <c r="E361" s="38" t="str">
        <f t="shared" si="99"/>
        <v/>
      </c>
      <c r="F361" s="38" t="str">
        <f t="shared" si="100"/>
        <v/>
      </c>
      <c r="G361" s="38" t="str">
        <f t="shared" si="110"/>
        <v/>
      </c>
      <c r="H361" s="38" t="str">
        <f t="shared" si="111"/>
        <v/>
      </c>
      <c r="L361" t="str">
        <f t="shared" si="101"/>
        <v/>
      </c>
      <c r="M361" s="38" t="str">
        <f t="shared" si="102"/>
        <v/>
      </c>
      <c r="N361" s="38" t="str">
        <f t="shared" si="103"/>
        <v/>
      </c>
      <c r="O361" s="38" t="str">
        <f t="shared" si="104"/>
        <v/>
      </c>
      <c r="P361" s="38" t="str">
        <f t="shared" si="105"/>
        <v/>
      </c>
      <c r="Q361" s="38" t="str">
        <f t="shared" si="106"/>
        <v/>
      </c>
      <c r="R361" s="38" t="str">
        <f t="shared" si="107"/>
        <v/>
      </c>
      <c r="S361" s="38" t="str">
        <f t="shared" si="108"/>
        <v/>
      </c>
      <c r="T361" s="38" t="str">
        <f t="shared" si="109"/>
        <v/>
      </c>
      <c r="AF361" t="str">
        <f t="shared" si="94"/>
        <v/>
      </c>
      <c r="AG361" s="38" t="str">
        <f t="shared" si="93"/>
        <v/>
      </c>
    </row>
    <row r="362" spans="1:33" x14ac:dyDescent="0.2">
      <c r="A362" t="str">
        <f t="shared" si="95"/>
        <v/>
      </c>
      <c r="B362" s="38" t="str">
        <f t="shared" si="96"/>
        <v/>
      </c>
      <c r="C362" s="38" t="str">
        <f t="shared" si="97"/>
        <v/>
      </c>
      <c r="D362" s="38" t="str">
        <f t="shared" si="98"/>
        <v/>
      </c>
      <c r="E362" s="38" t="str">
        <f t="shared" si="99"/>
        <v/>
      </c>
      <c r="F362" s="38" t="str">
        <f t="shared" si="100"/>
        <v/>
      </c>
      <c r="G362" s="38" t="str">
        <f t="shared" si="110"/>
        <v/>
      </c>
      <c r="H362" s="38" t="str">
        <f t="shared" si="111"/>
        <v/>
      </c>
      <c r="L362" t="str">
        <f t="shared" si="101"/>
        <v/>
      </c>
      <c r="M362" s="38" t="str">
        <f t="shared" si="102"/>
        <v/>
      </c>
      <c r="N362" s="38" t="str">
        <f t="shared" si="103"/>
        <v/>
      </c>
      <c r="O362" s="38" t="str">
        <f t="shared" si="104"/>
        <v/>
      </c>
      <c r="P362" s="38" t="str">
        <f t="shared" si="105"/>
        <v/>
      </c>
      <c r="Q362" s="38" t="str">
        <f t="shared" si="106"/>
        <v/>
      </c>
      <c r="R362" s="38" t="str">
        <f t="shared" si="107"/>
        <v/>
      </c>
      <c r="S362" s="38" t="str">
        <f t="shared" si="108"/>
        <v/>
      </c>
      <c r="T362" s="38" t="str">
        <f t="shared" si="109"/>
        <v/>
      </c>
      <c r="AF362" t="str">
        <f t="shared" si="94"/>
        <v/>
      </c>
      <c r="AG362" s="38" t="str">
        <f t="shared" si="93"/>
        <v/>
      </c>
    </row>
    <row r="363" spans="1:33" x14ac:dyDescent="0.2">
      <c r="A363" t="str">
        <f t="shared" si="95"/>
        <v/>
      </c>
      <c r="B363" s="38" t="str">
        <f t="shared" si="96"/>
        <v/>
      </c>
      <c r="C363" s="38" t="str">
        <f t="shared" si="97"/>
        <v/>
      </c>
      <c r="D363" s="38" t="str">
        <f t="shared" si="98"/>
        <v/>
      </c>
      <c r="E363" s="38" t="str">
        <f t="shared" si="99"/>
        <v/>
      </c>
      <c r="F363" s="38" t="str">
        <f t="shared" si="100"/>
        <v/>
      </c>
      <c r="G363" s="38" t="str">
        <f t="shared" si="110"/>
        <v/>
      </c>
      <c r="H363" s="38" t="str">
        <f t="shared" si="111"/>
        <v/>
      </c>
      <c r="L363" t="str">
        <f t="shared" si="101"/>
        <v/>
      </c>
      <c r="M363" s="38" t="str">
        <f t="shared" si="102"/>
        <v/>
      </c>
      <c r="N363" s="38" t="str">
        <f t="shared" si="103"/>
        <v/>
      </c>
      <c r="O363" s="38" t="str">
        <f t="shared" si="104"/>
        <v/>
      </c>
      <c r="P363" s="38" t="str">
        <f t="shared" si="105"/>
        <v/>
      </c>
      <c r="Q363" s="38" t="str">
        <f t="shared" si="106"/>
        <v/>
      </c>
      <c r="R363" s="38" t="str">
        <f t="shared" si="107"/>
        <v/>
      </c>
      <c r="S363" s="38" t="str">
        <f t="shared" si="108"/>
        <v/>
      </c>
      <c r="T363" s="38" t="str">
        <f t="shared" si="109"/>
        <v/>
      </c>
      <c r="AF363" t="str">
        <f t="shared" si="94"/>
        <v/>
      </c>
      <c r="AG363" s="38" t="str">
        <f t="shared" si="93"/>
        <v/>
      </c>
    </row>
    <row r="364" spans="1:33" x14ac:dyDescent="0.2">
      <c r="A364" t="str">
        <f t="shared" si="95"/>
        <v/>
      </c>
      <c r="B364" s="38" t="str">
        <f t="shared" si="96"/>
        <v/>
      </c>
      <c r="C364" s="38" t="str">
        <f t="shared" si="97"/>
        <v/>
      </c>
      <c r="D364" s="38" t="str">
        <f t="shared" si="98"/>
        <v/>
      </c>
      <c r="E364" s="38" t="str">
        <f t="shared" si="99"/>
        <v/>
      </c>
      <c r="F364" s="38" t="str">
        <f t="shared" si="100"/>
        <v/>
      </c>
      <c r="G364" s="38" t="str">
        <f t="shared" si="110"/>
        <v/>
      </c>
      <c r="H364" s="38" t="str">
        <f t="shared" si="111"/>
        <v/>
      </c>
      <c r="L364" t="str">
        <f t="shared" si="101"/>
        <v/>
      </c>
      <c r="M364" s="38" t="str">
        <f t="shared" si="102"/>
        <v/>
      </c>
      <c r="N364" s="38" t="str">
        <f t="shared" si="103"/>
        <v/>
      </c>
      <c r="O364" s="38" t="str">
        <f t="shared" si="104"/>
        <v/>
      </c>
      <c r="P364" s="38" t="str">
        <f t="shared" si="105"/>
        <v/>
      </c>
      <c r="Q364" s="38" t="str">
        <f t="shared" si="106"/>
        <v/>
      </c>
      <c r="R364" s="38" t="str">
        <f t="shared" si="107"/>
        <v/>
      </c>
      <c r="S364" s="38" t="str">
        <f t="shared" si="108"/>
        <v/>
      </c>
      <c r="T364" s="38" t="str">
        <f t="shared" si="109"/>
        <v/>
      </c>
      <c r="AF364" t="str">
        <f t="shared" si="94"/>
        <v/>
      </c>
      <c r="AG364" s="38" t="str">
        <f t="shared" si="93"/>
        <v/>
      </c>
    </row>
    <row r="365" spans="1:33" x14ac:dyDescent="0.2">
      <c r="A365" t="str">
        <f t="shared" si="95"/>
        <v/>
      </c>
      <c r="B365" s="38" t="str">
        <f t="shared" si="96"/>
        <v/>
      </c>
      <c r="C365" s="38" t="str">
        <f t="shared" si="97"/>
        <v/>
      </c>
      <c r="D365" s="38" t="str">
        <f t="shared" si="98"/>
        <v/>
      </c>
      <c r="E365" s="38" t="str">
        <f t="shared" si="99"/>
        <v/>
      </c>
      <c r="F365" s="38" t="str">
        <f t="shared" si="100"/>
        <v/>
      </c>
      <c r="G365" s="38" t="str">
        <f t="shared" si="110"/>
        <v/>
      </c>
      <c r="H365" s="38" t="str">
        <f t="shared" si="111"/>
        <v/>
      </c>
      <c r="L365" t="str">
        <f t="shared" si="101"/>
        <v/>
      </c>
      <c r="M365" s="38" t="str">
        <f t="shared" si="102"/>
        <v/>
      </c>
      <c r="N365" s="38" t="str">
        <f t="shared" si="103"/>
        <v/>
      </c>
      <c r="O365" s="38" t="str">
        <f t="shared" si="104"/>
        <v/>
      </c>
      <c r="P365" s="38" t="str">
        <f t="shared" si="105"/>
        <v/>
      </c>
      <c r="Q365" s="38" t="str">
        <f t="shared" si="106"/>
        <v/>
      </c>
      <c r="R365" s="38" t="str">
        <f t="shared" si="107"/>
        <v/>
      </c>
      <c r="S365" s="38" t="str">
        <f t="shared" si="108"/>
        <v/>
      </c>
      <c r="T365" s="38" t="str">
        <f t="shared" si="109"/>
        <v/>
      </c>
      <c r="AF365" t="str">
        <f t="shared" si="94"/>
        <v/>
      </c>
      <c r="AG365" s="38" t="str">
        <f t="shared" si="93"/>
        <v/>
      </c>
    </row>
    <row r="366" spans="1:33" x14ac:dyDescent="0.2">
      <c r="A366" t="str">
        <f t="shared" si="95"/>
        <v/>
      </c>
      <c r="B366" s="38" t="str">
        <f t="shared" si="96"/>
        <v/>
      </c>
      <c r="C366" s="38" t="str">
        <f t="shared" si="97"/>
        <v/>
      </c>
      <c r="D366" s="38" t="str">
        <f t="shared" si="98"/>
        <v/>
      </c>
      <c r="E366" s="38" t="str">
        <f t="shared" si="99"/>
        <v/>
      </c>
      <c r="F366" s="38" t="str">
        <f t="shared" si="100"/>
        <v/>
      </c>
      <c r="G366" s="38" t="str">
        <f t="shared" si="110"/>
        <v/>
      </c>
      <c r="H366" s="38" t="str">
        <f t="shared" si="111"/>
        <v/>
      </c>
      <c r="L366" t="str">
        <f t="shared" si="101"/>
        <v/>
      </c>
      <c r="M366" s="38" t="str">
        <f t="shared" si="102"/>
        <v/>
      </c>
      <c r="N366" s="38" t="str">
        <f t="shared" si="103"/>
        <v/>
      </c>
      <c r="O366" s="38" t="str">
        <f t="shared" si="104"/>
        <v/>
      </c>
      <c r="P366" s="38" t="str">
        <f t="shared" si="105"/>
        <v/>
      </c>
      <c r="Q366" s="38" t="str">
        <f t="shared" si="106"/>
        <v/>
      </c>
      <c r="R366" s="38" t="str">
        <f t="shared" si="107"/>
        <v/>
      </c>
      <c r="S366" s="38" t="str">
        <f t="shared" si="108"/>
        <v/>
      </c>
      <c r="T366" s="38" t="str">
        <f t="shared" si="109"/>
        <v/>
      </c>
      <c r="AF366" t="str">
        <f t="shared" si="94"/>
        <v/>
      </c>
      <c r="AG366" s="38" t="str">
        <f t="shared" si="93"/>
        <v/>
      </c>
    </row>
    <row r="367" spans="1:33" x14ac:dyDescent="0.2">
      <c r="A367" t="str">
        <f t="shared" si="95"/>
        <v/>
      </c>
      <c r="B367" s="38" t="str">
        <f t="shared" si="96"/>
        <v/>
      </c>
      <c r="C367" s="38" t="str">
        <f t="shared" si="97"/>
        <v/>
      </c>
      <c r="D367" s="38" t="str">
        <f t="shared" si="98"/>
        <v/>
      </c>
      <c r="E367" s="38" t="str">
        <f t="shared" si="99"/>
        <v/>
      </c>
      <c r="F367" s="38" t="str">
        <f t="shared" si="100"/>
        <v/>
      </c>
      <c r="G367" s="38" t="str">
        <f t="shared" si="110"/>
        <v/>
      </c>
      <c r="H367" s="38" t="str">
        <f t="shared" si="111"/>
        <v/>
      </c>
      <c r="L367" t="str">
        <f t="shared" si="101"/>
        <v/>
      </c>
      <c r="M367" s="38" t="str">
        <f t="shared" si="102"/>
        <v/>
      </c>
      <c r="N367" s="38" t="str">
        <f t="shared" si="103"/>
        <v/>
      </c>
      <c r="O367" s="38" t="str">
        <f t="shared" si="104"/>
        <v/>
      </c>
      <c r="P367" s="38" t="str">
        <f t="shared" si="105"/>
        <v/>
      </c>
      <c r="Q367" s="38" t="str">
        <f t="shared" si="106"/>
        <v/>
      </c>
      <c r="R367" s="38" t="str">
        <f t="shared" si="107"/>
        <v/>
      </c>
      <c r="S367" s="38" t="str">
        <f t="shared" si="108"/>
        <v/>
      </c>
      <c r="T367" s="38" t="str">
        <f t="shared" si="109"/>
        <v/>
      </c>
      <c r="AF367" t="str">
        <f t="shared" si="94"/>
        <v/>
      </c>
      <c r="AG367" s="38" t="str">
        <f t="shared" si="93"/>
        <v/>
      </c>
    </row>
    <row r="368" spans="1:33" x14ac:dyDescent="0.2">
      <c r="A368" t="str">
        <f t="shared" si="95"/>
        <v/>
      </c>
      <c r="B368" s="38" t="str">
        <f t="shared" si="96"/>
        <v/>
      </c>
      <c r="C368" s="38" t="str">
        <f t="shared" si="97"/>
        <v/>
      </c>
      <c r="D368" s="38" t="str">
        <f t="shared" si="98"/>
        <v/>
      </c>
      <c r="E368" s="38" t="str">
        <f t="shared" si="99"/>
        <v/>
      </c>
      <c r="F368" s="38" t="str">
        <f t="shared" si="100"/>
        <v/>
      </c>
      <c r="G368" s="38" t="str">
        <f t="shared" si="110"/>
        <v/>
      </c>
      <c r="H368" s="38" t="str">
        <f t="shared" si="111"/>
        <v/>
      </c>
      <c r="L368" t="str">
        <f t="shared" si="101"/>
        <v/>
      </c>
      <c r="M368" s="38" t="str">
        <f t="shared" si="102"/>
        <v/>
      </c>
      <c r="N368" s="38" t="str">
        <f t="shared" si="103"/>
        <v/>
      </c>
      <c r="O368" s="38" t="str">
        <f t="shared" si="104"/>
        <v/>
      </c>
      <c r="P368" s="38" t="str">
        <f t="shared" si="105"/>
        <v/>
      </c>
      <c r="Q368" s="38" t="str">
        <f t="shared" si="106"/>
        <v/>
      </c>
      <c r="R368" s="38" t="str">
        <f t="shared" si="107"/>
        <v/>
      </c>
      <c r="S368" s="38" t="str">
        <f t="shared" si="108"/>
        <v/>
      </c>
      <c r="T368" s="38" t="str">
        <f t="shared" si="109"/>
        <v/>
      </c>
      <c r="AF368" t="str">
        <f t="shared" si="94"/>
        <v/>
      </c>
      <c r="AG368" s="38" t="str">
        <f t="shared" si="93"/>
        <v/>
      </c>
    </row>
    <row r="369" spans="1:33" x14ac:dyDescent="0.2">
      <c r="A369" t="str">
        <f t="shared" si="95"/>
        <v/>
      </c>
      <c r="B369" s="38" t="str">
        <f t="shared" si="96"/>
        <v/>
      </c>
      <c r="C369" s="38" t="str">
        <f t="shared" si="97"/>
        <v/>
      </c>
      <c r="D369" s="38" t="str">
        <f t="shared" si="98"/>
        <v/>
      </c>
      <c r="E369" s="38" t="str">
        <f t="shared" si="99"/>
        <v/>
      </c>
      <c r="F369" s="38" t="str">
        <f t="shared" si="100"/>
        <v/>
      </c>
      <c r="G369" s="38" t="str">
        <f t="shared" si="110"/>
        <v/>
      </c>
      <c r="H369" s="38" t="str">
        <f t="shared" si="111"/>
        <v/>
      </c>
      <c r="L369" t="str">
        <f t="shared" si="101"/>
        <v/>
      </c>
      <c r="M369" s="38" t="str">
        <f t="shared" si="102"/>
        <v/>
      </c>
      <c r="N369" s="38" t="str">
        <f t="shared" si="103"/>
        <v/>
      </c>
      <c r="O369" s="38" t="str">
        <f t="shared" si="104"/>
        <v/>
      </c>
      <c r="P369" s="38" t="str">
        <f t="shared" si="105"/>
        <v/>
      </c>
      <c r="Q369" s="38" t="str">
        <f t="shared" si="106"/>
        <v/>
      </c>
      <c r="R369" s="38" t="str">
        <f t="shared" si="107"/>
        <v/>
      </c>
      <c r="S369" s="38" t="str">
        <f t="shared" si="108"/>
        <v/>
      </c>
      <c r="T369" s="38" t="str">
        <f t="shared" si="109"/>
        <v/>
      </c>
      <c r="AF369" t="str">
        <f t="shared" si="94"/>
        <v/>
      </c>
      <c r="AG369" s="38" t="str">
        <f t="shared" si="93"/>
        <v/>
      </c>
    </row>
    <row r="370" spans="1:33" x14ac:dyDescent="0.2">
      <c r="A370" t="str">
        <f t="shared" si="95"/>
        <v/>
      </c>
      <c r="B370" s="38" t="str">
        <f t="shared" si="96"/>
        <v/>
      </c>
      <c r="C370" s="38" t="str">
        <f t="shared" si="97"/>
        <v/>
      </c>
      <c r="D370" s="38" t="str">
        <f t="shared" si="98"/>
        <v/>
      </c>
      <c r="E370" s="38" t="str">
        <f t="shared" si="99"/>
        <v/>
      </c>
      <c r="F370" s="38" t="str">
        <f t="shared" si="100"/>
        <v/>
      </c>
      <c r="G370" s="38" t="str">
        <f t="shared" si="110"/>
        <v/>
      </c>
      <c r="H370" s="38" t="str">
        <f t="shared" si="111"/>
        <v/>
      </c>
      <c r="L370" t="str">
        <f t="shared" si="101"/>
        <v/>
      </c>
      <c r="M370" s="38" t="str">
        <f t="shared" si="102"/>
        <v/>
      </c>
      <c r="N370" s="38" t="str">
        <f t="shared" si="103"/>
        <v/>
      </c>
      <c r="O370" s="38" t="str">
        <f t="shared" si="104"/>
        <v/>
      </c>
      <c r="P370" s="38" t="str">
        <f t="shared" si="105"/>
        <v/>
      </c>
      <c r="Q370" s="38" t="str">
        <f t="shared" si="106"/>
        <v/>
      </c>
      <c r="R370" s="38" t="str">
        <f t="shared" si="107"/>
        <v/>
      </c>
      <c r="S370" s="38" t="str">
        <f t="shared" si="108"/>
        <v/>
      </c>
      <c r="T370" s="38" t="str">
        <f t="shared" si="109"/>
        <v/>
      </c>
      <c r="AF370" t="str">
        <f t="shared" si="94"/>
        <v/>
      </c>
      <c r="AG370" s="38" t="str">
        <f t="shared" si="93"/>
        <v/>
      </c>
    </row>
    <row r="371" spans="1:33" x14ac:dyDescent="0.2">
      <c r="A371" t="str">
        <f t="shared" si="95"/>
        <v/>
      </c>
      <c r="B371" s="38" t="str">
        <f t="shared" si="96"/>
        <v/>
      </c>
      <c r="C371" s="38" t="str">
        <f t="shared" si="97"/>
        <v/>
      </c>
      <c r="D371" s="38" t="str">
        <f t="shared" si="98"/>
        <v/>
      </c>
      <c r="E371" s="38" t="str">
        <f t="shared" si="99"/>
        <v/>
      </c>
      <c r="F371" s="38" t="str">
        <f t="shared" si="100"/>
        <v/>
      </c>
      <c r="G371" s="38" t="str">
        <f t="shared" si="110"/>
        <v/>
      </c>
      <c r="H371" s="38" t="str">
        <f t="shared" si="111"/>
        <v/>
      </c>
      <c r="L371" t="str">
        <f t="shared" si="101"/>
        <v/>
      </c>
      <c r="M371" s="38" t="str">
        <f t="shared" si="102"/>
        <v/>
      </c>
      <c r="N371" s="38" t="str">
        <f t="shared" si="103"/>
        <v/>
      </c>
      <c r="O371" s="38" t="str">
        <f t="shared" si="104"/>
        <v/>
      </c>
      <c r="P371" s="38" t="str">
        <f t="shared" si="105"/>
        <v/>
      </c>
      <c r="Q371" s="38" t="str">
        <f t="shared" si="106"/>
        <v/>
      </c>
      <c r="R371" s="38" t="str">
        <f t="shared" si="107"/>
        <v/>
      </c>
      <c r="S371" s="38" t="str">
        <f t="shared" si="108"/>
        <v/>
      </c>
      <c r="T371" s="38" t="str">
        <f t="shared" si="109"/>
        <v/>
      </c>
      <c r="AF371" t="str">
        <f t="shared" si="94"/>
        <v/>
      </c>
      <c r="AG371" s="38" t="str">
        <f t="shared" si="93"/>
        <v/>
      </c>
    </row>
    <row r="372" spans="1:33" x14ac:dyDescent="0.2">
      <c r="A372" t="str">
        <f t="shared" si="95"/>
        <v/>
      </c>
      <c r="B372" s="38" t="str">
        <f t="shared" si="96"/>
        <v/>
      </c>
      <c r="C372" s="38" t="str">
        <f t="shared" si="97"/>
        <v/>
      </c>
      <c r="D372" s="38" t="str">
        <f t="shared" si="98"/>
        <v/>
      </c>
      <c r="E372" s="38" t="str">
        <f t="shared" si="99"/>
        <v/>
      </c>
      <c r="F372" s="38" t="str">
        <f t="shared" si="100"/>
        <v/>
      </c>
      <c r="G372" s="38" t="str">
        <f t="shared" si="110"/>
        <v/>
      </c>
      <c r="H372" s="38" t="str">
        <f t="shared" si="111"/>
        <v/>
      </c>
      <c r="L372" t="str">
        <f t="shared" si="101"/>
        <v/>
      </c>
      <c r="M372" s="38" t="str">
        <f t="shared" si="102"/>
        <v/>
      </c>
      <c r="N372" s="38" t="str">
        <f t="shared" si="103"/>
        <v/>
      </c>
      <c r="O372" s="38" t="str">
        <f t="shared" si="104"/>
        <v/>
      </c>
      <c r="P372" s="38" t="str">
        <f t="shared" si="105"/>
        <v/>
      </c>
      <c r="Q372" s="38" t="str">
        <f t="shared" si="106"/>
        <v/>
      </c>
      <c r="R372" s="38" t="str">
        <f t="shared" si="107"/>
        <v/>
      </c>
      <c r="S372" s="38" t="str">
        <f t="shared" si="108"/>
        <v/>
      </c>
      <c r="T372" s="38" t="str">
        <f t="shared" si="109"/>
        <v/>
      </c>
      <c r="AF372" t="str">
        <f t="shared" si="94"/>
        <v/>
      </c>
      <c r="AG372" s="38" t="str">
        <f t="shared" si="93"/>
        <v/>
      </c>
    </row>
    <row r="373" spans="1:33" x14ac:dyDescent="0.2">
      <c r="A373" t="str">
        <f t="shared" si="95"/>
        <v/>
      </c>
      <c r="B373" s="38" t="str">
        <f t="shared" si="96"/>
        <v/>
      </c>
      <c r="C373" s="38" t="str">
        <f t="shared" si="97"/>
        <v/>
      </c>
      <c r="D373" s="38" t="str">
        <f t="shared" si="98"/>
        <v/>
      </c>
      <c r="E373" s="38" t="str">
        <f t="shared" si="99"/>
        <v/>
      </c>
      <c r="F373" s="38" t="str">
        <f t="shared" si="100"/>
        <v/>
      </c>
      <c r="G373" s="38" t="str">
        <f t="shared" si="110"/>
        <v/>
      </c>
      <c r="H373" s="38" t="str">
        <f t="shared" si="111"/>
        <v/>
      </c>
      <c r="L373" t="str">
        <f t="shared" si="101"/>
        <v/>
      </c>
      <c r="M373" s="38" t="str">
        <f t="shared" si="102"/>
        <v/>
      </c>
      <c r="N373" s="38" t="str">
        <f t="shared" si="103"/>
        <v/>
      </c>
      <c r="O373" s="38" t="str">
        <f t="shared" si="104"/>
        <v/>
      </c>
      <c r="P373" s="38" t="str">
        <f t="shared" si="105"/>
        <v/>
      </c>
      <c r="Q373" s="38" t="str">
        <f t="shared" si="106"/>
        <v/>
      </c>
      <c r="R373" s="38" t="str">
        <f t="shared" si="107"/>
        <v/>
      </c>
      <c r="S373" s="38" t="str">
        <f t="shared" si="108"/>
        <v/>
      </c>
      <c r="T373" s="38" t="str">
        <f t="shared" si="109"/>
        <v/>
      </c>
      <c r="AF373" t="str">
        <f t="shared" si="94"/>
        <v/>
      </c>
      <c r="AG373" s="38" t="str">
        <f t="shared" si="93"/>
        <v/>
      </c>
    </row>
    <row r="374" spans="1:33" x14ac:dyDescent="0.2">
      <c r="A374" t="str">
        <f t="shared" si="95"/>
        <v/>
      </c>
      <c r="B374" s="38" t="str">
        <f t="shared" si="96"/>
        <v/>
      </c>
      <c r="C374" s="38" t="str">
        <f t="shared" si="97"/>
        <v/>
      </c>
      <c r="D374" s="38" t="str">
        <f t="shared" si="98"/>
        <v/>
      </c>
      <c r="E374" s="38" t="str">
        <f t="shared" si="99"/>
        <v/>
      </c>
      <c r="F374" s="38" t="str">
        <f t="shared" si="100"/>
        <v/>
      </c>
      <c r="G374" s="38" t="str">
        <f t="shared" si="110"/>
        <v/>
      </c>
      <c r="H374" s="38" t="str">
        <f t="shared" si="111"/>
        <v/>
      </c>
      <c r="L374" t="str">
        <f t="shared" si="101"/>
        <v/>
      </c>
      <c r="M374" s="38" t="str">
        <f t="shared" si="102"/>
        <v/>
      </c>
      <c r="N374" s="38" t="str">
        <f t="shared" si="103"/>
        <v/>
      </c>
      <c r="O374" s="38" t="str">
        <f t="shared" si="104"/>
        <v/>
      </c>
      <c r="P374" s="38" t="str">
        <f t="shared" si="105"/>
        <v/>
      </c>
      <c r="Q374" s="38" t="str">
        <f t="shared" si="106"/>
        <v/>
      </c>
      <c r="R374" s="38" t="str">
        <f t="shared" si="107"/>
        <v/>
      </c>
      <c r="S374" s="38" t="str">
        <f t="shared" si="108"/>
        <v/>
      </c>
      <c r="T374" s="38" t="str">
        <f t="shared" si="109"/>
        <v/>
      </c>
      <c r="AF374" t="str">
        <f t="shared" si="94"/>
        <v/>
      </c>
      <c r="AG374" s="38" t="str">
        <f t="shared" si="93"/>
        <v/>
      </c>
    </row>
    <row r="375" spans="1:33" x14ac:dyDescent="0.2">
      <c r="A375" t="str">
        <f t="shared" si="95"/>
        <v/>
      </c>
      <c r="B375" s="38" t="str">
        <f t="shared" si="96"/>
        <v/>
      </c>
      <c r="C375" s="38" t="str">
        <f t="shared" si="97"/>
        <v/>
      </c>
      <c r="D375" s="38" t="str">
        <f t="shared" si="98"/>
        <v/>
      </c>
      <c r="E375" s="38" t="str">
        <f t="shared" si="99"/>
        <v/>
      </c>
      <c r="F375" s="38" t="str">
        <f t="shared" si="100"/>
        <v/>
      </c>
      <c r="G375" s="38" t="str">
        <f t="shared" si="110"/>
        <v/>
      </c>
      <c r="H375" s="38" t="str">
        <f t="shared" si="111"/>
        <v/>
      </c>
      <c r="L375" t="str">
        <f t="shared" si="101"/>
        <v/>
      </c>
      <c r="M375" s="38" t="str">
        <f t="shared" si="102"/>
        <v/>
      </c>
      <c r="N375" s="38" t="str">
        <f t="shared" si="103"/>
        <v/>
      </c>
      <c r="O375" s="38" t="str">
        <f t="shared" si="104"/>
        <v/>
      </c>
      <c r="P375" s="38" t="str">
        <f t="shared" si="105"/>
        <v/>
      </c>
      <c r="Q375" s="38" t="str">
        <f t="shared" si="106"/>
        <v/>
      </c>
      <c r="R375" s="38" t="str">
        <f t="shared" si="107"/>
        <v/>
      </c>
      <c r="S375" s="38" t="str">
        <f t="shared" si="108"/>
        <v/>
      </c>
      <c r="T375" s="38" t="str">
        <f t="shared" si="109"/>
        <v/>
      </c>
      <c r="AF375" t="str">
        <f t="shared" si="94"/>
        <v/>
      </c>
      <c r="AG375" s="38" t="str">
        <f t="shared" si="93"/>
        <v/>
      </c>
    </row>
    <row r="376" spans="1:33" x14ac:dyDescent="0.2">
      <c r="A376" t="str">
        <f t="shared" si="95"/>
        <v/>
      </c>
      <c r="B376" s="38" t="str">
        <f t="shared" si="96"/>
        <v/>
      </c>
      <c r="C376" s="38" t="str">
        <f t="shared" si="97"/>
        <v/>
      </c>
      <c r="D376" s="38" t="str">
        <f t="shared" si="98"/>
        <v/>
      </c>
      <c r="E376" s="38" t="str">
        <f t="shared" si="99"/>
        <v/>
      </c>
      <c r="F376" s="38" t="str">
        <f t="shared" si="100"/>
        <v/>
      </c>
      <c r="G376" s="38" t="str">
        <f t="shared" si="110"/>
        <v/>
      </c>
      <c r="H376" s="38" t="str">
        <f t="shared" si="111"/>
        <v/>
      </c>
      <c r="L376" t="str">
        <f t="shared" si="101"/>
        <v/>
      </c>
      <c r="M376" s="38" t="str">
        <f t="shared" si="102"/>
        <v/>
      </c>
      <c r="N376" s="38" t="str">
        <f t="shared" si="103"/>
        <v/>
      </c>
      <c r="O376" s="38" t="str">
        <f t="shared" si="104"/>
        <v/>
      </c>
      <c r="P376" s="38" t="str">
        <f t="shared" si="105"/>
        <v/>
      </c>
      <c r="Q376" s="38" t="str">
        <f t="shared" si="106"/>
        <v/>
      </c>
      <c r="R376" s="38" t="str">
        <f t="shared" si="107"/>
        <v/>
      </c>
      <c r="S376" s="38" t="str">
        <f t="shared" si="108"/>
        <v/>
      </c>
      <c r="T376" s="38" t="str">
        <f t="shared" si="109"/>
        <v/>
      </c>
      <c r="AF376" t="str">
        <f t="shared" si="94"/>
        <v/>
      </c>
      <c r="AG376" s="38" t="str">
        <f t="shared" si="93"/>
        <v/>
      </c>
    </row>
    <row r="377" spans="1:33" x14ac:dyDescent="0.2">
      <c r="A377" t="str">
        <f t="shared" si="95"/>
        <v/>
      </c>
      <c r="B377" s="38" t="str">
        <f t="shared" si="96"/>
        <v/>
      </c>
      <c r="C377" s="38" t="str">
        <f t="shared" si="97"/>
        <v/>
      </c>
      <c r="D377" s="38" t="str">
        <f t="shared" si="98"/>
        <v/>
      </c>
      <c r="E377" s="38" t="str">
        <f t="shared" si="99"/>
        <v/>
      </c>
      <c r="F377" s="38" t="str">
        <f t="shared" si="100"/>
        <v/>
      </c>
      <c r="G377" s="38" t="str">
        <f t="shared" si="110"/>
        <v/>
      </c>
      <c r="H377" s="38" t="str">
        <f t="shared" si="111"/>
        <v/>
      </c>
      <c r="L377" t="str">
        <f t="shared" si="101"/>
        <v/>
      </c>
      <c r="M377" s="38" t="str">
        <f t="shared" si="102"/>
        <v/>
      </c>
      <c r="N377" s="38" t="str">
        <f t="shared" si="103"/>
        <v/>
      </c>
      <c r="O377" s="38" t="str">
        <f t="shared" si="104"/>
        <v/>
      </c>
      <c r="P377" s="38" t="str">
        <f t="shared" si="105"/>
        <v/>
      </c>
      <c r="Q377" s="38" t="str">
        <f t="shared" si="106"/>
        <v/>
      </c>
      <c r="R377" s="38" t="str">
        <f t="shared" si="107"/>
        <v/>
      </c>
      <c r="S377" s="38" t="str">
        <f t="shared" si="108"/>
        <v/>
      </c>
      <c r="T377" s="38" t="str">
        <f t="shared" si="109"/>
        <v/>
      </c>
      <c r="AF377" t="str">
        <f t="shared" si="94"/>
        <v/>
      </c>
      <c r="AG377" s="38" t="str">
        <f t="shared" si="93"/>
        <v/>
      </c>
    </row>
    <row r="378" spans="1:33" x14ac:dyDescent="0.2">
      <c r="A378" t="str">
        <f t="shared" si="95"/>
        <v/>
      </c>
      <c r="B378" s="38" t="str">
        <f t="shared" si="96"/>
        <v/>
      </c>
      <c r="C378" s="38" t="str">
        <f t="shared" si="97"/>
        <v/>
      </c>
      <c r="D378" s="38" t="str">
        <f t="shared" si="98"/>
        <v/>
      </c>
      <c r="E378" s="38" t="str">
        <f t="shared" si="99"/>
        <v/>
      </c>
      <c r="F378" s="38" t="str">
        <f t="shared" si="100"/>
        <v/>
      </c>
      <c r="G378" s="38" t="str">
        <f t="shared" si="110"/>
        <v/>
      </c>
      <c r="H378" s="38" t="str">
        <f t="shared" si="111"/>
        <v/>
      </c>
      <c r="L378" t="str">
        <f t="shared" si="101"/>
        <v/>
      </c>
      <c r="M378" s="38" t="str">
        <f t="shared" si="102"/>
        <v/>
      </c>
      <c r="N378" s="38" t="str">
        <f t="shared" si="103"/>
        <v/>
      </c>
      <c r="O378" s="38" t="str">
        <f t="shared" si="104"/>
        <v/>
      </c>
      <c r="P378" s="38" t="str">
        <f t="shared" si="105"/>
        <v/>
      </c>
      <c r="Q378" s="38" t="str">
        <f t="shared" si="106"/>
        <v/>
      </c>
      <c r="R378" s="38" t="str">
        <f t="shared" si="107"/>
        <v/>
      </c>
      <c r="S378" s="38" t="str">
        <f t="shared" si="108"/>
        <v/>
      </c>
      <c r="T378" s="38" t="str">
        <f t="shared" si="109"/>
        <v/>
      </c>
      <c r="AF378" t="str">
        <f t="shared" si="94"/>
        <v/>
      </c>
      <c r="AG378" s="38" t="str">
        <f t="shared" si="93"/>
        <v/>
      </c>
    </row>
    <row r="379" spans="1:33" x14ac:dyDescent="0.2">
      <c r="A379" t="str">
        <f t="shared" si="95"/>
        <v/>
      </c>
      <c r="B379" s="38" t="str">
        <f t="shared" si="96"/>
        <v/>
      </c>
      <c r="C379" s="38" t="str">
        <f t="shared" si="97"/>
        <v/>
      </c>
      <c r="D379" s="38" t="str">
        <f t="shared" si="98"/>
        <v/>
      </c>
      <c r="E379" s="38" t="str">
        <f t="shared" si="99"/>
        <v/>
      </c>
      <c r="F379" s="38" t="str">
        <f t="shared" si="100"/>
        <v/>
      </c>
      <c r="G379" s="38" t="str">
        <f t="shared" si="110"/>
        <v/>
      </c>
      <c r="H379" s="38" t="str">
        <f t="shared" si="111"/>
        <v/>
      </c>
      <c r="L379" t="str">
        <f t="shared" si="101"/>
        <v/>
      </c>
      <c r="M379" s="38" t="str">
        <f t="shared" si="102"/>
        <v/>
      </c>
      <c r="N379" s="38" t="str">
        <f t="shared" si="103"/>
        <v/>
      </c>
      <c r="O379" s="38" t="str">
        <f t="shared" si="104"/>
        <v/>
      </c>
      <c r="P379" s="38" t="str">
        <f t="shared" si="105"/>
        <v/>
      </c>
      <c r="Q379" s="38" t="str">
        <f t="shared" si="106"/>
        <v/>
      </c>
      <c r="R379" s="38" t="str">
        <f t="shared" si="107"/>
        <v/>
      </c>
      <c r="S379" s="38" t="str">
        <f t="shared" si="108"/>
        <v/>
      </c>
      <c r="T379" s="38" t="str">
        <f t="shared" si="109"/>
        <v/>
      </c>
      <c r="AF379" t="str">
        <f t="shared" si="94"/>
        <v/>
      </c>
      <c r="AG379" s="38" t="str">
        <f t="shared" si="93"/>
        <v/>
      </c>
    </row>
    <row r="380" spans="1:33" x14ac:dyDescent="0.2">
      <c r="A380" t="str">
        <f t="shared" si="95"/>
        <v/>
      </c>
      <c r="B380" s="38" t="str">
        <f t="shared" si="96"/>
        <v/>
      </c>
      <c r="C380" s="38" t="str">
        <f t="shared" si="97"/>
        <v/>
      </c>
      <c r="D380" s="38" t="str">
        <f t="shared" si="98"/>
        <v/>
      </c>
      <c r="E380" s="38" t="str">
        <f t="shared" si="99"/>
        <v/>
      </c>
      <c r="F380" s="38" t="str">
        <f t="shared" si="100"/>
        <v/>
      </c>
      <c r="G380" s="38" t="str">
        <f t="shared" si="110"/>
        <v/>
      </c>
      <c r="H380" s="38" t="str">
        <f t="shared" si="111"/>
        <v/>
      </c>
      <c r="L380" t="str">
        <f t="shared" si="101"/>
        <v/>
      </c>
      <c r="M380" s="38" t="str">
        <f t="shared" si="102"/>
        <v/>
      </c>
      <c r="N380" s="38" t="str">
        <f t="shared" si="103"/>
        <v/>
      </c>
      <c r="O380" s="38" t="str">
        <f t="shared" si="104"/>
        <v/>
      </c>
      <c r="P380" s="38" t="str">
        <f t="shared" si="105"/>
        <v/>
      </c>
      <c r="Q380" s="38" t="str">
        <f t="shared" si="106"/>
        <v/>
      </c>
      <c r="R380" s="38" t="str">
        <f t="shared" si="107"/>
        <v/>
      </c>
      <c r="S380" s="38" t="str">
        <f t="shared" si="108"/>
        <v/>
      </c>
      <c r="T380" s="38" t="str">
        <f t="shared" si="109"/>
        <v/>
      </c>
      <c r="AF380" t="str">
        <f t="shared" si="94"/>
        <v/>
      </c>
      <c r="AG380" s="38" t="str">
        <f t="shared" si="93"/>
        <v/>
      </c>
    </row>
    <row r="381" spans="1:33" x14ac:dyDescent="0.2">
      <c r="A381" t="str">
        <f t="shared" si="95"/>
        <v/>
      </c>
      <c r="B381" s="38" t="str">
        <f t="shared" si="96"/>
        <v/>
      </c>
      <c r="C381" s="38" t="str">
        <f t="shared" si="97"/>
        <v/>
      </c>
      <c r="D381" s="38" t="str">
        <f t="shared" si="98"/>
        <v/>
      </c>
      <c r="E381" s="38" t="str">
        <f t="shared" si="99"/>
        <v/>
      </c>
      <c r="F381" s="38" t="str">
        <f t="shared" si="100"/>
        <v/>
      </c>
      <c r="G381" s="38" t="str">
        <f t="shared" si="110"/>
        <v/>
      </c>
      <c r="H381" s="38" t="str">
        <f t="shared" si="111"/>
        <v/>
      </c>
      <c r="L381" t="str">
        <f t="shared" si="101"/>
        <v/>
      </c>
      <c r="M381" s="38" t="str">
        <f t="shared" si="102"/>
        <v/>
      </c>
      <c r="N381" s="38" t="str">
        <f t="shared" si="103"/>
        <v/>
      </c>
      <c r="O381" s="38" t="str">
        <f t="shared" si="104"/>
        <v/>
      </c>
      <c r="P381" s="38" t="str">
        <f t="shared" si="105"/>
        <v/>
      </c>
      <c r="Q381" s="38" t="str">
        <f t="shared" si="106"/>
        <v/>
      </c>
      <c r="R381" s="38" t="str">
        <f t="shared" si="107"/>
        <v/>
      </c>
      <c r="S381" s="38" t="str">
        <f t="shared" si="108"/>
        <v/>
      </c>
      <c r="T381" s="38" t="str">
        <f t="shared" si="109"/>
        <v/>
      </c>
      <c r="AF381" t="str">
        <f t="shared" si="94"/>
        <v/>
      </c>
      <c r="AG381" s="38" t="str">
        <f t="shared" si="93"/>
        <v/>
      </c>
    </row>
    <row r="382" spans="1:33" x14ac:dyDescent="0.2">
      <c r="A382" t="str">
        <f t="shared" si="95"/>
        <v/>
      </c>
      <c r="B382" s="38" t="str">
        <f t="shared" si="96"/>
        <v/>
      </c>
      <c r="C382" s="38" t="str">
        <f t="shared" si="97"/>
        <v/>
      </c>
      <c r="D382" s="38" t="str">
        <f t="shared" si="98"/>
        <v/>
      </c>
      <c r="E382" s="38" t="str">
        <f t="shared" si="99"/>
        <v/>
      </c>
      <c r="F382" s="38" t="str">
        <f t="shared" si="100"/>
        <v/>
      </c>
      <c r="G382" s="38" t="str">
        <f t="shared" si="110"/>
        <v/>
      </c>
      <c r="H382" s="38" t="str">
        <f t="shared" si="111"/>
        <v/>
      </c>
      <c r="L382" t="str">
        <f t="shared" si="101"/>
        <v/>
      </c>
      <c r="M382" s="38" t="str">
        <f t="shared" si="102"/>
        <v/>
      </c>
      <c r="N382" s="38" t="str">
        <f t="shared" si="103"/>
        <v/>
      </c>
      <c r="O382" s="38" t="str">
        <f t="shared" si="104"/>
        <v/>
      </c>
      <c r="P382" s="38" t="str">
        <f t="shared" si="105"/>
        <v/>
      </c>
      <c r="Q382" s="38" t="str">
        <f t="shared" si="106"/>
        <v/>
      </c>
      <c r="R382" s="38" t="str">
        <f t="shared" si="107"/>
        <v/>
      </c>
      <c r="S382" s="38" t="str">
        <f t="shared" si="108"/>
        <v/>
      </c>
      <c r="T382" s="38" t="str">
        <f t="shared" si="109"/>
        <v/>
      </c>
      <c r="AF382" t="str">
        <f t="shared" si="94"/>
        <v/>
      </c>
      <c r="AG382" s="38" t="str">
        <f t="shared" si="93"/>
        <v/>
      </c>
    </row>
    <row r="383" spans="1:33" x14ac:dyDescent="0.2">
      <c r="A383" t="str">
        <f t="shared" si="95"/>
        <v/>
      </c>
      <c r="B383" s="38" t="str">
        <f t="shared" si="96"/>
        <v/>
      </c>
      <c r="C383" s="38" t="str">
        <f t="shared" si="97"/>
        <v/>
      </c>
      <c r="D383" s="38" t="str">
        <f t="shared" si="98"/>
        <v/>
      </c>
      <c r="E383" s="38" t="str">
        <f t="shared" si="99"/>
        <v/>
      </c>
      <c r="F383" s="38" t="str">
        <f t="shared" si="100"/>
        <v/>
      </c>
      <c r="G383" s="38" t="str">
        <f t="shared" si="110"/>
        <v/>
      </c>
      <c r="H383" s="38" t="str">
        <f t="shared" si="111"/>
        <v/>
      </c>
      <c r="L383" t="str">
        <f t="shared" si="101"/>
        <v/>
      </c>
      <c r="M383" s="38" t="str">
        <f t="shared" si="102"/>
        <v/>
      </c>
      <c r="N383" s="38" t="str">
        <f t="shared" si="103"/>
        <v/>
      </c>
      <c r="O383" s="38" t="str">
        <f t="shared" si="104"/>
        <v/>
      </c>
      <c r="P383" s="38" t="str">
        <f t="shared" si="105"/>
        <v/>
      </c>
      <c r="Q383" s="38" t="str">
        <f t="shared" si="106"/>
        <v/>
      </c>
      <c r="R383" s="38" t="str">
        <f t="shared" si="107"/>
        <v/>
      </c>
      <c r="S383" s="38" t="str">
        <f t="shared" si="108"/>
        <v/>
      </c>
      <c r="T383" s="38" t="str">
        <f t="shared" si="109"/>
        <v/>
      </c>
      <c r="AF383" t="str">
        <f t="shared" si="94"/>
        <v/>
      </c>
      <c r="AG383" s="38" t="str">
        <f t="shared" si="93"/>
        <v/>
      </c>
    </row>
    <row r="384" spans="1:33" x14ac:dyDescent="0.2">
      <c r="A384" t="str">
        <f t="shared" si="95"/>
        <v/>
      </c>
      <c r="B384" s="38" t="str">
        <f t="shared" si="96"/>
        <v/>
      </c>
      <c r="C384" s="38" t="str">
        <f t="shared" si="97"/>
        <v/>
      </c>
      <c r="D384" s="38" t="str">
        <f t="shared" si="98"/>
        <v/>
      </c>
      <c r="E384" s="38" t="str">
        <f t="shared" si="99"/>
        <v/>
      </c>
      <c r="F384" s="38" t="str">
        <f t="shared" si="100"/>
        <v/>
      </c>
      <c r="G384" s="38" t="str">
        <f t="shared" si="110"/>
        <v/>
      </c>
      <c r="H384" s="38" t="str">
        <f t="shared" si="111"/>
        <v/>
      </c>
      <c r="L384" t="str">
        <f t="shared" si="101"/>
        <v/>
      </c>
      <c r="M384" s="38" t="str">
        <f t="shared" si="102"/>
        <v/>
      </c>
      <c r="N384" s="38" t="str">
        <f t="shared" si="103"/>
        <v/>
      </c>
      <c r="O384" s="38" t="str">
        <f t="shared" si="104"/>
        <v/>
      </c>
      <c r="P384" s="38" t="str">
        <f t="shared" si="105"/>
        <v/>
      </c>
      <c r="Q384" s="38" t="str">
        <f t="shared" si="106"/>
        <v/>
      </c>
      <c r="R384" s="38" t="str">
        <f t="shared" si="107"/>
        <v/>
      </c>
      <c r="S384" s="38" t="str">
        <f t="shared" si="108"/>
        <v/>
      </c>
      <c r="T384" s="38" t="str">
        <f t="shared" si="109"/>
        <v/>
      </c>
      <c r="AF384" t="str">
        <f t="shared" si="94"/>
        <v/>
      </c>
      <c r="AG384" s="38" t="str">
        <f t="shared" si="93"/>
        <v/>
      </c>
    </row>
    <row r="385" spans="1:33" x14ac:dyDescent="0.2">
      <c r="A385" t="str">
        <f t="shared" si="95"/>
        <v/>
      </c>
      <c r="B385" s="38" t="str">
        <f t="shared" si="96"/>
        <v/>
      </c>
      <c r="C385" s="38" t="str">
        <f t="shared" si="97"/>
        <v/>
      </c>
      <c r="D385" s="38" t="str">
        <f t="shared" si="98"/>
        <v/>
      </c>
      <c r="E385" s="38" t="str">
        <f t="shared" si="99"/>
        <v/>
      </c>
      <c r="F385" s="38" t="str">
        <f t="shared" si="100"/>
        <v/>
      </c>
      <c r="G385" s="38" t="str">
        <f t="shared" si="110"/>
        <v/>
      </c>
      <c r="H385" s="38" t="str">
        <f t="shared" si="111"/>
        <v/>
      </c>
      <c r="L385" t="str">
        <f t="shared" si="101"/>
        <v/>
      </c>
      <c r="M385" s="38" t="str">
        <f t="shared" si="102"/>
        <v/>
      </c>
      <c r="N385" s="38" t="str">
        <f t="shared" si="103"/>
        <v/>
      </c>
      <c r="O385" s="38" t="str">
        <f t="shared" si="104"/>
        <v/>
      </c>
      <c r="P385" s="38" t="str">
        <f t="shared" si="105"/>
        <v/>
      </c>
      <c r="Q385" s="38" t="str">
        <f t="shared" si="106"/>
        <v/>
      </c>
      <c r="R385" s="38" t="str">
        <f t="shared" si="107"/>
        <v/>
      </c>
      <c r="S385" s="38" t="str">
        <f t="shared" si="108"/>
        <v/>
      </c>
      <c r="T385" s="38" t="str">
        <f t="shared" si="109"/>
        <v/>
      </c>
      <c r="AF385" t="str">
        <f t="shared" si="94"/>
        <v/>
      </c>
      <c r="AG385" s="38" t="str">
        <f t="shared" si="93"/>
        <v/>
      </c>
    </row>
    <row r="386" spans="1:33" x14ac:dyDescent="0.2">
      <c r="A386" t="str">
        <f t="shared" si="95"/>
        <v/>
      </c>
      <c r="B386" s="38" t="str">
        <f t="shared" si="96"/>
        <v/>
      </c>
      <c r="C386" s="38" t="str">
        <f t="shared" si="97"/>
        <v/>
      </c>
      <c r="D386" s="38" t="str">
        <f t="shared" si="98"/>
        <v/>
      </c>
      <c r="E386" s="38" t="str">
        <f t="shared" si="99"/>
        <v/>
      </c>
      <c r="F386" s="38" t="str">
        <f t="shared" si="100"/>
        <v/>
      </c>
      <c r="G386" s="38" t="str">
        <f t="shared" si="110"/>
        <v/>
      </c>
      <c r="H386" s="38" t="str">
        <f t="shared" si="111"/>
        <v/>
      </c>
      <c r="L386" t="str">
        <f t="shared" si="101"/>
        <v/>
      </c>
      <c r="M386" s="38" t="str">
        <f t="shared" si="102"/>
        <v/>
      </c>
      <c r="N386" s="38" t="str">
        <f t="shared" si="103"/>
        <v/>
      </c>
      <c r="O386" s="38" t="str">
        <f t="shared" si="104"/>
        <v/>
      </c>
      <c r="P386" s="38" t="str">
        <f t="shared" si="105"/>
        <v/>
      </c>
      <c r="Q386" s="38" t="str">
        <f t="shared" si="106"/>
        <v/>
      </c>
      <c r="R386" s="38" t="str">
        <f t="shared" si="107"/>
        <v/>
      </c>
      <c r="S386" s="38" t="str">
        <f t="shared" si="108"/>
        <v/>
      </c>
      <c r="T386" s="38" t="str">
        <f t="shared" si="109"/>
        <v/>
      </c>
      <c r="AF386" t="str">
        <f t="shared" si="94"/>
        <v/>
      </c>
      <c r="AG386" s="38" t="str">
        <f t="shared" si="93"/>
        <v/>
      </c>
    </row>
    <row r="387" spans="1:33" x14ac:dyDescent="0.2">
      <c r="A387" t="str">
        <f t="shared" si="95"/>
        <v/>
      </c>
      <c r="B387" s="38" t="str">
        <f t="shared" si="96"/>
        <v/>
      </c>
      <c r="C387" s="38" t="str">
        <f t="shared" si="97"/>
        <v/>
      </c>
      <c r="D387" s="38" t="str">
        <f t="shared" si="98"/>
        <v/>
      </c>
      <c r="E387" s="38" t="str">
        <f t="shared" si="99"/>
        <v/>
      </c>
      <c r="F387" s="38" t="str">
        <f t="shared" si="100"/>
        <v/>
      </c>
      <c r="G387" s="38" t="str">
        <f t="shared" si="110"/>
        <v/>
      </c>
      <c r="H387" s="38" t="str">
        <f t="shared" si="111"/>
        <v/>
      </c>
      <c r="L387" t="str">
        <f t="shared" si="101"/>
        <v/>
      </c>
      <c r="M387" s="38" t="str">
        <f t="shared" si="102"/>
        <v/>
      </c>
      <c r="N387" s="38" t="str">
        <f t="shared" si="103"/>
        <v/>
      </c>
      <c r="O387" s="38" t="str">
        <f t="shared" si="104"/>
        <v/>
      </c>
      <c r="P387" s="38" t="str">
        <f t="shared" si="105"/>
        <v/>
      </c>
      <c r="Q387" s="38" t="str">
        <f t="shared" si="106"/>
        <v/>
      </c>
      <c r="R387" s="38" t="str">
        <f t="shared" si="107"/>
        <v/>
      </c>
      <c r="S387" s="38" t="str">
        <f t="shared" si="108"/>
        <v/>
      </c>
      <c r="T387" s="38" t="str">
        <f t="shared" si="109"/>
        <v/>
      </c>
      <c r="AF387" t="str">
        <f t="shared" si="94"/>
        <v/>
      </c>
      <c r="AG387" s="38" t="str">
        <f t="shared" si="93"/>
        <v/>
      </c>
    </row>
    <row r="388" spans="1:33" x14ac:dyDescent="0.2">
      <c r="A388" t="str">
        <f t="shared" si="95"/>
        <v/>
      </c>
      <c r="B388" s="38" t="str">
        <f t="shared" si="96"/>
        <v/>
      </c>
      <c r="C388" s="38" t="str">
        <f t="shared" si="97"/>
        <v/>
      </c>
      <c r="D388" s="38" t="str">
        <f t="shared" si="98"/>
        <v/>
      </c>
      <c r="E388" s="38" t="str">
        <f t="shared" si="99"/>
        <v/>
      </c>
      <c r="F388" s="38" t="str">
        <f t="shared" si="100"/>
        <v/>
      </c>
      <c r="G388" s="38" t="str">
        <f t="shared" si="110"/>
        <v/>
      </c>
      <c r="H388" s="38" t="str">
        <f t="shared" si="111"/>
        <v/>
      </c>
      <c r="L388" t="str">
        <f t="shared" si="101"/>
        <v/>
      </c>
      <c r="M388" s="38" t="str">
        <f t="shared" si="102"/>
        <v/>
      </c>
      <c r="N388" s="38" t="str">
        <f t="shared" si="103"/>
        <v/>
      </c>
      <c r="O388" s="38" t="str">
        <f t="shared" si="104"/>
        <v/>
      </c>
      <c r="P388" s="38" t="str">
        <f t="shared" si="105"/>
        <v/>
      </c>
      <c r="Q388" s="38" t="str">
        <f t="shared" si="106"/>
        <v/>
      </c>
      <c r="R388" s="38" t="str">
        <f t="shared" si="107"/>
        <v/>
      </c>
      <c r="S388" s="38" t="str">
        <f t="shared" si="108"/>
        <v/>
      </c>
      <c r="T388" s="38" t="str">
        <f t="shared" si="109"/>
        <v/>
      </c>
      <c r="AF388" t="str">
        <f t="shared" si="94"/>
        <v/>
      </c>
      <c r="AG388" s="38" t="str">
        <f t="shared" si="93"/>
        <v/>
      </c>
    </row>
    <row r="389" spans="1:33" x14ac:dyDescent="0.2">
      <c r="A389" t="str">
        <f t="shared" si="95"/>
        <v/>
      </c>
      <c r="B389" s="38" t="str">
        <f t="shared" si="96"/>
        <v/>
      </c>
      <c r="C389" s="38" t="str">
        <f t="shared" si="97"/>
        <v/>
      </c>
      <c r="D389" s="38" t="str">
        <f t="shared" si="98"/>
        <v/>
      </c>
      <c r="E389" s="38" t="str">
        <f t="shared" si="99"/>
        <v/>
      </c>
      <c r="F389" s="38" t="str">
        <f t="shared" si="100"/>
        <v/>
      </c>
      <c r="G389" s="38" t="str">
        <f t="shared" si="110"/>
        <v/>
      </c>
      <c r="H389" s="38" t="str">
        <f t="shared" si="111"/>
        <v/>
      </c>
      <c r="L389" t="str">
        <f t="shared" si="101"/>
        <v/>
      </c>
      <c r="M389" s="38" t="str">
        <f t="shared" si="102"/>
        <v/>
      </c>
      <c r="N389" s="38" t="str">
        <f t="shared" si="103"/>
        <v/>
      </c>
      <c r="O389" s="38" t="str">
        <f t="shared" si="104"/>
        <v/>
      </c>
      <c r="P389" s="38" t="str">
        <f t="shared" si="105"/>
        <v/>
      </c>
      <c r="Q389" s="38" t="str">
        <f t="shared" si="106"/>
        <v/>
      </c>
      <c r="R389" s="38" t="str">
        <f t="shared" si="107"/>
        <v/>
      </c>
      <c r="S389" s="38" t="str">
        <f t="shared" si="108"/>
        <v/>
      </c>
      <c r="T389" s="38" t="str">
        <f t="shared" si="109"/>
        <v/>
      </c>
      <c r="AF389" t="str">
        <f t="shared" si="94"/>
        <v/>
      </c>
      <c r="AG389" s="38" t="str">
        <f t="shared" si="93"/>
        <v/>
      </c>
    </row>
    <row r="390" spans="1:33" x14ac:dyDescent="0.2">
      <c r="A390" t="str">
        <f t="shared" si="95"/>
        <v/>
      </c>
      <c r="B390" s="38" t="str">
        <f t="shared" si="96"/>
        <v/>
      </c>
      <c r="C390" s="38" t="str">
        <f t="shared" si="97"/>
        <v/>
      </c>
      <c r="D390" s="38" t="str">
        <f t="shared" si="98"/>
        <v/>
      </c>
      <c r="E390" s="38" t="str">
        <f t="shared" si="99"/>
        <v/>
      </c>
      <c r="F390" s="38" t="str">
        <f t="shared" si="100"/>
        <v/>
      </c>
      <c r="G390" s="38" t="str">
        <f t="shared" si="110"/>
        <v/>
      </c>
      <c r="H390" s="38" t="str">
        <f t="shared" si="111"/>
        <v/>
      </c>
      <c r="L390" t="str">
        <f t="shared" si="101"/>
        <v/>
      </c>
      <c r="M390" s="38" t="str">
        <f t="shared" si="102"/>
        <v/>
      </c>
      <c r="N390" s="38" t="str">
        <f t="shared" si="103"/>
        <v/>
      </c>
      <c r="O390" s="38" t="str">
        <f t="shared" si="104"/>
        <v/>
      </c>
      <c r="P390" s="38" t="str">
        <f t="shared" si="105"/>
        <v/>
      </c>
      <c r="Q390" s="38" t="str">
        <f t="shared" si="106"/>
        <v/>
      </c>
      <c r="R390" s="38" t="str">
        <f t="shared" si="107"/>
        <v/>
      </c>
      <c r="S390" s="38" t="str">
        <f t="shared" si="108"/>
        <v/>
      </c>
      <c r="T390" s="38" t="str">
        <f t="shared" si="109"/>
        <v/>
      </c>
      <c r="AF390" t="str">
        <f t="shared" si="94"/>
        <v/>
      </c>
      <c r="AG390" s="38" t="str">
        <f t="shared" si="93"/>
        <v/>
      </c>
    </row>
    <row r="391" spans="1:33" x14ac:dyDescent="0.2">
      <c r="A391" t="str">
        <f t="shared" si="95"/>
        <v/>
      </c>
      <c r="B391" s="38" t="str">
        <f t="shared" si="96"/>
        <v/>
      </c>
      <c r="C391" s="38" t="str">
        <f t="shared" si="97"/>
        <v/>
      </c>
      <c r="D391" s="38" t="str">
        <f t="shared" si="98"/>
        <v/>
      </c>
      <c r="E391" s="38" t="str">
        <f t="shared" si="99"/>
        <v/>
      </c>
      <c r="F391" s="38" t="str">
        <f t="shared" si="100"/>
        <v/>
      </c>
      <c r="G391" s="38" t="str">
        <f t="shared" si="110"/>
        <v/>
      </c>
      <c r="H391" s="38" t="str">
        <f t="shared" si="111"/>
        <v/>
      </c>
      <c r="L391" t="str">
        <f t="shared" si="101"/>
        <v/>
      </c>
      <c r="M391" s="38" t="str">
        <f t="shared" si="102"/>
        <v/>
      </c>
      <c r="N391" s="38" t="str">
        <f t="shared" si="103"/>
        <v/>
      </c>
      <c r="O391" s="38" t="str">
        <f t="shared" si="104"/>
        <v/>
      </c>
      <c r="P391" s="38" t="str">
        <f t="shared" si="105"/>
        <v/>
      </c>
      <c r="Q391" s="38" t="str">
        <f t="shared" si="106"/>
        <v/>
      </c>
      <c r="R391" s="38" t="str">
        <f t="shared" si="107"/>
        <v/>
      </c>
      <c r="S391" s="38" t="str">
        <f t="shared" si="108"/>
        <v/>
      </c>
      <c r="T391" s="38" t="str">
        <f t="shared" si="109"/>
        <v/>
      </c>
      <c r="AF391" t="str">
        <f t="shared" si="94"/>
        <v/>
      </c>
      <c r="AG391" s="38" t="str">
        <f t="shared" si="93"/>
        <v/>
      </c>
    </row>
    <row r="392" spans="1:33" x14ac:dyDescent="0.2">
      <c r="A392" t="str">
        <f t="shared" si="95"/>
        <v/>
      </c>
      <c r="B392" s="38" t="str">
        <f t="shared" si="96"/>
        <v/>
      </c>
      <c r="C392" s="38" t="str">
        <f t="shared" si="97"/>
        <v/>
      </c>
      <c r="D392" s="38" t="str">
        <f t="shared" si="98"/>
        <v/>
      </c>
      <c r="E392" s="38" t="str">
        <f t="shared" si="99"/>
        <v/>
      </c>
      <c r="F392" s="38" t="str">
        <f t="shared" si="100"/>
        <v/>
      </c>
      <c r="G392" s="38" t="str">
        <f t="shared" si="110"/>
        <v/>
      </c>
      <c r="H392" s="38" t="str">
        <f t="shared" si="111"/>
        <v/>
      </c>
      <c r="L392" t="str">
        <f t="shared" si="101"/>
        <v/>
      </c>
      <c r="M392" s="38" t="str">
        <f t="shared" si="102"/>
        <v/>
      </c>
      <c r="N392" s="38" t="str">
        <f t="shared" si="103"/>
        <v/>
      </c>
      <c r="O392" s="38" t="str">
        <f t="shared" si="104"/>
        <v/>
      </c>
      <c r="P392" s="38" t="str">
        <f t="shared" si="105"/>
        <v/>
      </c>
      <c r="Q392" s="38" t="str">
        <f t="shared" si="106"/>
        <v/>
      </c>
      <c r="R392" s="38" t="str">
        <f t="shared" si="107"/>
        <v/>
      </c>
      <c r="S392" s="38" t="str">
        <f t="shared" si="108"/>
        <v/>
      </c>
      <c r="T392" s="38" t="str">
        <f t="shared" si="109"/>
        <v/>
      </c>
      <c r="AF392" t="str">
        <f t="shared" si="94"/>
        <v/>
      </c>
      <c r="AG392" s="38" t="str">
        <f t="shared" si="93"/>
        <v/>
      </c>
    </row>
    <row r="393" spans="1:33" x14ac:dyDescent="0.2">
      <c r="A393" t="str">
        <f t="shared" si="95"/>
        <v/>
      </c>
      <c r="B393" s="38" t="str">
        <f t="shared" si="96"/>
        <v/>
      </c>
      <c r="C393" s="38" t="str">
        <f t="shared" si="97"/>
        <v/>
      </c>
      <c r="D393" s="38" t="str">
        <f t="shared" si="98"/>
        <v/>
      </c>
      <c r="E393" s="38" t="str">
        <f t="shared" si="99"/>
        <v/>
      </c>
      <c r="F393" s="38" t="str">
        <f t="shared" si="100"/>
        <v/>
      </c>
      <c r="G393" s="38" t="str">
        <f t="shared" si="110"/>
        <v/>
      </c>
      <c r="H393" s="38" t="str">
        <f t="shared" si="111"/>
        <v/>
      </c>
      <c r="L393" t="str">
        <f t="shared" si="101"/>
        <v/>
      </c>
      <c r="M393" s="38" t="str">
        <f t="shared" si="102"/>
        <v/>
      </c>
      <c r="N393" s="38" t="str">
        <f t="shared" si="103"/>
        <v/>
      </c>
      <c r="O393" s="38" t="str">
        <f t="shared" si="104"/>
        <v/>
      </c>
      <c r="P393" s="38" t="str">
        <f t="shared" si="105"/>
        <v/>
      </c>
      <c r="Q393" s="38" t="str">
        <f t="shared" si="106"/>
        <v/>
      </c>
      <c r="R393" s="38" t="str">
        <f t="shared" si="107"/>
        <v/>
      </c>
      <c r="S393" s="38" t="str">
        <f t="shared" si="108"/>
        <v/>
      </c>
      <c r="T393" s="38" t="str">
        <f t="shared" si="109"/>
        <v/>
      </c>
      <c r="AF393" t="str">
        <f t="shared" si="94"/>
        <v/>
      </c>
      <c r="AG393" s="38" t="str">
        <f t="shared" si="93"/>
        <v/>
      </c>
    </row>
    <row r="394" spans="1:33" x14ac:dyDescent="0.2">
      <c r="A394" t="str">
        <f t="shared" si="95"/>
        <v/>
      </c>
      <c r="B394" s="38" t="str">
        <f t="shared" si="96"/>
        <v/>
      </c>
      <c r="C394" s="38" t="str">
        <f t="shared" si="97"/>
        <v/>
      </c>
      <c r="D394" s="38" t="str">
        <f t="shared" si="98"/>
        <v/>
      </c>
      <c r="E394" s="38" t="str">
        <f t="shared" si="99"/>
        <v/>
      </c>
      <c r="F394" s="38" t="str">
        <f t="shared" si="100"/>
        <v/>
      </c>
      <c r="G394" s="38" t="str">
        <f t="shared" si="110"/>
        <v/>
      </c>
      <c r="H394" s="38" t="str">
        <f t="shared" si="111"/>
        <v/>
      </c>
      <c r="L394" t="str">
        <f t="shared" si="101"/>
        <v/>
      </c>
      <c r="M394" s="38" t="str">
        <f t="shared" si="102"/>
        <v/>
      </c>
      <c r="N394" s="38" t="str">
        <f t="shared" si="103"/>
        <v/>
      </c>
      <c r="O394" s="38" t="str">
        <f t="shared" si="104"/>
        <v/>
      </c>
      <c r="P394" s="38" t="str">
        <f t="shared" si="105"/>
        <v/>
      </c>
      <c r="Q394" s="38" t="str">
        <f t="shared" si="106"/>
        <v/>
      </c>
      <c r="R394" s="38" t="str">
        <f t="shared" si="107"/>
        <v/>
      </c>
      <c r="S394" s="38" t="str">
        <f t="shared" si="108"/>
        <v/>
      </c>
      <c r="T394" s="38" t="str">
        <f t="shared" si="109"/>
        <v/>
      </c>
      <c r="AF394" t="str">
        <f t="shared" si="94"/>
        <v/>
      </c>
      <c r="AG394" s="38" t="str">
        <f t="shared" si="93"/>
        <v/>
      </c>
    </row>
    <row r="395" spans="1:33" x14ac:dyDescent="0.2">
      <c r="A395" t="str">
        <f t="shared" si="95"/>
        <v/>
      </c>
      <c r="B395" s="38" t="str">
        <f t="shared" si="96"/>
        <v/>
      </c>
      <c r="C395" s="38" t="str">
        <f t="shared" si="97"/>
        <v/>
      </c>
      <c r="D395" s="38" t="str">
        <f t="shared" si="98"/>
        <v/>
      </c>
      <c r="E395" s="38" t="str">
        <f t="shared" si="99"/>
        <v/>
      </c>
      <c r="F395" s="38" t="str">
        <f t="shared" si="100"/>
        <v/>
      </c>
      <c r="G395" s="38" t="str">
        <f t="shared" si="110"/>
        <v/>
      </c>
      <c r="H395" s="38" t="str">
        <f t="shared" si="111"/>
        <v/>
      </c>
      <c r="L395" t="str">
        <f t="shared" si="101"/>
        <v/>
      </c>
      <c r="M395" s="38" t="str">
        <f t="shared" si="102"/>
        <v/>
      </c>
      <c r="N395" s="38" t="str">
        <f t="shared" si="103"/>
        <v/>
      </c>
      <c r="O395" s="38" t="str">
        <f t="shared" si="104"/>
        <v/>
      </c>
      <c r="P395" s="38" t="str">
        <f t="shared" si="105"/>
        <v/>
      </c>
      <c r="Q395" s="38" t="str">
        <f t="shared" si="106"/>
        <v/>
      </c>
      <c r="R395" s="38" t="str">
        <f t="shared" si="107"/>
        <v/>
      </c>
      <c r="S395" s="38" t="str">
        <f t="shared" si="108"/>
        <v/>
      </c>
      <c r="T395" s="38" t="str">
        <f t="shared" si="109"/>
        <v/>
      </c>
      <c r="AF395" t="str">
        <f t="shared" si="94"/>
        <v/>
      </c>
      <c r="AG395" s="38" t="str">
        <f t="shared" si="93"/>
        <v/>
      </c>
    </row>
    <row r="396" spans="1:33" x14ac:dyDescent="0.2">
      <c r="A396" t="str">
        <f t="shared" si="95"/>
        <v/>
      </c>
      <c r="B396" s="38" t="str">
        <f t="shared" si="96"/>
        <v/>
      </c>
      <c r="C396" s="38" t="str">
        <f t="shared" si="97"/>
        <v/>
      </c>
      <c r="D396" s="38" t="str">
        <f t="shared" si="98"/>
        <v/>
      </c>
      <c r="E396" s="38" t="str">
        <f t="shared" si="99"/>
        <v/>
      </c>
      <c r="F396" s="38" t="str">
        <f t="shared" si="100"/>
        <v/>
      </c>
      <c r="G396" s="38" t="str">
        <f t="shared" si="110"/>
        <v/>
      </c>
      <c r="H396" s="38" t="str">
        <f t="shared" si="111"/>
        <v/>
      </c>
      <c r="L396" t="str">
        <f t="shared" si="101"/>
        <v/>
      </c>
      <c r="M396" s="38" t="str">
        <f t="shared" si="102"/>
        <v/>
      </c>
      <c r="N396" s="38" t="str">
        <f t="shared" si="103"/>
        <v/>
      </c>
      <c r="O396" s="38" t="str">
        <f t="shared" si="104"/>
        <v/>
      </c>
      <c r="P396" s="38" t="str">
        <f t="shared" si="105"/>
        <v/>
      </c>
      <c r="Q396" s="38" t="str">
        <f t="shared" si="106"/>
        <v/>
      </c>
      <c r="R396" s="38" t="str">
        <f t="shared" si="107"/>
        <v/>
      </c>
      <c r="S396" s="38" t="str">
        <f t="shared" si="108"/>
        <v/>
      </c>
      <c r="T396" s="38" t="str">
        <f t="shared" si="109"/>
        <v/>
      </c>
      <c r="AF396" t="str">
        <f t="shared" si="94"/>
        <v/>
      </c>
      <c r="AG396" s="38" t="str">
        <f t="shared" si="93"/>
        <v/>
      </c>
    </row>
    <row r="397" spans="1:33" x14ac:dyDescent="0.2">
      <c r="A397" t="str">
        <f t="shared" si="95"/>
        <v/>
      </c>
      <c r="B397" s="38" t="str">
        <f t="shared" si="96"/>
        <v/>
      </c>
      <c r="C397" s="38" t="str">
        <f t="shared" si="97"/>
        <v/>
      </c>
      <c r="D397" s="38" t="str">
        <f t="shared" si="98"/>
        <v/>
      </c>
      <c r="E397" s="38" t="str">
        <f t="shared" si="99"/>
        <v/>
      </c>
      <c r="F397" s="38" t="str">
        <f t="shared" si="100"/>
        <v/>
      </c>
      <c r="G397" s="38" t="str">
        <f t="shared" si="110"/>
        <v/>
      </c>
      <c r="H397" s="38" t="str">
        <f t="shared" si="111"/>
        <v/>
      </c>
      <c r="L397" t="str">
        <f t="shared" si="101"/>
        <v/>
      </c>
      <c r="M397" s="38" t="str">
        <f t="shared" si="102"/>
        <v/>
      </c>
      <c r="N397" s="38" t="str">
        <f t="shared" si="103"/>
        <v/>
      </c>
      <c r="O397" s="38" t="str">
        <f t="shared" si="104"/>
        <v/>
      </c>
      <c r="P397" s="38" t="str">
        <f t="shared" si="105"/>
        <v/>
      </c>
      <c r="Q397" s="38" t="str">
        <f t="shared" si="106"/>
        <v/>
      </c>
      <c r="R397" s="38" t="str">
        <f t="shared" si="107"/>
        <v/>
      </c>
      <c r="S397" s="38" t="str">
        <f t="shared" si="108"/>
        <v/>
      </c>
      <c r="T397" s="38" t="str">
        <f t="shared" si="109"/>
        <v/>
      </c>
      <c r="AF397" t="str">
        <f t="shared" si="94"/>
        <v/>
      </c>
      <c r="AG397" s="38" t="str">
        <f t="shared" si="93"/>
        <v/>
      </c>
    </row>
    <row r="398" spans="1:33" x14ac:dyDescent="0.2">
      <c r="A398" t="str">
        <f t="shared" si="95"/>
        <v/>
      </c>
      <c r="B398" s="38" t="str">
        <f t="shared" si="96"/>
        <v/>
      </c>
      <c r="C398" s="38" t="str">
        <f t="shared" si="97"/>
        <v/>
      </c>
      <c r="D398" s="38" t="str">
        <f t="shared" si="98"/>
        <v/>
      </c>
      <c r="E398" s="38" t="str">
        <f t="shared" si="99"/>
        <v/>
      </c>
      <c r="F398" s="38" t="str">
        <f t="shared" si="100"/>
        <v/>
      </c>
      <c r="G398" s="38" t="str">
        <f t="shared" si="110"/>
        <v/>
      </c>
      <c r="H398" s="38" t="str">
        <f t="shared" si="111"/>
        <v/>
      </c>
      <c r="L398" t="str">
        <f t="shared" si="101"/>
        <v/>
      </c>
      <c r="M398" s="38" t="str">
        <f t="shared" si="102"/>
        <v/>
      </c>
      <c r="N398" s="38" t="str">
        <f t="shared" si="103"/>
        <v/>
      </c>
      <c r="O398" s="38" t="str">
        <f t="shared" si="104"/>
        <v/>
      </c>
      <c r="P398" s="38" t="str">
        <f t="shared" si="105"/>
        <v/>
      </c>
      <c r="Q398" s="38" t="str">
        <f t="shared" si="106"/>
        <v/>
      </c>
      <c r="R398" s="38" t="str">
        <f t="shared" si="107"/>
        <v/>
      </c>
      <c r="S398" s="38" t="str">
        <f t="shared" si="108"/>
        <v/>
      </c>
      <c r="T398" s="38" t="str">
        <f t="shared" si="109"/>
        <v/>
      </c>
      <c r="AF398" t="str">
        <f t="shared" si="94"/>
        <v/>
      </c>
      <c r="AG398" s="38" t="str">
        <f t="shared" si="93"/>
        <v/>
      </c>
    </row>
    <row r="399" spans="1:33" x14ac:dyDescent="0.2">
      <c r="A399" t="str">
        <f t="shared" si="95"/>
        <v/>
      </c>
      <c r="B399" s="38" t="str">
        <f t="shared" si="96"/>
        <v/>
      </c>
      <c r="C399" s="38" t="str">
        <f t="shared" si="97"/>
        <v/>
      </c>
      <c r="D399" s="38" t="str">
        <f t="shared" si="98"/>
        <v/>
      </c>
      <c r="E399" s="38" t="str">
        <f t="shared" si="99"/>
        <v/>
      </c>
      <c r="F399" s="38" t="str">
        <f t="shared" si="100"/>
        <v/>
      </c>
      <c r="G399" s="38" t="str">
        <f t="shared" si="110"/>
        <v/>
      </c>
      <c r="H399" s="38" t="str">
        <f t="shared" si="111"/>
        <v/>
      </c>
      <c r="L399" t="str">
        <f t="shared" si="101"/>
        <v/>
      </c>
      <c r="M399" s="38" t="str">
        <f t="shared" si="102"/>
        <v/>
      </c>
      <c r="N399" s="38" t="str">
        <f t="shared" si="103"/>
        <v/>
      </c>
      <c r="O399" s="38" t="str">
        <f t="shared" si="104"/>
        <v/>
      </c>
      <c r="P399" s="38" t="str">
        <f t="shared" si="105"/>
        <v/>
      </c>
      <c r="Q399" s="38" t="str">
        <f t="shared" si="106"/>
        <v/>
      </c>
      <c r="R399" s="38" t="str">
        <f t="shared" si="107"/>
        <v/>
      </c>
      <c r="S399" s="38" t="str">
        <f t="shared" si="108"/>
        <v/>
      </c>
      <c r="T399" s="38" t="str">
        <f t="shared" si="109"/>
        <v/>
      </c>
      <c r="AF399" t="str">
        <f t="shared" si="94"/>
        <v/>
      </c>
      <c r="AG399" s="38" t="str">
        <f t="shared" si="93"/>
        <v/>
      </c>
    </row>
    <row r="400" spans="1:33" x14ac:dyDescent="0.2">
      <c r="A400" t="str">
        <f t="shared" si="95"/>
        <v/>
      </c>
      <c r="B400" s="38" t="str">
        <f t="shared" si="96"/>
        <v/>
      </c>
      <c r="C400" s="38" t="str">
        <f t="shared" si="97"/>
        <v/>
      </c>
      <c r="D400" s="38" t="str">
        <f t="shared" si="98"/>
        <v/>
      </c>
      <c r="E400" s="38" t="str">
        <f t="shared" si="99"/>
        <v/>
      </c>
      <c r="F400" s="38" t="str">
        <f t="shared" si="100"/>
        <v/>
      </c>
      <c r="G400" s="38" t="str">
        <f t="shared" si="110"/>
        <v/>
      </c>
      <c r="H400" s="38" t="str">
        <f t="shared" si="111"/>
        <v/>
      </c>
      <c r="L400" t="str">
        <f t="shared" si="101"/>
        <v/>
      </c>
      <c r="M400" s="38" t="str">
        <f t="shared" si="102"/>
        <v/>
      </c>
      <c r="N400" s="38" t="str">
        <f t="shared" si="103"/>
        <v/>
      </c>
      <c r="O400" s="38" t="str">
        <f t="shared" si="104"/>
        <v/>
      </c>
      <c r="P400" s="38" t="str">
        <f t="shared" si="105"/>
        <v/>
      </c>
      <c r="Q400" s="38" t="str">
        <f t="shared" si="106"/>
        <v/>
      </c>
      <c r="R400" s="38" t="str">
        <f t="shared" si="107"/>
        <v/>
      </c>
      <c r="S400" s="38" t="str">
        <f t="shared" si="108"/>
        <v/>
      </c>
      <c r="T400" s="38" t="str">
        <f t="shared" si="109"/>
        <v/>
      </c>
      <c r="AF400" t="str">
        <f t="shared" si="94"/>
        <v/>
      </c>
      <c r="AG400" s="38" t="str">
        <f t="shared" si="93"/>
        <v/>
      </c>
    </row>
    <row r="401" spans="1:33" x14ac:dyDescent="0.2">
      <c r="A401" t="str">
        <f t="shared" si="95"/>
        <v/>
      </c>
      <c r="B401" s="38" t="str">
        <f t="shared" si="96"/>
        <v/>
      </c>
      <c r="C401" s="38" t="str">
        <f t="shared" si="97"/>
        <v/>
      </c>
      <c r="D401" s="38" t="str">
        <f t="shared" si="98"/>
        <v/>
      </c>
      <c r="E401" s="38" t="str">
        <f t="shared" si="99"/>
        <v/>
      </c>
      <c r="F401" s="38" t="str">
        <f t="shared" si="100"/>
        <v/>
      </c>
      <c r="G401" s="38" t="str">
        <f t="shared" si="110"/>
        <v/>
      </c>
      <c r="H401" s="38" t="str">
        <f t="shared" si="111"/>
        <v/>
      </c>
      <c r="L401" t="str">
        <f t="shared" si="101"/>
        <v/>
      </c>
      <c r="M401" s="38" t="str">
        <f t="shared" si="102"/>
        <v/>
      </c>
      <c r="N401" s="38" t="str">
        <f t="shared" si="103"/>
        <v/>
      </c>
      <c r="O401" s="38" t="str">
        <f t="shared" si="104"/>
        <v/>
      </c>
      <c r="P401" s="38" t="str">
        <f t="shared" si="105"/>
        <v/>
      </c>
      <c r="Q401" s="38" t="str">
        <f t="shared" si="106"/>
        <v/>
      </c>
      <c r="R401" s="38" t="str">
        <f t="shared" si="107"/>
        <v/>
      </c>
      <c r="S401" s="38" t="str">
        <f t="shared" si="108"/>
        <v/>
      </c>
      <c r="T401" s="38" t="str">
        <f t="shared" si="109"/>
        <v/>
      </c>
      <c r="AF401" t="str">
        <f t="shared" si="94"/>
        <v/>
      </c>
      <c r="AG401" s="38" t="str">
        <f t="shared" si="93"/>
        <v/>
      </c>
    </row>
    <row r="402" spans="1:33" x14ac:dyDescent="0.2">
      <c r="A402" t="str">
        <f t="shared" si="95"/>
        <v/>
      </c>
      <c r="B402" s="38" t="str">
        <f t="shared" si="96"/>
        <v/>
      </c>
      <c r="C402" s="38" t="str">
        <f t="shared" si="97"/>
        <v/>
      </c>
      <c r="D402" s="38" t="str">
        <f t="shared" si="98"/>
        <v/>
      </c>
      <c r="E402" s="38" t="str">
        <f t="shared" si="99"/>
        <v/>
      </c>
      <c r="F402" s="38" t="str">
        <f t="shared" si="100"/>
        <v/>
      </c>
      <c r="G402" s="38" t="str">
        <f t="shared" si="110"/>
        <v/>
      </c>
      <c r="H402" s="38" t="str">
        <f t="shared" si="111"/>
        <v/>
      </c>
      <c r="L402" t="str">
        <f t="shared" si="101"/>
        <v/>
      </c>
      <c r="M402" s="38" t="str">
        <f t="shared" si="102"/>
        <v/>
      </c>
      <c r="N402" s="38" t="str">
        <f t="shared" si="103"/>
        <v/>
      </c>
      <c r="O402" s="38" t="str">
        <f t="shared" si="104"/>
        <v/>
      </c>
      <c r="P402" s="38" t="str">
        <f t="shared" si="105"/>
        <v/>
      </c>
      <c r="Q402" s="38" t="str">
        <f t="shared" si="106"/>
        <v/>
      </c>
      <c r="R402" s="38" t="str">
        <f t="shared" si="107"/>
        <v/>
      </c>
      <c r="S402" s="38" t="str">
        <f t="shared" si="108"/>
        <v/>
      </c>
      <c r="T402" s="38" t="str">
        <f t="shared" si="109"/>
        <v/>
      </c>
      <c r="AF402" t="str">
        <f t="shared" si="94"/>
        <v/>
      </c>
      <c r="AG402" s="38" t="str">
        <f t="shared" si="93"/>
        <v/>
      </c>
    </row>
    <row r="403" spans="1:33" x14ac:dyDescent="0.2">
      <c r="A403" t="str">
        <f t="shared" si="95"/>
        <v/>
      </c>
      <c r="B403" s="38" t="str">
        <f t="shared" si="96"/>
        <v/>
      </c>
      <c r="C403" s="38" t="str">
        <f t="shared" si="97"/>
        <v/>
      </c>
      <c r="D403" s="38" t="str">
        <f t="shared" si="98"/>
        <v/>
      </c>
      <c r="E403" s="38" t="str">
        <f t="shared" si="99"/>
        <v/>
      </c>
      <c r="F403" s="38" t="str">
        <f t="shared" si="100"/>
        <v/>
      </c>
      <c r="G403" s="38" t="str">
        <f t="shared" si="110"/>
        <v/>
      </c>
      <c r="H403" s="38" t="str">
        <f t="shared" si="111"/>
        <v/>
      </c>
      <c r="L403" t="str">
        <f t="shared" si="101"/>
        <v/>
      </c>
      <c r="M403" s="38" t="str">
        <f t="shared" si="102"/>
        <v/>
      </c>
      <c r="N403" s="38" t="str">
        <f t="shared" si="103"/>
        <v/>
      </c>
      <c r="O403" s="38" t="str">
        <f t="shared" si="104"/>
        <v/>
      </c>
      <c r="P403" s="38" t="str">
        <f t="shared" si="105"/>
        <v/>
      </c>
      <c r="Q403" s="38" t="str">
        <f t="shared" si="106"/>
        <v/>
      </c>
      <c r="R403" s="38" t="str">
        <f t="shared" si="107"/>
        <v/>
      </c>
      <c r="S403" s="38" t="str">
        <f t="shared" si="108"/>
        <v/>
      </c>
      <c r="T403" s="38" t="str">
        <f t="shared" si="109"/>
        <v/>
      </c>
      <c r="AF403" t="str">
        <f t="shared" si="94"/>
        <v/>
      </c>
      <c r="AG403" s="38" t="str">
        <f t="shared" si="93"/>
        <v/>
      </c>
    </row>
    <row r="404" spans="1:33" x14ac:dyDescent="0.2">
      <c r="A404" t="str">
        <f t="shared" si="95"/>
        <v/>
      </c>
      <c r="B404" s="38" t="str">
        <f t="shared" si="96"/>
        <v/>
      </c>
      <c r="C404" s="38" t="str">
        <f t="shared" si="97"/>
        <v/>
      </c>
      <c r="D404" s="38" t="str">
        <f t="shared" si="98"/>
        <v/>
      </c>
      <c r="E404" s="38" t="str">
        <f t="shared" si="99"/>
        <v/>
      </c>
      <c r="F404" s="38" t="str">
        <f t="shared" si="100"/>
        <v/>
      </c>
      <c r="G404" s="38" t="str">
        <f t="shared" si="110"/>
        <v/>
      </c>
      <c r="H404" s="38" t="str">
        <f t="shared" si="111"/>
        <v/>
      </c>
      <c r="L404" t="str">
        <f t="shared" si="101"/>
        <v/>
      </c>
      <c r="M404" s="38" t="str">
        <f t="shared" si="102"/>
        <v/>
      </c>
      <c r="N404" s="38" t="str">
        <f t="shared" si="103"/>
        <v/>
      </c>
      <c r="O404" s="38" t="str">
        <f t="shared" si="104"/>
        <v/>
      </c>
      <c r="P404" s="38" t="str">
        <f t="shared" si="105"/>
        <v/>
      </c>
      <c r="Q404" s="38" t="str">
        <f t="shared" si="106"/>
        <v/>
      </c>
      <c r="R404" s="38" t="str">
        <f t="shared" si="107"/>
        <v/>
      </c>
      <c r="S404" s="38" t="str">
        <f t="shared" si="108"/>
        <v/>
      </c>
      <c r="T404" s="38" t="str">
        <f t="shared" si="109"/>
        <v/>
      </c>
      <c r="AF404" t="str">
        <f t="shared" si="94"/>
        <v/>
      </c>
      <c r="AG404" s="38" t="str">
        <f t="shared" si="93"/>
        <v/>
      </c>
    </row>
    <row r="405" spans="1:33" x14ac:dyDescent="0.2">
      <c r="A405" t="str">
        <f t="shared" si="95"/>
        <v/>
      </c>
      <c r="B405" s="38" t="str">
        <f t="shared" si="96"/>
        <v/>
      </c>
      <c r="C405" s="38" t="str">
        <f t="shared" si="97"/>
        <v/>
      </c>
      <c r="D405" s="38" t="str">
        <f t="shared" si="98"/>
        <v/>
      </c>
      <c r="E405" s="38" t="str">
        <f t="shared" si="99"/>
        <v/>
      </c>
      <c r="F405" s="38" t="str">
        <f t="shared" si="100"/>
        <v/>
      </c>
      <c r="G405" s="38" t="str">
        <f t="shared" si="110"/>
        <v/>
      </c>
      <c r="H405" s="38" t="str">
        <f t="shared" si="111"/>
        <v/>
      </c>
      <c r="L405" t="str">
        <f t="shared" si="101"/>
        <v/>
      </c>
      <c r="M405" s="38" t="str">
        <f t="shared" si="102"/>
        <v/>
      </c>
      <c r="N405" s="38" t="str">
        <f t="shared" si="103"/>
        <v/>
      </c>
      <c r="O405" s="38" t="str">
        <f t="shared" si="104"/>
        <v/>
      </c>
      <c r="P405" s="38" t="str">
        <f t="shared" si="105"/>
        <v/>
      </c>
      <c r="Q405" s="38" t="str">
        <f t="shared" si="106"/>
        <v/>
      </c>
      <c r="R405" s="38" t="str">
        <f t="shared" si="107"/>
        <v/>
      </c>
      <c r="S405" s="38" t="str">
        <f t="shared" si="108"/>
        <v/>
      </c>
      <c r="T405" s="38" t="str">
        <f t="shared" si="109"/>
        <v/>
      </c>
      <c r="AF405" t="str">
        <f t="shared" si="94"/>
        <v/>
      </c>
      <c r="AG405" s="38" t="str">
        <f t="shared" ref="AG405:AG468" si="112">F406</f>
        <v/>
      </c>
    </row>
    <row r="406" spans="1:33" x14ac:dyDescent="0.2">
      <c r="A406" t="str">
        <f t="shared" si="95"/>
        <v/>
      </c>
      <c r="B406" s="38" t="str">
        <f t="shared" si="96"/>
        <v/>
      </c>
      <c r="C406" s="38" t="str">
        <f t="shared" si="97"/>
        <v/>
      </c>
      <c r="D406" s="38" t="str">
        <f t="shared" si="98"/>
        <v/>
      </c>
      <c r="E406" s="38" t="str">
        <f t="shared" si="99"/>
        <v/>
      </c>
      <c r="F406" s="38" t="str">
        <f t="shared" si="100"/>
        <v/>
      </c>
      <c r="G406" s="38" t="str">
        <f t="shared" si="110"/>
        <v/>
      </c>
      <c r="H406" s="38" t="str">
        <f t="shared" si="111"/>
        <v/>
      </c>
      <c r="L406" t="str">
        <f t="shared" si="101"/>
        <v/>
      </c>
      <c r="M406" s="38" t="str">
        <f t="shared" si="102"/>
        <v/>
      </c>
      <c r="N406" s="38" t="str">
        <f t="shared" si="103"/>
        <v/>
      </c>
      <c r="O406" s="38" t="str">
        <f t="shared" si="104"/>
        <v/>
      </c>
      <c r="P406" s="38" t="str">
        <f t="shared" si="105"/>
        <v/>
      </c>
      <c r="Q406" s="38" t="str">
        <f t="shared" si="106"/>
        <v/>
      </c>
      <c r="R406" s="38" t="str">
        <f t="shared" si="107"/>
        <v/>
      </c>
      <c r="S406" s="38" t="str">
        <f t="shared" si="108"/>
        <v/>
      </c>
      <c r="T406" s="38" t="str">
        <f t="shared" si="109"/>
        <v/>
      </c>
      <c r="AF406" t="str">
        <f t="shared" si="94"/>
        <v/>
      </c>
      <c r="AG406" s="38" t="str">
        <f t="shared" si="112"/>
        <v/>
      </c>
    </row>
    <row r="407" spans="1:33" x14ac:dyDescent="0.2">
      <c r="A407" t="str">
        <f t="shared" si="95"/>
        <v/>
      </c>
      <c r="B407" s="38" t="str">
        <f t="shared" si="96"/>
        <v/>
      </c>
      <c r="C407" s="38" t="str">
        <f t="shared" si="97"/>
        <v/>
      </c>
      <c r="D407" s="38" t="str">
        <f t="shared" si="98"/>
        <v/>
      </c>
      <c r="E407" s="38" t="str">
        <f t="shared" si="99"/>
        <v/>
      </c>
      <c r="F407" s="38" t="str">
        <f t="shared" si="100"/>
        <v/>
      </c>
      <c r="G407" s="38" t="str">
        <f t="shared" si="110"/>
        <v/>
      </c>
      <c r="H407" s="38" t="str">
        <f t="shared" si="111"/>
        <v/>
      </c>
      <c r="L407" t="str">
        <f t="shared" si="101"/>
        <v/>
      </c>
      <c r="M407" s="38" t="str">
        <f t="shared" si="102"/>
        <v/>
      </c>
      <c r="N407" s="38" t="str">
        <f t="shared" si="103"/>
        <v/>
      </c>
      <c r="O407" s="38" t="str">
        <f t="shared" si="104"/>
        <v/>
      </c>
      <c r="P407" s="38" t="str">
        <f t="shared" si="105"/>
        <v/>
      </c>
      <c r="Q407" s="38" t="str">
        <f t="shared" si="106"/>
        <v/>
      </c>
      <c r="R407" s="38" t="str">
        <f t="shared" si="107"/>
        <v/>
      </c>
      <c r="S407" s="38" t="str">
        <f t="shared" si="108"/>
        <v/>
      </c>
      <c r="T407" s="38" t="str">
        <f t="shared" si="109"/>
        <v/>
      </c>
      <c r="AF407" t="str">
        <f t="shared" ref="AF407:AF470" si="113">IF(AF406&lt;($B$6*$B$7),AF406+1,"")</f>
        <v/>
      </c>
      <c r="AG407" s="38" t="str">
        <f t="shared" si="112"/>
        <v/>
      </c>
    </row>
    <row r="408" spans="1:33" x14ac:dyDescent="0.2">
      <c r="A408" t="str">
        <f t="shared" ref="A408:A471" si="114">IF(A407&lt;($B$6*$B$7),A407+1,"")</f>
        <v/>
      </c>
      <c r="B408" s="38" t="str">
        <f t="shared" ref="B408:B471" si="115">IF(A408="","",F407)</f>
        <v/>
      </c>
      <c r="C408" s="38" t="str">
        <f t="shared" ref="C408:C471" si="116">IF(A408="","",(B408*$B$8))</f>
        <v/>
      </c>
      <c r="D408" s="38" t="str">
        <f t="shared" ref="D408:D471" si="117">IF(A408="","", $B$5)</f>
        <v/>
      </c>
      <c r="E408" s="38" t="str">
        <f t="shared" ref="E408:E471" si="118">IF(D408="","",(D408-C408))</f>
        <v/>
      </c>
      <c r="F408" s="38" t="str">
        <f t="shared" ref="F408:F471" si="119">IF(A408="","", B408-E408)</f>
        <v/>
      </c>
      <c r="G408" s="38" t="str">
        <f t="shared" si="110"/>
        <v/>
      </c>
      <c r="H408" s="38" t="str">
        <f t="shared" si="111"/>
        <v/>
      </c>
      <c r="L408" t="str">
        <f t="shared" ref="L408:L471" si="120">IF(L407&lt;($B$6*$B$7),L407+1,"")</f>
        <v/>
      </c>
      <c r="M408" s="38" t="str">
        <f t="shared" ref="M408:M471" si="121">IF(L408="", "", R407)</f>
        <v/>
      </c>
      <c r="N408" s="38" t="str">
        <f t="shared" ref="N408:N471" si="122">IF(L408="","",$B$5)</f>
        <v/>
      </c>
      <c r="O408" s="38" t="str">
        <f t="shared" ref="O408:O471" si="123">IF(L408="","",M408-N408)</f>
        <v/>
      </c>
      <c r="P408" s="38" t="str">
        <f t="shared" ref="P408:P471" si="124">IF(L408="","",O407*$B$8)</f>
        <v/>
      </c>
      <c r="Q408" s="38" t="str">
        <f t="shared" ref="Q408:Q471" si="125">IF(L408="","",N408-P408)</f>
        <v/>
      </c>
      <c r="R408" s="38" t="str">
        <f t="shared" ref="R408:R471" si="126">IF(L408="","",O408*(1+$B$8))</f>
        <v/>
      </c>
      <c r="S408" s="38" t="str">
        <f t="shared" ref="S408:S471" si="127">IF(L408="","",S407+P408)</f>
        <v/>
      </c>
      <c r="T408" s="38" t="str">
        <f t="shared" ref="T408:T471" si="128">IF(L408="","",Q408+T407)</f>
        <v/>
      </c>
      <c r="AF408" t="str">
        <f t="shared" si="113"/>
        <v/>
      </c>
      <c r="AG408" s="38" t="str">
        <f t="shared" si="112"/>
        <v/>
      </c>
    </row>
    <row r="409" spans="1:33" x14ac:dyDescent="0.2">
      <c r="A409" t="str">
        <f t="shared" si="114"/>
        <v/>
      </c>
      <c r="B409" s="38" t="str">
        <f t="shared" si="115"/>
        <v/>
      </c>
      <c r="C409" s="38" t="str">
        <f t="shared" si="116"/>
        <v/>
      </c>
      <c r="D409" s="38" t="str">
        <f t="shared" si="117"/>
        <v/>
      </c>
      <c r="E409" s="38" t="str">
        <f t="shared" si="118"/>
        <v/>
      </c>
      <c r="F409" s="38" t="str">
        <f t="shared" si="119"/>
        <v/>
      </c>
      <c r="G409" s="38" t="str">
        <f t="shared" si="110"/>
        <v/>
      </c>
      <c r="H409" s="38" t="str">
        <f t="shared" si="111"/>
        <v/>
      </c>
      <c r="L409" t="str">
        <f t="shared" si="120"/>
        <v/>
      </c>
      <c r="M409" s="38" t="str">
        <f t="shared" si="121"/>
        <v/>
      </c>
      <c r="N409" s="38" t="str">
        <f t="shared" si="122"/>
        <v/>
      </c>
      <c r="O409" s="38" t="str">
        <f t="shared" si="123"/>
        <v/>
      </c>
      <c r="P409" s="38" t="str">
        <f t="shared" si="124"/>
        <v/>
      </c>
      <c r="Q409" s="38" t="str">
        <f t="shared" si="125"/>
        <v/>
      </c>
      <c r="R409" s="38" t="str">
        <f t="shared" si="126"/>
        <v/>
      </c>
      <c r="S409" s="38" t="str">
        <f t="shared" si="127"/>
        <v/>
      </c>
      <c r="T409" s="38" t="str">
        <f t="shared" si="128"/>
        <v/>
      </c>
      <c r="AF409" t="str">
        <f t="shared" si="113"/>
        <v/>
      </c>
      <c r="AG409" s="38" t="str">
        <f t="shared" si="112"/>
        <v/>
      </c>
    </row>
    <row r="410" spans="1:33" x14ac:dyDescent="0.2">
      <c r="A410" t="str">
        <f t="shared" si="114"/>
        <v/>
      </c>
      <c r="B410" s="38" t="str">
        <f t="shared" si="115"/>
        <v/>
      </c>
      <c r="C410" s="38" t="str">
        <f t="shared" si="116"/>
        <v/>
      </c>
      <c r="D410" s="38" t="str">
        <f t="shared" si="117"/>
        <v/>
      </c>
      <c r="E410" s="38" t="str">
        <f t="shared" si="118"/>
        <v/>
      </c>
      <c r="F410" s="38" t="str">
        <f t="shared" si="119"/>
        <v/>
      </c>
      <c r="G410" s="38" t="str">
        <f t="shared" ref="G410:G473" si="129">IF(A410="","", (G409+C410))</f>
        <v/>
      </c>
      <c r="H410" s="38" t="str">
        <f t="shared" ref="H410:H473" si="130">IF(A410="","",(H409+E410))</f>
        <v/>
      </c>
      <c r="L410" t="str">
        <f t="shared" si="120"/>
        <v/>
      </c>
      <c r="M410" s="38" t="str">
        <f t="shared" si="121"/>
        <v/>
      </c>
      <c r="N410" s="38" t="str">
        <f t="shared" si="122"/>
        <v/>
      </c>
      <c r="O410" s="38" t="str">
        <f t="shared" si="123"/>
        <v/>
      </c>
      <c r="P410" s="38" t="str">
        <f t="shared" si="124"/>
        <v/>
      </c>
      <c r="Q410" s="38" t="str">
        <f t="shared" si="125"/>
        <v/>
      </c>
      <c r="R410" s="38" t="str">
        <f t="shared" si="126"/>
        <v/>
      </c>
      <c r="S410" s="38" t="str">
        <f t="shared" si="127"/>
        <v/>
      </c>
      <c r="T410" s="38" t="str">
        <f t="shared" si="128"/>
        <v/>
      </c>
      <c r="AF410" t="str">
        <f t="shared" si="113"/>
        <v/>
      </c>
      <c r="AG410" s="38" t="str">
        <f t="shared" si="112"/>
        <v/>
      </c>
    </row>
    <row r="411" spans="1:33" x14ac:dyDescent="0.2">
      <c r="A411" t="str">
        <f t="shared" si="114"/>
        <v/>
      </c>
      <c r="B411" s="38" t="str">
        <f t="shared" si="115"/>
        <v/>
      </c>
      <c r="C411" s="38" t="str">
        <f t="shared" si="116"/>
        <v/>
      </c>
      <c r="D411" s="38" t="str">
        <f t="shared" si="117"/>
        <v/>
      </c>
      <c r="E411" s="38" t="str">
        <f t="shared" si="118"/>
        <v/>
      </c>
      <c r="F411" s="38" t="str">
        <f t="shared" si="119"/>
        <v/>
      </c>
      <c r="G411" s="38" t="str">
        <f t="shared" si="129"/>
        <v/>
      </c>
      <c r="H411" s="38" t="str">
        <f t="shared" si="130"/>
        <v/>
      </c>
      <c r="L411" t="str">
        <f t="shared" si="120"/>
        <v/>
      </c>
      <c r="M411" s="38" t="str">
        <f t="shared" si="121"/>
        <v/>
      </c>
      <c r="N411" s="38" t="str">
        <f t="shared" si="122"/>
        <v/>
      </c>
      <c r="O411" s="38" t="str">
        <f t="shared" si="123"/>
        <v/>
      </c>
      <c r="P411" s="38" t="str">
        <f t="shared" si="124"/>
        <v/>
      </c>
      <c r="Q411" s="38" t="str">
        <f t="shared" si="125"/>
        <v/>
      </c>
      <c r="R411" s="38" t="str">
        <f t="shared" si="126"/>
        <v/>
      </c>
      <c r="S411" s="38" t="str">
        <f t="shared" si="127"/>
        <v/>
      </c>
      <c r="T411" s="38" t="str">
        <f t="shared" si="128"/>
        <v/>
      </c>
      <c r="AF411" t="str">
        <f t="shared" si="113"/>
        <v/>
      </c>
      <c r="AG411" s="38" t="str">
        <f t="shared" si="112"/>
        <v/>
      </c>
    </row>
    <row r="412" spans="1:33" x14ac:dyDescent="0.2">
      <c r="A412" t="str">
        <f t="shared" si="114"/>
        <v/>
      </c>
      <c r="B412" s="38" t="str">
        <f t="shared" si="115"/>
        <v/>
      </c>
      <c r="C412" s="38" t="str">
        <f t="shared" si="116"/>
        <v/>
      </c>
      <c r="D412" s="38" t="str">
        <f t="shared" si="117"/>
        <v/>
      </c>
      <c r="E412" s="38" t="str">
        <f t="shared" si="118"/>
        <v/>
      </c>
      <c r="F412" s="38" t="str">
        <f t="shared" si="119"/>
        <v/>
      </c>
      <c r="G412" s="38" t="str">
        <f t="shared" si="129"/>
        <v/>
      </c>
      <c r="H412" s="38" t="str">
        <f t="shared" si="130"/>
        <v/>
      </c>
      <c r="L412" t="str">
        <f t="shared" si="120"/>
        <v/>
      </c>
      <c r="M412" s="38" t="str">
        <f t="shared" si="121"/>
        <v/>
      </c>
      <c r="N412" s="38" t="str">
        <f t="shared" si="122"/>
        <v/>
      </c>
      <c r="O412" s="38" t="str">
        <f t="shared" si="123"/>
        <v/>
      </c>
      <c r="P412" s="38" t="str">
        <f t="shared" si="124"/>
        <v/>
      </c>
      <c r="Q412" s="38" t="str">
        <f t="shared" si="125"/>
        <v/>
      </c>
      <c r="R412" s="38" t="str">
        <f t="shared" si="126"/>
        <v/>
      </c>
      <c r="S412" s="38" t="str">
        <f t="shared" si="127"/>
        <v/>
      </c>
      <c r="T412" s="38" t="str">
        <f t="shared" si="128"/>
        <v/>
      </c>
      <c r="AF412" t="str">
        <f t="shared" si="113"/>
        <v/>
      </c>
      <c r="AG412" s="38" t="str">
        <f t="shared" si="112"/>
        <v/>
      </c>
    </row>
    <row r="413" spans="1:33" x14ac:dyDescent="0.2">
      <c r="A413" t="str">
        <f t="shared" si="114"/>
        <v/>
      </c>
      <c r="B413" s="38" t="str">
        <f t="shared" si="115"/>
        <v/>
      </c>
      <c r="C413" s="38" t="str">
        <f t="shared" si="116"/>
        <v/>
      </c>
      <c r="D413" s="38" t="str">
        <f t="shared" si="117"/>
        <v/>
      </c>
      <c r="E413" s="38" t="str">
        <f t="shared" si="118"/>
        <v/>
      </c>
      <c r="F413" s="38" t="str">
        <f t="shared" si="119"/>
        <v/>
      </c>
      <c r="G413" s="38" t="str">
        <f t="shared" si="129"/>
        <v/>
      </c>
      <c r="H413" s="38" t="str">
        <f t="shared" si="130"/>
        <v/>
      </c>
      <c r="L413" t="str">
        <f t="shared" si="120"/>
        <v/>
      </c>
      <c r="M413" s="38" t="str">
        <f t="shared" si="121"/>
        <v/>
      </c>
      <c r="N413" s="38" t="str">
        <f t="shared" si="122"/>
        <v/>
      </c>
      <c r="O413" s="38" t="str">
        <f t="shared" si="123"/>
        <v/>
      </c>
      <c r="P413" s="38" t="str">
        <f t="shared" si="124"/>
        <v/>
      </c>
      <c r="Q413" s="38" t="str">
        <f t="shared" si="125"/>
        <v/>
      </c>
      <c r="R413" s="38" t="str">
        <f t="shared" si="126"/>
        <v/>
      </c>
      <c r="S413" s="38" t="str">
        <f t="shared" si="127"/>
        <v/>
      </c>
      <c r="T413" s="38" t="str">
        <f t="shared" si="128"/>
        <v/>
      </c>
      <c r="AF413" t="str">
        <f t="shared" si="113"/>
        <v/>
      </c>
      <c r="AG413" s="38" t="str">
        <f t="shared" si="112"/>
        <v/>
      </c>
    </row>
    <row r="414" spans="1:33" x14ac:dyDescent="0.2">
      <c r="A414" t="str">
        <f t="shared" si="114"/>
        <v/>
      </c>
      <c r="B414" s="38" t="str">
        <f t="shared" si="115"/>
        <v/>
      </c>
      <c r="C414" s="38" t="str">
        <f t="shared" si="116"/>
        <v/>
      </c>
      <c r="D414" s="38" t="str">
        <f t="shared" si="117"/>
        <v/>
      </c>
      <c r="E414" s="38" t="str">
        <f t="shared" si="118"/>
        <v/>
      </c>
      <c r="F414" s="38" t="str">
        <f t="shared" si="119"/>
        <v/>
      </c>
      <c r="G414" s="38" t="str">
        <f t="shared" si="129"/>
        <v/>
      </c>
      <c r="H414" s="38" t="str">
        <f t="shared" si="130"/>
        <v/>
      </c>
      <c r="L414" t="str">
        <f t="shared" si="120"/>
        <v/>
      </c>
      <c r="M414" s="38" t="str">
        <f t="shared" si="121"/>
        <v/>
      </c>
      <c r="N414" s="38" t="str">
        <f t="shared" si="122"/>
        <v/>
      </c>
      <c r="O414" s="38" t="str">
        <f t="shared" si="123"/>
        <v/>
      </c>
      <c r="P414" s="38" t="str">
        <f t="shared" si="124"/>
        <v/>
      </c>
      <c r="Q414" s="38" t="str">
        <f t="shared" si="125"/>
        <v/>
      </c>
      <c r="R414" s="38" t="str">
        <f t="shared" si="126"/>
        <v/>
      </c>
      <c r="S414" s="38" t="str">
        <f t="shared" si="127"/>
        <v/>
      </c>
      <c r="T414" s="38" t="str">
        <f t="shared" si="128"/>
        <v/>
      </c>
      <c r="AF414" t="str">
        <f t="shared" si="113"/>
        <v/>
      </c>
      <c r="AG414" s="38" t="str">
        <f t="shared" si="112"/>
        <v/>
      </c>
    </row>
    <row r="415" spans="1:33" x14ac:dyDescent="0.2">
      <c r="A415" t="str">
        <f t="shared" si="114"/>
        <v/>
      </c>
      <c r="B415" s="38" t="str">
        <f t="shared" si="115"/>
        <v/>
      </c>
      <c r="C415" s="38" t="str">
        <f t="shared" si="116"/>
        <v/>
      </c>
      <c r="D415" s="38" t="str">
        <f t="shared" si="117"/>
        <v/>
      </c>
      <c r="E415" s="38" t="str">
        <f t="shared" si="118"/>
        <v/>
      </c>
      <c r="F415" s="38" t="str">
        <f t="shared" si="119"/>
        <v/>
      </c>
      <c r="G415" s="38" t="str">
        <f t="shared" si="129"/>
        <v/>
      </c>
      <c r="H415" s="38" t="str">
        <f t="shared" si="130"/>
        <v/>
      </c>
      <c r="L415" t="str">
        <f t="shared" si="120"/>
        <v/>
      </c>
      <c r="M415" s="38" t="str">
        <f t="shared" si="121"/>
        <v/>
      </c>
      <c r="N415" s="38" t="str">
        <f t="shared" si="122"/>
        <v/>
      </c>
      <c r="O415" s="38" t="str">
        <f t="shared" si="123"/>
        <v/>
      </c>
      <c r="P415" s="38" t="str">
        <f t="shared" si="124"/>
        <v/>
      </c>
      <c r="Q415" s="38" t="str">
        <f t="shared" si="125"/>
        <v/>
      </c>
      <c r="R415" s="38" t="str">
        <f t="shared" si="126"/>
        <v/>
      </c>
      <c r="S415" s="38" t="str">
        <f t="shared" si="127"/>
        <v/>
      </c>
      <c r="T415" s="38" t="str">
        <f t="shared" si="128"/>
        <v/>
      </c>
      <c r="AF415" t="str">
        <f t="shared" si="113"/>
        <v/>
      </c>
      <c r="AG415" s="38" t="str">
        <f t="shared" si="112"/>
        <v/>
      </c>
    </row>
    <row r="416" spans="1:33" x14ac:dyDescent="0.2">
      <c r="A416" t="str">
        <f t="shared" si="114"/>
        <v/>
      </c>
      <c r="B416" s="38" t="str">
        <f t="shared" si="115"/>
        <v/>
      </c>
      <c r="C416" s="38" t="str">
        <f t="shared" si="116"/>
        <v/>
      </c>
      <c r="D416" s="38" t="str">
        <f t="shared" si="117"/>
        <v/>
      </c>
      <c r="E416" s="38" t="str">
        <f t="shared" si="118"/>
        <v/>
      </c>
      <c r="F416" s="38" t="str">
        <f t="shared" si="119"/>
        <v/>
      </c>
      <c r="G416" s="38" t="str">
        <f t="shared" si="129"/>
        <v/>
      </c>
      <c r="H416" s="38" t="str">
        <f t="shared" si="130"/>
        <v/>
      </c>
      <c r="L416" t="str">
        <f t="shared" si="120"/>
        <v/>
      </c>
      <c r="M416" s="38" t="str">
        <f t="shared" si="121"/>
        <v/>
      </c>
      <c r="N416" s="38" t="str">
        <f t="shared" si="122"/>
        <v/>
      </c>
      <c r="O416" s="38" t="str">
        <f t="shared" si="123"/>
        <v/>
      </c>
      <c r="P416" s="38" t="str">
        <f t="shared" si="124"/>
        <v/>
      </c>
      <c r="Q416" s="38" t="str">
        <f t="shared" si="125"/>
        <v/>
      </c>
      <c r="R416" s="38" t="str">
        <f t="shared" si="126"/>
        <v/>
      </c>
      <c r="S416" s="38" t="str">
        <f t="shared" si="127"/>
        <v/>
      </c>
      <c r="T416" s="38" t="str">
        <f t="shared" si="128"/>
        <v/>
      </c>
      <c r="AF416" t="str">
        <f t="shared" si="113"/>
        <v/>
      </c>
      <c r="AG416" s="38" t="str">
        <f t="shared" si="112"/>
        <v/>
      </c>
    </row>
    <row r="417" spans="1:33" x14ac:dyDescent="0.2">
      <c r="A417" t="str">
        <f t="shared" si="114"/>
        <v/>
      </c>
      <c r="B417" s="38" t="str">
        <f t="shared" si="115"/>
        <v/>
      </c>
      <c r="C417" s="38" t="str">
        <f t="shared" si="116"/>
        <v/>
      </c>
      <c r="D417" s="38" t="str">
        <f t="shared" si="117"/>
        <v/>
      </c>
      <c r="E417" s="38" t="str">
        <f t="shared" si="118"/>
        <v/>
      </c>
      <c r="F417" s="38" t="str">
        <f t="shared" si="119"/>
        <v/>
      </c>
      <c r="G417" s="38" t="str">
        <f t="shared" si="129"/>
        <v/>
      </c>
      <c r="H417" s="38" t="str">
        <f t="shared" si="130"/>
        <v/>
      </c>
      <c r="L417" t="str">
        <f t="shared" si="120"/>
        <v/>
      </c>
      <c r="M417" s="38" t="str">
        <f t="shared" si="121"/>
        <v/>
      </c>
      <c r="N417" s="38" t="str">
        <f t="shared" si="122"/>
        <v/>
      </c>
      <c r="O417" s="38" t="str">
        <f t="shared" si="123"/>
        <v/>
      </c>
      <c r="P417" s="38" t="str">
        <f t="shared" si="124"/>
        <v/>
      </c>
      <c r="Q417" s="38" t="str">
        <f t="shared" si="125"/>
        <v/>
      </c>
      <c r="R417" s="38" t="str">
        <f t="shared" si="126"/>
        <v/>
      </c>
      <c r="S417" s="38" t="str">
        <f t="shared" si="127"/>
        <v/>
      </c>
      <c r="T417" s="38" t="str">
        <f t="shared" si="128"/>
        <v/>
      </c>
      <c r="AF417" t="str">
        <f t="shared" si="113"/>
        <v/>
      </c>
      <c r="AG417" s="38" t="str">
        <f t="shared" si="112"/>
        <v/>
      </c>
    </row>
    <row r="418" spans="1:33" x14ac:dyDescent="0.2">
      <c r="A418" t="str">
        <f t="shared" si="114"/>
        <v/>
      </c>
      <c r="B418" s="38" t="str">
        <f t="shared" si="115"/>
        <v/>
      </c>
      <c r="C418" s="38" t="str">
        <f t="shared" si="116"/>
        <v/>
      </c>
      <c r="D418" s="38" t="str">
        <f t="shared" si="117"/>
        <v/>
      </c>
      <c r="E418" s="38" t="str">
        <f t="shared" si="118"/>
        <v/>
      </c>
      <c r="F418" s="38" t="str">
        <f t="shared" si="119"/>
        <v/>
      </c>
      <c r="G418" s="38" t="str">
        <f t="shared" si="129"/>
        <v/>
      </c>
      <c r="H418" s="38" t="str">
        <f t="shared" si="130"/>
        <v/>
      </c>
      <c r="L418" t="str">
        <f t="shared" si="120"/>
        <v/>
      </c>
      <c r="M418" s="38" t="str">
        <f t="shared" si="121"/>
        <v/>
      </c>
      <c r="N418" s="38" t="str">
        <f t="shared" si="122"/>
        <v/>
      </c>
      <c r="O418" s="38" t="str">
        <f t="shared" si="123"/>
        <v/>
      </c>
      <c r="P418" s="38" t="str">
        <f t="shared" si="124"/>
        <v/>
      </c>
      <c r="Q418" s="38" t="str">
        <f t="shared" si="125"/>
        <v/>
      </c>
      <c r="R418" s="38" t="str">
        <f t="shared" si="126"/>
        <v/>
      </c>
      <c r="S418" s="38" t="str">
        <f t="shared" si="127"/>
        <v/>
      </c>
      <c r="T418" s="38" t="str">
        <f t="shared" si="128"/>
        <v/>
      </c>
      <c r="AF418" t="str">
        <f t="shared" si="113"/>
        <v/>
      </c>
      <c r="AG418" s="38" t="str">
        <f t="shared" si="112"/>
        <v/>
      </c>
    </row>
    <row r="419" spans="1:33" x14ac:dyDescent="0.2">
      <c r="A419" t="str">
        <f t="shared" si="114"/>
        <v/>
      </c>
      <c r="B419" s="38" t="str">
        <f t="shared" si="115"/>
        <v/>
      </c>
      <c r="C419" s="38" t="str">
        <f t="shared" si="116"/>
        <v/>
      </c>
      <c r="D419" s="38" t="str">
        <f t="shared" si="117"/>
        <v/>
      </c>
      <c r="E419" s="38" t="str">
        <f t="shared" si="118"/>
        <v/>
      </c>
      <c r="F419" s="38" t="str">
        <f t="shared" si="119"/>
        <v/>
      </c>
      <c r="G419" s="38" t="str">
        <f t="shared" si="129"/>
        <v/>
      </c>
      <c r="H419" s="38" t="str">
        <f t="shared" si="130"/>
        <v/>
      </c>
      <c r="L419" t="str">
        <f t="shared" si="120"/>
        <v/>
      </c>
      <c r="M419" s="38" t="str">
        <f t="shared" si="121"/>
        <v/>
      </c>
      <c r="N419" s="38" t="str">
        <f t="shared" si="122"/>
        <v/>
      </c>
      <c r="O419" s="38" t="str">
        <f t="shared" si="123"/>
        <v/>
      </c>
      <c r="P419" s="38" t="str">
        <f t="shared" si="124"/>
        <v/>
      </c>
      <c r="Q419" s="38" t="str">
        <f t="shared" si="125"/>
        <v/>
      </c>
      <c r="R419" s="38" t="str">
        <f t="shared" si="126"/>
        <v/>
      </c>
      <c r="S419" s="38" t="str">
        <f t="shared" si="127"/>
        <v/>
      </c>
      <c r="T419" s="38" t="str">
        <f t="shared" si="128"/>
        <v/>
      </c>
      <c r="AF419" t="str">
        <f t="shared" si="113"/>
        <v/>
      </c>
      <c r="AG419" s="38" t="str">
        <f t="shared" si="112"/>
        <v/>
      </c>
    </row>
    <row r="420" spans="1:33" x14ac:dyDescent="0.2">
      <c r="A420" t="str">
        <f t="shared" si="114"/>
        <v/>
      </c>
      <c r="B420" s="38" t="str">
        <f t="shared" si="115"/>
        <v/>
      </c>
      <c r="C420" s="38" t="str">
        <f t="shared" si="116"/>
        <v/>
      </c>
      <c r="D420" s="38" t="str">
        <f t="shared" si="117"/>
        <v/>
      </c>
      <c r="E420" s="38" t="str">
        <f t="shared" si="118"/>
        <v/>
      </c>
      <c r="F420" s="38" t="str">
        <f t="shared" si="119"/>
        <v/>
      </c>
      <c r="G420" s="38" t="str">
        <f t="shared" si="129"/>
        <v/>
      </c>
      <c r="H420" s="38" t="str">
        <f t="shared" si="130"/>
        <v/>
      </c>
      <c r="L420" t="str">
        <f t="shared" si="120"/>
        <v/>
      </c>
      <c r="M420" s="38" t="str">
        <f t="shared" si="121"/>
        <v/>
      </c>
      <c r="N420" s="38" t="str">
        <f t="shared" si="122"/>
        <v/>
      </c>
      <c r="O420" s="38" t="str">
        <f t="shared" si="123"/>
        <v/>
      </c>
      <c r="P420" s="38" t="str">
        <f t="shared" si="124"/>
        <v/>
      </c>
      <c r="Q420" s="38" t="str">
        <f t="shared" si="125"/>
        <v/>
      </c>
      <c r="R420" s="38" t="str">
        <f t="shared" si="126"/>
        <v/>
      </c>
      <c r="S420" s="38" t="str">
        <f t="shared" si="127"/>
        <v/>
      </c>
      <c r="T420" s="38" t="str">
        <f t="shared" si="128"/>
        <v/>
      </c>
      <c r="AF420" t="str">
        <f t="shared" si="113"/>
        <v/>
      </c>
      <c r="AG420" s="38" t="str">
        <f t="shared" si="112"/>
        <v/>
      </c>
    </row>
    <row r="421" spans="1:33" x14ac:dyDescent="0.2">
      <c r="A421" t="str">
        <f t="shared" si="114"/>
        <v/>
      </c>
      <c r="B421" s="38" t="str">
        <f t="shared" si="115"/>
        <v/>
      </c>
      <c r="C421" s="38" t="str">
        <f t="shared" si="116"/>
        <v/>
      </c>
      <c r="D421" s="38" t="str">
        <f t="shared" si="117"/>
        <v/>
      </c>
      <c r="E421" s="38" t="str">
        <f t="shared" si="118"/>
        <v/>
      </c>
      <c r="F421" s="38" t="str">
        <f t="shared" si="119"/>
        <v/>
      </c>
      <c r="G421" s="38" t="str">
        <f t="shared" si="129"/>
        <v/>
      </c>
      <c r="H421" s="38" t="str">
        <f t="shared" si="130"/>
        <v/>
      </c>
      <c r="L421" t="str">
        <f t="shared" si="120"/>
        <v/>
      </c>
      <c r="M421" s="38" t="str">
        <f t="shared" si="121"/>
        <v/>
      </c>
      <c r="N421" s="38" t="str">
        <f t="shared" si="122"/>
        <v/>
      </c>
      <c r="O421" s="38" t="str">
        <f t="shared" si="123"/>
        <v/>
      </c>
      <c r="P421" s="38" t="str">
        <f t="shared" si="124"/>
        <v/>
      </c>
      <c r="Q421" s="38" t="str">
        <f t="shared" si="125"/>
        <v/>
      </c>
      <c r="R421" s="38" t="str">
        <f t="shared" si="126"/>
        <v/>
      </c>
      <c r="S421" s="38" t="str">
        <f t="shared" si="127"/>
        <v/>
      </c>
      <c r="T421" s="38" t="str">
        <f t="shared" si="128"/>
        <v/>
      </c>
      <c r="AF421" t="str">
        <f t="shared" si="113"/>
        <v/>
      </c>
      <c r="AG421" s="38" t="str">
        <f t="shared" si="112"/>
        <v/>
      </c>
    </row>
    <row r="422" spans="1:33" x14ac:dyDescent="0.2">
      <c r="A422" t="str">
        <f t="shared" si="114"/>
        <v/>
      </c>
      <c r="B422" s="38" t="str">
        <f t="shared" si="115"/>
        <v/>
      </c>
      <c r="C422" s="38" t="str">
        <f t="shared" si="116"/>
        <v/>
      </c>
      <c r="D422" s="38" t="str">
        <f t="shared" si="117"/>
        <v/>
      </c>
      <c r="E422" s="38" t="str">
        <f t="shared" si="118"/>
        <v/>
      </c>
      <c r="F422" s="38" t="str">
        <f t="shared" si="119"/>
        <v/>
      </c>
      <c r="G422" s="38" t="str">
        <f t="shared" si="129"/>
        <v/>
      </c>
      <c r="H422" s="38" t="str">
        <f t="shared" si="130"/>
        <v/>
      </c>
      <c r="L422" t="str">
        <f t="shared" si="120"/>
        <v/>
      </c>
      <c r="M422" s="38" t="str">
        <f t="shared" si="121"/>
        <v/>
      </c>
      <c r="N422" s="38" t="str">
        <f t="shared" si="122"/>
        <v/>
      </c>
      <c r="O422" s="38" t="str">
        <f t="shared" si="123"/>
        <v/>
      </c>
      <c r="P422" s="38" t="str">
        <f t="shared" si="124"/>
        <v/>
      </c>
      <c r="Q422" s="38" t="str">
        <f t="shared" si="125"/>
        <v/>
      </c>
      <c r="R422" s="38" t="str">
        <f t="shared" si="126"/>
        <v/>
      </c>
      <c r="S422" s="38" t="str">
        <f t="shared" si="127"/>
        <v/>
      </c>
      <c r="T422" s="38" t="str">
        <f t="shared" si="128"/>
        <v/>
      </c>
      <c r="AF422" t="str">
        <f t="shared" si="113"/>
        <v/>
      </c>
      <c r="AG422" s="38" t="str">
        <f t="shared" si="112"/>
        <v/>
      </c>
    </row>
    <row r="423" spans="1:33" x14ac:dyDescent="0.2">
      <c r="A423" t="str">
        <f t="shared" si="114"/>
        <v/>
      </c>
      <c r="B423" s="38" t="str">
        <f t="shared" si="115"/>
        <v/>
      </c>
      <c r="C423" s="38" t="str">
        <f t="shared" si="116"/>
        <v/>
      </c>
      <c r="D423" s="38" t="str">
        <f t="shared" si="117"/>
        <v/>
      </c>
      <c r="E423" s="38" t="str">
        <f t="shared" si="118"/>
        <v/>
      </c>
      <c r="F423" s="38" t="str">
        <f t="shared" si="119"/>
        <v/>
      </c>
      <c r="G423" s="38" t="str">
        <f t="shared" si="129"/>
        <v/>
      </c>
      <c r="H423" s="38" t="str">
        <f t="shared" si="130"/>
        <v/>
      </c>
      <c r="L423" t="str">
        <f t="shared" si="120"/>
        <v/>
      </c>
      <c r="M423" s="38" t="str">
        <f t="shared" si="121"/>
        <v/>
      </c>
      <c r="N423" s="38" t="str">
        <f t="shared" si="122"/>
        <v/>
      </c>
      <c r="O423" s="38" t="str">
        <f t="shared" si="123"/>
        <v/>
      </c>
      <c r="P423" s="38" t="str">
        <f t="shared" si="124"/>
        <v/>
      </c>
      <c r="Q423" s="38" t="str">
        <f t="shared" si="125"/>
        <v/>
      </c>
      <c r="R423" s="38" t="str">
        <f t="shared" si="126"/>
        <v/>
      </c>
      <c r="S423" s="38" t="str">
        <f t="shared" si="127"/>
        <v/>
      </c>
      <c r="T423" s="38" t="str">
        <f t="shared" si="128"/>
        <v/>
      </c>
      <c r="AF423" t="str">
        <f t="shared" si="113"/>
        <v/>
      </c>
      <c r="AG423" s="38" t="str">
        <f t="shared" si="112"/>
        <v/>
      </c>
    </row>
    <row r="424" spans="1:33" x14ac:dyDescent="0.2">
      <c r="A424" t="str">
        <f t="shared" si="114"/>
        <v/>
      </c>
      <c r="B424" s="38" t="str">
        <f t="shared" si="115"/>
        <v/>
      </c>
      <c r="C424" s="38" t="str">
        <f t="shared" si="116"/>
        <v/>
      </c>
      <c r="D424" s="38" t="str">
        <f t="shared" si="117"/>
        <v/>
      </c>
      <c r="E424" s="38" t="str">
        <f t="shared" si="118"/>
        <v/>
      </c>
      <c r="F424" s="38" t="str">
        <f t="shared" si="119"/>
        <v/>
      </c>
      <c r="G424" s="38" t="str">
        <f t="shared" si="129"/>
        <v/>
      </c>
      <c r="H424" s="38" t="str">
        <f t="shared" si="130"/>
        <v/>
      </c>
      <c r="L424" t="str">
        <f t="shared" si="120"/>
        <v/>
      </c>
      <c r="M424" s="38" t="str">
        <f t="shared" si="121"/>
        <v/>
      </c>
      <c r="N424" s="38" t="str">
        <f t="shared" si="122"/>
        <v/>
      </c>
      <c r="O424" s="38" t="str">
        <f t="shared" si="123"/>
        <v/>
      </c>
      <c r="P424" s="38" t="str">
        <f t="shared" si="124"/>
        <v/>
      </c>
      <c r="Q424" s="38" t="str">
        <f t="shared" si="125"/>
        <v/>
      </c>
      <c r="R424" s="38" t="str">
        <f t="shared" si="126"/>
        <v/>
      </c>
      <c r="S424" s="38" t="str">
        <f t="shared" si="127"/>
        <v/>
      </c>
      <c r="T424" s="38" t="str">
        <f t="shared" si="128"/>
        <v/>
      </c>
      <c r="AF424" t="str">
        <f t="shared" si="113"/>
        <v/>
      </c>
      <c r="AG424" s="38" t="str">
        <f t="shared" si="112"/>
        <v/>
      </c>
    </row>
    <row r="425" spans="1:33" x14ac:dyDescent="0.2">
      <c r="A425" t="str">
        <f t="shared" si="114"/>
        <v/>
      </c>
      <c r="B425" s="38" t="str">
        <f t="shared" si="115"/>
        <v/>
      </c>
      <c r="C425" s="38" t="str">
        <f t="shared" si="116"/>
        <v/>
      </c>
      <c r="D425" s="38" t="str">
        <f t="shared" si="117"/>
        <v/>
      </c>
      <c r="E425" s="38" t="str">
        <f t="shared" si="118"/>
        <v/>
      </c>
      <c r="F425" s="38" t="str">
        <f t="shared" si="119"/>
        <v/>
      </c>
      <c r="G425" s="38" t="str">
        <f t="shared" si="129"/>
        <v/>
      </c>
      <c r="H425" s="38" t="str">
        <f t="shared" si="130"/>
        <v/>
      </c>
      <c r="L425" t="str">
        <f t="shared" si="120"/>
        <v/>
      </c>
      <c r="M425" s="38" t="str">
        <f t="shared" si="121"/>
        <v/>
      </c>
      <c r="N425" s="38" t="str">
        <f t="shared" si="122"/>
        <v/>
      </c>
      <c r="O425" s="38" t="str">
        <f t="shared" si="123"/>
        <v/>
      </c>
      <c r="P425" s="38" t="str">
        <f t="shared" si="124"/>
        <v/>
      </c>
      <c r="Q425" s="38" t="str">
        <f t="shared" si="125"/>
        <v/>
      </c>
      <c r="R425" s="38" t="str">
        <f t="shared" si="126"/>
        <v/>
      </c>
      <c r="S425" s="38" t="str">
        <f t="shared" si="127"/>
        <v/>
      </c>
      <c r="T425" s="38" t="str">
        <f t="shared" si="128"/>
        <v/>
      </c>
      <c r="AF425" t="str">
        <f t="shared" si="113"/>
        <v/>
      </c>
      <c r="AG425" s="38" t="str">
        <f t="shared" si="112"/>
        <v/>
      </c>
    </row>
    <row r="426" spans="1:33" x14ac:dyDescent="0.2">
      <c r="A426" t="str">
        <f t="shared" si="114"/>
        <v/>
      </c>
      <c r="B426" s="38" t="str">
        <f t="shared" si="115"/>
        <v/>
      </c>
      <c r="C426" s="38" t="str">
        <f t="shared" si="116"/>
        <v/>
      </c>
      <c r="D426" s="38" t="str">
        <f t="shared" si="117"/>
        <v/>
      </c>
      <c r="E426" s="38" t="str">
        <f t="shared" si="118"/>
        <v/>
      </c>
      <c r="F426" s="38" t="str">
        <f t="shared" si="119"/>
        <v/>
      </c>
      <c r="G426" s="38" t="str">
        <f t="shared" si="129"/>
        <v/>
      </c>
      <c r="H426" s="38" t="str">
        <f t="shared" si="130"/>
        <v/>
      </c>
      <c r="L426" t="str">
        <f t="shared" si="120"/>
        <v/>
      </c>
      <c r="M426" s="38" t="str">
        <f t="shared" si="121"/>
        <v/>
      </c>
      <c r="N426" s="38" t="str">
        <f t="shared" si="122"/>
        <v/>
      </c>
      <c r="O426" s="38" t="str">
        <f t="shared" si="123"/>
        <v/>
      </c>
      <c r="P426" s="38" t="str">
        <f t="shared" si="124"/>
        <v/>
      </c>
      <c r="Q426" s="38" t="str">
        <f t="shared" si="125"/>
        <v/>
      </c>
      <c r="R426" s="38" t="str">
        <f t="shared" si="126"/>
        <v/>
      </c>
      <c r="S426" s="38" t="str">
        <f t="shared" si="127"/>
        <v/>
      </c>
      <c r="T426" s="38" t="str">
        <f t="shared" si="128"/>
        <v/>
      </c>
      <c r="AF426" t="str">
        <f t="shared" si="113"/>
        <v/>
      </c>
      <c r="AG426" s="38" t="str">
        <f t="shared" si="112"/>
        <v/>
      </c>
    </row>
    <row r="427" spans="1:33" x14ac:dyDescent="0.2">
      <c r="A427" t="str">
        <f t="shared" si="114"/>
        <v/>
      </c>
      <c r="B427" s="38" t="str">
        <f t="shared" si="115"/>
        <v/>
      </c>
      <c r="C427" s="38" t="str">
        <f t="shared" si="116"/>
        <v/>
      </c>
      <c r="D427" s="38" t="str">
        <f t="shared" si="117"/>
        <v/>
      </c>
      <c r="E427" s="38" t="str">
        <f t="shared" si="118"/>
        <v/>
      </c>
      <c r="F427" s="38" t="str">
        <f t="shared" si="119"/>
        <v/>
      </c>
      <c r="G427" s="38" t="str">
        <f t="shared" si="129"/>
        <v/>
      </c>
      <c r="H427" s="38" t="str">
        <f t="shared" si="130"/>
        <v/>
      </c>
      <c r="L427" t="str">
        <f t="shared" si="120"/>
        <v/>
      </c>
      <c r="M427" s="38" t="str">
        <f t="shared" si="121"/>
        <v/>
      </c>
      <c r="N427" s="38" t="str">
        <f t="shared" si="122"/>
        <v/>
      </c>
      <c r="O427" s="38" t="str">
        <f t="shared" si="123"/>
        <v/>
      </c>
      <c r="P427" s="38" t="str">
        <f t="shared" si="124"/>
        <v/>
      </c>
      <c r="Q427" s="38" t="str">
        <f t="shared" si="125"/>
        <v/>
      </c>
      <c r="R427" s="38" t="str">
        <f t="shared" si="126"/>
        <v/>
      </c>
      <c r="S427" s="38" t="str">
        <f t="shared" si="127"/>
        <v/>
      </c>
      <c r="T427" s="38" t="str">
        <f t="shared" si="128"/>
        <v/>
      </c>
      <c r="AF427" t="str">
        <f t="shared" si="113"/>
        <v/>
      </c>
      <c r="AG427" s="38" t="str">
        <f t="shared" si="112"/>
        <v/>
      </c>
    </row>
    <row r="428" spans="1:33" x14ac:dyDescent="0.2">
      <c r="A428" t="str">
        <f t="shared" si="114"/>
        <v/>
      </c>
      <c r="B428" s="38" t="str">
        <f t="shared" si="115"/>
        <v/>
      </c>
      <c r="C428" s="38" t="str">
        <f t="shared" si="116"/>
        <v/>
      </c>
      <c r="D428" s="38" t="str">
        <f t="shared" si="117"/>
        <v/>
      </c>
      <c r="E428" s="38" t="str">
        <f t="shared" si="118"/>
        <v/>
      </c>
      <c r="F428" s="38" t="str">
        <f t="shared" si="119"/>
        <v/>
      </c>
      <c r="G428" s="38" t="str">
        <f t="shared" si="129"/>
        <v/>
      </c>
      <c r="H428" s="38" t="str">
        <f t="shared" si="130"/>
        <v/>
      </c>
      <c r="L428" t="str">
        <f t="shared" si="120"/>
        <v/>
      </c>
      <c r="M428" s="38" t="str">
        <f t="shared" si="121"/>
        <v/>
      </c>
      <c r="N428" s="38" t="str">
        <f t="shared" si="122"/>
        <v/>
      </c>
      <c r="O428" s="38" t="str">
        <f t="shared" si="123"/>
        <v/>
      </c>
      <c r="P428" s="38" t="str">
        <f t="shared" si="124"/>
        <v/>
      </c>
      <c r="Q428" s="38" t="str">
        <f t="shared" si="125"/>
        <v/>
      </c>
      <c r="R428" s="38" t="str">
        <f t="shared" si="126"/>
        <v/>
      </c>
      <c r="S428" s="38" t="str">
        <f t="shared" si="127"/>
        <v/>
      </c>
      <c r="T428" s="38" t="str">
        <f t="shared" si="128"/>
        <v/>
      </c>
      <c r="AF428" t="str">
        <f t="shared" si="113"/>
        <v/>
      </c>
      <c r="AG428" s="38" t="str">
        <f t="shared" si="112"/>
        <v/>
      </c>
    </row>
    <row r="429" spans="1:33" x14ac:dyDescent="0.2">
      <c r="A429" t="str">
        <f t="shared" si="114"/>
        <v/>
      </c>
      <c r="B429" s="38" t="str">
        <f t="shared" si="115"/>
        <v/>
      </c>
      <c r="C429" s="38" t="str">
        <f t="shared" si="116"/>
        <v/>
      </c>
      <c r="D429" s="38" t="str">
        <f t="shared" si="117"/>
        <v/>
      </c>
      <c r="E429" s="38" t="str">
        <f t="shared" si="118"/>
        <v/>
      </c>
      <c r="F429" s="38" t="str">
        <f t="shared" si="119"/>
        <v/>
      </c>
      <c r="G429" s="38" t="str">
        <f t="shared" si="129"/>
        <v/>
      </c>
      <c r="H429" s="38" t="str">
        <f t="shared" si="130"/>
        <v/>
      </c>
      <c r="L429" t="str">
        <f t="shared" si="120"/>
        <v/>
      </c>
      <c r="M429" s="38" t="str">
        <f t="shared" si="121"/>
        <v/>
      </c>
      <c r="N429" s="38" t="str">
        <f t="shared" si="122"/>
        <v/>
      </c>
      <c r="O429" s="38" t="str">
        <f t="shared" si="123"/>
        <v/>
      </c>
      <c r="P429" s="38" t="str">
        <f t="shared" si="124"/>
        <v/>
      </c>
      <c r="Q429" s="38" t="str">
        <f t="shared" si="125"/>
        <v/>
      </c>
      <c r="R429" s="38" t="str">
        <f t="shared" si="126"/>
        <v/>
      </c>
      <c r="S429" s="38" t="str">
        <f t="shared" si="127"/>
        <v/>
      </c>
      <c r="T429" s="38" t="str">
        <f t="shared" si="128"/>
        <v/>
      </c>
      <c r="AF429" t="str">
        <f t="shared" si="113"/>
        <v/>
      </c>
      <c r="AG429" s="38" t="str">
        <f t="shared" si="112"/>
        <v/>
      </c>
    </row>
    <row r="430" spans="1:33" x14ac:dyDescent="0.2">
      <c r="A430" t="str">
        <f t="shared" si="114"/>
        <v/>
      </c>
      <c r="B430" s="38" t="str">
        <f t="shared" si="115"/>
        <v/>
      </c>
      <c r="C430" s="38" t="str">
        <f t="shared" si="116"/>
        <v/>
      </c>
      <c r="D430" s="38" t="str">
        <f t="shared" si="117"/>
        <v/>
      </c>
      <c r="E430" s="38" t="str">
        <f t="shared" si="118"/>
        <v/>
      </c>
      <c r="F430" s="38" t="str">
        <f t="shared" si="119"/>
        <v/>
      </c>
      <c r="G430" s="38" t="str">
        <f t="shared" si="129"/>
        <v/>
      </c>
      <c r="H430" s="38" t="str">
        <f t="shared" si="130"/>
        <v/>
      </c>
      <c r="L430" t="str">
        <f t="shared" si="120"/>
        <v/>
      </c>
      <c r="M430" s="38" t="str">
        <f t="shared" si="121"/>
        <v/>
      </c>
      <c r="N430" s="38" t="str">
        <f t="shared" si="122"/>
        <v/>
      </c>
      <c r="O430" s="38" t="str">
        <f t="shared" si="123"/>
        <v/>
      </c>
      <c r="P430" s="38" t="str">
        <f t="shared" si="124"/>
        <v/>
      </c>
      <c r="Q430" s="38" t="str">
        <f t="shared" si="125"/>
        <v/>
      </c>
      <c r="R430" s="38" t="str">
        <f t="shared" si="126"/>
        <v/>
      </c>
      <c r="S430" s="38" t="str">
        <f t="shared" si="127"/>
        <v/>
      </c>
      <c r="T430" s="38" t="str">
        <f t="shared" si="128"/>
        <v/>
      </c>
      <c r="AF430" t="str">
        <f t="shared" si="113"/>
        <v/>
      </c>
      <c r="AG430" s="38" t="str">
        <f t="shared" si="112"/>
        <v/>
      </c>
    </row>
    <row r="431" spans="1:33" x14ac:dyDescent="0.2">
      <c r="A431" t="str">
        <f t="shared" si="114"/>
        <v/>
      </c>
      <c r="B431" s="38" t="str">
        <f t="shared" si="115"/>
        <v/>
      </c>
      <c r="C431" s="38" t="str">
        <f t="shared" si="116"/>
        <v/>
      </c>
      <c r="D431" s="38" t="str">
        <f t="shared" si="117"/>
        <v/>
      </c>
      <c r="E431" s="38" t="str">
        <f t="shared" si="118"/>
        <v/>
      </c>
      <c r="F431" s="38" t="str">
        <f t="shared" si="119"/>
        <v/>
      </c>
      <c r="G431" s="38" t="str">
        <f t="shared" si="129"/>
        <v/>
      </c>
      <c r="H431" s="38" t="str">
        <f t="shared" si="130"/>
        <v/>
      </c>
      <c r="L431" t="str">
        <f t="shared" si="120"/>
        <v/>
      </c>
      <c r="M431" s="38" t="str">
        <f t="shared" si="121"/>
        <v/>
      </c>
      <c r="N431" s="38" t="str">
        <f t="shared" si="122"/>
        <v/>
      </c>
      <c r="O431" s="38" t="str">
        <f t="shared" si="123"/>
        <v/>
      </c>
      <c r="P431" s="38" t="str">
        <f t="shared" si="124"/>
        <v/>
      </c>
      <c r="Q431" s="38" t="str">
        <f t="shared" si="125"/>
        <v/>
      </c>
      <c r="R431" s="38" t="str">
        <f t="shared" si="126"/>
        <v/>
      </c>
      <c r="S431" s="38" t="str">
        <f t="shared" si="127"/>
        <v/>
      </c>
      <c r="T431" s="38" t="str">
        <f t="shared" si="128"/>
        <v/>
      </c>
      <c r="AF431" t="str">
        <f t="shared" si="113"/>
        <v/>
      </c>
      <c r="AG431" s="38" t="str">
        <f t="shared" si="112"/>
        <v/>
      </c>
    </row>
    <row r="432" spans="1:33" x14ac:dyDescent="0.2">
      <c r="A432" t="str">
        <f t="shared" si="114"/>
        <v/>
      </c>
      <c r="B432" s="38" t="str">
        <f t="shared" si="115"/>
        <v/>
      </c>
      <c r="C432" s="38" t="str">
        <f t="shared" si="116"/>
        <v/>
      </c>
      <c r="D432" s="38" t="str">
        <f t="shared" si="117"/>
        <v/>
      </c>
      <c r="E432" s="38" t="str">
        <f t="shared" si="118"/>
        <v/>
      </c>
      <c r="F432" s="38" t="str">
        <f t="shared" si="119"/>
        <v/>
      </c>
      <c r="G432" s="38" t="str">
        <f t="shared" si="129"/>
        <v/>
      </c>
      <c r="H432" s="38" t="str">
        <f t="shared" si="130"/>
        <v/>
      </c>
      <c r="L432" t="str">
        <f t="shared" si="120"/>
        <v/>
      </c>
      <c r="M432" s="38" t="str">
        <f t="shared" si="121"/>
        <v/>
      </c>
      <c r="N432" s="38" t="str">
        <f t="shared" si="122"/>
        <v/>
      </c>
      <c r="O432" s="38" t="str">
        <f t="shared" si="123"/>
        <v/>
      </c>
      <c r="P432" s="38" t="str">
        <f t="shared" si="124"/>
        <v/>
      </c>
      <c r="Q432" s="38" t="str">
        <f t="shared" si="125"/>
        <v/>
      </c>
      <c r="R432" s="38" t="str">
        <f t="shared" si="126"/>
        <v/>
      </c>
      <c r="S432" s="38" t="str">
        <f t="shared" si="127"/>
        <v/>
      </c>
      <c r="T432" s="38" t="str">
        <f t="shared" si="128"/>
        <v/>
      </c>
      <c r="AF432" t="str">
        <f t="shared" si="113"/>
        <v/>
      </c>
      <c r="AG432" s="38" t="str">
        <f t="shared" si="112"/>
        <v/>
      </c>
    </row>
    <row r="433" spans="1:33" x14ac:dyDescent="0.2">
      <c r="A433" t="str">
        <f t="shared" si="114"/>
        <v/>
      </c>
      <c r="B433" s="38" t="str">
        <f t="shared" si="115"/>
        <v/>
      </c>
      <c r="C433" s="38" t="str">
        <f t="shared" si="116"/>
        <v/>
      </c>
      <c r="D433" s="38" t="str">
        <f t="shared" si="117"/>
        <v/>
      </c>
      <c r="E433" s="38" t="str">
        <f t="shared" si="118"/>
        <v/>
      </c>
      <c r="F433" s="38" t="str">
        <f t="shared" si="119"/>
        <v/>
      </c>
      <c r="G433" s="38" t="str">
        <f t="shared" si="129"/>
        <v/>
      </c>
      <c r="H433" s="38" t="str">
        <f t="shared" si="130"/>
        <v/>
      </c>
      <c r="L433" t="str">
        <f t="shared" si="120"/>
        <v/>
      </c>
      <c r="M433" s="38" t="str">
        <f t="shared" si="121"/>
        <v/>
      </c>
      <c r="N433" s="38" t="str">
        <f t="shared" si="122"/>
        <v/>
      </c>
      <c r="O433" s="38" t="str">
        <f t="shared" si="123"/>
        <v/>
      </c>
      <c r="P433" s="38" t="str">
        <f t="shared" si="124"/>
        <v/>
      </c>
      <c r="Q433" s="38" t="str">
        <f t="shared" si="125"/>
        <v/>
      </c>
      <c r="R433" s="38" t="str">
        <f t="shared" si="126"/>
        <v/>
      </c>
      <c r="S433" s="38" t="str">
        <f t="shared" si="127"/>
        <v/>
      </c>
      <c r="T433" s="38" t="str">
        <f t="shared" si="128"/>
        <v/>
      </c>
      <c r="AF433" t="str">
        <f t="shared" si="113"/>
        <v/>
      </c>
      <c r="AG433" s="38" t="str">
        <f t="shared" si="112"/>
        <v/>
      </c>
    </row>
    <row r="434" spans="1:33" x14ac:dyDescent="0.2">
      <c r="A434" t="str">
        <f t="shared" si="114"/>
        <v/>
      </c>
      <c r="B434" s="38" t="str">
        <f t="shared" si="115"/>
        <v/>
      </c>
      <c r="C434" s="38" t="str">
        <f t="shared" si="116"/>
        <v/>
      </c>
      <c r="D434" s="38" t="str">
        <f t="shared" si="117"/>
        <v/>
      </c>
      <c r="E434" s="38" t="str">
        <f t="shared" si="118"/>
        <v/>
      </c>
      <c r="F434" s="38" t="str">
        <f t="shared" si="119"/>
        <v/>
      </c>
      <c r="G434" s="38" t="str">
        <f t="shared" si="129"/>
        <v/>
      </c>
      <c r="H434" s="38" t="str">
        <f t="shared" si="130"/>
        <v/>
      </c>
      <c r="L434" t="str">
        <f t="shared" si="120"/>
        <v/>
      </c>
      <c r="M434" s="38" t="str">
        <f t="shared" si="121"/>
        <v/>
      </c>
      <c r="N434" s="38" t="str">
        <f t="shared" si="122"/>
        <v/>
      </c>
      <c r="O434" s="38" t="str">
        <f t="shared" si="123"/>
        <v/>
      </c>
      <c r="P434" s="38" t="str">
        <f t="shared" si="124"/>
        <v/>
      </c>
      <c r="Q434" s="38" t="str">
        <f t="shared" si="125"/>
        <v/>
      </c>
      <c r="R434" s="38" t="str">
        <f t="shared" si="126"/>
        <v/>
      </c>
      <c r="S434" s="38" t="str">
        <f t="shared" si="127"/>
        <v/>
      </c>
      <c r="T434" s="38" t="str">
        <f t="shared" si="128"/>
        <v/>
      </c>
      <c r="AF434" t="str">
        <f t="shared" si="113"/>
        <v/>
      </c>
      <c r="AG434" s="38" t="str">
        <f t="shared" si="112"/>
        <v/>
      </c>
    </row>
    <row r="435" spans="1:33" x14ac:dyDescent="0.2">
      <c r="A435" t="str">
        <f t="shared" si="114"/>
        <v/>
      </c>
      <c r="B435" s="38" t="str">
        <f t="shared" si="115"/>
        <v/>
      </c>
      <c r="C435" s="38" t="str">
        <f t="shared" si="116"/>
        <v/>
      </c>
      <c r="D435" s="38" t="str">
        <f t="shared" si="117"/>
        <v/>
      </c>
      <c r="E435" s="38" t="str">
        <f t="shared" si="118"/>
        <v/>
      </c>
      <c r="F435" s="38" t="str">
        <f t="shared" si="119"/>
        <v/>
      </c>
      <c r="G435" s="38" t="str">
        <f t="shared" si="129"/>
        <v/>
      </c>
      <c r="H435" s="38" t="str">
        <f t="shared" si="130"/>
        <v/>
      </c>
      <c r="L435" t="str">
        <f t="shared" si="120"/>
        <v/>
      </c>
      <c r="M435" s="38" t="str">
        <f t="shared" si="121"/>
        <v/>
      </c>
      <c r="N435" s="38" t="str">
        <f t="shared" si="122"/>
        <v/>
      </c>
      <c r="O435" s="38" t="str">
        <f t="shared" si="123"/>
        <v/>
      </c>
      <c r="P435" s="38" t="str">
        <f t="shared" si="124"/>
        <v/>
      </c>
      <c r="Q435" s="38" t="str">
        <f t="shared" si="125"/>
        <v/>
      </c>
      <c r="R435" s="38" t="str">
        <f t="shared" si="126"/>
        <v/>
      </c>
      <c r="S435" s="38" t="str">
        <f t="shared" si="127"/>
        <v/>
      </c>
      <c r="T435" s="38" t="str">
        <f t="shared" si="128"/>
        <v/>
      </c>
      <c r="AF435" t="str">
        <f t="shared" si="113"/>
        <v/>
      </c>
      <c r="AG435" s="38" t="str">
        <f t="shared" si="112"/>
        <v/>
      </c>
    </row>
    <row r="436" spans="1:33" x14ac:dyDescent="0.2">
      <c r="A436" t="str">
        <f t="shared" si="114"/>
        <v/>
      </c>
      <c r="B436" s="38" t="str">
        <f t="shared" si="115"/>
        <v/>
      </c>
      <c r="C436" s="38" t="str">
        <f t="shared" si="116"/>
        <v/>
      </c>
      <c r="D436" s="38" t="str">
        <f t="shared" si="117"/>
        <v/>
      </c>
      <c r="E436" s="38" t="str">
        <f t="shared" si="118"/>
        <v/>
      </c>
      <c r="F436" s="38" t="str">
        <f t="shared" si="119"/>
        <v/>
      </c>
      <c r="G436" s="38" t="str">
        <f t="shared" si="129"/>
        <v/>
      </c>
      <c r="H436" s="38" t="str">
        <f t="shared" si="130"/>
        <v/>
      </c>
      <c r="L436" t="str">
        <f t="shared" si="120"/>
        <v/>
      </c>
      <c r="M436" s="38" t="str">
        <f t="shared" si="121"/>
        <v/>
      </c>
      <c r="N436" s="38" t="str">
        <f t="shared" si="122"/>
        <v/>
      </c>
      <c r="O436" s="38" t="str">
        <f t="shared" si="123"/>
        <v/>
      </c>
      <c r="P436" s="38" t="str">
        <f t="shared" si="124"/>
        <v/>
      </c>
      <c r="Q436" s="38" t="str">
        <f t="shared" si="125"/>
        <v/>
      </c>
      <c r="R436" s="38" t="str">
        <f t="shared" si="126"/>
        <v/>
      </c>
      <c r="S436" s="38" t="str">
        <f t="shared" si="127"/>
        <v/>
      </c>
      <c r="T436" s="38" t="str">
        <f t="shared" si="128"/>
        <v/>
      </c>
      <c r="AF436" t="str">
        <f t="shared" si="113"/>
        <v/>
      </c>
      <c r="AG436" s="38" t="str">
        <f t="shared" si="112"/>
        <v/>
      </c>
    </row>
    <row r="437" spans="1:33" x14ac:dyDescent="0.2">
      <c r="A437" t="str">
        <f t="shared" si="114"/>
        <v/>
      </c>
      <c r="B437" s="38" t="str">
        <f t="shared" si="115"/>
        <v/>
      </c>
      <c r="C437" s="38" t="str">
        <f t="shared" si="116"/>
        <v/>
      </c>
      <c r="D437" s="38" t="str">
        <f t="shared" si="117"/>
        <v/>
      </c>
      <c r="E437" s="38" t="str">
        <f t="shared" si="118"/>
        <v/>
      </c>
      <c r="F437" s="38" t="str">
        <f t="shared" si="119"/>
        <v/>
      </c>
      <c r="G437" s="38" t="str">
        <f t="shared" si="129"/>
        <v/>
      </c>
      <c r="H437" s="38" t="str">
        <f t="shared" si="130"/>
        <v/>
      </c>
      <c r="L437" t="str">
        <f t="shared" si="120"/>
        <v/>
      </c>
      <c r="M437" s="38" t="str">
        <f t="shared" si="121"/>
        <v/>
      </c>
      <c r="N437" s="38" t="str">
        <f t="shared" si="122"/>
        <v/>
      </c>
      <c r="O437" s="38" t="str">
        <f t="shared" si="123"/>
        <v/>
      </c>
      <c r="P437" s="38" t="str">
        <f t="shared" si="124"/>
        <v/>
      </c>
      <c r="Q437" s="38" t="str">
        <f t="shared" si="125"/>
        <v/>
      </c>
      <c r="R437" s="38" t="str">
        <f t="shared" si="126"/>
        <v/>
      </c>
      <c r="S437" s="38" t="str">
        <f t="shared" si="127"/>
        <v/>
      </c>
      <c r="T437" s="38" t="str">
        <f t="shared" si="128"/>
        <v/>
      </c>
      <c r="AF437" t="str">
        <f t="shared" si="113"/>
        <v/>
      </c>
      <c r="AG437" s="38" t="str">
        <f t="shared" si="112"/>
        <v/>
      </c>
    </row>
    <row r="438" spans="1:33" x14ac:dyDescent="0.2">
      <c r="A438" t="str">
        <f t="shared" si="114"/>
        <v/>
      </c>
      <c r="B438" s="38" t="str">
        <f t="shared" si="115"/>
        <v/>
      </c>
      <c r="C438" s="38" t="str">
        <f t="shared" si="116"/>
        <v/>
      </c>
      <c r="D438" s="38" t="str">
        <f t="shared" si="117"/>
        <v/>
      </c>
      <c r="E438" s="38" t="str">
        <f t="shared" si="118"/>
        <v/>
      </c>
      <c r="F438" s="38" t="str">
        <f t="shared" si="119"/>
        <v/>
      </c>
      <c r="G438" s="38" t="str">
        <f t="shared" si="129"/>
        <v/>
      </c>
      <c r="H438" s="38" t="str">
        <f t="shared" si="130"/>
        <v/>
      </c>
      <c r="L438" t="str">
        <f t="shared" si="120"/>
        <v/>
      </c>
      <c r="M438" s="38" t="str">
        <f t="shared" si="121"/>
        <v/>
      </c>
      <c r="N438" s="38" t="str">
        <f t="shared" si="122"/>
        <v/>
      </c>
      <c r="O438" s="38" t="str">
        <f t="shared" si="123"/>
        <v/>
      </c>
      <c r="P438" s="38" t="str">
        <f t="shared" si="124"/>
        <v/>
      </c>
      <c r="Q438" s="38" t="str">
        <f t="shared" si="125"/>
        <v/>
      </c>
      <c r="R438" s="38" t="str">
        <f t="shared" si="126"/>
        <v/>
      </c>
      <c r="S438" s="38" t="str">
        <f t="shared" si="127"/>
        <v/>
      </c>
      <c r="T438" s="38" t="str">
        <f t="shared" si="128"/>
        <v/>
      </c>
      <c r="AF438" t="str">
        <f t="shared" si="113"/>
        <v/>
      </c>
      <c r="AG438" s="38" t="str">
        <f t="shared" si="112"/>
        <v/>
      </c>
    </row>
    <row r="439" spans="1:33" x14ac:dyDescent="0.2">
      <c r="A439" t="str">
        <f t="shared" si="114"/>
        <v/>
      </c>
      <c r="B439" s="38" t="str">
        <f t="shared" si="115"/>
        <v/>
      </c>
      <c r="C439" s="38" t="str">
        <f t="shared" si="116"/>
        <v/>
      </c>
      <c r="D439" s="38" t="str">
        <f t="shared" si="117"/>
        <v/>
      </c>
      <c r="E439" s="38" t="str">
        <f t="shared" si="118"/>
        <v/>
      </c>
      <c r="F439" s="38" t="str">
        <f t="shared" si="119"/>
        <v/>
      </c>
      <c r="G439" s="38" t="str">
        <f t="shared" si="129"/>
        <v/>
      </c>
      <c r="H439" s="38" t="str">
        <f t="shared" si="130"/>
        <v/>
      </c>
      <c r="L439" t="str">
        <f t="shared" si="120"/>
        <v/>
      </c>
      <c r="M439" s="38" t="str">
        <f t="shared" si="121"/>
        <v/>
      </c>
      <c r="N439" s="38" t="str">
        <f t="shared" si="122"/>
        <v/>
      </c>
      <c r="O439" s="38" t="str">
        <f t="shared" si="123"/>
        <v/>
      </c>
      <c r="P439" s="38" t="str">
        <f t="shared" si="124"/>
        <v/>
      </c>
      <c r="Q439" s="38" t="str">
        <f t="shared" si="125"/>
        <v/>
      </c>
      <c r="R439" s="38" t="str">
        <f t="shared" si="126"/>
        <v/>
      </c>
      <c r="S439" s="38" t="str">
        <f t="shared" si="127"/>
        <v/>
      </c>
      <c r="T439" s="38" t="str">
        <f t="shared" si="128"/>
        <v/>
      </c>
      <c r="AF439" t="str">
        <f t="shared" si="113"/>
        <v/>
      </c>
      <c r="AG439" s="38" t="str">
        <f t="shared" si="112"/>
        <v/>
      </c>
    </row>
    <row r="440" spans="1:33" x14ac:dyDescent="0.2">
      <c r="A440" t="str">
        <f t="shared" si="114"/>
        <v/>
      </c>
      <c r="B440" s="38" t="str">
        <f t="shared" si="115"/>
        <v/>
      </c>
      <c r="C440" s="38" t="str">
        <f t="shared" si="116"/>
        <v/>
      </c>
      <c r="D440" s="38" t="str">
        <f t="shared" si="117"/>
        <v/>
      </c>
      <c r="E440" s="38" t="str">
        <f t="shared" si="118"/>
        <v/>
      </c>
      <c r="F440" s="38" t="str">
        <f t="shared" si="119"/>
        <v/>
      </c>
      <c r="G440" s="38" t="str">
        <f t="shared" si="129"/>
        <v/>
      </c>
      <c r="H440" s="38" t="str">
        <f t="shared" si="130"/>
        <v/>
      </c>
      <c r="L440" t="str">
        <f t="shared" si="120"/>
        <v/>
      </c>
      <c r="M440" s="38" t="str">
        <f t="shared" si="121"/>
        <v/>
      </c>
      <c r="N440" s="38" t="str">
        <f t="shared" si="122"/>
        <v/>
      </c>
      <c r="O440" s="38" t="str">
        <f t="shared" si="123"/>
        <v/>
      </c>
      <c r="P440" s="38" t="str">
        <f t="shared" si="124"/>
        <v/>
      </c>
      <c r="Q440" s="38" t="str">
        <f t="shared" si="125"/>
        <v/>
      </c>
      <c r="R440" s="38" t="str">
        <f t="shared" si="126"/>
        <v/>
      </c>
      <c r="S440" s="38" t="str">
        <f t="shared" si="127"/>
        <v/>
      </c>
      <c r="T440" s="38" t="str">
        <f t="shared" si="128"/>
        <v/>
      </c>
      <c r="AF440" t="str">
        <f t="shared" si="113"/>
        <v/>
      </c>
      <c r="AG440" s="38" t="str">
        <f t="shared" si="112"/>
        <v/>
      </c>
    </row>
    <row r="441" spans="1:33" x14ac:dyDescent="0.2">
      <c r="A441" t="str">
        <f t="shared" si="114"/>
        <v/>
      </c>
      <c r="B441" s="38" t="str">
        <f t="shared" si="115"/>
        <v/>
      </c>
      <c r="C441" s="38" t="str">
        <f t="shared" si="116"/>
        <v/>
      </c>
      <c r="D441" s="38" t="str">
        <f t="shared" si="117"/>
        <v/>
      </c>
      <c r="E441" s="38" t="str">
        <f t="shared" si="118"/>
        <v/>
      </c>
      <c r="F441" s="38" t="str">
        <f t="shared" si="119"/>
        <v/>
      </c>
      <c r="G441" s="38" t="str">
        <f t="shared" si="129"/>
        <v/>
      </c>
      <c r="H441" s="38" t="str">
        <f t="shared" si="130"/>
        <v/>
      </c>
      <c r="L441" t="str">
        <f t="shared" si="120"/>
        <v/>
      </c>
      <c r="M441" s="38" t="str">
        <f t="shared" si="121"/>
        <v/>
      </c>
      <c r="N441" s="38" t="str">
        <f t="shared" si="122"/>
        <v/>
      </c>
      <c r="O441" s="38" t="str">
        <f t="shared" si="123"/>
        <v/>
      </c>
      <c r="P441" s="38" t="str">
        <f t="shared" si="124"/>
        <v/>
      </c>
      <c r="Q441" s="38" t="str">
        <f t="shared" si="125"/>
        <v/>
      </c>
      <c r="R441" s="38" t="str">
        <f t="shared" si="126"/>
        <v/>
      </c>
      <c r="S441" s="38" t="str">
        <f t="shared" si="127"/>
        <v/>
      </c>
      <c r="T441" s="38" t="str">
        <f t="shared" si="128"/>
        <v/>
      </c>
      <c r="AF441" t="str">
        <f t="shared" si="113"/>
        <v/>
      </c>
      <c r="AG441" s="38" t="str">
        <f t="shared" si="112"/>
        <v/>
      </c>
    </row>
    <row r="442" spans="1:33" x14ac:dyDescent="0.2">
      <c r="A442" t="str">
        <f t="shared" si="114"/>
        <v/>
      </c>
      <c r="B442" s="38" t="str">
        <f t="shared" si="115"/>
        <v/>
      </c>
      <c r="C442" s="38" t="str">
        <f t="shared" si="116"/>
        <v/>
      </c>
      <c r="D442" s="38" t="str">
        <f t="shared" si="117"/>
        <v/>
      </c>
      <c r="E442" s="38" t="str">
        <f t="shared" si="118"/>
        <v/>
      </c>
      <c r="F442" s="38" t="str">
        <f t="shared" si="119"/>
        <v/>
      </c>
      <c r="G442" s="38" t="str">
        <f t="shared" si="129"/>
        <v/>
      </c>
      <c r="H442" s="38" t="str">
        <f t="shared" si="130"/>
        <v/>
      </c>
      <c r="L442" t="str">
        <f t="shared" si="120"/>
        <v/>
      </c>
      <c r="M442" s="38" t="str">
        <f t="shared" si="121"/>
        <v/>
      </c>
      <c r="N442" s="38" t="str">
        <f t="shared" si="122"/>
        <v/>
      </c>
      <c r="O442" s="38" t="str">
        <f t="shared" si="123"/>
        <v/>
      </c>
      <c r="P442" s="38" t="str">
        <f t="shared" si="124"/>
        <v/>
      </c>
      <c r="Q442" s="38" t="str">
        <f t="shared" si="125"/>
        <v/>
      </c>
      <c r="R442" s="38" t="str">
        <f t="shared" si="126"/>
        <v/>
      </c>
      <c r="S442" s="38" t="str">
        <f t="shared" si="127"/>
        <v/>
      </c>
      <c r="T442" s="38" t="str">
        <f t="shared" si="128"/>
        <v/>
      </c>
      <c r="AF442" t="str">
        <f t="shared" si="113"/>
        <v/>
      </c>
      <c r="AG442" s="38" t="str">
        <f t="shared" si="112"/>
        <v/>
      </c>
    </row>
    <row r="443" spans="1:33" x14ac:dyDescent="0.2">
      <c r="A443" t="str">
        <f t="shared" si="114"/>
        <v/>
      </c>
      <c r="B443" s="38" t="str">
        <f t="shared" si="115"/>
        <v/>
      </c>
      <c r="C443" s="38" t="str">
        <f t="shared" si="116"/>
        <v/>
      </c>
      <c r="D443" s="38" t="str">
        <f t="shared" si="117"/>
        <v/>
      </c>
      <c r="E443" s="38" t="str">
        <f t="shared" si="118"/>
        <v/>
      </c>
      <c r="F443" s="38" t="str">
        <f t="shared" si="119"/>
        <v/>
      </c>
      <c r="G443" s="38" t="str">
        <f t="shared" si="129"/>
        <v/>
      </c>
      <c r="H443" s="38" t="str">
        <f t="shared" si="130"/>
        <v/>
      </c>
      <c r="L443" t="str">
        <f t="shared" si="120"/>
        <v/>
      </c>
      <c r="M443" s="38" t="str">
        <f t="shared" si="121"/>
        <v/>
      </c>
      <c r="N443" s="38" t="str">
        <f t="shared" si="122"/>
        <v/>
      </c>
      <c r="O443" s="38" t="str">
        <f t="shared" si="123"/>
        <v/>
      </c>
      <c r="P443" s="38" t="str">
        <f t="shared" si="124"/>
        <v/>
      </c>
      <c r="Q443" s="38" t="str">
        <f t="shared" si="125"/>
        <v/>
      </c>
      <c r="R443" s="38" t="str">
        <f t="shared" si="126"/>
        <v/>
      </c>
      <c r="S443" s="38" t="str">
        <f t="shared" si="127"/>
        <v/>
      </c>
      <c r="T443" s="38" t="str">
        <f t="shared" si="128"/>
        <v/>
      </c>
      <c r="AF443" t="str">
        <f t="shared" si="113"/>
        <v/>
      </c>
      <c r="AG443" s="38" t="str">
        <f t="shared" si="112"/>
        <v/>
      </c>
    </row>
    <row r="444" spans="1:33" x14ac:dyDescent="0.2">
      <c r="A444" t="str">
        <f t="shared" si="114"/>
        <v/>
      </c>
      <c r="B444" s="38" t="str">
        <f t="shared" si="115"/>
        <v/>
      </c>
      <c r="C444" s="38" t="str">
        <f t="shared" si="116"/>
        <v/>
      </c>
      <c r="D444" s="38" t="str">
        <f t="shared" si="117"/>
        <v/>
      </c>
      <c r="E444" s="38" t="str">
        <f t="shared" si="118"/>
        <v/>
      </c>
      <c r="F444" s="38" t="str">
        <f t="shared" si="119"/>
        <v/>
      </c>
      <c r="G444" s="38" t="str">
        <f t="shared" si="129"/>
        <v/>
      </c>
      <c r="H444" s="38" t="str">
        <f t="shared" si="130"/>
        <v/>
      </c>
      <c r="L444" t="str">
        <f t="shared" si="120"/>
        <v/>
      </c>
      <c r="M444" s="38" t="str">
        <f t="shared" si="121"/>
        <v/>
      </c>
      <c r="N444" s="38" t="str">
        <f t="shared" si="122"/>
        <v/>
      </c>
      <c r="O444" s="38" t="str">
        <f t="shared" si="123"/>
        <v/>
      </c>
      <c r="P444" s="38" t="str">
        <f t="shared" si="124"/>
        <v/>
      </c>
      <c r="Q444" s="38" t="str">
        <f t="shared" si="125"/>
        <v/>
      </c>
      <c r="R444" s="38" t="str">
        <f t="shared" si="126"/>
        <v/>
      </c>
      <c r="S444" s="38" t="str">
        <f t="shared" si="127"/>
        <v/>
      </c>
      <c r="T444" s="38" t="str">
        <f t="shared" si="128"/>
        <v/>
      </c>
      <c r="AF444" t="str">
        <f t="shared" si="113"/>
        <v/>
      </c>
      <c r="AG444" s="38" t="str">
        <f t="shared" si="112"/>
        <v/>
      </c>
    </row>
    <row r="445" spans="1:33" x14ac:dyDescent="0.2">
      <c r="A445" t="str">
        <f t="shared" si="114"/>
        <v/>
      </c>
      <c r="B445" s="38" t="str">
        <f t="shared" si="115"/>
        <v/>
      </c>
      <c r="C445" s="38" t="str">
        <f t="shared" si="116"/>
        <v/>
      </c>
      <c r="D445" s="38" t="str">
        <f t="shared" si="117"/>
        <v/>
      </c>
      <c r="E445" s="38" t="str">
        <f t="shared" si="118"/>
        <v/>
      </c>
      <c r="F445" s="38" t="str">
        <f t="shared" si="119"/>
        <v/>
      </c>
      <c r="G445" s="38" t="str">
        <f t="shared" si="129"/>
        <v/>
      </c>
      <c r="H445" s="38" t="str">
        <f t="shared" si="130"/>
        <v/>
      </c>
      <c r="L445" t="str">
        <f t="shared" si="120"/>
        <v/>
      </c>
      <c r="M445" s="38" t="str">
        <f t="shared" si="121"/>
        <v/>
      </c>
      <c r="N445" s="38" t="str">
        <f t="shared" si="122"/>
        <v/>
      </c>
      <c r="O445" s="38" t="str">
        <f t="shared" si="123"/>
        <v/>
      </c>
      <c r="P445" s="38" t="str">
        <f t="shared" si="124"/>
        <v/>
      </c>
      <c r="Q445" s="38" t="str">
        <f t="shared" si="125"/>
        <v/>
      </c>
      <c r="R445" s="38" t="str">
        <f t="shared" si="126"/>
        <v/>
      </c>
      <c r="S445" s="38" t="str">
        <f t="shared" si="127"/>
        <v/>
      </c>
      <c r="T445" s="38" t="str">
        <f t="shared" si="128"/>
        <v/>
      </c>
      <c r="AF445" t="str">
        <f t="shared" si="113"/>
        <v/>
      </c>
      <c r="AG445" s="38" t="str">
        <f t="shared" si="112"/>
        <v/>
      </c>
    </row>
    <row r="446" spans="1:33" x14ac:dyDescent="0.2">
      <c r="A446" t="str">
        <f t="shared" si="114"/>
        <v/>
      </c>
      <c r="B446" s="38" t="str">
        <f t="shared" si="115"/>
        <v/>
      </c>
      <c r="C446" s="38" t="str">
        <f t="shared" si="116"/>
        <v/>
      </c>
      <c r="D446" s="38" t="str">
        <f t="shared" si="117"/>
        <v/>
      </c>
      <c r="E446" s="38" t="str">
        <f t="shared" si="118"/>
        <v/>
      </c>
      <c r="F446" s="38" t="str">
        <f t="shared" si="119"/>
        <v/>
      </c>
      <c r="G446" s="38" t="str">
        <f t="shared" si="129"/>
        <v/>
      </c>
      <c r="H446" s="38" t="str">
        <f t="shared" si="130"/>
        <v/>
      </c>
      <c r="L446" t="str">
        <f t="shared" si="120"/>
        <v/>
      </c>
      <c r="M446" s="38" t="str">
        <f t="shared" si="121"/>
        <v/>
      </c>
      <c r="N446" s="38" t="str">
        <f t="shared" si="122"/>
        <v/>
      </c>
      <c r="O446" s="38" t="str">
        <f t="shared" si="123"/>
        <v/>
      </c>
      <c r="P446" s="38" t="str">
        <f t="shared" si="124"/>
        <v/>
      </c>
      <c r="Q446" s="38" t="str">
        <f t="shared" si="125"/>
        <v/>
      </c>
      <c r="R446" s="38" t="str">
        <f t="shared" si="126"/>
        <v/>
      </c>
      <c r="S446" s="38" t="str">
        <f t="shared" si="127"/>
        <v/>
      </c>
      <c r="T446" s="38" t="str">
        <f t="shared" si="128"/>
        <v/>
      </c>
      <c r="AF446" t="str">
        <f t="shared" si="113"/>
        <v/>
      </c>
      <c r="AG446" s="38" t="str">
        <f t="shared" si="112"/>
        <v/>
      </c>
    </row>
    <row r="447" spans="1:33" x14ac:dyDescent="0.2">
      <c r="A447" t="str">
        <f t="shared" si="114"/>
        <v/>
      </c>
      <c r="B447" s="38" t="str">
        <f t="shared" si="115"/>
        <v/>
      </c>
      <c r="C447" s="38" t="str">
        <f t="shared" si="116"/>
        <v/>
      </c>
      <c r="D447" s="38" t="str">
        <f t="shared" si="117"/>
        <v/>
      </c>
      <c r="E447" s="38" t="str">
        <f t="shared" si="118"/>
        <v/>
      </c>
      <c r="F447" s="38" t="str">
        <f t="shared" si="119"/>
        <v/>
      </c>
      <c r="G447" s="38" t="str">
        <f t="shared" si="129"/>
        <v/>
      </c>
      <c r="H447" s="38" t="str">
        <f t="shared" si="130"/>
        <v/>
      </c>
      <c r="L447" t="str">
        <f t="shared" si="120"/>
        <v/>
      </c>
      <c r="M447" s="38" t="str">
        <f t="shared" si="121"/>
        <v/>
      </c>
      <c r="N447" s="38" t="str">
        <f t="shared" si="122"/>
        <v/>
      </c>
      <c r="O447" s="38" t="str">
        <f t="shared" si="123"/>
        <v/>
      </c>
      <c r="P447" s="38" t="str">
        <f t="shared" si="124"/>
        <v/>
      </c>
      <c r="Q447" s="38" t="str">
        <f t="shared" si="125"/>
        <v/>
      </c>
      <c r="R447" s="38" t="str">
        <f t="shared" si="126"/>
        <v/>
      </c>
      <c r="S447" s="38" t="str">
        <f t="shared" si="127"/>
        <v/>
      </c>
      <c r="T447" s="38" t="str">
        <f t="shared" si="128"/>
        <v/>
      </c>
      <c r="AF447" t="str">
        <f t="shared" si="113"/>
        <v/>
      </c>
      <c r="AG447" s="38" t="str">
        <f t="shared" si="112"/>
        <v/>
      </c>
    </row>
    <row r="448" spans="1:33" x14ac:dyDescent="0.2">
      <c r="A448" t="str">
        <f t="shared" si="114"/>
        <v/>
      </c>
      <c r="B448" s="38" t="str">
        <f t="shared" si="115"/>
        <v/>
      </c>
      <c r="C448" s="38" t="str">
        <f t="shared" si="116"/>
        <v/>
      </c>
      <c r="D448" s="38" t="str">
        <f t="shared" si="117"/>
        <v/>
      </c>
      <c r="E448" s="38" t="str">
        <f t="shared" si="118"/>
        <v/>
      </c>
      <c r="F448" s="38" t="str">
        <f t="shared" si="119"/>
        <v/>
      </c>
      <c r="G448" s="38" t="str">
        <f t="shared" si="129"/>
        <v/>
      </c>
      <c r="H448" s="38" t="str">
        <f t="shared" si="130"/>
        <v/>
      </c>
      <c r="L448" t="str">
        <f t="shared" si="120"/>
        <v/>
      </c>
      <c r="M448" s="38" t="str">
        <f t="shared" si="121"/>
        <v/>
      </c>
      <c r="N448" s="38" t="str">
        <f t="shared" si="122"/>
        <v/>
      </c>
      <c r="O448" s="38" t="str">
        <f t="shared" si="123"/>
        <v/>
      </c>
      <c r="P448" s="38" t="str">
        <f t="shared" si="124"/>
        <v/>
      </c>
      <c r="Q448" s="38" t="str">
        <f t="shared" si="125"/>
        <v/>
      </c>
      <c r="R448" s="38" t="str">
        <f t="shared" si="126"/>
        <v/>
      </c>
      <c r="S448" s="38" t="str">
        <f t="shared" si="127"/>
        <v/>
      </c>
      <c r="T448" s="38" t="str">
        <f t="shared" si="128"/>
        <v/>
      </c>
      <c r="AF448" t="str">
        <f t="shared" si="113"/>
        <v/>
      </c>
      <c r="AG448" s="38" t="str">
        <f t="shared" si="112"/>
        <v/>
      </c>
    </row>
    <row r="449" spans="1:33" x14ac:dyDescent="0.2">
      <c r="A449" t="str">
        <f t="shared" si="114"/>
        <v/>
      </c>
      <c r="B449" s="38" t="str">
        <f t="shared" si="115"/>
        <v/>
      </c>
      <c r="C449" s="38" t="str">
        <f t="shared" si="116"/>
        <v/>
      </c>
      <c r="D449" s="38" t="str">
        <f t="shared" si="117"/>
        <v/>
      </c>
      <c r="E449" s="38" t="str">
        <f t="shared" si="118"/>
        <v/>
      </c>
      <c r="F449" s="38" t="str">
        <f t="shared" si="119"/>
        <v/>
      </c>
      <c r="G449" s="38" t="str">
        <f t="shared" si="129"/>
        <v/>
      </c>
      <c r="H449" s="38" t="str">
        <f t="shared" si="130"/>
        <v/>
      </c>
      <c r="L449" t="str">
        <f t="shared" si="120"/>
        <v/>
      </c>
      <c r="M449" s="38" t="str">
        <f t="shared" si="121"/>
        <v/>
      </c>
      <c r="N449" s="38" t="str">
        <f t="shared" si="122"/>
        <v/>
      </c>
      <c r="O449" s="38" t="str">
        <f t="shared" si="123"/>
        <v/>
      </c>
      <c r="P449" s="38" t="str">
        <f t="shared" si="124"/>
        <v/>
      </c>
      <c r="Q449" s="38" t="str">
        <f t="shared" si="125"/>
        <v/>
      </c>
      <c r="R449" s="38" t="str">
        <f t="shared" si="126"/>
        <v/>
      </c>
      <c r="S449" s="38" t="str">
        <f t="shared" si="127"/>
        <v/>
      </c>
      <c r="T449" s="38" t="str">
        <f t="shared" si="128"/>
        <v/>
      </c>
      <c r="AF449" t="str">
        <f t="shared" si="113"/>
        <v/>
      </c>
      <c r="AG449" s="38" t="str">
        <f t="shared" si="112"/>
        <v/>
      </c>
    </row>
    <row r="450" spans="1:33" x14ac:dyDescent="0.2">
      <c r="A450" t="str">
        <f t="shared" si="114"/>
        <v/>
      </c>
      <c r="B450" s="38" t="str">
        <f t="shared" si="115"/>
        <v/>
      </c>
      <c r="C450" s="38" t="str">
        <f t="shared" si="116"/>
        <v/>
      </c>
      <c r="D450" s="38" t="str">
        <f t="shared" si="117"/>
        <v/>
      </c>
      <c r="E450" s="38" t="str">
        <f t="shared" si="118"/>
        <v/>
      </c>
      <c r="F450" s="38" t="str">
        <f t="shared" si="119"/>
        <v/>
      </c>
      <c r="G450" s="38" t="str">
        <f t="shared" si="129"/>
        <v/>
      </c>
      <c r="H450" s="38" t="str">
        <f t="shared" si="130"/>
        <v/>
      </c>
      <c r="L450" t="str">
        <f t="shared" si="120"/>
        <v/>
      </c>
      <c r="M450" s="38" t="str">
        <f t="shared" si="121"/>
        <v/>
      </c>
      <c r="N450" s="38" t="str">
        <f t="shared" si="122"/>
        <v/>
      </c>
      <c r="O450" s="38" t="str">
        <f t="shared" si="123"/>
        <v/>
      </c>
      <c r="P450" s="38" t="str">
        <f t="shared" si="124"/>
        <v/>
      </c>
      <c r="Q450" s="38" t="str">
        <f t="shared" si="125"/>
        <v/>
      </c>
      <c r="R450" s="38" t="str">
        <f t="shared" si="126"/>
        <v/>
      </c>
      <c r="S450" s="38" t="str">
        <f t="shared" si="127"/>
        <v/>
      </c>
      <c r="T450" s="38" t="str">
        <f t="shared" si="128"/>
        <v/>
      </c>
      <c r="AF450" t="str">
        <f t="shared" si="113"/>
        <v/>
      </c>
      <c r="AG450" s="38" t="str">
        <f t="shared" si="112"/>
        <v/>
      </c>
    </row>
    <row r="451" spans="1:33" x14ac:dyDescent="0.2">
      <c r="A451" t="str">
        <f t="shared" si="114"/>
        <v/>
      </c>
      <c r="B451" s="38" t="str">
        <f t="shared" si="115"/>
        <v/>
      </c>
      <c r="C451" s="38" t="str">
        <f t="shared" si="116"/>
        <v/>
      </c>
      <c r="D451" s="38" t="str">
        <f t="shared" si="117"/>
        <v/>
      </c>
      <c r="E451" s="38" t="str">
        <f t="shared" si="118"/>
        <v/>
      </c>
      <c r="F451" s="38" t="str">
        <f t="shared" si="119"/>
        <v/>
      </c>
      <c r="G451" s="38" t="str">
        <f t="shared" si="129"/>
        <v/>
      </c>
      <c r="H451" s="38" t="str">
        <f t="shared" si="130"/>
        <v/>
      </c>
      <c r="L451" t="str">
        <f t="shared" si="120"/>
        <v/>
      </c>
      <c r="M451" s="38" t="str">
        <f t="shared" si="121"/>
        <v/>
      </c>
      <c r="N451" s="38" t="str">
        <f t="shared" si="122"/>
        <v/>
      </c>
      <c r="O451" s="38" t="str">
        <f t="shared" si="123"/>
        <v/>
      </c>
      <c r="P451" s="38" t="str">
        <f t="shared" si="124"/>
        <v/>
      </c>
      <c r="Q451" s="38" t="str">
        <f t="shared" si="125"/>
        <v/>
      </c>
      <c r="R451" s="38" t="str">
        <f t="shared" si="126"/>
        <v/>
      </c>
      <c r="S451" s="38" t="str">
        <f t="shared" si="127"/>
        <v/>
      </c>
      <c r="T451" s="38" t="str">
        <f t="shared" si="128"/>
        <v/>
      </c>
      <c r="AF451" t="str">
        <f t="shared" si="113"/>
        <v/>
      </c>
      <c r="AG451" s="38" t="str">
        <f t="shared" si="112"/>
        <v/>
      </c>
    </row>
    <row r="452" spans="1:33" x14ac:dyDescent="0.2">
      <c r="A452" t="str">
        <f t="shared" si="114"/>
        <v/>
      </c>
      <c r="B452" s="38" t="str">
        <f t="shared" si="115"/>
        <v/>
      </c>
      <c r="C452" s="38" t="str">
        <f t="shared" si="116"/>
        <v/>
      </c>
      <c r="D452" s="38" t="str">
        <f t="shared" si="117"/>
        <v/>
      </c>
      <c r="E452" s="38" t="str">
        <f t="shared" si="118"/>
        <v/>
      </c>
      <c r="F452" s="38" t="str">
        <f t="shared" si="119"/>
        <v/>
      </c>
      <c r="G452" s="38" t="str">
        <f t="shared" si="129"/>
        <v/>
      </c>
      <c r="H452" s="38" t="str">
        <f t="shared" si="130"/>
        <v/>
      </c>
      <c r="L452" t="str">
        <f t="shared" si="120"/>
        <v/>
      </c>
      <c r="M452" s="38" t="str">
        <f t="shared" si="121"/>
        <v/>
      </c>
      <c r="N452" s="38" t="str">
        <f t="shared" si="122"/>
        <v/>
      </c>
      <c r="O452" s="38" t="str">
        <f t="shared" si="123"/>
        <v/>
      </c>
      <c r="P452" s="38" t="str">
        <f t="shared" si="124"/>
        <v/>
      </c>
      <c r="Q452" s="38" t="str">
        <f t="shared" si="125"/>
        <v/>
      </c>
      <c r="R452" s="38" t="str">
        <f t="shared" si="126"/>
        <v/>
      </c>
      <c r="S452" s="38" t="str">
        <f t="shared" si="127"/>
        <v/>
      </c>
      <c r="T452" s="38" t="str">
        <f t="shared" si="128"/>
        <v/>
      </c>
      <c r="AF452" t="str">
        <f t="shared" si="113"/>
        <v/>
      </c>
      <c r="AG452" s="38" t="str">
        <f t="shared" si="112"/>
        <v/>
      </c>
    </row>
    <row r="453" spans="1:33" x14ac:dyDescent="0.2">
      <c r="A453" t="str">
        <f t="shared" si="114"/>
        <v/>
      </c>
      <c r="B453" s="38" t="str">
        <f t="shared" si="115"/>
        <v/>
      </c>
      <c r="C453" s="38" t="str">
        <f t="shared" si="116"/>
        <v/>
      </c>
      <c r="D453" s="38" t="str">
        <f t="shared" si="117"/>
        <v/>
      </c>
      <c r="E453" s="38" t="str">
        <f t="shared" si="118"/>
        <v/>
      </c>
      <c r="F453" s="38" t="str">
        <f t="shared" si="119"/>
        <v/>
      </c>
      <c r="G453" s="38" t="str">
        <f t="shared" si="129"/>
        <v/>
      </c>
      <c r="H453" s="38" t="str">
        <f t="shared" si="130"/>
        <v/>
      </c>
      <c r="L453" t="str">
        <f t="shared" si="120"/>
        <v/>
      </c>
      <c r="M453" s="38" t="str">
        <f t="shared" si="121"/>
        <v/>
      </c>
      <c r="N453" s="38" t="str">
        <f t="shared" si="122"/>
        <v/>
      </c>
      <c r="O453" s="38" t="str">
        <f t="shared" si="123"/>
        <v/>
      </c>
      <c r="P453" s="38" t="str">
        <f t="shared" si="124"/>
        <v/>
      </c>
      <c r="Q453" s="38" t="str">
        <f t="shared" si="125"/>
        <v/>
      </c>
      <c r="R453" s="38" t="str">
        <f t="shared" si="126"/>
        <v/>
      </c>
      <c r="S453" s="38" t="str">
        <f t="shared" si="127"/>
        <v/>
      </c>
      <c r="T453" s="38" t="str">
        <f t="shared" si="128"/>
        <v/>
      </c>
      <c r="AF453" t="str">
        <f t="shared" si="113"/>
        <v/>
      </c>
      <c r="AG453" s="38" t="str">
        <f t="shared" si="112"/>
        <v/>
      </c>
    </row>
    <row r="454" spans="1:33" x14ac:dyDescent="0.2">
      <c r="A454" t="str">
        <f t="shared" si="114"/>
        <v/>
      </c>
      <c r="B454" s="38" t="str">
        <f t="shared" si="115"/>
        <v/>
      </c>
      <c r="C454" s="38" t="str">
        <f t="shared" si="116"/>
        <v/>
      </c>
      <c r="D454" s="38" t="str">
        <f t="shared" si="117"/>
        <v/>
      </c>
      <c r="E454" s="38" t="str">
        <f t="shared" si="118"/>
        <v/>
      </c>
      <c r="F454" s="38" t="str">
        <f t="shared" si="119"/>
        <v/>
      </c>
      <c r="G454" s="38" t="str">
        <f t="shared" si="129"/>
        <v/>
      </c>
      <c r="H454" s="38" t="str">
        <f t="shared" si="130"/>
        <v/>
      </c>
      <c r="L454" t="str">
        <f t="shared" si="120"/>
        <v/>
      </c>
      <c r="M454" s="38" t="str">
        <f t="shared" si="121"/>
        <v/>
      </c>
      <c r="N454" s="38" t="str">
        <f t="shared" si="122"/>
        <v/>
      </c>
      <c r="O454" s="38" t="str">
        <f t="shared" si="123"/>
        <v/>
      </c>
      <c r="P454" s="38" t="str">
        <f t="shared" si="124"/>
        <v/>
      </c>
      <c r="Q454" s="38" t="str">
        <f t="shared" si="125"/>
        <v/>
      </c>
      <c r="R454" s="38" t="str">
        <f t="shared" si="126"/>
        <v/>
      </c>
      <c r="S454" s="38" t="str">
        <f t="shared" si="127"/>
        <v/>
      </c>
      <c r="T454" s="38" t="str">
        <f t="shared" si="128"/>
        <v/>
      </c>
      <c r="AF454" t="str">
        <f t="shared" si="113"/>
        <v/>
      </c>
      <c r="AG454" s="38" t="str">
        <f t="shared" si="112"/>
        <v/>
      </c>
    </row>
    <row r="455" spans="1:33" x14ac:dyDescent="0.2">
      <c r="A455" t="str">
        <f t="shared" si="114"/>
        <v/>
      </c>
      <c r="B455" s="38" t="str">
        <f t="shared" si="115"/>
        <v/>
      </c>
      <c r="C455" s="38" t="str">
        <f t="shared" si="116"/>
        <v/>
      </c>
      <c r="D455" s="38" t="str">
        <f t="shared" si="117"/>
        <v/>
      </c>
      <c r="E455" s="38" t="str">
        <f t="shared" si="118"/>
        <v/>
      </c>
      <c r="F455" s="38" t="str">
        <f t="shared" si="119"/>
        <v/>
      </c>
      <c r="G455" s="38" t="str">
        <f t="shared" si="129"/>
        <v/>
      </c>
      <c r="H455" s="38" t="str">
        <f t="shared" si="130"/>
        <v/>
      </c>
      <c r="L455" t="str">
        <f t="shared" si="120"/>
        <v/>
      </c>
      <c r="M455" s="38" t="str">
        <f t="shared" si="121"/>
        <v/>
      </c>
      <c r="N455" s="38" t="str">
        <f t="shared" si="122"/>
        <v/>
      </c>
      <c r="O455" s="38" t="str">
        <f t="shared" si="123"/>
        <v/>
      </c>
      <c r="P455" s="38" t="str">
        <f t="shared" si="124"/>
        <v/>
      </c>
      <c r="Q455" s="38" t="str">
        <f t="shared" si="125"/>
        <v/>
      </c>
      <c r="R455" s="38" t="str">
        <f t="shared" si="126"/>
        <v/>
      </c>
      <c r="S455" s="38" t="str">
        <f t="shared" si="127"/>
        <v/>
      </c>
      <c r="T455" s="38" t="str">
        <f t="shared" si="128"/>
        <v/>
      </c>
      <c r="AF455" t="str">
        <f t="shared" si="113"/>
        <v/>
      </c>
      <c r="AG455" s="38" t="str">
        <f t="shared" si="112"/>
        <v/>
      </c>
    </row>
    <row r="456" spans="1:33" x14ac:dyDescent="0.2">
      <c r="A456" t="str">
        <f t="shared" si="114"/>
        <v/>
      </c>
      <c r="B456" s="38" t="str">
        <f t="shared" si="115"/>
        <v/>
      </c>
      <c r="C456" s="38" t="str">
        <f t="shared" si="116"/>
        <v/>
      </c>
      <c r="D456" s="38" t="str">
        <f t="shared" si="117"/>
        <v/>
      </c>
      <c r="E456" s="38" t="str">
        <f t="shared" si="118"/>
        <v/>
      </c>
      <c r="F456" s="38" t="str">
        <f t="shared" si="119"/>
        <v/>
      </c>
      <c r="G456" s="38" t="str">
        <f t="shared" si="129"/>
        <v/>
      </c>
      <c r="H456" s="38" t="str">
        <f t="shared" si="130"/>
        <v/>
      </c>
      <c r="L456" t="str">
        <f t="shared" si="120"/>
        <v/>
      </c>
      <c r="M456" s="38" t="str">
        <f t="shared" si="121"/>
        <v/>
      </c>
      <c r="N456" s="38" t="str">
        <f t="shared" si="122"/>
        <v/>
      </c>
      <c r="O456" s="38" t="str">
        <f t="shared" si="123"/>
        <v/>
      </c>
      <c r="P456" s="38" t="str">
        <f t="shared" si="124"/>
        <v/>
      </c>
      <c r="Q456" s="38" t="str">
        <f t="shared" si="125"/>
        <v/>
      </c>
      <c r="R456" s="38" t="str">
        <f t="shared" si="126"/>
        <v/>
      </c>
      <c r="S456" s="38" t="str">
        <f t="shared" si="127"/>
        <v/>
      </c>
      <c r="T456" s="38" t="str">
        <f t="shared" si="128"/>
        <v/>
      </c>
      <c r="AF456" t="str">
        <f t="shared" si="113"/>
        <v/>
      </c>
      <c r="AG456" s="38" t="str">
        <f t="shared" si="112"/>
        <v/>
      </c>
    </row>
    <row r="457" spans="1:33" x14ac:dyDescent="0.2">
      <c r="A457" t="str">
        <f t="shared" si="114"/>
        <v/>
      </c>
      <c r="B457" s="38" t="str">
        <f t="shared" si="115"/>
        <v/>
      </c>
      <c r="C457" s="38" t="str">
        <f t="shared" si="116"/>
        <v/>
      </c>
      <c r="D457" s="38" t="str">
        <f t="shared" si="117"/>
        <v/>
      </c>
      <c r="E457" s="38" t="str">
        <f t="shared" si="118"/>
        <v/>
      </c>
      <c r="F457" s="38" t="str">
        <f t="shared" si="119"/>
        <v/>
      </c>
      <c r="G457" s="38" t="str">
        <f t="shared" si="129"/>
        <v/>
      </c>
      <c r="H457" s="38" t="str">
        <f t="shared" si="130"/>
        <v/>
      </c>
      <c r="L457" t="str">
        <f t="shared" si="120"/>
        <v/>
      </c>
      <c r="M457" s="38" t="str">
        <f t="shared" si="121"/>
        <v/>
      </c>
      <c r="N457" s="38" t="str">
        <f t="shared" si="122"/>
        <v/>
      </c>
      <c r="O457" s="38" t="str">
        <f t="shared" si="123"/>
        <v/>
      </c>
      <c r="P457" s="38" t="str">
        <f t="shared" si="124"/>
        <v/>
      </c>
      <c r="Q457" s="38" t="str">
        <f t="shared" si="125"/>
        <v/>
      </c>
      <c r="R457" s="38" t="str">
        <f t="shared" si="126"/>
        <v/>
      </c>
      <c r="S457" s="38" t="str">
        <f t="shared" si="127"/>
        <v/>
      </c>
      <c r="T457" s="38" t="str">
        <f t="shared" si="128"/>
        <v/>
      </c>
      <c r="AF457" t="str">
        <f t="shared" si="113"/>
        <v/>
      </c>
      <c r="AG457" s="38" t="str">
        <f t="shared" si="112"/>
        <v/>
      </c>
    </row>
    <row r="458" spans="1:33" x14ac:dyDescent="0.2">
      <c r="A458" t="str">
        <f t="shared" si="114"/>
        <v/>
      </c>
      <c r="B458" s="38" t="str">
        <f t="shared" si="115"/>
        <v/>
      </c>
      <c r="C458" s="38" t="str">
        <f t="shared" si="116"/>
        <v/>
      </c>
      <c r="D458" s="38" t="str">
        <f t="shared" si="117"/>
        <v/>
      </c>
      <c r="E458" s="38" t="str">
        <f t="shared" si="118"/>
        <v/>
      </c>
      <c r="F458" s="38" t="str">
        <f t="shared" si="119"/>
        <v/>
      </c>
      <c r="G458" s="38" t="str">
        <f t="shared" si="129"/>
        <v/>
      </c>
      <c r="H458" s="38" t="str">
        <f t="shared" si="130"/>
        <v/>
      </c>
      <c r="L458" t="str">
        <f t="shared" si="120"/>
        <v/>
      </c>
      <c r="M458" s="38" t="str">
        <f t="shared" si="121"/>
        <v/>
      </c>
      <c r="N458" s="38" t="str">
        <f t="shared" si="122"/>
        <v/>
      </c>
      <c r="O458" s="38" t="str">
        <f t="shared" si="123"/>
        <v/>
      </c>
      <c r="P458" s="38" t="str">
        <f t="shared" si="124"/>
        <v/>
      </c>
      <c r="Q458" s="38" t="str">
        <f t="shared" si="125"/>
        <v/>
      </c>
      <c r="R458" s="38" t="str">
        <f t="shared" si="126"/>
        <v/>
      </c>
      <c r="S458" s="38" t="str">
        <f t="shared" si="127"/>
        <v/>
      </c>
      <c r="T458" s="38" t="str">
        <f t="shared" si="128"/>
        <v/>
      </c>
      <c r="AF458" t="str">
        <f t="shared" si="113"/>
        <v/>
      </c>
      <c r="AG458" s="38" t="str">
        <f t="shared" si="112"/>
        <v/>
      </c>
    </row>
    <row r="459" spans="1:33" x14ac:dyDescent="0.2">
      <c r="A459" t="str">
        <f t="shared" si="114"/>
        <v/>
      </c>
      <c r="B459" s="38" t="str">
        <f t="shared" si="115"/>
        <v/>
      </c>
      <c r="C459" s="38" t="str">
        <f t="shared" si="116"/>
        <v/>
      </c>
      <c r="D459" s="38" t="str">
        <f t="shared" si="117"/>
        <v/>
      </c>
      <c r="E459" s="38" t="str">
        <f t="shared" si="118"/>
        <v/>
      </c>
      <c r="F459" s="38" t="str">
        <f t="shared" si="119"/>
        <v/>
      </c>
      <c r="G459" s="38" t="str">
        <f t="shared" si="129"/>
        <v/>
      </c>
      <c r="H459" s="38" t="str">
        <f t="shared" si="130"/>
        <v/>
      </c>
      <c r="L459" t="str">
        <f t="shared" si="120"/>
        <v/>
      </c>
      <c r="M459" s="38" t="str">
        <f t="shared" si="121"/>
        <v/>
      </c>
      <c r="N459" s="38" t="str">
        <f t="shared" si="122"/>
        <v/>
      </c>
      <c r="O459" s="38" t="str">
        <f t="shared" si="123"/>
        <v/>
      </c>
      <c r="P459" s="38" t="str">
        <f t="shared" si="124"/>
        <v/>
      </c>
      <c r="Q459" s="38" t="str">
        <f t="shared" si="125"/>
        <v/>
      </c>
      <c r="R459" s="38" t="str">
        <f t="shared" si="126"/>
        <v/>
      </c>
      <c r="S459" s="38" t="str">
        <f t="shared" si="127"/>
        <v/>
      </c>
      <c r="T459" s="38" t="str">
        <f t="shared" si="128"/>
        <v/>
      </c>
      <c r="AF459" t="str">
        <f t="shared" si="113"/>
        <v/>
      </c>
      <c r="AG459" s="38" t="str">
        <f t="shared" si="112"/>
        <v/>
      </c>
    </row>
    <row r="460" spans="1:33" x14ac:dyDescent="0.2">
      <c r="A460" t="str">
        <f t="shared" si="114"/>
        <v/>
      </c>
      <c r="B460" s="38" t="str">
        <f t="shared" si="115"/>
        <v/>
      </c>
      <c r="C460" s="38" t="str">
        <f t="shared" si="116"/>
        <v/>
      </c>
      <c r="D460" s="38" t="str">
        <f t="shared" si="117"/>
        <v/>
      </c>
      <c r="E460" s="38" t="str">
        <f t="shared" si="118"/>
        <v/>
      </c>
      <c r="F460" s="38" t="str">
        <f t="shared" si="119"/>
        <v/>
      </c>
      <c r="G460" s="38" t="str">
        <f t="shared" si="129"/>
        <v/>
      </c>
      <c r="H460" s="38" t="str">
        <f t="shared" si="130"/>
        <v/>
      </c>
      <c r="L460" t="str">
        <f t="shared" si="120"/>
        <v/>
      </c>
      <c r="M460" s="38" t="str">
        <f t="shared" si="121"/>
        <v/>
      </c>
      <c r="N460" s="38" t="str">
        <f t="shared" si="122"/>
        <v/>
      </c>
      <c r="O460" s="38" t="str">
        <f t="shared" si="123"/>
        <v/>
      </c>
      <c r="P460" s="38" t="str">
        <f t="shared" si="124"/>
        <v/>
      </c>
      <c r="Q460" s="38" t="str">
        <f t="shared" si="125"/>
        <v/>
      </c>
      <c r="R460" s="38" t="str">
        <f t="shared" si="126"/>
        <v/>
      </c>
      <c r="S460" s="38" t="str">
        <f t="shared" si="127"/>
        <v/>
      </c>
      <c r="T460" s="38" t="str">
        <f t="shared" si="128"/>
        <v/>
      </c>
      <c r="AF460" t="str">
        <f t="shared" si="113"/>
        <v/>
      </c>
      <c r="AG460" s="38" t="str">
        <f t="shared" si="112"/>
        <v/>
      </c>
    </row>
    <row r="461" spans="1:33" x14ac:dyDescent="0.2">
      <c r="A461" t="str">
        <f t="shared" si="114"/>
        <v/>
      </c>
      <c r="B461" s="38" t="str">
        <f t="shared" si="115"/>
        <v/>
      </c>
      <c r="C461" s="38" t="str">
        <f t="shared" si="116"/>
        <v/>
      </c>
      <c r="D461" s="38" t="str">
        <f t="shared" si="117"/>
        <v/>
      </c>
      <c r="E461" s="38" t="str">
        <f t="shared" si="118"/>
        <v/>
      </c>
      <c r="F461" s="38" t="str">
        <f t="shared" si="119"/>
        <v/>
      </c>
      <c r="G461" s="38" t="str">
        <f t="shared" si="129"/>
        <v/>
      </c>
      <c r="H461" s="38" t="str">
        <f t="shared" si="130"/>
        <v/>
      </c>
      <c r="L461" t="str">
        <f t="shared" si="120"/>
        <v/>
      </c>
      <c r="M461" s="38" t="str">
        <f t="shared" si="121"/>
        <v/>
      </c>
      <c r="N461" s="38" t="str">
        <f t="shared" si="122"/>
        <v/>
      </c>
      <c r="O461" s="38" t="str">
        <f t="shared" si="123"/>
        <v/>
      </c>
      <c r="P461" s="38" t="str">
        <f t="shared" si="124"/>
        <v/>
      </c>
      <c r="Q461" s="38" t="str">
        <f t="shared" si="125"/>
        <v/>
      </c>
      <c r="R461" s="38" t="str">
        <f t="shared" si="126"/>
        <v/>
      </c>
      <c r="S461" s="38" t="str">
        <f t="shared" si="127"/>
        <v/>
      </c>
      <c r="T461" s="38" t="str">
        <f t="shared" si="128"/>
        <v/>
      </c>
      <c r="AF461" t="str">
        <f t="shared" si="113"/>
        <v/>
      </c>
      <c r="AG461" s="38" t="str">
        <f t="shared" si="112"/>
        <v/>
      </c>
    </row>
    <row r="462" spans="1:33" x14ac:dyDescent="0.2">
      <c r="A462" t="str">
        <f t="shared" si="114"/>
        <v/>
      </c>
      <c r="B462" s="38" t="str">
        <f t="shared" si="115"/>
        <v/>
      </c>
      <c r="C462" s="38" t="str">
        <f t="shared" si="116"/>
        <v/>
      </c>
      <c r="D462" s="38" t="str">
        <f t="shared" si="117"/>
        <v/>
      </c>
      <c r="E462" s="38" t="str">
        <f t="shared" si="118"/>
        <v/>
      </c>
      <c r="F462" s="38" t="str">
        <f t="shared" si="119"/>
        <v/>
      </c>
      <c r="G462" s="38" t="str">
        <f t="shared" si="129"/>
        <v/>
      </c>
      <c r="H462" s="38" t="str">
        <f t="shared" si="130"/>
        <v/>
      </c>
      <c r="L462" t="str">
        <f t="shared" si="120"/>
        <v/>
      </c>
      <c r="M462" s="38" t="str">
        <f t="shared" si="121"/>
        <v/>
      </c>
      <c r="N462" s="38" t="str">
        <f t="shared" si="122"/>
        <v/>
      </c>
      <c r="O462" s="38" t="str">
        <f t="shared" si="123"/>
        <v/>
      </c>
      <c r="P462" s="38" t="str">
        <f t="shared" si="124"/>
        <v/>
      </c>
      <c r="Q462" s="38" t="str">
        <f t="shared" si="125"/>
        <v/>
      </c>
      <c r="R462" s="38" t="str">
        <f t="shared" si="126"/>
        <v/>
      </c>
      <c r="S462" s="38" t="str">
        <f t="shared" si="127"/>
        <v/>
      </c>
      <c r="T462" s="38" t="str">
        <f t="shared" si="128"/>
        <v/>
      </c>
      <c r="AF462" t="str">
        <f t="shared" si="113"/>
        <v/>
      </c>
      <c r="AG462" s="38" t="str">
        <f t="shared" si="112"/>
        <v/>
      </c>
    </row>
    <row r="463" spans="1:33" x14ac:dyDescent="0.2">
      <c r="A463" t="str">
        <f t="shared" si="114"/>
        <v/>
      </c>
      <c r="B463" s="38" t="str">
        <f t="shared" si="115"/>
        <v/>
      </c>
      <c r="C463" s="38" t="str">
        <f t="shared" si="116"/>
        <v/>
      </c>
      <c r="D463" s="38" t="str">
        <f t="shared" si="117"/>
        <v/>
      </c>
      <c r="E463" s="38" t="str">
        <f t="shared" si="118"/>
        <v/>
      </c>
      <c r="F463" s="38" t="str">
        <f t="shared" si="119"/>
        <v/>
      </c>
      <c r="G463" s="38" t="str">
        <f t="shared" si="129"/>
        <v/>
      </c>
      <c r="H463" s="38" t="str">
        <f t="shared" si="130"/>
        <v/>
      </c>
      <c r="L463" t="str">
        <f t="shared" si="120"/>
        <v/>
      </c>
      <c r="M463" s="38" t="str">
        <f t="shared" si="121"/>
        <v/>
      </c>
      <c r="N463" s="38" t="str">
        <f t="shared" si="122"/>
        <v/>
      </c>
      <c r="O463" s="38" t="str">
        <f t="shared" si="123"/>
        <v/>
      </c>
      <c r="P463" s="38" t="str">
        <f t="shared" si="124"/>
        <v/>
      </c>
      <c r="Q463" s="38" t="str">
        <f t="shared" si="125"/>
        <v/>
      </c>
      <c r="R463" s="38" t="str">
        <f t="shared" si="126"/>
        <v/>
      </c>
      <c r="S463" s="38" t="str">
        <f t="shared" si="127"/>
        <v/>
      </c>
      <c r="T463" s="38" t="str">
        <f t="shared" si="128"/>
        <v/>
      </c>
      <c r="AF463" t="str">
        <f t="shared" si="113"/>
        <v/>
      </c>
      <c r="AG463" s="38" t="str">
        <f t="shared" si="112"/>
        <v/>
      </c>
    </row>
    <row r="464" spans="1:33" x14ac:dyDescent="0.2">
      <c r="A464" t="str">
        <f t="shared" si="114"/>
        <v/>
      </c>
      <c r="B464" s="38" t="str">
        <f t="shared" si="115"/>
        <v/>
      </c>
      <c r="C464" s="38" t="str">
        <f t="shared" si="116"/>
        <v/>
      </c>
      <c r="D464" s="38" t="str">
        <f t="shared" si="117"/>
        <v/>
      </c>
      <c r="E464" s="38" t="str">
        <f t="shared" si="118"/>
        <v/>
      </c>
      <c r="F464" s="38" t="str">
        <f t="shared" si="119"/>
        <v/>
      </c>
      <c r="G464" s="38" t="str">
        <f t="shared" si="129"/>
        <v/>
      </c>
      <c r="H464" s="38" t="str">
        <f t="shared" si="130"/>
        <v/>
      </c>
      <c r="L464" t="str">
        <f t="shared" si="120"/>
        <v/>
      </c>
      <c r="M464" s="38" t="str">
        <f t="shared" si="121"/>
        <v/>
      </c>
      <c r="N464" s="38" t="str">
        <f t="shared" si="122"/>
        <v/>
      </c>
      <c r="O464" s="38" t="str">
        <f t="shared" si="123"/>
        <v/>
      </c>
      <c r="P464" s="38" t="str">
        <f t="shared" si="124"/>
        <v/>
      </c>
      <c r="Q464" s="38" t="str">
        <f t="shared" si="125"/>
        <v/>
      </c>
      <c r="R464" s="38" t="str">
        <f t="shared" si="126"/>
        <v/>
      </c>
      <c r="S464" s="38" t="str">
        <f t="shared" si="127"/>
        <v/>
      </c>
      <c r="T464" s="38" t="str">
        <f t="shared" si="128"/>
        <v/>
      </c>
      <c r="AF464" t="str">
        <f t="shared" si="113"/>
        <v/>
      </c>
      <c r="AG464" s="38" t="str">
        <f t="shared" si="112"/>
        <v/>
      </c>
    </row>
    <row r="465" spans="1:33" x14ac:dyDescent="0.2">
      <c r="A465" t="str">
        <f t="shared" si="114"/>
        <v/>
      </c>
      <c r="B465" s="38" t="str">
        <f t="shared" si="115"/>
        <v/>
      </c>
      <c r="C465" s="38" t="str">
        <f t="shared" si="116"/>
        <v/>
      </c>
      <c r="D465" s="38" t="str">
        <f t="shared" si="117"/>
        <v/>
      </c>
      <c r="E465" s="38" t="str">
        <f t="shared" si="118"/>
        <v/>
      </c>
      <c r="F465" s="38" t="str">
        <f t="shared" si="119"/>
        <v/>
      </c>
      <c r="G465" s="38" t="str">
        <f t="shared" si="129"/>
        <v/>
      </c>
      <c r="H465" s="38" t="str">
        <f t="shared" si="130"/>
        <v/>
      </c>
      <c r="L465" t="str">
        <f t="shared" si="120"/>
        <v/>
      </c>
      <c r="M465" s="38" t="str">
        <f t="shared" si="121"/>
        <v/>
      </c>
      <c r="N465" s="38" t="str">
        <f t="shared" si="122"/>
        <v/>
      </c>
      <c r="O465" s="38" t="str">
        <f t="shared" si="123"/>
        <v/>
      </c>
      <c r="P465" s="38" t="str">
        <f t="shared" si="124"/>
        <v/>
      </c>
      <c r="Q465" s="38" t="str">
        <f t="shared" si="125"/>
        <v/>
      </c>
      <c r="R465" s="38" t="str">
        <f t="shared" si="126"/>
        <v/>
      </c>
      <c r="S465" s="38" t="str">
        <f t="shared" si="127"/>
        <v/>
      </c>
      <c r="T465" s="38" t="str">
        <f t="shared" si="128"/>
        <v/>
      </c>
      <c r="AF465" t="str">
        <f t="shared" si="113"/>
        <v/>
      </c>
      <c r="AG465" s="38" t="str">
        <f t="shared" si="112"/>
        <v/>
      </c>
    </row>
    <row r="466" spans="1:33" x14ac:dyDescent="0.2">
      <c r="A466" t="str">
        <f t="shared" si="114"/>
        <v/>
      </c>
      <c r="B466" s="38" t="str">
        <f t="shared" si="115"/>
        <v/>
      </c>
      <c r="C466" s="38" t="str">
        <f t="shared" si="116"/>
        <v/>
      </c>
      <c r="D466" s="38" t="str">
        <f t="shared" si="117"/>
        <v/>
      </c>
      <c r="E466" s="38" t="str">
        <f t="shared" si="118"/>
        <v/>
      </c>
      <c r="F466" s="38" t="str">
        <f t="shared" si="119"/>
        <v/>
      </c>
      <c r="G466" s="38" t="str">
        <f t="shared" si="129"/>
        <v/>
      </c>
      <c r="H466" s="38" t="str">
        <f t="shared" si="130"/>
        <v/>
      </c>
      <c r="L466" t="str">
        <f t="shared" si="120"/>
        <v/>
      </c>
      <c r="M466" s="38" t="str">
        <f t="shared" si="121"/>
        <v/>
      </c>
      <c r="N466" s="38" t="str">
        <f t="shared" si="122"/>
        <v/>
      </c>
      <c r="O466" s="38" t="str">
        <f t="shared" si="123"/>
        <v/>
      </c>
      <c r="P466" s="38" t="str">
        <f t="shared" si="124"/>
        <v/>
      </c>
      <c r="Q466" s="38" t="str">
        <f t="shared" si="125"/>
        <v/>
      </c>
      <c r="R466" s="38" t="str">
        <f t="shared" si="126"/>
        <v/>
      </c>
      <c r="S466" s="38" t="str">
        <f t="shared" si="127"/>
        <v/>
      </c>
      <c r="T466" s="38" t="str">
        <f t="shared" si="128"/>
        <v/>
      </c>
      <c r="AF466" t="str">
        <f t="shared" si="113"/>
        <v/>
      </c>
      <c r="AG466" s="38" t="str">
        <f t="shared" si="112"/>
        <v/>
      </c>
    </row>
    <row r="467" spans="1:33" x14ac:dyDescent="0.2">
      <c r="A467" t="str">
        <f t="shared" si="114"/>
        <v/>
      </c>
      <c r="B467" s="38" t="str">
        <f t="shared" si="115"/>
        <v/>
      </c>
      <c r="C467" s="38" t="str">
        <f t="shared" si="116"/>
        <v/>
      </c>
      <c r="D467" s="38" t="str">
        <f t="shared" si="117"/>
        <v/>
      </c>
      <c r="E467" s="38" t="str">
        <f t="shared" si="118"/>
        <v/>
      </c>
      <c r="F467" s="38" t="str">
        <f t="shared" si="119"/>
        <v/>
      </c>
      <c r="G467" s="38" t="str">
        <f t="shared" si="129"/>
        <v/>
      </c>
      <c r="H467" s="38" t="str">
        <f t="shared" si="130"/>
        <v/>
      </c>
      <c r="L467" t="str">
        <f t="shared" si="120"/>
        <v/>
      </c>
      <c r="M467" s="38" t="str">
        <f t="shared" si="121"/>
        <v/>
      </c>
      <c r="N467" s="38" t="str">
        <f t="shared" si="122"/>
        <v/>
      </c>
      <c r="O467" s="38" t="str">
        <f t="shared" si="123"/>
        <v/>
      </c>
      <c r="P467" s="38" t="str">
        <f t="shared" si="124"/>
        <v/>
      </c>
      <c r="Q467" s="38" t="str">
        <f t="shared" si="125"/>
        <v/>
      </c>
      <c r="R467" s="38" t="str">
        <f t="shared" si="126"/>
        <v/>
      </c>
      <c r="S467" s="38" t="str">
        <f t="shared" si="127"/>
        <v/>
      </c>
      <c r="T467" s="38" t="str">
        <f t="shared" si="128"/>
        <v/>
      </c>
      <c r="AF467" t="str">
        <f t="shared" si="113"/>
        <v/>
      </c>
      <c r="AG467" s="38" t="str">
        <f t="shared" si="112"/>
        <v/>
      </c>
    </row>
    <row r="468" spans="1:33" x14ac:dyDescent="0.2">
      <c r="A468" t="str">
        <f t="shared" si="114"/>
        <v/>
      </c>
      <c r="B468" s="38" t="str">
        <f t="shared" si="115"/>
        <v/>
      </c>
      <c r="C468" s="38" t="str">
        <f t="shared" si="116"/>
        <v/>
      </c>
      <c r="D468" s="38" t="str">
        <f t="shared" si="117"/>
        <v/>
      </c>
      <c r="E468" s="38" t="str">
        <f t="shared" si="118"/>
        <v/>
      </c>
      <c r="F468" s="38" t="str">
        <f t="shared" si="119"/>
        <v/>
      </c>
      <c r="G468" s="38" t="str">
        <f t="shared" si="129"/>
        <v/>
      </c>
      <c r="H468" s="38" t="str">
        <f t="shared" si="130"/>
        <v/>
      </c>
      <c r="L468" t="str">
        <f t="shared" si="120"/>
        <v/>
      </c>
      <c r="M468" s="38" t="str">
        <f t="shared" si="121"/>
        <v/>
      </c>
      <c r="N468" s="38" t="str">
        <f t="shared" si="122"/>
        <v/>
      </c>
      <c r="O468" s="38" t="str">
        <f t="shared" si="123"/>
        <v/>
      </c>
      <c r="P468" s="38" t="str">
        <f t="shared" si="124"/>
        <v/>
      </c>
      <c r="Q468" s="38" t="str">
        <f t="shared" si="125"/>
        <v/>
      </c>
      <c r="R468" s="38" t="str">
        <f t="shared" si="126"/>
        <v/>
      </c>
      <c r="S468" s="38" t="str">
        <f t="shared" si="127"/>
        <v/>
      </c>
      <c r="T468" s="38" t="str">
        <f t="shared" si="128"/>
        <v/>
      </c>
      <c r="AF468" t="str">
        <f t="shared" si="113"/>
        <v/>
      </c>
      <c r="AG468" s="38" t="str">
        <f t="shared" si="112"/>
        <v/>
      </c>
    </row>
    <row r="469" spans="1:33" x14ac:dyDescent="0.2">
      <c r="A469" t="str">
        <f t="shared" si="114"/>
        <v/>
      </c>
      <c r="B469" s="38" t="str">
        <f t="shared" si="115"/>
        <v/>
      </c>
      <c r="C469" s="38" t="str">
        <f t="shared" si="116"/>
        <v/>
      </c>
      <c r="D469" s="38" t="str">
        <f t="shared" si="117"/>
        <v/>
      </c>
      <c r="E469" s="38" t="str">
        <f t="shared" si="118"/>
        <v/>
      </c>
      <c r="F469" s="38" t="str">
        <f t="shared" si="119"/>
        <v/>
      </c>
      <c r="G469" s="38" t="str">
        <f t="shared" si="129"/>
        <v/>
      </c>
      <c r="H469" s="38" t="str">
        <f t="shared" si="130"/>
        <v/>
      </c>
      <c r="L469" t="str">
        <f t="shared" si="120"/>
        <v/>
      </c>
      <c r="M469" s="38" t="str">
        <f t="shared" si="121"/>
        <v/>
      </c>
      <c r="N469" s="38" t="str">
        <f t="shared" si="122"/>
        <v/>
      </c>
      <c r="O469" s="38" t="str">
        <f t="shared" si="123"/>
        <v/>
      </c>
      <c r="P469" s="38" t="str">
        <f t="shared" si="124"/>
        <v/>
      </c>
      <c r="Q469" s="38" t="str">
        <f t="shared" si="125"/>
        <v/>
      </c>
      <c r="R469" s="38" t="str">
        <f t="shared" si="126"/>
        <v/>
      </c>
      <c r="S469" s="38" t="str">
        <f t="shared" si="127"/>
        <v/>
      </c>
      <c r="T469" s="38" t="str">
        <f t="shared" si="128"/>
        <v/>
      </c>
      <c r="AF469" t="str">
        <f t="shared" si="113"/>
        <v/>
      </c>
      <c r="AG469" s="38" t="str">
        <f t="shared" ref="AG469:AG532" si="131">F470</f>
        <v/>
      </c>
    </row>
    <row r="470" spans="1:33" x14ac:dyDescent="0.2">
      <c r="A470" t="str">
        <f t="shared" si="114"/>
        <v/>
      </c>
      <c r="B470" s="38" t="str">
        <f t="shared" si="115"/>
        <v/>
      </c>
      <c r="C470" s="38" t="str">
        <f t="shared" si="116"/>
        <v/>
      </c>
      <c r="D470" s="38" t="str">
        <f t="shared" si="117"/>
        <v/>
      </c>
      <c r="E470" s="38" t="str">
        <f t="shared" si="118"/>
        <v/>
      </c>
      <c r="F470" s="38" t="str">
        <f t="shared" si="119"/>
        <v/>
      </c>
      <c r="G470" s="38" t="str">
        <f t="shared" si="129"/>
        <v/>
      </c>
      <c r="H470" s="38" t="str">
        <f t="shared" si="130"/>
        <v/>
      </c>
      <c r="L470" t="str">
        <f t="shared" si="120"/>
        <v/>
      </c>
      <c r="M470" s="38" t="str">
        <f t="shared" si="121"/>
        <v/>
      </c>
      <c r="N470" s="38" t="str">
        <f t="shared" si="122"/>
        <v/>
      </c>
      <c r="O470" s="38" t="str">
        <f t="shared" si="123"/>
        <v/>
      </c>
      <c r="P470" s="38" t="str">
        <f t="shared" si="124"/>
        <v/>
      </c>
      <c r="Q470" s="38" t="str">
        <f t="shared" si="125"/>
        <v/>
      </c>
      <c r="R470" s="38" t="str">
        <f t="shared" si="126"/>
        <v/>
      </c>
      <c r="S470" s="38" t="str">
        <f t="shared" si="127"/>
        <v/>
      </c>
      <c r="T470" s="38" t="str">
        <f t="shared" si="128"/>
        <v/>
      </c>
      <c r="AF470" t="str">
        <f t="shared" si="113"/>
        <v/>
      </c>
      <c r="AG470" s="38" t="str">
        <f t="shared" si="131"/>
        <v/>
      </c>
    </row>
    <row r="471" spans="1:33" x14ac:dyDescent="0.2">
      <c r="A471" t="str">
        <f t="shared" si="114"/>
        <v/>
      </c>
      <c r="B471" s="38" t="str">
        <f t="shared" si="115"/>
        <v/>
      </c>
      <c r="C471" s="38" t="str">
        <f t="shared" si="116"/>
        <v/>
      </c>
      <c r="D471" s="38" t="str">
        <f t="shared" si="117"/>
        <v/>
      </c>
      <c r="E471" s="38" t="str">
        <f t="shared" si="118"/>
        <v/>
      </c>
      <c r="F471" s="38" t="str">
        <f t="shared" si="119"/>
        <v/>
      </c>
      <c r="G471" s="38" t="str">
        <f t="shared" si="129"/>
        <v/>
      </c>
      <c r="H471" s="38" t="str">
        <f t="shared" si="130"/>
        <v/>
      </c>
      <c r="L471" t="str">
        <f t="shared" si="120"/>
        <v/>
      </c>
      <c r="M471" s="38" t="str">
        <f t="shared" si="121"/>
        <v/>
      </c>
      <c r="N471" s="38" t="str">
        <f t="shared" si="122"/>
        <v/>
      </c>
      <c r="O471" s="38" t="str">
        <f t="shared" si="123"/>
        <v/>
      </c>
      <c r="P471" s="38" t="str">
        <f t="shared" si="124"/>
        <v/>
      </c>
      <c r="Q471" s="38" t="str">
        <f t="shared" si="125"/>
        <v/>
      </c>
      <c r="R471" s="38" t="str">
        <f t="shared" si="126"/>
        <v/>
      </c>
      <c r="S471" s="38" t="str">
        <f t="shared" si="127"/>
        <v/>
      </c>
      <c r="T471" s="38" t="str">
        <f t="shared" si="128"/>
        <v/>
      </c>
      <c r="AF471" t="str">
        <f t="shared" ref="AF471:AF534" si="132">IF(AF470&lt;($B$6*$B$7),AF470+1,"")</f>
        <v/>
      </c>
      <c r="AG471" s="38" t="str">
        <f t="shared" si="131"/>
        <v/>
      </c>
    </row>
    <row r="472" spans="1:33" x14ac:dyDescent="0.2">
      <c r="A472" t="str">
        <f t="shared" ref="A472:A535" si="133">IF(A471&lt;($B$6*$B$7),A471+1,"")</f>
        <v/>
      </c>
      <c r="B472" s="38" t="str">
        <f t="shared" ref="B472:B535" si="134">IF(A472="","",F471)</f>
        <v/>
      </c>
      <c r="C472" s="38" t="str">
        <f t="shared" ref="C472:C535" si="135">IF(A472="","",(B472*$B$8))</f>
        <v/>
      </c>
      <c r="D472" s="38" t="str">
        <f t="shared" ref="D472:D535" si="136">IF(A472="","", $B$5)</f>
        <v/>
      </c>
      <c r="E472" s="38" t="str">
        <f t="shared" ref="E472:E535" si="137">IF(D472="","",(D472-C472))</f>
        <v/>
      </c>
      <c r="F472" s="38" t="str">
        <f t="shared" ref="F472:F535" si="138">IF(A472="","", B472-E472)</f>
        <v/>
      </c>
      <c r="G472" s="38" t="str">
        <f t="shared" si="129"/>
        <v/>
      </c>
      <c r="H472" s="38" t="str">
        <f t="shared" si="130"/>
        <v/>
      </c>
      <c r="L472" t="str">
        <f t="shared" ref="L472:L535" si="139">IF(L471&lt;($B$6*$B$7),L471+1,"")</f>
        <v/>
      </c>
      <c r="M472" s="38" t="str">
        <f t="shared" ref="M472:M535" si="140">IF(L472="", "", R471)</f>
        <v/>
      </c>
      <c r="N472" s="38" t="str">
        <f t="shared" ref="N472:N535" si="141">IF(L472="","",$B$5)</f>
        <v/>
      </c>
      <c r="O472" s="38" t="str">
        <f t="shared" ref="O472:O535" si="142">IF(L472="","",M472-N472)</f>
        <v/>
      </c>
      <c r="P472" s="38" t="str">
        <f t="shared" ref="P472:P535" si="143">IF(L472="","",O471*$B$8)</f>
        <v/>
      </c>
      <c r="Q472" s="38" t="str">
        <f t="shared" ref="Q472:Q535" si="144">IF(L472="","",N472-P472)</f>
        <v/>
      </c>
      <c r="R472" s="38" t="str">
        <f t="shared" ref="R472:R535" si="145">IF(L472="","",O472*(1+$B$8))</f>
        <v/>
      </c>
      <c r="S472" s="38" t="str">
        <f t="shared" ref="S472:S535" si="146">IF(L472="","",S471+P472)</f>
        <v/>
      </c>
      <c r="T472" s="38" t="str">
        <f t="shared" ref="T472:T535" si="147">IF(L472="","",Q472+T471)</f>
        <v/>
      </c>
      <c r="AF472" t="str">
        <f t="shared" si="132"/>
        <v/>
      </c>
      <c r="AG472" s="38" t="str">
        <f t="shared" si="131"/>
        <v/>
      </c>
    </row>
    <row r="473" spans="1:33" x14ac:dyDescent="0.2">
      <c r="A473" t="str">
        <f t="shared" si="133"/>
        <v/>
      </c>
      <c r="B473" s="38" t="str">
        <f t="shared" si="134"/>
        <v/>
      </c>
      <c r="C473" s="38" t="str">
        <f t="shared" si="135"/>
        <v/>
      </c>
      <c r="D473" s="38" t="str">
        <f t="shared" si="136"/>
        <v/>
      </c>
      <c r="E473" s="38" t="str">
        <f t="shared" si="137"/>
        <v/>
      </c>
      <c r="F473" s="38" t="str">
        <f t="shared" si="138"/>
        <v/>
      </c>
      <c r="G473" s="38" t="str">
        <f t="shared" si="129"/>
        <v/>
      </c>
      <c r="H473" s="38" t="str">
        <f t="shared" si="130"/>
        <v/>
      </c>
      <c r="L473" t="str">
        <f t="shared" si="139"/>
        <v/>
      </c>
      <c r="M473" s="38" t="str">
        <f t="shared" si="140"/>
        <v/>
      </c>
      <c r="N473" s="38" t="str">
        <f t="shared" si="141"/>
        <v/>
      </c>
      <c r="O473" s="38" t="str">
        <f t="shared" si="142"/>
        <v/>
      </c>
      <c r="P473" s="38" t="str">
        <f t="shared" si="143"/>
        <v/>
      </c>
      <c r="Q473" s="38" t="str">
        <f t="shared" si="144"/>
        <v/>
      </c>
      <c r="R473" s="38" t="str">
        <f t="shared" si="145"/>
        <v/>
      </c>
      <c r="S473" s="38" t="str">
        <f t="shared" si="146"/>
        <v/>
      </c>
      <c r="T473" s="38" t="str">
        <f t="shared" si="147"/>
        <v/>
      </c>
      <c r="AF473" t="str">
        <f t="shared" si="132"/>
        <v/>
      </c>
      <c r="AG473" s="38" t="str">
        <f t="shared" si="131"/>
        <v/>
      </c>
    </row>
    <row r="474" spans="1:33" x14ac:dyDescent="0.2">
      <c r="A474" t="str">
        <f t="shared" si="133"/>
        <v/>
      </c>
      <c r="B474" s="38" t="str">
        <f t="shared" si="134"/>
        <v/>
      </c>
      <c r="C474" s="38" t="str">
        <f t="shared" si="135"/>
        <v/>
      </c>
      <c r="D474" s="38" t="str">
        <f t="shared" si="136"/>
        <v/>
      </c>
      <c r="E474" s="38" t="str">
        <f t="shared" si="137"/>
        <v/>
      </c>
      <c r="F474" s="38" t="str">
        <f t="shared" si="138"/>
        <v/>
      </c>
      <c r="G474" s="38" t="str">
        <f t="shared" ref="G474:G537" si="148">IF(A474="","", (G473+C474))</f>
        <v/>
      </c>
      <c r="H474" s="38" t="str">
        <f t="shared" ref="H474:H537" si="149">IF(A474="","",(H473+E474))</f>
        <v/>
      </c>
      <c r="L474" t="str">
        <f t="shared" si="139"/>
        <v/>
      </c>
      <c r="M474" s="38" t="str">
        <f t="shared" si="140"/>
        <v/>
      </c>
      <c r="N474" s="38" t="str">
        <f t="shared" si="141"/>
        <v/>
      </c>
      <c r="O474" s="38" t="str">
        <f t="shared" si="142"/>
        <v/>
      </c>
      <c r="P474" s="38" t="str">
        <f t="shared" si="143"/>
        <v/>
      </c>
      <c r="Q474" s="38" t="str">
        <f t="shared" si="144"/>
        <v/>
      </c>
      <c r="R474" s="38" t="str">
        <f t="shared" si="145"/>
        <v/>
      </c>
      <c r="S474" s="38" t="str">
        <f t="shared" si="146"/>
        <v/>
      </c>
      <c r="T474" s="38" t="str">
        <f t="shared" si="147"/>
        <v/>
      </c>
      <c r="AF474" t="str">
        <f t="shared" si="132"/>
        <v/>
      </c>
      <c r="AG474" s="38" t="str">
        <f t="shared" si="131"/>
        <v/>
      </c>
    </row>
    <row r="475" spans="1:33" x14ac:dyDescent="0.2">
      <c r="A475" t="str">
        <f t="shared" si="133"/>
        <v/>
      </c>
      <c r="B475" s="38" t="str">
        <f t="shared" si="134"/>
        <v/>
      </c>
      <c r="C475" s="38" t="str">
        <f t="shared" si="135"/>
        <v/>
      </c>
      <c r="D475" s="38" t="str">
        <f t="shared" si="136"/>
        <v/>
      </c>
      <c r="E475" s="38" t="str">
        <f t="shared" si="137"/>
        <v/>
      </c>
      <c r="F475" s="38" t="str">
        <f t="shared" si="138"/>
        <v/>
      </c>
      <c r="G475" s="38" t="str">
        <f t="shared" si="148"/>
        <v/>
      </c>
      <c r="H475" s="38" t="str">
        <f t="shared" si="149"/>
        <v/>
      </c>
      <c r="L475" t="str">
        <f t="shared" si="139"/>
        <v/>
      </c>
      <c r="M475" s="38" t="str">
        <f t="shared" si="140"/>
        <v/>
      </c>
      <c r="N475" s="38" t="str">
        <f t="shared" si="141"/>
        <v/>
      </c>
      <c r="O475" s="38" t="str">
        <f t="shared" si="142"/>
        <v/>
      </c>
      <c r="P475" s="38" t="str">
        <f t="shared" si="143"/>
        <v/>
      </c>
      <c r="Q475" s="38" t="str">
        <f t="shared" si="144"/>
        <v/>
      </c>
      <c r="R475" s="38" t="str">
        <f t="shared" si="145"/>
        <v/>
      </c>
      <c r="S475" s="38" t="str">
        <f t="shared" si="146"/>
        <v/>
      </c>
      <c r="T475" s="38" t="str">
        <f t="shared" si="147"/>
        <v/>
      </c>
      <c r="AF475" t="str">
        <f t="shared" si="132"/>
        <v/>
      </c>
      <c r="AG475" s="38" t="str">
        <f t="shared" si="131"/>
        <v/>
      </c>
    </row>
    <row r="476" spans="1:33" x14ac:dyDescent="0.2">
      <c r="A476" t="str">
        <f t="shared" si="133"/>
        <v/>
      </c>
      <c r="B476" s="38" t="str">
        <f t="shared" si="134"/>
        <v/>
      </c>
      <c r="C476" s="38" t="str">
        <f t="shared" si="135"/>
        <v/>
      </c>
      <c r="D476" s="38" t="str">
        <f t="shared" si="136"/>
        <v/>
      </c>
      <c r="E476" s="38" t="str">
        <f t="shared" si="137"/>
        <v/>
      </c>
      <c r="F476" s="38" t="str">
        <f t="shared" si="138"/>
        <v/>
      </c>
      <c r="G476" s="38" t="str">
        <f t="shared" si="148"/>
        <v/>
      </c>
      <c r="H476" s="38" t="str">
        <f t="shared" si="149"/>
        <v/>
      </c>
      <c r="L476" t="str">
        <f t="shared" si="139"/>
        <v/>
      </c>
      <c r="M476" s="38" t="str">
        <f t="shared" si="140"/>
        <v/>
      </c>
      <c r="N476" s="38" t="str">
        <f t="shared" si="141"/>
        <v/>
      </c>
      <c r="O476" s="38" t="str">
        <f t="shared" si="142"/>
        <v/>
      </c>
      <c r="P476" s="38" t="str">
        <f t="shared" si="143"/>
        <v/>
      </c>
      <c r="Q476" s="38" t="str">
        <f t="shared" si="144"/>
        <v/>
      </c>
      <c r="R476" s="38" t="str">
        <f t="shared" si="145"/>
        <v/>
      </c>
      <c r="S476" s="38" t="str">
        <f t="shared" si="146"/>
        <v/>
      </c>
      <c r="T476" s="38" t="str">
        <f t="shared" si="147"/>
        <v/>
      </c>
      <c r="AF476" t="str">
        <f t="shared" si="132"/>
        <v/>
      </c>
      <c r="AG476" s="38" t="str">
        <f t="shared" si="131"/>
        <v/>
      </c>
    </row>
    <row r="477" spans="1:33" x14ac:dyDescent="0.2">
      <c r="A477" t="str">
        <f t="shared" si="133"/>
        <v/>
      </c>
      <c r="B477" s="38" t="str">
        <f t="shared" si="134"/>
        <v/>
      </c>
      <c r="C477" s="38" t="str">
        <f t="shared" si="135"/>
        <v/>
      </c>
      <c r="D477" s="38" t="str">
        <f t="shared" si="136"/>
        <v/>
      </c>
      <c r="E477" s="38" t="str">
        <f t="shared" si="137"/>
        <v/>
      </c>
      <c r="F477" s="38" t="str">
        <f t="shared" si="138"/>
        <v/>
      </c>
      <c r="G477" s="38" t="str">
        <f t="shared" si="148"/>
        <v/>
      </c>
      <c r="H477" s="38" t="str">
        <f t="shared" si="149"/>
        <v/>
      </c>
      <c r="L477" t="str">
        <f t="shared" si="139"/>
        <v/>
      </c>
      <c r="M477" s="38" t="str">
        <f t="shared" si="140"/>
        <v/>
      </c>
      <c r="N477" s="38" t="str">
        <f t="shared" si="141"/>
        <v/>
      </c>
      <c r="O477" s="38" t="str">
        <f t="shared" si="142"/>
        <v/>
      </c>
      <c r="P477" s="38" t="str">
        <f t="shared" si="143"/>
        <v/>
      </c>
      <c r="Q477" s="38" t="str">
        <f t="shared" si="144"/>
        <v/>
      </c>
      <c r="R477" s="38" t="str">
        <f t="shared" si="145"/>
        <v/>
      </c>
      <c r="S477" s="38" t="str">
        <f t="shared" si="146"/>
        <v/>
      </c>
      <c r="T477" s="38" t="str">
        <f t="shared" si="147"/>
        <v/>
      </c>
      <c r="AF477" t="str">
        <f t="shared" si="132"/>
        <v/>
      </c>
      <c r="AG477" s="38" t="str">
        <f t="shared" si="131"/>
        <v/>
      </c>
    </row>
    <row r="478" spans="1:33" x14ac:dyDescent="0.2">
      <c r="A478" t="str">
        <f t="shared" si="133"/>
        <v/>
      </c>
      <c r="B478" s="38" t="str">
        <f t="shared" si="134"/>
        <v/>
      </c>
      <c r="C478" s="38" t="str">
        <f t="shared" si="135"/>
        <v/>
      </c>
      <c r="D478" s="38" t="str">
        <f t="shared" si="136"/>
        <v/>
      </c>
      <c r="E478" s="38" t="str">
        <f t="shared" si="137"/>
        <v/>
      </c>
      <c r="F478" s="38" t="str">
        <f t="shared" si="138"/>
        <v/>
      </c>
      <c r="G478" s="38" t="str">
        <f t="shared" si="148"/>
        <v/>
      </c>
      <c r="H478" s="38" t="str">
        <f t="shared" si="149"/>
        <v/>
      </c>
      <c r="L478" t="str">
        <f t="shared" si="139"/>
        <v/>
      </c>
      <c r="M478" s="38" t="str">
        <f t="shared" si="140"/>
        <v/>
      </c>
      <c r="N478" s="38" t="str">
        <f t="shared" si="141"/>
        <v/>
      </c>
      <c r="O478" s="38" t="str">
        <f t="shared" si="142"/>
        <v/>
      </c>
      <c r="P478" s="38" t="str">
        <f t="shared" si="143"/>
        <v/>
      </c>
      <c r="Q478" s="38" t="str">
        <f t="shared" si="144"/>
        <v/>
      </c>
      <c r="R478" s="38" t="str">
        <f t="shared" si="145"/>
        <v/>
      </c>
      <c r="S478" s="38" t="str">
        <f t="shared" si="146"/>
        <v/>
      </c>
      <c r="T478" s="38" t="str">
        <f t="shared" si="147"/>
        <v/>
      </c>
      <c r="AF478" t="str">
        <f t="shared" si="132"/>
        <v/>
      </c>
      <c r="AG478" s="38" t="str">
        <f t="shared" si="131"/>
        <v/>
      </c>
    </row>
    <row r="479" spans="1:33" x14ac:dyDescent="0.2">
      <c r="A479" t="str">
        <f t="shared" si="133"/>
        <v/>
      </c>
      <c r="B479" s="38" t="str">
        <f t="shared" si="134"/>
        <v/>
      </c>
      <c r="C479" s="38" t="str">
        <f t="shared" si="135"/>
        <v/>
      </c>
      <c r="D479" s="38" t="str">
        <f t="shared" si="136"/>
        <v/>
      </c>
      <c r="E479" s="38" t="str">
        <f t="shared" si="137"/>
        <v/>
      </c>
      <c r="F479" s="38" t="str">
        <f t="shared" si="138"/>
        <v/>
      </c>
      <c r="G479" s="38" t="str">
        <f t="shared" si="148"/>
        <v/>
      </c>
      <c r="H479" s="38" t="str">
        <f t="shared" si="149"/>
        <v/>
      </c>
      <c r="L479" t="str">
        <f t="shared" si="139"/>
        <v/>
      </c>
      <c r="M479" s="38" t="str">
        <f t="shared" si="140"/>
        <v/>
      </c>
      <c r="N479" s="38" t="str">
        <f t="shared" si="141"/>
        <v/>
      </c>
      <c r="O479" s="38" t="str">
        <f t="shared" si="142"/>
        <v/>
      </c>
      <c r="P479" s="38" t="str">
        <f t="shared" si="143"/>
        <v/>
      </c>
      <c r="Q479" s="38" t="str">
        <f t="shared" si="144"/>
        <v/>
      </c>
      <c r="R479" s="38" t="str">
        <f t="shared" si="145"/>
        <v/>
      </c>
      <c r="S479" s="38" t="str">
        <f t="shared" si="146"/>
        <v/>
      </c>
      <c r="T479" s="38" t="str">
        <f t="shared" si="147"/>
        <v/>
      </c>
      <c r="AF479" t="str">
        <f t="shared" si="132"/>
        <v/>
      </c>
      <c r="AG479" s="38" t="str">
        <f t="shared" si="131"/>
        <v/>
      </c>
    </row>
    <row r="480" spans="1:33" x14ac:dyDescent="0.2">
      <c r="A480" t="str">
        <f t="shared" si="133"/>
        <v/>
      </c>
      <c r="B480" s="38" t="str">
        <f t="shared" si="134"/>
        <v/>
      </c>
      <c r="C480" s="38" t="str">
        <f t="shared" si="135"/>
        <v/>
      </c>
      <c r="D480" s="38" t="str">
        <f t="shared" si="136"/>
        <v/>
      </c>
      <c r="E480" s="38" t="str">
        <f t="shared" si="137"/>
        <v/>
      </c>
      <c r="F480" s="38" t="str">
        <f t="shared" si="138"/>
        <v/>
      </c>
      <c r="G480" s="38" t="str">
        <f t="shared" si="148"/>
        <v/>
      </c>
      <c r="H480" s="38" t="str">
        <f t="shared" si="149"/>
        <v/>
      </c>
      <c r="L480" t="str">
        <f t="shared" si="139"/>
        <v/>
      </c>
      <c r="M480" s="38" t="str">
        <f t="shared" si="140"/>
        <v/>
      </c>
      <c r="N480" s="38" t="str">
        <f t="shared" si="141"/>
        <v/>
      </c>
      <c r="O480" s="38" t="str">
        <f t="shared" si="142"/>
        <v/>
      </c>
      <c r="P480" s="38" t="str">
        <f t="shared" si="143"/>
        <v/>
      </c>
      <c r="Q480" s="38" t="str">
        <f t="shared" si="144"/>
        <v/>
      </c>
      <c r="R480" s="38" t="str">
        <f t="shared" si="145"/>
        <v/>
      </c>
      <c r="S480" s="38" t="str">
        <f t="shared" si="146"/>
        <v/>
      </c>
      <c r="T480" s="38" t="str">
        <f t="shared" si="147"/>
        <v/>
      </c>
      <c r="AF480" t="str">
        <f t="shared" si="132"/>
        <v/>
      </c>
      <c r="AG480" s="38" t="str">
        <f t="shared" si="131"/>
        <v/>
      </c>
    </row>
    <row r="481" spans="1:33" x14ac:dyDescent="0.2">
      <c r="A481" t="str">
        <f t="shared" si="133"/>
        <v/>
      </c>
      <c r="B481" s="38" t="str">
        <f t="shared" si="134"/>
        <v/>
      </c>
      <c r="C481" s="38" t="str">
        <f t="shared" si="135"/>
        <v/>
      </c>
      <c r="D481" s="38" t="str">
        <f t="shared" si="136"/>
        <v/>
      </c>
      <c r="E481" s="38" t="str">
        <f t="shared" si="137"/>
        <v/>
      </c>
      <c r="F481" s="38" t="str">
        <f t="shared" si="138"/>
        <v/>
      </c>
      <c r="G481" s="38" t="str">
        <f t="shared" si="148"/>
        <v/>
      </c>
      <c r="H481" s="38" t="str">
        <f t="shared" si="149"/>
        <v/>
      </c>
      <c r="L481" t="str">
        <f t="shared" si="139"/>
        <v/>
      </c>
      <c r="M481" s="38" t="str">
        <f t="shared" si="140"/>
        <v/>
      </c>
      <c r="N481" s="38" t="str">
        <f t="shared" si="141"/>
        <v/>
      </c>
      <c r="O481" s="38" t="str">
        <f t="shared" si="142"/>
        <v/>
      </c>
      <c r="P481" s="38" t="str">
        <f t="shared" si="143"/>
        <v/>
      </c>
      <c r="Q481" s="38" t="str">
        <f t="shared" si="144"/>
        <v/>
      </c>
      <c r="R481" s="38" t="str">
        <f t="shared" si="145"/>
        <v/>
      </c>
      <c r="S481" s="38" t="str">
        <f t="shared" si="146"/>
        <v/>
      </c>
      <c r="T481" s="38" t="str">
        <f t="shared" si="147"/>
        <v/>
      </c>
      <c r="AF481" t="str">
        <f t="shared" si="132"/>
        <v/>
      </c>
      <c r="AG481" s="38" t="str">
        <f t="shared" si="131"/>
        <v/>
      </c>
    </row>
    <row r="482" spans="1:33" x14ac:dyDescent="0.2">
      <c r="A482" t="str">
        <f t="shared" si="133"/>
        <v/>
      </c>
      <c r="B482" s="38" t="str">
        <f t="shared" si="134"/>
        <v/>
      </c>
      <c r="C482" s="38" t="str">
        <f t="shared" si="135"/>
        <v/>
      </c>
      <c r="D482" s="38" t="str">
        <f t="shared" si="136"/>
        <v/>
      </c>
      <c r="E482" s="38" t="str">
        <f t="shared" si="137"/>
        <v/>
      </c>
      <c r="F482" s="38" t="str">
        <f t="shared" si="138"/>
        <v/>
      </c>
      <c r="G482" s="38" t="str">
        <f t="shared" si="148"/>
        <v/>
      </c>
      <c r="H482" s="38" t="str">
        <f t="shared" si="149"/>
        <v/>
      </c>
      <c r="L482" t="str">
        <f t="shared" si="139"/>
        <v/>
      </c>
      <c r="M482" s="38" t="str">
        <f t="shared" si="140"/>
        <v/>
      </c>
      <c r="N482" s="38" t="str">
        <f t="shared" si="141"/>
        <v/>
      </c>
      <c r="O482" s="38" t="str">
        <f t="shared" si="142"/>
        <v/>
      </c>
      <c r="P482" s="38" t="str">
        <f t="shared" si="143"/>
        <v/>
      </c>
      <c r="Q482" s="38" t="str">
        <f t="shared" si="144"/>
        <v/>
      </c>
      <c r="R482" s="38" t="str">
        <f t="shared" si="145"/>
        <v/>
      </c>
      <c r="S482" s="38" t="str">
        <f t="shared" si="146"/>
        <v/>
      </c>
      <c r="T482" s="38" t="str">
        <f t="shared" si="147"/>
        <v/>
      </c>
      <c r="AF482" t="str">
        <f t="shared" si="132"/>
        <v/>
      </c>
      <c r="AG482" s="38" t="str">
        <f t="shared" si="131"/>
        <v/>
      </c>
    </row>
    <row r="483" spans="1:33" x14ac:dyDescent="0.2">
      <c r="A483" t="str">
        <f t="shared" si="133"/>
        <v/>
      </c>
      <c r="B483" s="38" t="str">
        <f t="shared" si="134"/>
        <v/>
      </c>
      <c r="C483" s="38" t="str">
        <f t="shared" si="135"/>
        <v/>
      </c>
      <c r="D483" s="38" t="str">
        <f t="shared" si="136"/>
        <v/>
      </c>
      <c r="E483" s="38" t="str">
        <f t="shared" si="137"/>
        <v/>
      </c>
      <c r="F483" s="38" t="str">
        <f t="shared" si="138"/>
        <v/>
      </c>
      <c r="G483" s="38" t="str">
        <f t="shared" si="148"/>
        <v/>
      </c>
      <c r="H483" s="38" t="str">
        <f t="shared" si="149"/>
        <v/>
      </c>
      <c r="L483" t="str">
        <f t="shared" si="139"/>
        <v/>
      </c>
      <c r="M483" s="38" t="str">
        <f t="shared" si="140"/>
        <v/>
      </c>
      <c r="N483" s="38" t="str">
        <f t="shared" si="141"/>
        <v/>
      </c>
      <c r="O483" s="38" t="str">
        <f t="shared" si="142"/>
        <v/>
      </c>
      <c r="P483" s="38" t="str">
        <f t="shared" si="143"/>
        <v/>
      </c>
      <c r="Q483" s="38" t="str">
        <f t="shared" si="144"/>
        <v/>
      </c>
      <c r="R483" s="38" t="str">
        <f t="shared" si="145"/>
        <v/>
      </c>
      <c r="S483" s="38" t="str">
        <f t="shared" si="146"/>
        <v/>
      </c>
      <c r="T483" s="38" t="str">
        <f t="shared" si="147"/>
        <v/>
      </c>
      <c r="AF483" t="str">
        <f t="shared" si="132"/>
        <v/>
      </c>
      <c r="AG483" s="38" t="str">
        <f t="shared" si="131"/>
        <v/>
      </c>
    </row>
    <row r="484" spans="1:33" x14ac:dyDescent="0.2">
      <c r="A484" t="str">
        <f t="shared" si="133"/>
        <v/>
      </c>
      <c r="B484" s="38" t="str">
        <f t="shared" si="134"/>
        <v/>
      </c>
      <c r="C484" s="38" t="str">
        <f t="shared" si="135"/>
        <v/>
      </c>
      <c r="D484" s="38" t="str">
        <f t="shared" si="136"/>
        <v/>
      </c>
      <c r="E484" s="38" t="str">
        <f t="shared" si="137"/>
        <v/>
      </c>
      <c r="F484" s="38" t="str">
        <f t="shared" si="138"/>
        <v/>
      </c>
      <c r="G484" s="38" t="str">
        <f t="shared" si="148"/>
        <v/>
      </c>
      <c r="H484" s="38" t="str">
        <f t="shared" si="149"/>
        <v/>
      </c>
      <c r="L484" t="str">
        <f t="shared" si="139"/>
        <v/>
      </c>
      <c r="M484" s="38" t="str">
        <f t="shared" si="140"/>
        <v/>
      </c>
      <c r="N484" s="38" t="str">
        <f t="shared" si="141"/>
        <v/>
      </c>
      <c r="O484" s="38" t="str">
        <f t="shared" si="142"/>
        <v/>
      </c>
      <c r="P484" s="38" t="str">
        <f t="shared" si="143"/>
        <v/>
      </c>
      <c r="Q484" s="38" t="str">
        <f t="shared" si="144"/>
        <v/>
      </c>
      <c r="R484" s="38" t="str">
        <f t="shared" si="145"/>
        <v/>
      </c>
      <c r="S484" s="38" t="str">
        <f t="shared" si="146"/>
        <v/>
      </c>
      <c r="T484" s="38" t="str">
        <f t="shared" si="147"/>
        <v/>
      </c>
      <c r="AF484" t="str">
        <f t="shared" si="132"/>
        <v/>
      </c>
      <c r="AG484" s="38" t="str">
        <f t="shared" si="131"/>
        <v/>
      </c>
    </row>
    <row r="485" spans="1:33" x14ac:dyDescent="0.2">
      <c r="A485" t="str">
        <f t="shared" si="133"/>
        <v/>
      </c>
      <c r="B485" s="38" t="str">
        <f t="shared" si="134"/>
        <v/>
      </c>
      <c r="C485" s="38" t="str">
        <f t="shared" si="135"/>
        <v/>
      </c>
      <c r="D485" s="38" t="str">
        <f t="shared" si="136"/>
        <v/>
      </c>
      <c r="E485" s="38" t="str">
        <f t="shared" si="137"/>
        <v/>
      </c>
      <c r="F485" s="38" t="str">
        <f t="shared" si="138"/>
        <v/>
      </c>
      <c r="G485" s="38" t="str">
        <f t="shared" si="148"/>
        <v/>
      </c>
      <c r="H485" s="38" t="str">
        <f t="shared" si="149"/>
        <v/>
      </c>
      <c r="L485" t="str">
        <f t="shared" si="139"/>
        <v/>
      </c>
      <c r="M485" s="38" t="str">
        <f t="shared" si="140"/>
        <v/>
      </c>
      <c r="N485" s="38" t="str">
        <f t="shared" si="141"/>
        <v/>
      </c>
      <c r="O485" s="38" t="str">
        <f t="shared" si="142"/>
        <v/>
      </c>
      <c r="P485" s="38" t="str">
        <f t="shared" si="143"/>
        <v/>
      </c>
      <c r="Q485" s="38" t="str">
        <f t="shared" si="144"/>
        <v/>
      </c>
      <c r="R485" s="38" t="str">
        <f t="shared" si="145"/>
        <v/>
      </c>
      <c r="S485" s="38" t="str">
        <f t="shared" si="146"/>
        <v/>
      </c>
      <c r="T485" s="38" t="str">
        <f t="shared" si="147"/>
        <v/>
      </c>
      <c r="AF485" t="str">
        <f t="shared" si="132"/>
        <v/>
      </c>
      <c r="AG485" s="38" t="str">
        <f t="shared" si="131"/>
        <v/>
      </c>
    </row>
    <row r="486" spans="1:33" x14ac:dyDescent="0.2">
      <c r="A486" t="str">
        <f t="shared" si="133"/>
        <v/>
      </c>
      <c r="B486" s="38" t="str">
        <f t="shared" si="134"/>
        <v/>
      </c>
      <c r="C486" s="38" t="str">
        <f t="shared" si="135"/>
        <v/>
      </c>
      <c r="D486" s="38" t="str">
        <f t="shared" si="136"/>
        <v/>
      </c>
      <c r="E486" s="38" t="str">
        <f t="shared" si="137"/>
        <v/>
      </c>
      <c r="F486" s="38" t="str">
        <f t="shared" si="138"/>
        <v/>
      </c>
      <c r="G486" s="38" t="str">
        <f t="shared" si="148"/>
        <v/>
      </c>
      <c r="H486" s="38" t="str">
        <f t="shared" si="149"/>
        <v/>
      </c>
      <c r="L486" t="str">
        <f t="shared" si="139"/>
        <v/>
      </c>
      <c r="M486" s="38" t="str">
        <f t="shared" si="140"/>
        <v/>
      </c>
      <c r="N486" s="38" t="str">
        <f t="shared" si="141"/>
        <v/>
      </c>
      <c r="O486" s="38" t="str">
        <f t="shared" si="142"/>
        <v/>
      </c>
      <c r="P486" s="38" t="str">
        <f t="shared" si="143"/>
        <v/>
      </c>
      <c r="Q486" s="38" t="str">
        <f t="shared" si="144"/>
        <v/>
      </c>
      <c r="R486" s="38" t="str">
        <f t="shared" si="145"/>
        <v/>
      </c>
      <c r="S486" s="38" t="str">
        <f t="shared" si="146"/>
        <v/>
      </c>
      <c r="T486" s="38" t="str">
        <f t="shared" si="147"/>
        <v/>
      </c>
      <c r="AF486" t="str">
        <f t="shared" si="132"/>
        <v/>
      </c>
      <c r="AG486" s="38" t="str">
        <f t="shared" si="131"/>
        <v/>
      </c>
    </row>
    <row r="487" spans="1:33" x14ac:dyDescent="0.2">
      <c r="A487" t="str">
        <f t="shared" si="133"/>
        <v/>
      </c>
      <c r="B487" s="38" t="str">
        <f t="shared" si="134"/>
        <v/>
      </c>
      <c r="C487" s="38" t="str">
        <f t="shared" si="135"/>
        <v/>
      </c>
      <c r="D487" s="38" t="str">
        <f t="shared" si="136"/>
        <v/>
      </c>
      <c r="E487" s="38" t="str">
        <f t="shared" si="137"/>
        <v/>
      </c>
      <c r="F487" s="38" t="str">
        <f t="shared" si="138"/>
        <v/>
      </c>
      <c r="G487" s="38" t="str">
        <f t="shared" si="148"/>
        <v/>
      </c>
      <c r="H487" s="38" t="str">
        <f t="shared" si="149"/>
        <v/>
      </c>
      <c r="L487" t="str">
        <f t="shared" si="139"/>
        <v/>
      </c>
      <c r="M487" s="38" t="str">
        <f t="shared" si="140"/>
        <v/>
      </c>
      <c r="N487" s="38" t="str">
        <f t="shared" si="141"/>
        <v/>
      </c>
      <c r="O487" s="38" t="str">
        <f t="shared" si="142"/>
        <v/>
      </c>
      <c r="P487" s="38" t="str">
        <f t="shared" si="143"/>
        <v/>
      </c>
      <c r="Q487" s="38" t="str">
        <f t="shared" si="144"/>
        <v/>
      </c>
      <c r="R487" s="38" t="str">
        <f t="shared" si="145"/>
        <v/>
      </c>
      <c r="S487" s="38" t="str">
        <f t="shared" si="146"/>
        <v/>
      </c>
      <c r="T487" s="38" t="str">
        <f t="shared" si="147"/>
        <v/>
      </c>
      <c r="AF487" t="str">
        <f t="shared" si="132"/>
        <v/>
      </c>
      <c r="AG487" s="38" t="str">
        <f t="shared" si="131"/>
        <v/>
      </c>
    </row>
    <row r="488" spans="1:33" x14ac:dyDescent="0.2">
      <c r="A488" t="str">
        <f t="shared" si="133"/>
        <v/>
      </c>
      <c r="B488" s="38" t="str">
        <f t="shared" si="134"/>
        <v/>
      </c>
      <c r="C488" s="38" t="str">
        <f t="shared" si="135"/>
        <v/>
      </c>
      <c r="D488" s="38" t="str">
        <f t="shared" si="136"/>
        <v/>
      </c>
      <c r="E488" s="38" t="str">
        <f t="shared" si="137"/>
        <v/>
      </c>
      <c r="F488" s="38" t="str">
        <f t="shared" si="138"/>
        <v/>
      </c>
      <c r="G488" s="38" t="str">
        <f t="shared" si="148"/>
        <v/>
      </c>
      <c r="H488" s="38" t="str">
        <f t="shared" si="149"/>
        <v/>
      </c>
      <c r="L488" t="str">
        <f t="shared" si="139"/>
        <v/>
      </c>
      <c r="M488" s="38" t="str">
        <f t="shared" si="140"/>
        <v/>
      </c>
      <c r="N488" s="38" t="str">
        <f t="shared" si="141"/>
        <v/>
      </c>
      <c r="O488" s="38" t="str">
        <f t="shared" si="142"/>
        <v/>
      </c>
      <c r="P488" s="38" t="str">
        <f t="shared" si="143"/>
        <v/>
      </c>
      <c r="Q488" s="38" t="str">
        <f t="shared" si="144"/>
        <v/>
      </c>
      <c r="R488" s="38" t="str">
        <f t="shared" si="145"/>
        <v/>
      </c>
      <c r="S488" s="38" t="str">
        <f t="shared" si="146"/>
        <v/>
      </c>
      <c r="T488" s="38" t="str">
        <f t="shared" si="147"/>
        <v/>
      </c>
      <c r="AF488" t="str">
        <f t="shared" si="132"/>
        <v/>
      </c>
      <c r="AG488" s="38" t="str">
        <f t="shared" si="131"/>
        <v/>
      </c>
    </row>
    <row r="489" spans="1:33" x14ac:dyDescent="0.2">
      <c r="A489" t="str">
        <f t="shared" si="133"/>
        <v/>
      </c>
      <c r="B489" s="38" t="str">
        <f t="shared" si="134"/>
        <v/>
      </c>
      <c r="C489" s="38" t="str">
        <f t="shared" si="135"/>
        <v/>
      </c>
      <c r="D489" s="38" t="str">
        <f t="shared" si="136"/>
        <v/>
      </c>
      <c r="E489" s="38" t="str">
        <f t="shared" si="137"/>
        <v/>
      </c>
      <c r="F489" s="38" t="str">
        <f t="shared" si="138"/>
        <v/>
      </c>
      <c r="G489" s="38" t="str">
        <f t="shared" si="148"/>
        <v/>
      </c>
      <c r="H489" s="38" t="str">
        <f t="shared" si="149"/>
        <v/>
      </c>
      <c r="L489" t="str">
        <f t="shared" si="139"/>
        <v/>
      </c>
      <c r="M489" s="38" t="str">
        <f t="shared" si="140"/>
        <v/>
      </c>
      <c r="N489" s="38" t="str">
        <f t="shared" si="141"/>
        <v/>
      </c>
      <c r="O489" s="38" t="str">
        <f t="shared" si="142"/>
        <v/>
      </c>
      <c r="P489" s="38" t="str">
        <f t="shared" si="143"/>
        <v/>
      </c>
      <c r="Q489" s="38" t="str">
        <f t="shared" si="144"/>
        <v/>
      </c>
      <c r="R489" s="38" t="str">
        <f t="shared" si="145"/>
        <v/>
      </c>
      <c r="S489" s="38" t="str">
        <f t="shared" si="146"/>
        <v/>
      </c>
      <c r="T489" s="38" t="str">
        <f t="shared" si="147"/>
        <v/>
      </c>
      <c r="AF489" t="str">
        <f t="shared" si="132"/>
        <v/>
      </c>
      <c r="AG489" s="38" t="str">
        <f t="shared" si="131"/>
        <v/>
      </c>
    </row>
    <row r="490" spans="1:33" x14ac:dyDescent="0.2">
      <c r="A490" t="str">
        <f t="shared" si="133"/>
        <v/>
      </c>
      <c r="B490" s="38" t="str">
        <f t="shared" si="134"/>
        <v/>
      </c>
      <c r="C490" s="38" t="str">
        <f t="shared" si="135"/>
        <v/>
      </c>
      <c r="D490" s="38" t="str">
        <f t="shared" si="136"/>
        <v/>
      </c>
      <c r="E490" s="38" t="str">
        <f t="shared" si="137"/>
        <v/>
      </c>
      <c r="F490" s="38" t="str">
        <f t="shared" si="138"/>
        <v/>
      </c>
      <c r="G490" s="38" t="str">
        <f t="shared" si="148"/>
        <v/>
      </c>
      <c r="H490" s="38" t="str">
        <f t="shared" si="149"/>
        <v/>
      </c>
      <c r="L490" t="str">
        <f t="shared" si="139"/>
        <v/>
      </c>
      <c r="M490" s="38" t="str">
        <f t="shared" si="140"/>
        <v/>
      </c>
      <c r="N490" s="38" t="str">
        <f t="shared" si="141"/>
        <v/>
      </c>
      <c r="O490" s="38" t="str">
        <f t="shared" si="142"/>
        <v/>
      </c>
      <c r="P490" s="38" t="str">
        <f t="shared" si="143"/>
        <v/>
      </c>
      <c r="Q490" s="38" t="str">
        <f t="shared" si="144"/>
        <v/>
      </c>
      <c r="R490" s="38" t="str">
        <f t="shared" si="145"/>
        <v/>
      </c>
      <c r="S490" s="38" t="str">
        <f t="shared" si="146"/>
        <v/>
      </c>
      <c r="T490" s="38" t="str">
        <f t="shared" si="147"/>
        <v/>
      </c>
      <c r="AF490" t="str">
        <f t="shared" si="132"/>
        <v/>
      </c>
      <c r="AG490" s="38" t="str">
        <f t="shared" si="131"/>
        <v/>
      </c>
    </row>
    <row r="491" spans="1:33" x14ac:dyDescent="0.2">
      <c r="A491" t="str">
        <f t="shared" si="133"/>
        <v/>
      </c>
      <c r="B491" s="38" t="str">
        <f t="shared" si="134"/>
        <v/>
      </c>
      <c r="C491" s="38" t="str">
        <f t="shared" si="135"/>
        <v/>
      </c>
      <c r="D491" s="38" t="str">
        <f t="shared" si="136"/>
        <v/>
      </c>
      <c r="E491" s="38" t="str">
        <f t="shared" si="137"/>
        <v/>
      </c>
      <c r="F491" s="38" t="str">
        <f t="shared" si="138"/>
        <v/>
      </c>
      <c r="G491" s="38" t="str">
        <f t="shared" si="148"/>
        <v/>
      </c>
      <c r="H491" s="38" t="str">
        <f t="shared" si="149"/>
        <v/>
      </c>
      <c r="L491" t="str">
        <f t="shared" si="139"/>
        <v/>
      </c>
      <c r="M491" s="38" t="str">
        <f t="shared" si="140"/>
        <v/>
      </c>
      <c r="N491" s="38" t="str">
        <f t="shared" si="141"/>
        <v/>
      </c>
      <c r="O491" s="38" t="str">
        <f t="shared" si="142"/>
        <v/>
      </c>
      <c r="P491" s="38" t="str">
        <f t="shared" si="143"/>
        <v/>
      </c>
      <c r="Q491" s="38" t="str">
        <f t="shared" si="144"/>
        <v/>
      </c>
      <c r="R491" s="38" t="str">
        <f t="shared" si="145"/>
        <v/>
      </c>
      <c r="S491" s="38" t="str">
        <f t="shared" si="146"/>
        <v/>
      </c>
      <c r="T491" s="38" t="str">
        <f t="shared" si="147"/>
        <v/>
      </c>
      <c r="AF491" t="str">
        <f t="shared" si="132"/>
        <v/>
      </c>
      <c r="AG491" s="38" t="str">
        <f t="shared" si="131"/>
        <v/>
      </c>
    </row>
    <row r="492" spans="1:33" x14ac:dyDescent="0.2">
      <c r="A492" t="str">
        <f t="shared" si="133"/>
        <v/>
      </c>
      <c r="B492" s="38" t="str">
        <f t="shared" si="134"/>
        <v/>
      </c>
      <c r="C492" s="38" t="str">
        <f t="shared" si="135"/>
        <v/>
      </c>
      <c r="D492" s="38" t="str">
        <f t="shared" si="136"/>
        <v/>
      </c>
      <c r="E492" s="38" t="str">
        <f t="shared" si="137"/>
        <v/>
      </c>
      <c r="F492" s="38" t="str">
        <f t="shared" si="138"/>
        <v/>
      </c>
      <c r="G492" s="38" t="str">
        <f t="shared" si="148"/>
        <v/>
      </c>
      <c r="H492" s="38" t="str">
        <f t="shared" si="149"/>
        <v/>
      </c>
      <c r="L492" t="str">
        <f t="shared" si="139"/>
        <v/>
      </c>
      <c r="M492" s="38" t="str">
        <f t="shared" si="140"/>
        <v/>
      </c>
      <c r="N492" s="38" t="str">
        <f t="shared" si="141"/>
        <v/>
      </c>
      <c r="O492" s="38" t="str">
        <f t="shared" si="142"/>
        <v/>
      </c>
      <c r="P492" s="38" t="str">
        <f t="shared" si="143"/>
        <v/>
      </c>
      <c r="Q492" s="38" t="str">
        <f t="shared" si="144"/>
        <v/>
      </c>
      <c r="R492" s="38" t="str">
        <f t="shared" si="145"/>
        <v/>
      </c>
      <c r="S492" s="38" t="str">
        <f t="shared" si="146"/>
        <v/>
      </c>
      <c r="T492" s="38" t="str">
        <f t="shared" si="147"/>
        <v/>
      </c>
      <c r="AF492" t="str">
        <f t="shared" si="132"/>
        <v/>
      </c>
      <c r="AG492" s="38" t="str">
        <f t="shared" si="131"/>
        <v/>
      </c>
    </row>
    <row r="493" spans="1:33" x14ac:dyDescent="0.2">
      <c r="A493" t="str">
        <f t="shared" si="133"/>
        <v/>
      </c>
      <c r="B493" s="38" t="str">
        <f t="shared" si="134"/>
        <v/>
      </c>
      <c r="C493" s="38" t="str">
        <f t="shared" si="135"/>
        <v/>
      </c>
      <c r="D493" s="38" t="str">
        <f t="shared" si="136"/>
        <v/>
      </c>
      <c r="E493" s="38" t="str">
        <f t="shared" si="137"/>
        <v/>
      </c>
      <c r="F493" s="38" t="str">
        <f t="shared" si="138"/>
        <v/>
      </c>
      <c r="G493" s="38" t="str">
        <f t="shared" si="148"/>
        <v/>
      </c>
      <c r="H493" s="38" t="str">
        <f t="shared" si="149"/>
        <v/>
      </c>
      <c r="L493" t="str">
        <f t="shared" si="139"/>
        <v/>
      </c>
      <c r="M493" s="38" t="str">
        <f t="shared" si="140"/>
        <v/>
      </c>
      <c r="N493" s="38" t="str">
        <f t="shared" si="141"/>
        <v/>
      </c>
      <c r="O493" s="38" t="str">
        <f t="shared" si="142"/>
        <v/>
      </c>
      <c r="P493" s="38" t="str">
        <f t="shared" si="143"/>
        <v/>
      </c>
      <c r="Q493" s="38" t="str">
        <f t="shared" si="144"/>
        <v/>
      </c>
      <c r="R493" s="38" t="str">
        <f t="shared" si="145"/>
        <v/>
      </c>
      <c r="S493" s="38" t="str">
        <f t="shared" si="146"/>
        <v/>
      </c>
      <c r="T493" s="38" t="str">
        <f t="shared" si="147"/>
        <v/>
      </c>
      <c r="AF493" t="str">
        <f t="shared" si="132"/>
        <v/>
      </c>
      <c r="AG493" s="38" t="str">
        <f t="shared" si="131"/>
        <v/>
      </c>
    </row>
    <row r="494" spans="1:33" x14ac:dyDescent="0.2">
      <c r="A494" t="str">
        <f t="shared" si="133"/>
        <v/>
      </c>
      <c r="B494" s="38" t="str">
        <f t="shared" si="134"/>
        <v/>
      </c>
      <c r="C494" s="38" t="str">
        <f t="shared" si="135"/>
        <v/>
      </c>
      <c r="D494" s="38" t="str">
        <f t="shared" si="136"/>
        <v/>
      </c>
      <c r="E494" s="38" t="str">
        <f t="shared" si="137"/>
        <v/>
      </c>
      <c r="F494" s="38" t="str">
        <f t="shared" si="138"/>
        <v/>
      </c>
      <c r="G494" s="38" t="str">
        <f t="shared" si="148"/>
        <v/>
      </c>
      <c r="H494" s="38" t="str">
        <f t="shared" si="149"/>
        <v/>
      </c>
      <c r="L494" t="str">
        <f t="shared" si="139"/>
        <v/>
      </c>
      <c r="M494" s="38" t="str">
        <f t="shared" si="140"/>
        <v/>
      </c>
      <c r="N494" s="38" t="str">
        <f t="shared" si="141"/>
        <v/>
      </c>
      <c r="O494" s="38" t="str">
        <f t="shared" si="142"/>
        <v/>
      </c>
      <c r="P494" s="38" t="str">
        <f t="shared" si="143"/>
        <v/>
      </c>
      <c r="Q494" s="38" t="str">
        <f t="shared" si="144"/>
        <v/>
      </c>
      <c r="R494" s="38" t="str">
        <f t="shared" si="145"/>
        <v/>
      </c>
      <c r="S494" s="38" t="str">
        <f t="shared" si="146"/>
        <v/>
      </c>
      <c r="T494" s="38" t="str">
        <f t="shared" si="147"/>
        <v/>
      </c>
      <c r="AF494" t="str">
        <f t="shared" si="132"/>
        <v/>
      </c>
      <c r="AG494" s="38" t="str">
        <f t="shared" si="131"/>
        <v/>
      </c>
    </row>
    <row r="495" spans="1:33" x14ac:dyDescent="0.2">
      <c r="A495" t="str">
        <f t="shared" si="133"/>
        <v/>
      </c>
      <c r="B495" s="38" t="str">
        <f t="shared" si="134"/>
        <v/>
      </c>
      <c r="C495" s="38" t="str">
        <f t="shared" si="135"/>
        <v/>
      </c>
      <c r="D495" s="38" t="str">
        <f t="shared" si="136"/>
        <v/>
      </c>
      <c r="E495" s="38" t="str">
        <f t="shared" si="137"/>
        <v/>
      </c>
      <c r="F495" s="38" t="str">
        <f t="shared" si="138"/>
        <v/>
      </c>
      <c r="G495" s="38" t="str">
        <f t="shared" si="148"/>
        <v/>
      </c>
      <c r="H495" s="38" t="str">
        <f t="shared" si="149"/>
        <v/>
      </c>
      <c r="L495" t="str">
        <f t="shared" si="139"/>
        <v/>
      </c>
      <c r="M495" s="38" t="str">
        <f t="shared" si="140"/>
        <v/>
      </c>
      <c r="N495" s="38" t="str">
        <f t="shared" si="141"/>
        <v/>
      </c>
      <c r="O495" s="38" t="str">
        <f t="shared" si="142"/>
        <v/>
      </c>
      <c r="P495" s="38" t="str">
        <f t="shared" si="143"/>
        <v/>
      </c>
      <c r="Q495" s="38" t="str">
        <f t="shared" si="144"/>
        <v/>
      </c>
      <c r="R495" s="38" t="str">
        <f t="shared" si="145"/>
        <v/>
      </c>
      <c r="S495" s="38" t="str">
        <f t="shared" si="146"/>
        <v/>
      </c>
      <c r="T495" s="38" t="str">
        <f t="shared" si="147"/>
        <v/>
      </c>
      <c r="AF495" t="str">
        <f t="shared" si="132"/>
        <v/>
      </c>
      <c r="AG495" s="38" t="str">
        <f t="shared" si="131"/>
        <v/>
      </c>
    </row>
    <row r="496" spans="1:33" x14ac:dyDescent="0.2">
      <c r="A496" t="str">
        <f t="shared" si="133"/>
        <v/>
      </c>
      <c r="B496" s="38" t="str">
        <f t="shared" si="134"/>
        <v/>
      </c>
      <c r="C496" s="38" t="str">
        <f t="shared" si="135"/>
        <v/>
      </c>
      <c r="D496" s="38" t="str">
        <f t="shared" si="136"/>
        <v/>
      </c>
      <c r="E496" s="38" t="str">
        <f t="shared" si="137"/>
        <v/>
      </c>
      <c r="F496" s="38" t="str">
        <f t="shared" si="138"/>
        <v/>
      </c>
      <c r="G496" s="38" t="str">
        <f t="shared" si="148"/>
        <v/>
      </c>
      <c r="H496" s="38" t="str">
        <f t="shared" si="149"/>
        <v/>
      </c>
      <c r="L496" t="str">
        <f t="shared" si="139"/>
        <v/>
      </c>
      <c r="M496" s="38" t="str">
        <f t="shared" si="140"/>
        <v/>
      </c>
      <c r="N496" s="38" t="str">
        <f t="shared" si="141"/>
        <v/>
      </c>
      <c r="O496" s="38" t="str">
        <f t="shared" si="142"/>
        <v/>
      </c>
      <c r="P496" s="38" t="str">
        <f t="shared" si="143"/>
        <v/>
      </c>
      <c r="Q496" s="38" t="str">
        <f t="shared" si="144"/>
        <v/>
      </c>
      <c r="R496" s="38" t="str">
        <f t="shared" si="145"/>
        <v/>
      </c>
      <c r="S496" s="38" t="str">
        <f t="shared" si="146"/>
        <v/>
      </c>
      <c r="T496" s="38" t="str">
        <f t="shared" si="147"/>
        <v/>
      </c>
      <c r="AF496" t="str">
        <f t="shared" si="132"/>
        <v/>
      </c>
      <c r="AG496" s="38" t="str">
        <f t="shared" si="131"/>
        <v/>
      </c>
    </row>
    <row r="497" spans="1:33" x14ac:dyDescent="0.2">
      <c r="A497" t="str">
        <f t="shared" si="133"/>
        <v/>
      </c>
      <c r="B497" s="38" t="str">
        <f t="shared" si="134"/>
        <v/>
      </c>
      <c r="C497" s="38" t="str">
        <f t="shared" si="135"/>
        <v/>
      </c>
      <c r="D497" s="38" t="str">
        <f t="shared" si="136"/>
        <v/>
      </c>
      <c r="E497" s="38" t="str">
        <f t="shared" si="137"/>
        <v/>
      </c>
      <c r="F497" s="38" t="str">
        <f t="shared" si="138"/>
        <v/>
      </c>
      <c r="G497" s="38" t="str">
        <f t="shared" si="148"/>
        <v/>
      </c>
      <c r="H497" s="38" t="str">
        <f t="shared" si="149"/>
        <v/>
      </c>
      <c r="L497" t="str">
        <f t="shared" si="139"/>
        <v/>
      </c>
      <c r="M497" s="38" t="str">
        <f t="shared" si="140"/>
        <v/>
      </c>
      <c r="N497" s="38" t="str">
        <f t="shared" si="141"/>
        <v/>
      </c>
      <c r="O497" s="38" t="str">
        <f t="shared" si="142"/>
        <v/>
      </c>
      <c r="P497" s="38" t="str">
        <f t="shared" si="143"/>
        <v/>
      </c>
      <c r="Q497" s="38" t="str">
        <f t="shared" si="144"/>
        <v/>
      </c>
      <c r="R497" s="38" t="str">
        <f t="shared" si="145"/>
        <v/>
      </c>
      <c r="S497" s="38" t="str">
        <f t="shared" si="146"/>
        <v/>
      </c>
      <c r="T497" s="38" t="str">
        <f t="shared" si="147"/>
        <v/>
      </c>
      <c r="AF497" t="str">
        <f t="shared" si="132"/>
        <v/>
      </c>
      <c r="AG497" s="38" t="str">
        <f t="shared" si="131"/>
        <v/>
      </c>
    </row>
    <row r="498" spans="1:33" x14ac:dyDescent="0.2">
      <c r="A498" t="str">
        <f t="shared" si="133"/>
        <v/>
      </c>
      <c r="B498" s="38" t="str">
        <f t="shared" si="134"/>
        <v/>
      </c>
      <c r="C498" s="38" t="str">
        <f t="shared" si="135"/>
        <v/>
      </c>
      <c r="D498" s="38" t="str">
        <f t="shared" si="136"/>
        <v/>
      </c>
      <c r="E498" s="38" t="str">
        <f t="shared" si="137"/>
        <v/>
      </c>
      <c r="F498" s="38" t="str">
        <f t="shared" si="138"/>
        <v/>
      </c>
      <c r="G498" s="38" t="str">
        <f t="shared" si="148"/>
        <v/>
      </c>
      <c r="H498" s="38" t="str">
        <f t="shared" si="149"/>
        <v/>
      </c>
      <c r="L498" t="str">
        <f t="shared" si="139"/>
        <v/>
      </c>
      <c r="M498" s="38" t="str">
        <f t="shared" si="140"/>
        <v/>
      </c>
      <c r="N498" s="38" t="str">
        <f t="shared" si="141"/>
        <v/>
      </c>
      <c r="O498" s="38" t="str">
        <f t="shared" si="142"/>
        <v/>
      </c>
      <c r="P498" s="38" t="str">
        <f t="shared" si="143"/>
        <v/>
      </c>
      <c r="Q498" s="38" t="str">
        <f t="shared" si="144"/>
        <v/>
      </c>
      <c r="R498" s="38" t="str">
        <f t="shared" si="145"/>
        <v/>
      </c>
      <c r="S498" s="38" t="str">
        <f t="shared" si="146"/>
        <v/>
      </c>
      <c r="T498" s="38" t="str">
        <f t="shared" si="147"/>
        <v/>
      </c>
      <c r="AF498" t="str">
        <f t="shared" si="132"/>
        <v/>
      </c>
      <c r="AG498" s="38" t="str">
        <f t="shared" si="131"/>
        <v/>
      </c>
    </row>
    <row r="499" spans="1:33" x14ac:dyDescent="0.2">
      <c r="A499" t="str">
        <f t="shared" si="133"/>
        <v/>
      </c>
      <c r="B499" s="38" t="str">
        <f t="shared" si="134"/>
        <v/>
      </c>
      <c r="C499" s="38" t="str">
        <f t="shared" si="135"/>
        <v/>
      </c>
      <c r="D499" s="38" t="str">
        <f t="shared" si="136"/>
        <v/>
      </c>
      <c r="E499" s="38" t="str">
        <f t="shared" si="137"/>
        <v/>
      </c>
      <c r="F499" s="38" t="str">
        <f t="shared" si="138"/>
        <v/>
      </c>
      <c r="G499" s="38" t="str">
        <f t="shared" si="148"/>
        <v/>
      </c>
      <c r="H499" s="38" t="str">
        <f t="shared" si="149"/>
        <v/>
      </c>
      <c r="L499" t="str">
        <f t="shared" si="139"/>
        <v/>
      </c>
      <c r="M499" s="38" t="str">
        <f t="shared" si="140"/>
        <v/>
      </c>
      <c r="N499" s="38" t="str">
        <f t="shared" si="141"/>
        <v/>
      </c>
      <c r="O499" s="38" t="str">
        <f t="shared" si="142"/>
        <v/>
      </c>
      <c r="P499" s="38" t="str">
        <f t="shared" si="143"/>
        <v/>
      </c>
      <c r="Q499" s="38" t="str">
        <f t="shared" si="144"/>
        <v/>
      </c>
      <c r="R499" s="38" t="str">
        <f t="shared" si="145"/>
        <v/>
      </c>
      <c r="S499" s="38" t="str">
        <f t="shared" si="146"/>
        <v/>
      </c>
      <c r="T499" s="38" t="str">
        <f t="shared" si="147"/>
        <v/>
      </c>
      <c r="AF499" t="str">
        <f t="shared" si="132"/>
        <v/>
      </c>
      <c r="AG499" s="38" t="str">
        <f t="shared" si="131"/>
        <v/>
      </c>
    </row>
    <row r="500" spans="1:33" x14ac:dyDescent="0.2">
      <c r="A500" t="str">
        <f t="shared" si="133"/>
        <v/>
      </c>
      <c r="B500" s="38" t="str">
        <f t="shared" si="134"/>
        <v/>
      </c>
      <c r="C500" s="38" t="str">
        <f t="shared" si="135"/>
        <v/>
      </c>
      <c r="D500" s="38" t="str">
        <f t="shared" si="136"/>
        <v/>
      </c>
      <c r="E500" s="38" t="str">
        <f t="shared" si="137"/>
        <v/>
      </c>
      <c r="F500" s="38" t="str">
        <f t="shared" si="138"/>
        <v/>
      </c>
      <c r="G500" s="38" t="str">
        <f t="shared" si="148"/>
        <v/>
      </c>
      <c r="H500" s="38" t="str">
        <f t="shared" si="149"/>
        <v/>
      </c>
      <c r="L500" t="str">
        <f t="shared" si="139"/>
        <v/>
      </c>
      <c r="M500" s="38" t="str">
        <f t="shared" si="140"/>
        <v/>
      </c>
      <c r="N500" s="38" t="str">
        <f t="shared" si="141"/>
        <v/>
      </c>
      <c r="O500" s="38" t="str">
        <f t="shared" si="142"/>
        <v/>
      </c>
      <c r="P500" s="38" t="str">
        <f t="shared" si="143"/>
        <v/>
      </c>
      <c r="Q500" s="38" t="str">
        <f t="shared" si="144"/>
        <v/>
      </c>
      <c r="R500" s="38" t="str">
        <f t="shared" si="145"/>
        <v/>
      </c>
      <c r="S500" s="38" t="str">
        <f t="shared" si="146"/>
        <v/>
      </c>
      <c r="T500" s="38" t="str">
        <f t="shared" si="147"/>
        <v/>
      </c>
      <c r="AF500" t="str">
        <f t="shared" si="132"/>
        <v/>
      </c>
      <c r="AG500" s="38" t="str">
        <f t="shared" si="131"/>
        <v/>
      </c>
    </row>
    <row r="501" spans="1:33" x14ac:dyDescent="0.2">
      <c r="A501" t="str">
        <f t="shared" si="133"/>
        <v/>
      </c>
      <c r="B501" s="38" t="str">
        <f t="shared" si="134"/>
        <v/>
      </c>
      <c r="C501" s="38" t="str">
        <f t="shared" si="135"/>
        <v/>
      </c>
      <c r="D501" s="38" t="str">
        <f t="shared" si="136"/>
        <v/>
      </c>
      <c r="E501" s="38" t="str">
        <f t="shared" si="137"/>
        <v/>
      </c>
      <c r="F501" s="38" t="str">
        <f t="shared" si="138"/>
        <v/>
      </c>
      <c r="G501" s="38" t="str">
        <f t="shared" si="148"/>
        <v/>
      </c>
      <c r="H501" s="38" t="str">
        <f t="shared" si="149"/>
        <v/>
      </c>
      <c r="L501" t="str">
        <f t="shared" si="139"/>
        <v/>
      </c>
      <c r="M501" s="38" t="str">
        <f t="shared" si="140"/>
        <v/>
      </c>
      <c r="N501" s="38" t="str">
        <f t="shared" si="141"/>
        <v/>
      </c>
      <c r="O501" s="38" t="str">
        <f t="shared" si="142"/>
        <v/>
      </c>
      <c r="P501" s="38" t="str">
        <f t="shared" si="143"/>
        <v/>
      </c>
      <c r="Q501" s="38" t="str">
        <f t="shared" si="144"/>
        <v/>
      </c>
      <c r="R501" s="38" t="str">
        <f t="shared" si="145"/>
        <v/>
      </c>
      <c r="S501" s="38" t="str">
        <f t="shared" si="146"/>
        <v/>
      </c>
      <c r="T501" s="38" t="str">
        <f t="shared" si="147"/>
        <v/>
      </c>
      <c r="AF501" t="str">
        <f t="shared" si="132"/>
        <v/>
      </c>
      <c r="AG501" s="38" t="str">
        <f t="shared" si="131"/>
        <v/>
      </c>
    </row>
    <row r="502" spans="1:33" x14ac:dyDescent="0.2">
      <c r="A502" t="str">
        <f t="shared" si="133"/>
        <v/>
      </c>
      <c r="B502" s="38" t="str">
        <f t="shared" si="134"/>
        <v/>
      </c>
      <c r="C502" s="38" t="str">
        <f t="shared" si="135"/>
        <v/>
      </c>
      <c r="D502" s="38" t="str">
        <f t="shared" si="136"/>
        <v/>
      </c>
      <c r="E502" s="38" t="str">
        <f t="shared" si="137"/>
        <v/>
      </c>
      <c r="F502" s="38" t="str">
        <f t="shared" si="138"/>
        <v/>
      </c>
      <c r="G502" s="38" t="str">
        <f t="shared" si="148"/>
        <v/>
      </c>
      <c r="H502" s="38" t="str">
        <f t="shared" si="149"/>
        <v/>
      </c>
      <c r="L502" t="str">
        <f t="shared" si="139"/>
        <v/>
      </c>
      <c r="M502" s="38" t="str">
        <f t="shared" si="140"/>
        <v/>
      </c>
      <c r="N502" s="38" t="str">
        <f t="shared" si="141"/>
        <v/>
      </c>
      <c r="O502" s="38" t="str">
        <f t="shared" si="142"/>
        <v/>
      </c>
      <c r="P502" s="38" t="str">
        <f t="shared" si="143"/>
        <v/>
      </c>
      <c r="Q502" s="38" t="str">
        <f t="shared" si="144"/>
        <v/>
      </c>
      <c r="R502" s="38" t="str">
        <f t="shared" si="145"/>
        <v/>
      </c>
      <c r="S502" s="38" t="str">
        <f t="shared" si="146"/>
        <v/>
      </c>
      <c r="T502" s="38" t="str">
        <f t="shared" si="147"/>
        <v/>
      </c>
      <c r="AF502" t="str">
        <f t="shared" si="132"/>
        <v/>
      </c>
      <c r="AG502" s="38" t="str">
        <f t="shared" si="131"/>
        <v/>
      </c>
    </row>
    <row r="503" spans="1:33" x14ac:dyDescent="0.2">
      <c r="A503" t="str">
        <f t="shared" si="133"/>
        <v/>
      </c>
      <c r="B503" s="38" t="str">
        <f t="shared" si="134"/>
        <v/>
      </c>
      <c r="C503" s="38" t="str">
        <f t="shared" si="135"/>
        <v/>
      </c>
      <c r="D503" s="38" t="str">
        <f t="shared" si="136"/>
        <v/>
      </c>
      <c r="E503" s="38" t="str">
        <f t="shared" si="137"/>
        <v/>
      </c>
      <c r="F503" s="38" t="str">
        <f t="shared" si="138"/>
        <v/>
      </c>
      <c r="G503" s="38" t="str">
        <f t="shared" si="148"/>
        <v/>
      </c>
      <c r="H503" s="38" t="str">
        <f t="shared" si="149"/>
        <v/>
      </c>
      <c r="L503" t="str">
        <f t="shared" si="139"/>
        <v/>
      </c>
      <c r="M503" s="38" t="str">
        <f t="shared" si="140"/>
        <v/>
      </c>
      <c r="N503" s="38" t="str">
        <f t="shared" si="141"/>
        <v/>
      </c>
      <c r="O503" s="38" t="str">
        <f t="shared" si="142"/>
        <v/>
      </c>
      <c r="P503" s="38" t="str">
        <f t="shared" si="143"/>
        <v/>
      </c>
      <c r="Q503" s="38" t="str">
        <f t="shared" si="144"/>
        <v/>
      </c>
      <c r="R503" s="38" t="str">
        <f t="shared" si="145"/>
        <v/>
      </c>
      <c r="S503" s="38" t="str">
        <f t="shared" si="146"/>
        <v/>
      </c>
      <c r="T503" s="38" t="str">
        <f t="shared" si="147"/>
        <v/>
      </c>
      <c r="AF503" t="str">
        <f t="shared" si="132"/>
        <v/>
      </c>
      <c r="AG503" s="38" t="str">
        <f t="shared" si="131"/>
        <v/>
      </c>
    </row>
    <row r="504" spans="1:33" x14ac:dyDescent="0.2">
      <c r="A504" t="str">
        <f t="shared" si="133"/>
        <v/>
      </c>
      <c r="B504" s="38" t="str">
        <f t="shared" si="134"/>
        <v/>
      </c>
      <c r="C504" s="38" t="str">
        <f t="shared" si="135"/>
        <v/>
      </c>
      <c r="D504" s="38" t="str">
        <f t="shared" si="136"/>
        <v/>
      </c>
      <c r="E504" s="38" t="str">
        <f t="shared" si="137"/>
        <v/>
      </c>
      <c r="F504" s="38" t="str">
        <f t="shared" si="138"/>
        <v/>
      </c>
      <c r="G504" s="38" t="str">
        <f t="shared" si="148"/>
        <v/>
      </c>
      <c r="H504" s="38" t="str">
        <f t="shared" si="149"/>
        <v/>
      </c>
      <c r="L504" t="str">
        <f t="shared" si="139"/>
        <v/>
      </c>
      <c r="M504" s="38" t="str">
        <f t="shared" si="140"/>
        <v/>
      </c>
      <c r="N504" s="38" t="str">
        <f t="shared" si="141"/>
        <v/>
      </c>
      <c r="O504" s="38" t="str">
        <f t="shared" si="142"/>
        <v/>
      </c>
      <c r="P504" s="38" t="str">
        <f t="shared" si="143"/>
        <v/>
      </c>
      <c r="Q504" s="38" t="str">
        <f t="shared" si="144"/>
        <v/>
      </c>
      <c r="R504" s="38" t="str">
        <f t="shared" si="145"/>
        <v/>
      </c>
      <c r="S504" s="38" t="str">
        <f t="shared" si="146"/>
        <v/>
      </c>
      <c r="T504" s="38" t="str">
        <f t="shared" si="147"/>
        <v/>
      </c>
      <c r="AF504" t="str">
        <f t="shared" si="132"/>
        <v/>
      </c>
      <c r="AG504" s="38" t="str">
        <f t="shared" si="131"/>
        <v/>
      </c>
    </row>
    <row r="505" spans="1:33" x14ac:dyDescent="0.2">
      <c r="A505" t="str">
        <f t="shared" si="133"/>
        <v/>
      </c>
      <c r="B505" s="38" t="str">
        <f t="shared" si="134"/>
        <v/>
      </c>
      <c r="C505" s="38" t="str">
        <f t="shared" si="135"/>
        <v/>
      </c>
      <c r="D505" s="38" t="str">
        <f t="shared" si="136"/>
        <v/>
      </c>
      <c r="E505" s="38" t="str">
        <f t="shared" si="137"/>
        <v/>
      </c>
      <c r="F505" s="38" t="str">
        <f t="shared" si="138"/>
        <v/>
      </c>
      <c r="G505" s="38" t="str">
        <f t="shared" si="148"/>
        <v/>
      </c>
      <c r="H505" s="38" t="str">
        <f t="shared" si="149"/>
        <v/>
      </c>
      <c r="L505" t="str">
        <f t="shared" si="139"/>
        <v/>
      </c>
      <c r="M505" s="38" t="str">
        <f t="shared" si="140"/>
        <v/>
      </c>
      <c r="N505" s="38" t="str">
        <f t="shared" si="141"/>
        <v/>
      </c>
      <c r="O505" s="38" t="str">
        <f t="shared" si="142"/>
        <v/>
      </c>
      <c r="P505" s="38" t="str">
        <f t="shared" si="143"/>
        <v/>
      </c>
      <c r="Q505" s="38" t="str">
        <f t="shared" si="144"/>
        <v/>
      </c>
      <c r="R505" s="38" t="str">
        <f t="shared" si="145"/>
        <v/>
      </c>
      <c r="S505" s="38" t="str">
        <f t="shared" si="146"/>
        <v/>
      </c>
      <c r="T505" s="38" t="str">
        <f t="shared" si="147"/>
        <v/>
      </c>
      <c r="AF505" t="str">
        <f t="shared" si="132"/>
        <v/>
      </c>
      <c r="AG505" s="38" t="str">
        <f t="shared" si="131"/>
        <v/>
      </c>
    </row>
    <row r="506" spans="1:33" x14ac:dyDescent="0.2">
      <c r="A506" t="str">
        <f t="shared" si="133"/>
        <v/>
      </c>
      <c r="B506" s="38" t="str">
        <f t="shared" si="134"/>
        <v/>
      </c>
      <c r="C506" s="38" t="str">
        <f t="shared" si="135"/>
        <v/>
      </c>
      <c r="D506" s="38" t="str">
        <f t="shared" si="136"/>
        <v/>
      </c>
      <c r="E506" s="38" t="str">
        <f t="shared" si="137"/>
        <v/>
      </c>
      <c r="F506" s="38" t="str">
        <f t="shared" si="138"/>
        <v/>
      </c>
      <c r="G506" s="38" t="str">
        <f t="shared" si="148"/>
        <v/>
      </c>
      <c r="H506" s="38" t="str">
        <f t="shared" si="149"/>
        <v/>
      </c>
      <c r="L506" t="str">
        <f t="shared" si="139"/>
        <v/>
      </c>
      <c r="M506" s="38" t="str">
        <f t="shared" si="140"/>
        <v/>
      </c>
      <c r="N506" s="38" t="str">
        <f t="shared" si="141"/>
        <v/>
      </c>
      <c r="O506" s="38" t="str">
        <f t="shared" si="142"/>
        <v/>
      </c>
      <c r="P506" s="38" t="str">
        <f t="shared" si="143"/>
        <v/>
      </c>
      <c r="Q506" s="38" t="str">
        <f t="shared" si="144"/>
        <v/>
      </c>
      <c r="R506" s="38" t="str">
        <f t="shared" si="145"/>
        <v/>
      </c>
      <c r="S506" s="38" t="str">
        <f t="shared" si="146"/>
        <v/>
      </c>
      <c r="T506" s="38" t="str">
        <f t="shared" si="147"/>
        <v/>
      </c>
      <c r="AF506" t="str">
        <f t="shared" si="132"/>
        <v/>
      </c>
      <c r="AG506" s="38" t="str">
        <f t="shared" si="131"/>
        <v/>
      </c>
    </row>
    <row r="507" spans="1:33" x14ac:dyDescent="0.2">
      <c r="A507" t="str">
        <f t="shared" si="133"/>
        <v/>
      </c>
      <c r="B507" s="38" t="str">
        <f t="shared" si="134"/>
        <v/>
      </c>
      <c r="C507" s="38" t="str">
        <f t="shared" si="135"/>
        <v/>
      </c>
      <c r="D507" s="38" t="str">
        <f t="shared" si="136"/>
        <v/>
      </c>
      <c r="E507" s="38" t="str">
        <f t="shared" si="137"/>
        <v/>
      </c>
      <c r="F507" s="38" t="str">
        <f t="shared" si="138"/>
        <v/>
      </c>
      <c r="G507" s="38" t="str">
        <f t="shared" si="148"/>
        <v/>
      </c>
      <c r="H507" s="38" t="str">
        <f t="shared" si="149"/>
        <v/>
      </c>
      <c r="L507" t="str">
        <f t="shared" si="139"/>
        <v/>
      </c>
      <c r="M507" s="38" t="str">
        <f t="shared" si="140"/>
        <v/>
      </c>
      <c r="N507" s="38" t="str">
        <f t="shared" si="141"/>
        <v/>
      </c>
      <c r="O507" s="38" t="str">
        <f t="shared" si="142"/>
        <v/>
      </c>
      <c r="P507" s="38" t="str">
        <f t="shared" si="143"/>
        <v/>
      </c>
      <c r="Q507" s="38" t="str">
        <f t="shared" si="144"/>
        <v/>
      </c>
      <c r="R507" s="38" t="str">
        <f t="shared" si="145"/>
        <v/>
      </c>
      <c r="S507" s="38" t="str">
        <f t="shared" si="146"/>
        <v/>
      </c>
      <c r="T507" s="38" t="str">
        <f t="shared" si="147"/>
        <v/>
      </c>
      <c r="AF507" t="str">
        <f t="shared" si="132"/>
        <v/>
      </c>
      <c r="AG507" s="38" t="str">
        <f t="shared" si="131"/>
        <v/>
      </c>
    </row>
    <row r="508" spans="1:33" x14ac:dyDescent="0.2">
      <c r="A508" t="str">
        <f t="shared" si="133"/>
        <v/>
      </c>
      <c r="B508" s="38" t="str">
        <f t="shared" si="134"/>
        <v/>
      </c>
      <c r="C508" s="38" t="str">
        <f t="shared" si="135"/>
        <v/>
      </c>
      <c r="D508" s="38" t="str">
        <f t="shared" si="136"/>
        <v/>
      </c>
      <c r="E508" s="38" t="str">
        <f t="shared" si="137"/>
        <v/>
      </c>
      <c r="F508" s="38" t="str">
        <f t="shared" si="138"/>
        <v/>
      </c>
      <c r="G508" s="38" t="str">
        <f t="shared" si="148"/>
        <v/>
      </c>
      <c r="H508" s="38" t="str">
        <f t="shared" si="149"/>
        <v/>
      </c>
      <c r="L508" t="str">
        <f t="shared" si="139"/>
        <v/>
      </c>
      <c r="M508" s="38" t="str">
        <f t="shared" si="140"/>
        <v/>
      </c>
      <c r="N508" s="38" t="str">
        <f t="shared" si="141"/>
        <v/>
      </c>
      <c r="O508" s="38" t="str">
        <f t="shared" si="142"/>
        <v/>
      </c>
      <c r="P508" s="38" t="str">
        <f t="shared" si="143"/>
        <v/>
      </c>
      <c r="Q508" s="38" t="str">
        <f t="shared" si="144"/>
        <v/>
      </c>
      <c r="R508" s="38" t="str">
        <f t="shared" si="145"/>
        <v/>
      </c>
      <c r="S508" s="38" t="str">
        <f t="shared" si="146"/>
        <v/>
      </c>
      <c r="T508" s="38" t="str">
        <f t="shared" si="147"/>
        <v/>
      </c>
      <c r="AF508" t="str">
        <f t="shared" si="132"/>
        <v/>
      </c>
      <c r="AG508" s="38" t="str">
        <f t="shared" si="131"/>
        <v/>
      </c>
    </row>
    <row r="509" spans="1:33" x14ac:dyDescent="0.2">
      <c r="A509" t="str">
        <f t="shared" si="133"/>
        <v/>
      </c>
      <c r="B509" s="38" t="str">
        <f t="shared" si="134"/>
        <v/>
      </c>
      <c r="C509" s="38" t="str">
        <f t="shared" si="135"/>
        <v/>
      </c>
      <c r="D509" s="38" t="str">
        <f t="shared" si="136"/>
        <v/>
      </c>
      <c r="E509" s="38" t="str">
        <f t="shared" si="137"/>
        <v/>
      </c>
      <c r="F509" s="38" t="str">
        <f t="shared" si="138"/>
        <v/>
      </c>
      <c r="G509" s="38" t="str">
        <f t="shared" si="148"/>
        <v/>
      </c>
      <c r="H509" s="38" t="str">
        <f t="shared" si="149"/>
        <v/>
      </c>
      <c r="L509" t="str">
        <f t="shared" si="139"/>
        <v/>
      </c>
      <c r="M509" s="38" t="str">
        <f t="shared" si="140"/>
        <v/>
      </c>
      <c r="N509" s="38" t="str">
        <f t="shared" si="141"/>
        <v/>
      </c>
      <c r="O509" s="38" t="str">
        <f t="shared" si="142"/>
        <v/>
      </c>
      <c r="P509" s="38" t="str">
        <f t="shared" si="143"/>
        <v/>
      </c>
      <c r="Q509" s="38" t="str">
        <f t="shared" si="144"/>
        <v/>
      </c>
      <c r="R509" s="38" t="str">
        <f t="shared" si="145"/>
        <v/>
      </c>
      <c r="S509" s="38" t="str">
        <f t="shared" si="146"/>
        <v/>
      </c>
      <c r="T509" s="38" t="str">
        <f t="shared" si="147"/>
        <v/>
      </c>
      <c r="AF509" t="str">
        <f t="shared" si="132"/>
        <v/>
      </c>
      <c r="AG509" s="38" t="str">
        <f t="shared" si="131"/>
        <v/>
      </c>
    </row>
    <row r="510" spans="1:33" x14ac:dyDescent="0.2">
      <c r="A510" t="str">
        <f t="shared" si="133"/>
        <v/>
      </c>
      <c r="B510" s="38" t="str">
        <f t="shared" si="134"/>
        <v/>
      </c>
      <c r="C510" s="38" t="str">
        <f t="shared" si="135"/>
        <v/>
      </c>
      <c r="D510" s="38" t="str">
        <f t="shared" si="136"/>
        <v/>
      </c>
      <c r="E510" s="38" t="str">
        <f t="shared" si="137"/>
        <v/>
      </c>
      <c r="F510" s="38" t="str">
        <f t="shared" si="138"/>
        <v/>
      </c>
      <c r="G510" s="38" t="str">
        <f t="shared" si="148"/>
        <v/>
      </c>
      <c r="H510" s="38" t="str">
        <f t="shared" si="149"/>
        <v/>
      </c>
      <c r="L510" t="str">
        <f t="shared" si="139"/>
        <v/>
      </c>
      <c r="M510" s="38" t="str">
        <f t="shared" si="140"/>
        <v/>
      </c>
      <c r="N510" s="38" t="str">
        <f t="shared" si="141"/>
        <v/>
      </c>
      <c r="O510" s="38" t="str">
        <f t="shared" si="142"/>
        <v/>
      </c>
      <c r="P510" s="38" t="str">
        <f t="shared" si="143"/>
        <v/>
      </c>
      <c r="Q510" s="38" t="str">
        <f t="shared" si="144"/>
        <v/>
      </c>
      <c r="R510" s="38" t="str">
        <f t="shared" si="145"/>
        <v/>
      </c>
      <c r="S510" s="38" t="str">
        <f t="shared" si="146"/>
        <v/>
      </c>
      <c r="T510" s="38" t="str">
        <f t="shared" si="147"/>
        <v/>
      </c>
      <c r="AF510" t="str">
        <f t="shared" si="132"/>
        <v/>
      </c>
      <c r="AG510" s="38" t="str">
        <f t="shared" si="131"/>
        <v/>
      </c>
    </row>
    <row r="511" spans="1:33" x14ac:dyDescent="0.2">
      <c r="A511" t="str">
        <f t="shared" si="133"/>
        <v/>
      </c>
      <c r="B511" s="38" t="str">
        <f t="shared" si="134"/>
        <v/>
      </c>
      <c r="C511" s="38" t="str">
        <f t="shared" si="135"/>
        <v/>
      </c>
      <c r="D511" s="38" t="str">
        <f t="shared" si="136"/>
        <v/>
      </c>
      <c r="E511" s="38" t="str">
        <f t="shared" si="137"/>
        <v/>
      </c>
      <c r="F511" s="38" t="str">
        <f t="shared" si="138"/>
        <v/>
      </c>
      <c r="G511" s="38" t="str">
        <f t="shared" si="148"/>
        <v/>
      </c>
      <c r="H511" s="38" t="str">
        <f t="shared" si="149"/>
        <v/>
      </c>
      <c r="L511" t="str">
        <f t="shared" si="139"/>
        <v/>
      </c>
      <c r="M511" s="38" t="str">
        <f t="shared" si="140"/>
        <v/>
      </c>
      <c r="N511" s="38" t="str">
        <f t="shared" si="141"/>
        <v/>
      </c>
      <c r="O511" s="38" t="str">
        <f t="shared" si="142"/>
        <v/>
      </c>
      <c r="P511" s="38" t="str">
        <f t="shared" si="143"/>
        <v/>
      </c>
      <c r="Q511" s="38" t="str">
        <f t="shared" si="144"/>
        <v/>
      </c>
      <c r="R511" s="38" t="str">
        <f t="shared" si="145"/>
        <v/>
      </c>
      <c r="S511" s="38" t="str">
        <f t="shared" si="146"/>
        <v/>
      </c>
      <c r="T511" s="38" t="str">
        <f t="shared" si="147"/>
        <v/>
      </c>
      <c r="AF511" t="str">
        <f t="shared" si="132"/>
        <v/>
      </c>
      <c r="AG511" s="38" t="str">
        <f t="shared" si="131"/>
        <v/>
      </c>
    </row>
    <row r="512" spans="1:33" x14ac:dyDescent="0.2">
      <c r="A512" t="str">
        <f t="shared" si="133"/>
        <v/>
      </c>
      <c r="B512" s="38" t="str">
        <f t="shared" si="134"/>
        <v/>
      </c>
      <c r="C512" s="38" t="str">
        <f t="shared" si="135"/>
        <v/>
      </c>
      <c r="D512" s="38" t="str">
        <f t="shared" si="136"/>
        <v/>
      </c>
      <c r="E512" s="38" t="str">
        <f t="shared" si="137"/>
        <v/>
      </c>
      <c r="F512" s="38" t="str">
        <f t="shared" si="138"/>
        <v/>
      </c>
      <c r="G512" s="38" t="str">
        <f t="shared" si="148"/>
        <v/>
      </c>
      <c r="H512" s="38" t="str">
        <f t="shared" si="149"/>
        <v/>
      </c>
      <c r="L512" t="str">
        <f t="shared" si="139"/>
        <v/>
      </c>
      <c r="M512" s="38" t="str">
        <f t="shared" si="140"/>
        <v/>
      </c>
      <c r="N512" s="38" t="str">
        <f t="shared" si="141"/>
        <v/>
      </c>
      <c r="O512" s="38" t="str">
        <f t="shared" si="142"/>
        <v/>
      </c>
      <c r="P512" s="38" t="str">
        <f t="shared" si="143"/>
        <v/>
      </c>
      <c r="Q512" s="38" t="str">
        <f t="shared" si="144"/>
        <v/>
      </c>
      <c r="R512" s="38" t="str">
        <f t="shared" si="145"/>
        <v/>
      </c>
      <c r="S512" s="38" t="str">
        <f t="shared" si="146"/>
        <v/>
      </c>
      <c r="T512" s="38" t="str">
        <f t="shared" si="147"/>
        <v/>
      </c>
      <c r="AF512" t="str">
        <f t="shared" si="132"/>
        <v/>
      </c>
      <c r="AG512" s="38" t="str">
        <f t="shared" si="131"/>
        <v/>
      </c>
    </row>
    <row r="513" spans="1:33" x14ac:dyDescent="0.2">
      <c r="A513" t="str">
        <f t="shared" si="133"/>
        <v/>
      </c>
      <c r="B513" s="38" t="str">
        <f t="shared" si="134"/>
        <v/>
      </c>
      <c r="C513" s="38" t="str">
        <f t="shared" si="135"/>
        <v/>
      </c>
      <c r="D513" s="38" t="str">
        <f t="shared" si="136"/>
        <v/>
      </c>
      <c r="E513" s="38" t="str">
        <f t="shared" si="137"/>
        <v/>
      </c>
      <c r="F513" s="38" t="str">
        <f t="shared" si="138"/>
        <v/>
      </c>
      <c r="G513" s="38" t="str">
        <f t="shared" si="148"/>
        <v/>
      </c>
      <c r="H513" s="38" t="str">
        <f t="shared" si="149"/>
        <v/>
      </c>
      <c r="L513" t="str">
        <f t="shared" si="139"/>
        <v/>
      </c>
      <c r="M513" s="38" t="str">
        <f t="shared" si="140"/>
        <v/>
      </c>
      <c r="N513" s="38" t="str">
        <f t="shared" si="141"/>
        <v/>
      </c>
      <c r="O513" s="38" t="str">
        <f t="shared" si="142"/>
        <v/>
      </c>
      <c r="P513" s="38" t="str">
        <f t="shared" si="143"/>
        <v/>
      </c>
      <c r="Q513" s="38" t="str">
        <f t="shared" si="144"/>
        <v/>
      </c>
      <c r="R513" s="38" t="str">
        <f t="shared" si="145"/>
        <v/>
      </c>
      <c r="S513" s="38" t="str">
        <f t="shared" si="146"/>
        <v/>
      </c>
      <c r="T513" s="38" t="str">
        <f t="shared" si="147"/>
        <v/>
      </c>
      <c r="AF513" t="str">
        <f t="shared" si="132"/>
        <v/>
      </c>
      <c r="AG513" s="38" t="str">
        <f t="shared" si="131"/>
        <v/>
      </c>
    </row>
    <row r="514" spans="1:33" x14ac:dyDescent="0.2">
      <c r="A514" t="str">
        <f t="shared" si="133"/>
        <v/>
      </c>
      <c r="B514" s="38" t="str">
        <f t="shared" si="134"/>
        <v/>
      </c>
      <c r="C514" s="38" t="str">
        <f t="shared" si="135"/>
        <v/>
      </c>
      <c r="D514" s="38" t="str">
        <f t="shared" si="136"/>
        <v/>
      </c>
      <c r="E514" s="38" t="str">
        <f t="shared" si="137"/>
        <v/>
      </c>
      <c r="F514" s="38" t="str">
        <f t="shared" si="138"/>
        <v/>
      </c>
      <c r="G514" s="38" t="str">
        <f t="shared" si="148"/>
        <v/>
      </c>
      <c r="H514" s="38" t="str">
        <f t="shared" si="149"/>
        <v/>
      </c>
      <c r="L514" t="str">
        <f t="shared" si="139"/>
        <v/>
      </c>
      <c r="M514" s="38" t="str">
        <f t="shared" si="140"/>
        <v/>
      </c>
      <c r="N514" s="38" t="str">
        <f t="shared" si="141"/>
        <v/>
      </c>
      <c r="O514" s="38" t="str">
        <f t="shared" si="142"/>
        <v/>
      </c>
      <c r="P514" s="38" t="str">
        <f t="shared" si="143"/>
        <v/>
      </c>
      <c r="Q514" s="38" t="str">
        <f t="shared" si="144"/>
        <v/>
      </c>
      <c r="R514" s="38" t="str">
        <f t="shared" si="145"/>
        <v/>
      </c>
      <c r="S514" s="38" t="str">
        <f t="shared" si="146"/>
        <v/>
      </c>
      <c r="T514" s="38" t="str">
        <f t="shared" si="147"/>
        <v/>
      </c>
      <c r="AF514" t="str">
        <f t="shared" si="132"/>
        <v/>
      </c>
      <c r="AG514" s="38" t="str">
        <f t="shared" si="131"/>
        <v/>
      </c>
    </row>
    <row r="515" spans="1:33" x14ac:dyDescent="0.2">
      <c r="A515" t="str">
        <f t="shared" si="133"/>
        <v/>
      </c>
      <c r="B515" s="38" t="str">
        <f t="shared" si="134"/>
        <v/>
      </c>
      <c r="C515" s="38" t="str">
        <f t="shared" si="135"/>
        <v/>
      </c>
      <c r="D515" s="38" t="str">
        <f t="shared" si="136"/>
        <v/>
      </c>
      <c r="E515" s="38" t="str">
        <f t="shared" si="137"/>
        <v/>
      </c>
      <c r="F515" s="38" t="str">
        <f t="shared" si="138"/>
        <v/>
      </c>
      <c r="G515" s="38" t="str">
        <f t="shared" si="148"/>
        <v/>
      </c>
      <c r="H515" s="38" t="str">
        <f t="shared" si="149"/>
        <v/>
      </c>
      <c r="L515" t="str">
        <f t="shared" si="139"/>
        <v/>
      </c>
      <c r="M515" s="38" t="str">
        <f t="shared" si="140"/>
        <v/>
      </c>
      <c r="N515" s="38" t="str">
        <f t="shared" si="141"/>
        <v/>
      </c>
      <c r="O515" s="38" t="str">
        <f t="shared" si="142"/>
        <v/>
      </c>
      <c r="P515" s="38" t="str">
        <f t="shared" si="143"/>
        <v/>
      </c>
      <c r="Q515" s="38" t="str">
        <f t="shared" si="144"/>
        <v/>
      </c>
      <c r="R515" s="38" t="str">
        <f t="shared" si="145"/>
        <v/>
      </c>
      <c r="S515" s="38" t="str">
        <f t="shared" si="146"/>
        <v/>
      </c>
      <c r="T515" s="38" t="str">
        <f t="shared" si="147"/>
        <v/>
      </c>
      <c r="AF515" t="str">
        <f t="shared" si="132"/>
        <v/>
      </c>
      <c r="AG515" s="38" t="str">
        <f t="shared" si="131"/>
        <v/>
      </c>
    </row>
    <row r="516" spans="1:33" x14ac:dyDescent="0.2">
      <c r="A516" t="str">
        <f t="shared" si="133"/>
        <v/>
      </c>
      <c r="B516" s="38" t="str">
        <f t="shared" si="134"/>
        <v/>
      </c>
      <c r="C516" s="38" t="str">
        <f t="shared" si="135"/>
        <v/>
      </c>
      <c r="D516" s="38" t="str">
        <f t="shared" si="136"/>
        <v/>
      </c>
      <c r="E516" s="38" t="str">
        <f t="shared" si="137"/>
        <v/>
      </c>
      <c r="F516" s="38" t="str">
        <f t="shared" si="138"/>
        <v/>
      </c>
      <c r="G516" s="38" t="str">
        <f t="shared" si="148"/>
        <v/>
      </c>
      <c r="H516" s="38" t="str">
        <f t="shared" si="149"/>
        <v/>
      </c>
      <c r="L516" t="str">
        <f t="shared" si="139"/>
        <v/>
      </c>
      <c r="M516" s="38" t="str">
        <f t="shared" si="140"/>
        <v/>
      </c>
      <c r="N516" s="38" t="str">
        <f t="shared" si="141"/>
        <v/>
      </c>
      <c r="O516" s="38" t="str">
        <f t="shared" si="142"/>
        <v/>
      </c>
      <c r="P516" s="38" t="str">
        <f t="shared" si="143"/>
        <v/>
      </c>
      <c r="Q516" s="38" t="str">
        <f t="shared" si="144"/>
        <v/>
      </c>
      <c r="R516" s="38" t="str">
        <f t="shared" si="145"/>
        <v/>
      </c>
      <c r="S516" s="38" t="str">
        <f t="shared" si="146"/>
        <v/>
      </c>
      <c r="T516" s="38" t="str">
        <f t="shared" si="147"/>
        <v/>
      </c>
      <c r="AF516" t="str">
        <f t="shared" si="132"/>
        <v/>
      </c>
      <c r="AG516" s="38" t="str">
        <f t="shared" si="131"/>
        <v/>
      </c>
    </row>
    <row r="517" spans="1:33" x14ac:dyDescent="0.2">
      <c r="A517" t="str">
        <f t="shared" si="133"/>
        <v/>
      </c>
      <c r="B517" s="38" t="str">
        <f t="shared" si="134"/>
        <v/>
      </c>
      <c r="C517" s="38" t="str">
        <f t="shared" si="135"/>
        <v/>
      </c>
      <c r="D517" s="38" t="str">
        <f t="shared" si="136"/>
        <v/>
      </c>
      <c r="E517" s="38" t="str">
        <f t="shared" si="137"/>
        <v/>
      </c>
      <c r="F517" s="38" t="str">
        <f t="shared" si="138"/>
        <v/>
      </c>
      <c r="G517" s="38" t="str">
        <f t="shared" si="148"/>
        <v/>
      </c>
      <c r="H517" s="38" t="str">
        <f t="shared" si="149"/>
        <v/>
      </c>
      <c r="L517" t="str">
        <f t="shared" si="139"/>
        <v/>
      </c>
      <c r="M517" s="38" t="str">
        <f t="shared" si="140"/>
        <v/>
      </c>
      <c r="N517" s="38" t="str">
        <f t="shared" si="141"/>
        <v/>
      </c>
      <c r="O517" s="38" t="str">
        <f t="shared" si="142"/>
        <v/>
      </c>
      <c r="P517" s="38" t="str">
        <f t="shared" si="143"/>
        <v/>
      </c>
      <c r="Q517" s="38" t="str">
        <f t="shared" si="144"/>
        <v/>
      </c>
      <c r="R517" s="38" t="str">
        <f t="shared" si="145"/>
        <v/>
      </c>
      <c r="S517" s="38" t="str">
        <f t="shared" si="146"/>
        <v/>
      </c>
      <c r="T517" s="38" t="str">
        <f t="shared" si="147"/>
        <v/>
      </c>
      <c r="AF517" t="str">
        <f t="shared" si="132"/>
        <v/>
      </c>
      <c r="AG517" s="38" t="str">
        <f t="shared" si="131"/>
        <v/>
      </c>
    </row>
    <row r="518" spans="1:33" x14ac:dyDescent="0.2">
      <c r="A518" t="str">
        <f t="shared" si="133"/>
        <v/>
      </c>
      <c r="B518" s="38" t="str">
        <f t="shared" si="134"/>
        <v/>
      </c>
      <c r="C518" s="38" t="str">
        <f t="shared" si="135"/>
        <v/>
      </c>
      <c r="D518" s="38" t="str">
        <f t="shared" si="136"/>
        <v/>
      </c>
      <c r="E518" s="38" t="str">
        <f t="shared" si="137"/>
        <v/>
      </c>
      <c r="F518" s="38" t="str">
        <f t="shared" si="138"/>
        <v/>
      </c>
      <c r="G518" s="38" t="str">
        <f t="shared" si="148"/>
        <v/>
      </c>
      <c r="H518" s="38" t="str">
        <f t="shared" si="149"/>
        <v/>
      </c>
      <c r="L518" t="str">
        <f t="shared" si="139"/>
        <v/>
      </c>
      <c r="M518" s="38" t="str">
        <f t="shared" si="140"/>
        <v/>
      </c>
      <c r="N518" s="38" t="str">
        <f t="shared" si="141"/>
        <v/>
      </c>
      <c r="O518" s="38" t="str">
        <f t="shared" si="142"/>
        <v/>
      </c>
      <c r="P518" s="38" t="str">
        <f t="shared" si="143"/>
        <v/>
      </c>
      <c r="Q518" s="38" t="str">
        <f t="shared" si="144"/>
        <v/>
      </c>
      <c r="R518" s="38" t="str">
        <f t="shared" si="145"/>
        <v/>
      </c>
      <c r="S518" s="38" t="str">
        <f t="shared" si="146"/>
        <v/>
      </c>
      <c r="T518" s="38" t="str">
        <f t="shared" si="147"/>
        <v/>
      </c>
      <c r="AF518" t="str">
        <f t="shared" si="132"/>
        <v/>
      </c>
      <c r="AG518" s="38" t="str">
        <f t="shared" si="131"/>
        <v/>
      </c>
    </row>
    <row r="519" spans="1:33" x14ac:dyDescent="0.2">
      <c r="A519" t="str">
        <f t="shared" si="133"/>
        <v/>
      </c>
      <c r="B519" s="38" t="str">
        <f t="shared" si="134"/>
        <v/>
      </c>
      <c r="C519" s="38" t="str">
        <f t="shared" si="135"/>
        <v/>
      </c>
      <c r="D519" s="38" t="str">
        <f t="shared" si="136"/>
        <v/>
      </c>
      <c r="E519" s="38" t="str">
        <f t="shared" si="137"/>
        <v/>
      </c>
      <c r="F519" s="38" t="str">
        <f t="shared" si="138"/>
        <v/>
      </c>
      <c r="G519" s="38" t="str">
        <f t="shared" si="148"/>
        <v/>
      </c>
      <c r="H519" s="38" t="str">
        <f t="shared" si="149"/>
        <v/>
      </c>
      <c r="L519" t="str">
        <f t="shared" si="139"/>
        <v/>
      </c>
      <c r="M519" s="38" t="str">
        <f t="shared" si="140"/>
        <v/>
      </c>
      <c r="N519" s="38" t="str">
        <f t="shared" si="141"/>
        <v/>
      </c>
      <c r="O519" s="38" t="str">
        <f t="shared" si="142"/>
        <v/>
      </c>
      <c r="P519" s="38" t="str">
        <f t="shared" si="143"/>
        <v/>
      </c>
      <c r="Q519" s="38" t="str">
        <f t="shared" si="144"/>
        <v/>
      </c>
      <c r="R519" s="38" t="str">
        <f t="shared" si="145"/>
        <v/>
      </c>
      <c r="S519" s="38" t="str">
        <f t="shared" si="146"/>
        <v/>
      </c>
      <c r="T519" s="38" t="str">
        <f t="shared" si="147"/>
        <v/>
      </c>
      <c r="AF519" t="str">
        <f t="shared" si="132"/>
        <v/>
      </c>
      <c r="AG519" s="38" t="str">
        <f t="shared" si="131"/>
        <v/>
      </c>
    </row>
    <row r="520" spans="1:33" x14ac:dyDescent="0.2">
      <c r="A520" t="str">
        <f t="shared" si="133"/>
        <v/>
      </c>
      <c r="B520" s="38" t="str">
        <f t="shared" si="134"/>
        <v/>
      </c>
      <c r="C520" s="38" t="str">
        <f t="shared" si="135"/>
        <v/>
      </c>
      <c r="D520" s="38" t="str">
        <f t="shared" si="136"/>
        <v/>
      </c>
      <c r="E520" s="38" t="str">
        <f t="shared" si="137"/>
        <v/>
      </c>
      <c r="F520" s="38" t="str">
        <f t="shared" si="138"/>
        <v/>
      </c>
      <c r="G520" s="38" t="str">
        <f t="shared" si="148"/>
        <v/>
      </c>
      <c r="H520" s="38" t="str">
        <f t="shared" si="149"/>
        <v/>
      </c>
      <c r="L520" t="str">
        <f t="shared" si="139"/>
        <v/>
      </c>
      <c r="M520" s="38" t="str">
        <f t="shared" si="140"/>
        <v/>
      </c>
      <c r="N520" s="38" t="str">
        <f t="shared" si="141"/>
        <v/>
      </c>
      <c r="O520" s="38" t="str">
        <f t="shared" si="142"/>
        <v/>
      </c>
      <c r="P520" s="38" t="str">
        <f t="shared" si="143"/>
        <v/>
      </c>
      <c r="Q520" s="38" t="str">
        <f t="shared" si="144"/>
        <v/>
      </c>
      <c r="R520" s="38" t="str">
        <f t="shared" si="145"/>
        <v/>
      </c>
      <c r="S520" s="38" t="str">
        <f t="shared" si="146"/>
        <v/>
      </c>
      <c r="T520" s="38" t="str">
        <f t="shared" si="147"/>
        <v/>
      </c>
      <c r="AF520" t="str">
        <f t="shared" si="132"/>
        <v/>
      </c>
      <c r="AG520" s="38" t="str">
        <f t="shared" si="131"/>
        <v/>
      </c>
    </row>
    <row r="521" spans="1:33" x14ac:dyDescent="0.2">
      <c r="A521" t="str">
        <f t="shared" si="133"/>
        <v/>
      </c>
      <c r="B521" s="38" t="str">
        <f t="shared" si="134"/>
        <v/>
      </c>
      <c r="C521" s="38" t="str">
        <f t="shared" si="135"/>
        <v/>
      </c>
      <c r="D521" s="38" t="str">
        <f t="shared" si="136"/>
        <v/>
      </c>
      <c r="E521" s="38" t="str">
        <f t="shared" si="137"/>
        <v/>
      </c>
      <c r="F521" s="38" t="str">
        <f t="shared" si="138"/>
        <v/>
      </c>
      <c r="G521" s="38" t="str">
        <f t="shared" si="148"/>
        <v/>
      </c>
      <c r="H521" s="38" t="str">
        <f t="shared" si="149"/>
        <v/>
      </c>
      <c r="L521" t="str">
        <f t="shared" si="139"/>
        <v/>
      </c>
      <c r="M521" s="38" t="str">
        <f t="shared" si="140"/>
        <v/>
      </c>
      <c r="N521" s="38" t="str">
        <f t="shared" si="141"/>
        <v/>
      </c>
      <c r="O521" s="38" t="str">
        <f t="shared" si="142"/>
        <v/>
      </c>
      <c r="P521" s="38" t="str">
        <f t="shared" si="143"/>
        <v/>
      </c>
      <c r="Q521" s="38" t="str">
        <f t="shared" si="144"/>
        <v/>
      </c>
      <c r="R521" s="38" t="str">
        <f t="shared" si="145"/>
        <v/>
      </c>
      <c r="S521" s="38" t="str">
        <f t="shared" si="146"/>
        <v/>
      </c>
      <c r="T521" s="38" t="str">
        <f t="shared" si="147"/>
        <v/>
      </c>
      <c r="AF521" t="str">
        <f t="shared" si="132"/>
        <v/>
      </c>
      <c r="AG521" s="38" t="str">
        <f t="shared" si="131"/>
        <v/>
      </c>
    </row>
    <row r="522" spans="1:33" x14ac:dyDescent="0.2">
      <c r="A522" t="str">
        <f t="shared" si="133"/>
        <v/>
      </c>
      <c r="B522" s="38" t="str">
        <f t="shared" si="134"/>
        <v/>
      </c>
      <c r="C522" s="38" t="str">
        <f t="shared" si="135"/>
        <v/>
      </c>
      <c r="D522" s="38" t="str">
        <f t="shared" si="136"/>
        <v/>
      </c>
      <c r="E522" s="38" t="str">
        <f t="shared" si="137"/>
        <v/>
      </c>
      <c r="F522" s="38" t="str">
        <f t="shared" si="138"/>
        <v/>
      </c>
      <c r="G522" s="38" t="str">
        <f t="shared" si="148"/>
        <v/>
      </c>
      <c r="H522" s="38" t="str">
        <f t="shared" si="149"/>
        <v/>
      </c>
      <c r="L522" t="str">
        <f t="shared" si="139"/>
        <v/>
      </c>
      <c r="M522" s="38" t="str">
        <f t="shared" si="140"/>
        <v/>
      </c>
      <c r="N522" s="38" t="str">
        <f t="shared" si="141"/>
        <v/>
      </c>
      <c r="O522" s="38" t="str">
        <f t="shared" si="142"/>
        <v/>
      </c>
      <c r="P522" s="38" t="str">
        <f t="shared" si="143"/>
        <v/>
      </c>
      <c r="Q522" s="38" t="str">
        <f t="shared" si="144"/>
        <v/>
      </c>
      <c r="R522" s="38" t="str">
        <f t="shared" si="145"/>
        <v/>
      </c>
      <c r="S522" s="38" t="str">
        <f t="shared" si="146"/>
        <v/>
      </c>
      <c r="T522" s="38" t="str">
        <f t="shared" si="147"/>
        <v/>
      </c>
      <c r="AF522" t="str">
        <f t="shared" si="132"/>
        <v/>
      </c>
      <c r="AG522" s="38" t="str">
        <f t="shared" si="131"/>
        <v/>
      </c>
    </row>
    <row r="523" spans="1:33" x14ac:dyDescent="0.2">
      <c r="A523" t="str">
        <f t="shared" si="133"/>
        <v/>
      </c>
      <c r="B523" s="38" t="str">
        <f t="shared" si="134"/>
        <v/>
      </c>
      <c r="C523" s="38" t="str">
        <f t="shared" si="135"/>
        <v/>
      </c>
      <c r="D523" s="38" t="str">
        <f t="shared" si="136"/>
        <v/>
      </c>
      <c r="E523" s="38" t="str">
        <f t="shared" si="137"/>
        <v/>
      </c>
      <c r="F523" s="38" t="str">
        <f t="shared" si="138"/>
        <v/>
      </c>
      <c r="G523" s="38" t="str">
        <f t="shared" si="148"/>
        <v/>
      </c>
      <c r="H523" s="38" t="str">
        <f t="shared" si="149"/>
        <v/>
      </c>
      <c r="L523" t="str">
        <f t="shared" si="139"/>
        <v/>
      </c>
      <c r="M523" s="38" t="str">
        <f t="shared" si="140"/>
        <v/>
      </c>
      <c r="N523" s="38" t="str">
        <f t="shared" si="141"/>
        <v/>
      </c>
      <c r="O523" s="38" t="str">
        <f t="shared" si="142"/>
        <v/>
      </c>
      <c r="P523" s="38" t="str">
        <f t="shared" si="143"/>
        <v/>
      </c>
      <c r="Q523" s="38" t="str">
        <f t="shared" si="144"/>
        <v/>
      </c>
      <c r="R523" s="38" t="str">
        <f t="shared" si="145"/>
        <v/>
      </c>
      <c r="S523" s="38" t="str">
        <f t="shared" si="146"/>
        <v/>
      </c>
      <c r="T523" s="38" t="str">
        <f t="shared" si="147"/>
        <v/>
      </c>
      <c r="AF523" t="str">
        <f t="shared" si="132"/>
        <v/>
      </c>
      <c r="AG523" s="38" t="str">
        <f t="shared" si="131"/>
        <v/>
      </c>
    </row>
    <row r="524" spans="1:33" x14ac:dyDescent="0.2">
      <c r="A524" t="str">
        <f t="shared" si="133"/>
        <v/>
      </c>
      <c r="B524" s="38" t="str">
        <f t="shared" si="134"/>
        <v/>
      </c>
      <c r="C524" s="38" t="str">
        <f t="shared" si="135"/>
        <v/>
      </c>
      <c r="D524" s="38" t="str">
        <f t="shared" si="136"/>
        <v/>
      </c>
      <c r="E524" s="38" t="str">
        <f t="shared" si="137"/>
        <v/>
      </c>
      <c r="F524" s="38" t="str">
        <f t="shared" si="138"/>
        <v/>
      </c>
      <c r="G524" s="38" t="str">
        <f t="shared" si="148"/>
        <v/>
      </c>
      <c r="H524" s="38" t="str">
        <f t="shared" si="149"/>
        <v/>
      </c>
      <c r="L524" t="str">
        <f t="shared" si="139"/>
        <v/>
      </c>
      <c r="M524" s="38" t="str">
        <f t="shared" si="140"/>
        <v/>
      </c>
      <c r="N524" s="38" t="str">
        <f t="shared" si="141"/>
        <v/>
      </c>
      <c r="O524" s="38" t="str">
        <f t="shared" si="142"/>
        <v/>
      </c>
      <c r="P524" s="38" t="str">
        <f t="shared" si="143"/>
        <v/>
      </c>
      <c r="Q524" s="38" t="str">
        <f t="shared" si="144"/>
        <v/>
      </c>
      <c r="R524" s="38" t="str">
        <f t="shared" si="145"/>
        <v/>
      </c>
      <c r="S524" s="38" t="str">
        <f t="shared" si="146"/>
        <v/>
      </c>
      <c r="T524" s="38" t="str">
        <f t="shared" si="147"/>
        <v/>
      </c>
      <c r="AF524" t="str">
        <f t="shared" si="132"/>
        <v/>
      </c>
      <c r="AG524" s="38" t="str">
        <f t="shared" si="131"/>
        <v/>
      </c>
    </row>
    <row r="525" spans="1:33" x14ac:dyDescent="0.2">
      <c r="A525" t="str">
        <f t="shared" si="133"/>
        <v/>
      </c>
      <c r="B525" s="38" t="str">
        <f t="shared" si="134"/>
        <v/>
      </c>
      <c r="C525" s="38" t="str">
        <f t="shared" si="135"/>
        <v/>
      </c>
      <c r="D525" s="38" t="str">
        <f t="shared" si="136"/>
        <v/>
      </c>
      <c r="E525" s="38" t="str">
        <f t="shared" si="137"/>
        <v/>
      </c>
      <c r="F525" s="38" t="str">
        <f t="shared" si="138"/>
        <v/>
      </c>
      <c r="G525" s="38" t="str">
        <f t="shared" si="148"/>
        <v/>
      </c>
      <c r="H525" s="38" t="str">
        <f t="shared" si="149"/>
        <v/>
      </c>
      <c r="L525" t="str">
        <f t="shared" si="139"/>
        <v/>
      </c>
      <c r="M525" s="38" t="str">
        <f t="shared" si="140"/>
        <v/>
      </c>
      <c r="N525" s="38" t="str">
        <f t="shared" si="141"/>
        <v/>
      </c>
      <c r="O525" s="38" t="str">
        <f t="shared" si="142"/>
        <v/>
      </c>
      <c r="P525" s="38" t="str">
        <f t="shared" si="143"/>
        <v/>
      </c>
      <c r="Q525" s="38" t="str">
        <f t="shared" si="144"/>
        <v/>
      </c>
      <c r="R525" s="38" t="str">
        <f t="shared" si="145"/>
        <v/>
      </c>
      <c r="S525" s="38" t="str">
        <f t="shared" si="146"/>
        <v/>
      </c>
      <c r="T525" s="38" t="str">
        <f t="shared" si="147"/>
        <v/>
      </c>
      <c r="AF525" t="str">
        <f t="shared" si="132"/>
        <v/>
      </c>
      <c r="AG525" s="38" t="str">
        <f t="shared" si="131"/>
        <v/>
      </c>
    </row>
    <row r="526" spans="1:33" x14ac:dyDescent="0.2">
      <c r="A526" t="str">
        <f t="shared" si="133"/>
        <v/>
      </c>
      <c r="B526" s="38" t="str">
        <f t="shared" si="134"/>
        <v/>
      </c>
      <c r="C526" s="38" t="str">
        <f t="shared" si="135"/>
        <v/>
      </c>
      <c r="D526" s="38" t="str">
        <f t="shared" si="136"/>
        <v/>
      </c>
      <c r="E526" s="38" t="str">
        <f t="shared" si="137"/>
        <v/>
      </c>
      <c r="F526" s="38" t="str">
        <f t="shared" si="138"/>
        <v/>
      </c>
      <c r="G526" s="38" t="str">
        <f t="shared" si="148"/>
        <v/>
      </c>
      <c r="H526" s="38" t="str">
        <f t="shared" si="149"/>
        <v/>
      </c>
      <c r="L526" t="str">
        <f t="shared" si="139"/>
        <v/>
      </c>
      <c r="M526" s="38" t="str">
        <f t="shared" si="140"/>
        <v/>
      </c>
      <c r="N526" s="38" t="str">
        <f t="shared" si="141"/>
        <v/>
      </c>
      <c r="O526" s="38" t="str">
        <f t="shared" si="142"/>
        <v/>
      </c>
      <c r="P526" s="38" t="str">
        <f t="shared" si="143"/>
        <v/>
      </c>
      <c r="Q526" s="38" t="str">
        <f t="shared" si="144"/>
        <v/>
      </c>
      <c r="R526" s="38" t="str">
        <f t="shared" si="145"/>
        <v/>
      </c>
      <c r="S526" s="38" t="str">
        <f t="shared" si="146"/>
        <v/>
      </c>
      <c r="T526" s="38" t="str">
        <f t="shared" si="147"/>
        <v/>
      </c>
      <c r="AF526" t="str">
        <f t="shared" si="132"/>
        <v/>
      </c>
      <c r="AG526" s="38" t="str">
        <f t="shared" si="131"/>
        <v/>
      </c>
    </row>
    <row r="527" spans="1:33" x14ac:dyDescent="0.2">
      <c r="A527" t="str">
        <f t="shared" si="133"/>
        <v/>
      </c>
      <c r="B527" s="38" t="str">
        <f t="shared" si="134"/>
        <v/>
      </c>
      <c r="C527" s="38" t="str">
        <f t="shared" si="135"/>
        <v/>
      </c>
      <c r="D527" s="38" t="str">
        <f t="shared" si="136"/>
        <v/>
      </c>
      <c r="E527" s="38" t="str">
        <f t="shared" si="137"/>
        <v/>
      </c>
      <c r="F527" s="38" t="str">
        <f t="shared" si="138"/>
        <v/>
      </c>
      <c r="G527" s="38" t="str">
        <f t="shared" si="148"/>
        <v/>
      </c>
      <c r="H527" s="38" t="str">
        <f t="shared" si="149"/>
        <v/>
      </c>
      <c r="L527" t="str">
        <f t="shared" si="139"/>
        <v/>
      </c>
      <c r="M527" s="38" t="str">
        <f t="shared" si="140"/>
        <v/>
      </c>
      <c r="N527" s="38" t="str">
        <f t="shared" si="141"/>
        <v/>
      </c>
      <c r="O527" s="38" t="str">
        <f t="shared" si="142"/>
        <v/>
      </c>
      <c r="P527" s="38" t="str">
        <f t="shared" si="143"/>
        <v/>
      </c>
      <c r="Q527" s="38" t="str">
        <f t="shared" si="144"/>
        <v/>
      </c>
      <c r="R527" s="38" t="str">
        <f t="shared" si="145"/>
        <v/>
      </c>
      <c r="S527" s="38" t="str">
        <f t="shared" si="146"/>
        <v/>
      </c>
      <c r="T527" s="38" t="str">
        <f t="shared" si="147"/>
        <v/>
      </c>
      <c r="AF527" t="str">
        <f t="shared" si="132"/>
        <v/>
      </c>
      <c r="AG527" s="38" t="str">
        <f t="shared" si="131"/>
        <v/>
      </c>
    </row>
    <row r="528" spans="1:33" x14ac:dyDescent="0.2">
      <c r="A528" t="str">
        <f t="shared" si="133"/>
        <v/>
      </c>
      <c r="B528" s="38" t="str">
        <f t="shared" si="134"/>
        <v/>
      </c>
      <c r="C528" s="38" t="str">
        <f t="shared" si="135"/>
        <v/>
      </c>
      <c r="D528" s="38" t="str">
        <f t="shared" si="136"/>
        <v/>
      </c>
      <c r="E528" s="38" t="str">
        <f t="shared" si="137"/>
        <v/>
      </c>
      <c r="F528" s="38" t="str">
        <f t="shared" si="138"/>
        <v/>
      </c>
      <c r="G528" s="38" t="str">
        <f t="shared" si="148"/>
        <v/>
      </c>
      <c r="H528" s="38" t="str">
        <f t="shared" si="149"/>
        <v/>
      </c>
      <c r="L528" t="str">
        <f t="shared" si="139"/>
        <v/>
      </c>
      <c r="M528" s="38" t="str">
        <f t="shared" si="140"/>
        <v/>
      </c>
      <c r="N528" s="38" t="str">
        <f t="shared" si="141"/>
        <v/>
      </c>
      <c r="O528" s="38" t="str">
        <f t="shared" si="142"/>
        <v/>
      </c>
      <c r="P528" s="38" t="str">
        <f t="shared" si="143"/>
        <v/>
      </c>
      <c r="Q528" s="38" t="str">
        <f t="shared" si="144"/>
        <v/>
      </c>
      <c r="R528" s="38" t="str">
        <f t="shared" si="145"/>
        <v/>
      </c>
      <c r="S528" s="38" t="str">
        <f t="shared" si="146"/>
        <v/>
      </c>
      <c r="T528" s="38" t="str">
        <f t="shared" si="147"/>
        <v/>
      </c>
      <c r="AF528" t="str">
        <f t="shared" si="132"/>
        <v/>
      </c>
      <c r="AG528" s="38" t="str">
        <f t="shared" si="131"/>
        <v/>
      </c>
    </row>
    <row r="529" spans="1:33" x14ac:dyDescent="0.2">
      <c r="A529" t="str">
        <f t="shared" si="133"/>
        <v/>
      </c>
      <c r="B529" s="38" t="str">
        <f t="shared" si="134"/>
        <v/>
      </c>
      <c r="C529" s="38" t="str">
        <f t="shared" si="135"/>
        <v/>
      </c>
      <c r="D529" s="38" t="str">
        <f t="shared" si="136"/>
        <v/>
      </c>
      <c r="E529" s="38" t="str">
        <f t="shared" si="137"/>
        <v/>
      </c>
      <c r="F529" s="38" t="str">
        <f t="shared" si="138"/>
        <v/>
      </c>
      <c r="G529" s="38" t="str">
        <f t="shared" si="148"/>
        <v/>
      </c>
      <c r="H529" s="38" t="str">
        <f t="shared" si="149"/>
        <v/>
      </c>
      <c r="L529" t="str">
        <f t="shared" si="139"/>
        <v/>
      </c>
      <c r="M529" s="38" t="str">
        <f t="shared" si="140"/>
        <v/>
      </c>
      <c r="N529" s="38" t="str">
        <f t="shared" si="141"/>
        <v/>
      </c>
      <c r="O529" s="38" t="str">
        <f t="shared" si="142"/>
        <v/>
      </c>
      <c r="P529" s="38" t="str">
        <f t="shared" si="143"/>
        <v/>
      </c>
      <c r="Q529" s="38" t="str">
        <f t="shared" si="144"/>
        <v/>
      </c>
      <c r="R529" s="38" t="str">
        <f t="shared" si="145"/>
        <v/>
      </c>
      <c r="S529" s="38" t="str">
        <f t="shared" si="146"/>
        <v/>
      </c>
      <c r="T529" s="38" t="str">
        <f t="shared" si="147"/>
        <v/>
      </c>
      <c r="AF529" t="str">
        <f t="shared" si="132"/>
        <v/>
      </c>
      <c r="AG529" s="38" t="str">
        <f t="shared" si="131"/>
        <v/>
      </c>
    </row>
    <row r="530" spans="1:33" x14ac:dyDescent="0.2">
      <c r="A530" t="str">
        <f t="shared" si="133"/>
        <v/>
      </c>
      <c r="B530" s="38" t="str">
        <f t="shared" si="134"/>
        <v/>
      </c>
      <c r="C530" s="38" t="str">
        <f t="shared" si="135"/>
        <v/>
      </c>
      <c r="D530" s="38" t="str">
        <f t="shared" si="136"/>
        <v/>
      </c>
      <c r="E530" s="38" t="str">
        <f t="shared" si="137"/>
        <v/>
      </c>
      <c r="F530" s="38" t="str">
        <f t="shared" si="138"/>
        <v/>
      </c>
      <c r="G530" s="38" t="str">
        <f t="shared" si="148"/>
        <v/>
      </c>
      <c r="H530" s="38" t="str">
        <f t="shared" si="149"/>
        <v/>
      </c>
      <c r="L530" t="str">
        <f t="shared" si="139"/>
        <v/>
      </c>
      <c r="M530" s="38" t="str">
        <f t="shared" si="140"/>
        <v/>
      </c>
      <c r="N530" s="38" t="str">
        <f t="shared" si="141"/>
        <v/>
      </c>
      <c r="O530" s="38" t="str">
        <f t="shared" si="142"/>
        <v/>
      </c>
      <c r="P530" s="38" t="str">
        <f t="shared" si="143"/>
        <v/>
      </c>
      <c r="Q530" s="38" t="str">
        <f t="shared" si="144"/>
        <v/>
      </c>
      <c r="R530" s="38" t="str">
        <f t="shared" si="145"/>
        <v/>
      </c>
      <c r="S530" s="38" t="str">
        <f t="shared" si="146"/>
        <v/>
      </c>
      <c r="T530" s="38" t="str">
        <f t="shared" si="147"/>
        <v/>
      </c>
      <c r="AF530" t="str">
        <f t="shared" si="132"/>
        <v/>
      </c>
      <c r="AG530" s="38" t="str">
        <f t="shared" si="131"/>
        <v/>
      </c>
    </row>
    <row r="531" spans="1:33" x14ac:dyDescent="0.2">
      <c r="A531" t="str">
        <f t="shared" si="133"/>
        <v/>
      </c>
      <c r="B531" s="38" t="str">
        <f t="shared" si="134"/>
        <v/>
      </c>
      <c r="C531" s="38" t="str">
        <f t="shared" si="135"/>
        <v/>
      </c>
      <c r="D531" s="38" t="str">
        <f t="shared" si="136"/>
        <v/>
      </c>
      <c r="E531" s="38" t="str">
        <f t="shared" si="137"/>
        <v/>
      </c>
      <c r="F531" s="38" t="str">
        <f t="shared" si="138"/>
        <v/>
      </c>
      <c r="G531" s="38" t="str">
        <f t="shared" si="148"/>
        <v/>
      </c>
      <c r="H531" s="38" t="str">
        <f t="shared" si="149"/>
        <v/>
      </c>
      <c r="L531" t="str">
        <f t="shared" si="139"/>
        <v/>
      </c>
      <c r="M531" s="38" t="str">
        <f t="shared" si="140"/>
        <v/>
      </c>
      <c r="N531" s="38" t="str">
        <f t="shared" si="141"/>
        <v/>
      </c>
      <c r="O531" s="38" t="str">
        <f t="shared" si="142"/>
        <v/>
      </c>
      <c r="P531" s="38" t="str">
        <f t="shared" si="143"/>
        <v/>
      </c>
      <c r="Q531" s="38" t="str">
        <f t="shared" si="144"/>
        <v/>
      </c>
      <c r="R531" s="38" t="str">
        <f t="shared" si="145"/>
        <v/>
      </c>
      <c r="S531" s="38" t="str">
        <f t="shared" si="146"/>
        <v/>
      </c>
      <c r="T531" s="38" t="str">
        <f t="shared" si="147"/>
        <v/>
      </c>
      <c r="AF531" t="str">
        <f t="shared" si="132"/>
        <v/>
      </c>
      <c r="AG531" s="38" t="str">
        <f t="shared" si="131"/>
        <v/>
      </c>
    </row>
    <row r="532" spans="1:33" x14ac:dyDescent="0.2">
      <c r="A532" t="str">
        <f t="shared" si="133"/>
        <v/>
      </c>
      <c r="B532" s="38" t="str">
        <f t="shared" si="134"/>
        <v/>
      </c>
      <c r="C532" s="38" t="str">
        <f t="shared" si="135"/>
        <v/>
      </c>
      <c r="D532" s="38" t="str">
        <f t="shared" si="136"/>
        <v/>
      </c>
      <c r="E532" s="38" t="str">
        <f t="shared" si="137"/>
        <v/>
      </c>
      <c r="F532" s="38" t="str">
        <f t="shared" si="138"/>
        <v/>
      </c>
      <c r="G532" s="38" t="str">
        <f t="shared" si="148"/>
        <v/>
      </c>
      <c r="H532" s="38" t="str">
        <f t="shared" si="149"/>
        <v/>
      </c>
      <c r="L532" t="str">
        <f t="shared" si="139"/>
        <v/>
      </c>
      <c r="M532" s="38" t="str">
        <f t="shared" si="140"/>
        <v/>
      </c>
      <c r="N532" s="38" t="str">
        <f t="shared" si="141"/>
        <v/>
      </c>
      <c r="O532" s="38" t="str">
        <f t="shared" si="142"/>
        <v/>
      </c>
      <c r="P532" s="38" t="str">
        <f t="shared" si="143"/>
        <v/>
      </c>
      <c r="Q532" s="38" t="str">
        <f t="shared" si="144"/>
        <v/>
      </c>
      <c r="R532" s="38" t="str">
        <f t="shared" si="145"/>
        <v/>
      </c>
      <c r="S532" s="38" t="str">
        <f t="shared" si="146"/>
        <v/>
      </c>
      <c r="T532" s="38" t="str">
        <f t="shared" si="147"/>
        <v/>
      </c>
      <c r="AF532" t="str">
        <f t="shared" si="132"/>
        <v/>
      </c>
      <c r="AG532" s="38" t="str">
        <f t="shared" si="131"/>
        <v/>
      </c>
    </row>
    <row r="533" spans="1:33" x14ac:dyDescent="0.2">
      <c r="A533" t="str">
        <f t="shared" si="133"/>
        <v/>
      </c>
      <c r="B533" s="38" t="str">
        <f t="shared" si="134"/>
        <v/>
      </c>
      <c r="C533" s="38" t="str">
        <f t="shared" si="135"/>
        <v/>
      </c>
      <c r="D533" s="38" t="str">
        <f t="shared" si="136"/>
        <v/>
      </c>
      <c r="E533" s="38" t="str">
        <f t="shared" si="137"/>
        <v/>
      </c>
      <c r="F533" s="38" t="str">
        <f t="shared" si="138"/>
        <v/>
      </c>
      <c r="G533" s="38" t="str">
        <f t="shared" si="148"/>
        <v/>
      </c>
      <c r="H533" s="38" t="str">
        <f t="shared" si="149"/>
        <v/>
      </c>
      <c r="L533" t="str">
        <f t="shared" si="139"/>
        <v/>
      </c>
      <c r="M533" s="38" t="str">
        <f t="shared" si="140"/>
        <v/>
      </c>
      <c r="N533" s="38" t="str">
        <f t="shared" si="141"/>
        <v/>
      </c>
      <c r="O533" s="38" t="str">
        <f t="shared" si="142"/>
        <v/>
      </c>
      <c r="P533" s="38" t="str">
        <f t="shared" si="143"/>
        <v/>
      </c>
      <c r="Q533" s="38" t="str">
        <f t="shared" si="144"/>
        <v/>
      </c>
      <c r="R533" s="38" t="str">
        <f t="shared" si="145"/>
        <v/>
      </c>
      <c r="S533" s="38" t="str">
        <f t="shared" si="146"/>
        <v/>
      </c>
      <c r="T533" s="38" t="str">
        <f t="shared" si="147"/>
        <v/>
      </c>
      <c r="AF533" t="str">
        <f t="shared" si="132"/>
        <v/>
      </c>
      <c r="AG533" s="38" t="str">
        <f t="shared" ref="AG533:AG596" si="150">F534</f>
        <v/>
      </c>
    </row>
    <row r="534" spans="1:33" x14ac:dyDescent="0.2">
      <c r="A534" t="str">
        <f t="shared" si="133"/>
        <v/>
      </c>
      <c r="B534" s="38" t="str">
        <f t="shared" si="134"/>
        <v/>
      </c>
      <c r="C534" s="38" t="str">
        <f t="shared" si="135"/>
        <v/>
      </c>
      <c r="D534" s="38" t="str">
        <f t="shared" si="136"/>
        <v/>
      </c>
      <c r="E534" s="38" t="str">
        <f t="shared" si="137"/>
        <v/>
      </c>
      <c r="F534" s="38" t="str">
        <f t="shared" si="138"/>
        <v/>
      </c>
      <c r="G534" s="38" t="str">
        <f t="shared" si="148"/>
        <v/>
      </c>
      <c r="H534" s="38" t="str">
        <f t="shared" si="149"/>
        <v/>
      </c>
      <c r="L534" t="str">
        <f t="shared" si="139"/>
        <v/>
      </c>
      <c r="M534" s="38" t="str">
        <f t="shared" si="140"/>
        <v/>
      </c>
      <c r="N534" s="38" t="str">
        <f t="shared" si="141"/>
        <v/>
      </c>
      <c r="O534" s="38" t="str">
        <f t="shared" si="142"/>
        <v/>
      </c>
      <c r="P534" s="38" t="str">
        <f t="shared" si="143"/>
        <v/>
      </c>
      <c r="Q534" s="38" t="str">
        <f t="shared" si="144"/>
        <v/>
      </c>
      <c r="R534" s="38" t="str">
        <f t="shared" si="145"/>
        <v/>
      </c>
      <c r="S534" s="38" t="str">
        <f t="shared" si="146"/>
        <v/>
      </c>
      <c r="T534" s="38" t="str">
        <f t="shared" si="147"/>
        <v/>
      </c>
      <c r="AF534" t="str">
        <f t="shared" si="132"/>
        <v/>
      </c>
      <c r="AG534" s="38" t="str">
        <f t="shared" si="150"/>
        <v/>
      </c>
    </row>
    <row r="535" spans="1:33" x14ac:dyDescent="0.2">
      <c r="A535" t="str">
        <f t="shared" si="133"/>
        <v/>
      </c>
      <c r="B535" s="38" t="str">
        <f t="shared" si="134"/>
        <v/>
      </c>
      <c r="C535" s="38" t="str">
        <f t="shared" si="135"/>
        <v/>
      </c>
      <c r="D535" s="38" t="str">
        <f t="shared" si="136"/>
        <v/>
      </c>
      <c r="E535" s="38" t="str">
        <f t="shared" si="137"/>
        <v/>
      </c>
      <c r="F535" s="38" t="str">
        <f t="shared" si="138"/>
        <v/>
      </c>
      <c r="G535" s="38" t="str">
        <f t="shared" si="148"/>
        <v/>
      </c>
      <c r="H535" s="38" t="str">
        <f t="shared" si="149"/>
        <v/>
      </c>
      <c r="L535" t="str">
        <f t="shared" si="139"/>
        <v/>
      </c>
      <c r="M535" s="38" t="str">
        <f t="shared" si="140"/>
        <v/>
      </c>
      <c r="N535" s="38" t="str">
        <f t="shared" si="141"/>
        <v/>
      </c>
      <c r="O535" s="38" t="str">
        <f t="shared" si="142"/>
        <v/>
      </c>
      <c r="P535" s="38" t="str">
        <f t="shared" si="143"/>
        <v/>
      </c>
      <c r="Q535" s="38" t="str">
        <f t="shared" si="144"/>
        <v/>
      </c>
      <c r="R535" s="38" t="str">
        <f t="shared" si="145"/>
        <v/>
      </c>
      <c r="S535" s="38" t="str">
        <f t="shared" si="146"/>
        <v/>
      </c>
      <c r="T535" s="38" t="str">
        <f t="shared" si="147"/>
        <v/>
      </c>
      <c r="AF535" t="str">
        <f t="shared" ref="AF535:AF598" si="151">IF(AF534&lt;($B$6*$B$7),AF534+1,"")</f>
        <v/>
      </c>
      <c r="AG535" s="38" t="str">
        <f t="shared" si="150"/>
        <v/>
      </c>
    </row>
    <row r="536" spans="1:33" x14ac:dyDescent="0.2">
      <c r="A536" t="str">
        <f t="shared" ref="A536:A599" si="152">IF(A535&lt;($B$6*$B$7),A535+1,"")</f>
        <v/>
      </c>
      <c r="B536" s="38" t="str">
        <f t="shared" ref="B536:B599" si="153">IF(A536="","",F535)</f>
        <v/>
      </c>
      <c r="C536" s="38" t="str">
        <f t="shared" ref="C536:C599" si="154">IF(A536="","",(B536*$B$8))</f>
        <v/>
      </c>
      <c r="D536" s="38" t="str">
        <f t="shared" ref="D536:D599" si="155">IF(A536="","", $B$5)</f>
        <v/>
      </c>
      <c r="E536" s="38" t="str">
        <f t="shared" ref="E536:E599" si="156">IF(D536="","",(D536-C536))</f>
        <v/>
      </c>
      <c r="F536" s="38" t="str">
        <f t="shared" ref="F536:F599" si="157">IF(A536="","", B536-E536)</f>
        <v/>
      </c>
      <c r="G536" s="38" t="str">
        <f t="shared" si="148"/>
        <v/>
      </c>
      <c r="H536" s="38" t="str">
        <f t="shared" si="149"/>
        <v/>
      </c>
      <c r="L536" t="str">
        <f t="shared" ref="L536:L599" si="158">IF(L535&lt;($B$6*$B$7),L535+1,"")</f>
        <v/>
      </c>
      <c r="M536" s="38" t="str">
        <f t="shared" ref="M536:M599" si="159">IF(L536="", "", R535)</f>
        <v/>
      </c>
      <c r="N536" s="38" t="str">
        <f t="shared" ref="N536:N599" si="160">IF(L536="","",$B$5)</f>
        <v/>
      </c>
      <c r="O536" s="38" t="str">
        <f t="shared" ref="O536:O599" si="161">IF(L536="","",M536-N536)</f>
        <v/>
      </c>
      <c r="P536" s="38" t="str">
        <f t="shared" ref="P536:P599" si="162">IF(L536="","",O535*$B$8)</f>
        <v/>
      </c>
      <c r="Q536" s="38" t="str">
        <f t="shared" ref="Q536:Q599" si="163">IF(L536="","",N536-P536)</f>
        <v/>
      </c>
      <c r="R536" s="38" t="str">
        <f t="shared" ref="R536:R599" si="164">IF(L536="","",O536*(1+$B$8))</f>
        <v/>
      </c>
      <c r="S536" s="38" t="str">
        <f t="shared" ref="S536:S599" si="165">IF(L536="","",S535+P536)</f>
        <v/>
      </c>
      <c r="T536" s="38" t="str">
        <f t="shared" ref="T536:T599" si="166">IF(L536="","",Q536+T535)</f>
        <v/>
      </c>
      <c r="AF536" t="str">
        <f t="shared" si="151"/>
        <v/>
      </c>
      <c r="AG536" s="38" t="str">
        <f t="shared" si="150"/>
        <v/>
      </c>
    </row>
    <row r="537" spans="1:33" x14ac:dyDescent="0.2">
      <c r="A537" t="str">
        <f t="shared" si="152"/>
        <v/>
      </c>
      <c r="B537" s="38" t="str">
        <f t="shared" si="153"/>
        <v/>
      </c>
      <c r="C537" s="38" t="str">
        <f t="shared" si="154"/>
        <v/>
      </c>
      <c r="D537" s="38" t="str">
        <f t="shared" si="155"/>
        <v/>
      </c>
      <c r="E537" s="38" t="str">
        <f t="shared" si="156"/>
        <v/>
      </c>
      <c r="F537" s="38" t="str">
        <f t="shared" si="157"/>
        <v/>
      </c>
      <c r="G537" s="38" t="str">
        <f t="shared" si="148"/>
        <v/>
      </c>
      <c r="H537" s="38" t="str">
        <f t="shared" si="149"/>
        <v/>
      </c>
      <c r="L537" t="str">
        <f t="shared" si="158"/>
        <v/>
      </c>
      <c r="M537" s="38" t="str">
        <f t="shared" si="159"/>
        <v/>
      </c>
      <c r="N537" s="38" t="str">
        <f t="shared" si="160"/>
        <v/>
      </c>
      <c r="O537" s="38" t="str">
        <f t="shared" si="161"/>
        <v/>
      </c>
      <c r="P537" s="38" t="str">
        <f t="shared" si="162"/>
        <v/>
      </c>
      <c r="Q537" s="38" t="str">
        <f t="shared" si="163"/>
        <v/>
      </c>
      <c r="R537" s="38" t="str">
        <f t="shared" si="164"/>
        <v/>
      </c>
      <c r="S537" s="38" t="str">
        <f t="shared" si="165"/>
        <v/>
      </c>
      <c r="T537" s="38" t="str">
        <f t="shared" si="166"/>
        <v/>
      </c>
      <c r="AF537" t="str">
        <f t="shared" si="151"/>
        <v/>
      </c>
      <c r="AG537" s="38" t="str">
        <f t="shared" si="150"/>
        <v/>
      </c>
    </row>
    <row r="538" spans="1:33" x14ac:dyDescent="0.2">
      <c r="A538" t="str">
        <f t="shared" si="152"/>
        <v/>
      </c>
      <c r="B538" s="38" t="str">
        <f t="shared" si="153"/>
        <v/>
      </c>
      <c r="C538" s="38" t="str">
        <f t="shared" si="154"/>
        <v/>
      </c>
      <c r="D538" s="38" t="str">
        <f t="shared" si="155"/>
        <v/>
      </c>
      <c r="E538" s="38" t="str">
        <f t="shared" si="156"/>
        <v/>
      </c>
      <c r="F538" s="38" t="str">
        <f t="shared" si="157"/>
        <v/>
      </c>
      <c r="G538" s="38" t="str">
        <f t="shared" ref="G538:G601" si="167">IF(A538="","", (G537+C538))</f>
        <v/>
      </c>
      <c r="H538" s="38" t="str">
        <f t="shared" ref="H538:H601" si="168">IF(A538="","",(H537+E538))</f>
        <v/>
      </c>
      <c r="L538" t="str">
        <f t="shared" si="158"/>
        <v/>
      </c>
      <c r="M538" s="38" t="str">
        <f t="shared" si="159"/>
        <v/>
      </c>
      <c r="N538" s="38" t="str">
        <f t="shared" si="160"/>
        <v/>
      </c>
      <c r="O538" s="38" t="str">
        <f t="shared" si="161"/>
        <v/>
      </c>
      <c r="P538" s="38" t="str">
        <f t="shared" si="162"/>
        <v/>
      </c>
      <c r="Q538" s="38" t="str">
        <f t="shared" si="163"/>
        <v/>
      </c>
      <c r="R538" s="38" t="str">
        <f t="shared" si="164"/>
        <v/>
      </c>
      <c r="S538" s="38" t="str">
        <f t="shared" si="165"/>
        <v/>
      </c>
      <c r="T538" s="38" t="str">
        <f t="shared" si="166"/>
        <v/>
      </c>
      <c r="AF538" t="str">
        <f t="shared" si="151"/>
        <v/>
      </c>
      <c r="AG538" s="38" t="str">
        <f t="shared" si="150"/>
        <v/>
      </c>
    </row>
    <row r="539" spans="1:33" x14ac:dyDescent="0.2">
      <c r="A539" t="str">
        <f t="shared" si="152"/>
        <v/>
      </c>
      <c r="B539" s="38" t="str">
        <f t="shared" si="153"/>
        <v/>
      </c>
      <c r="C539" s="38" t="str">
        <f t="shared" si="154"/>
        <v/>
      </c>
      <c r="D539" s="38" t="str">
        <f t="shared" si="155"/>
        <v/>
      </c>
      <c r="E539" s="38" t="str">
        <f t="shared" si="156"/>
        <v/>
      </c>
      <c r="F539" s="38" t="str">
        <f t="shared" si="157"/>
        <v/>
      </c>
      <c r="G539" s="38" t="str">
        <f t="shared" si="167"/>
        <v/>
      </c>
      <c r="H539" s="38" t="str">
        <f t="shared" si="168"/>
        <v/>
      </c>
      <c r="L539" t="str">
        <f t="shared" si="158"/>
        <v/>
      </c>
      <c r="M539" s="38" t="str">
        <f t="shared" si="159"/>
        <v/>
      </c>
      <c r="N539" s="38" t="str">
        <f t="shared" si="160"/>
        <v/>
      </c>
      <c r="O539" s="38" t="str">
        <f t="shared" si="161"/>
        <v/>
      </c>
      <c r="P539" s="38" t="str">
        <f t="shared" si="162"/>
        <v/>
      </c>
      <c r="Q539" s="38" t="str">
        <f t="shared" si="163"/>
        <v/>
      </c>
      <c r="R539" s="38" t="str">
        <f t="shared" si="164"/>
        <v/>
      </c>
      <c r="S539" s="38" t="str">
        <f t="shared" si="165"/>
        <v/>
      </c>
      <c r="T539" s="38" t="str">
        <f t="shared" si="166"/>
        <v/>
      </c>
      <c r="AF539" t="str">
        <f t="shared" si="151"/>
        <v/>
      </c>
      <c r="AG539" s="38" t="str">
        <f t="shared" si="150"/>
        <v/>
      </c>
    </row>
    <row r="540" spans="1:33" x14ac:dyDescent="0.2">
      <c r="A540" t="str">
        <f t="shared" si="152"/>
        <v/>
      </c>
      <c r="B540" s="38" t="str">
        <f t="shared" si="153"/>
        <v/>
      </c>
      <c r="C540" s="38" t="str">
        <f t="shared" si="154"/>
        <v/>
      </c>
      <c r="D540" s="38" t="str">
        <f t="shared" si="155"/>
        <v/>
      </c>
      <c r="E540" s="38" t="str">
        <f t="shared" si="156"/>
        <v/>
      </c>
      <c r="F540" s="38" t="str">
        <f t="shared" si="157"/>
        <v/>
      </c>
      <c r="G540" s="38" t="str">
        <f t="shared" si="167"/>
        <v/>
      </c>
      <c r="H540" s="38" t="str">
        <f t="shared" si="168"/>
        <v/>
      </c>
      <c r="L540" t="str">
        <f t="shared" si="158"/>
        <v/>
      </c>
      <c r="M540" s="38" t="str">
        <f t="shared" si="159"/>
        <v/>
      </c>
      <c r="N540" s="38" t="str">
        <f t="shared" si="160"/>
        <v/>
      </c>
      <c r="O540" s="38" t="str">
        <f t="shared" si="161"/>
        <v/>
      </c>
      <c r="P540" s="38" t="str">
        <f t="shared" si="162"/>
        <v/>
      </c>
      <c r="Q540" s="38" t="str">
        <f t="shared" si="163"/>
        <v/>
      </c>
      <c r="R540" s="38" t="str">
        <f t="shared" si="164"/>
        <v/>
      </c>
      <c r="S540" s="38" t="str">
        <f t="shared" si="165"/>
        <v/>
      </c>
      <c r="T540" s="38" t="str">
        <f t="shared" si="166"/>
        <v/>
      </c>
      <c r="AF540" t="str">
        <f t="shared" si="151"/>
        <v/>
      </c>
      <c r="AG540" s="38" t="str">
        <f t="shared" si="150"/>
        <v/>
      </c>
    </row>
    <row r="541" spans="1:33" x14ac:dyDescent="0.2">
      <c r="A541" t="str">
        <f t="shared" si="152"/>
        <v/>
      </c>
      <c r="B541" s="38" t="str">
        <f t="shared" si="153"/>
        <v/>
      </c>
      <c r="C541" s="38" t="str">
        <f t="shared" si="154"/>
        <v/>
      </c>
      <c r="D541" s="38" t="str">
        <f t="shared" si="155"/>
        <v/>
      </c>
      <c r="E541" s="38" t="str">
        <f t="shared" si="156"/>
        <v/>
      </c>
      <c r="F541" s="38" t="str">
        <f t="shared" si="157"/>
        <v/>
      </c>
      <c r="G541" s="38" t="str">
        <f t="shared" si="167"/>
        <v/>
      </c>
      <c r="H541" s="38" t="str">
        <f t="shared" si="168"/>
        <v/>
      </c>
      <c r="L541" t="str">
        <f t="shared" si="158"/>
        <v/>
      </c>
      <c r="M541" s="38" t="str">
        <f t="shared" si="159"/>
        <v/>
      </c>
      <c r="N541" s="38" t="str">
        <f t="shared" si="160"/>
        <v/>
      </c>
      <c r="O541" s="38" t="str">
        <f t="shared" si="161"/>
        <v/>
      </c>
      <c r="P541" s="38" t="str">
        <f t="shared" si="162"/>
        <v/>
      </c>
      <c r="Q541" s="38" t="str">
        <f t="shared" si="163"/>
        <v/>
      </c>
      <c r="R541" s="38" t="str">
        <f t="shared" si="164"/>
        <v/>
      </c>
      <c r="S541" s="38" t="str">
        <f t="shared" si="165"/>
        <v/>
      </c>
      <c r="T541" s="38" t="str">
        <f t="shared" si="166"/>
        <v/>
      </c>
      <c r="AF541" t="str">
        <f t="shared" si="151"/>
        <v/>
      </c>
      <c r="AG541" s="38" t="str">
        <f t="shared" si="150"/>
        <v/>
      </c>
    </row>
    <row r="542" spans="1:33" x14ac:dyDescent="0.2">
      <c r="A542" t="str">
        <f t="shared" si="152"/>
        <v/>
      </c>
      <c r="B542" s="38" t="str">
        <f t="shared" si="153"/>
        <v/>
      </c>
      <c r="C542" s="38" t="str">
        <f t="shared" si="154"/>
        <v/>
      </c>
      <c r="D542" s="38" t="str">
        <f t="shared" si="155"/>
        <v/>
      </c>
      <c r="E542" s="38" t="str">
        <f t="shared" si="156"/>
        <v/>
      </c>
      <c r="F542" s="38" t="str">
        <f t="shared" si="157"/>
        <v/>
      </c>
      <c r="G542" s="38" t="str">
        <f t="shared" si="167"/>
        <v/>
      </c>
      <c r="H542" s="38" t="str">
        <f t="shared" si="168"/>
        <v/>
      </c>
      <c r="L542" t="str">
        <f t="shared" si="158"/>
        <v/>
      </c>
      <c r="M542" s="38" t="str">
        <f t="shared" si="159"/>
        <v/>
      </c>
      <c r="N542" s="38" t="str">
        <f t="shared" si="160"/>
        <v/>
      </c>
      <c r="O542" s="38" t="str">
        <f t="shared" si="161"/>
        <v/>
      </c>
      <c r="P542" s="38" t="str">
        <f t="shared" si="162"/>
        <v/>
      </c>
      <c r="Q542" s="38" t="str">
        <f t="shared" si="163"/>
        <v/>
      </c>
      <c r="R542" s="38" t="str">
        <f t="shared" si="164"/>
        <v/>
      </c>
      <c r="S542" s="38" t="str">
        <f t="shared" si="165"/>
        <v/>
      </c>
      <c r="T542" s="38" t="str">
        <f t="shared" si="166"/>
        <v/>
      </c>
      <c r="AF542" t="str">
        <f t="shared" si="151"/>
        <v/>
      </c>
      <c r="AG542" s="38" t="str">
        <f t="shared" si="150"/>
        <v/>
      </c>
    </row>
    <row r="543" spans="1:33" x14ac:dyDescent="0.2">
      <c r="A543" t="str">
        <f t="shared" si="152"/>
        <v/>
      </c>
      <c r="B543" s="38" t="str">
        <f t="shared" si="153"/>
        <v/>
      </c>
      <c r="C543" s="38" t="str">
        <f t="shared" si="154"/>
        <v/>
      </c>
      <c r="D543" s="38" t="str">
        <f t="shared" si="155"/>
        <v/>
      </c>
      <c r="E543" s="38" t="str">
        <f t="shared" si="156"/>
        <v/>
      </c>
      <c r="F543" s="38" t="str">
        <f t="shared" si="157"/>
        <v/>
      </c>
      <c r="G543" s="38" t="str">
        <f t="shared" si="167"/>
        <v/>
      </c>
      <c r="H543" s="38" t="str">
        <f t="shared" si="168"/>
        <v/>
      </c>
      <c r="L543" t="str">
        <f t="shared" si="158"/>
        <v/>
      </c>
      <c r="M543" s="38" t="str">
        <f t="shared" si="159"/>
        <v/>
      </c>
      <c r="N543" s="38" t="str">
        <f t="shared" si="160"/>
        <v/>
      </c>
      <c r="O543" s="38" t="str">
        <f t="shared" si="161"/>
        <v/>
      </c>
      <c r="P543" s="38" t="str">
        <f t="shared" si="162"/>
        <v/>
      </c>
      <c r="Q543" s="38" t="str">
        <f t="shared" si="163"/>
        <v/>
      </c>
      <c r="R543" s="38" t="str">
        <f t="shared" si="164"/>
        <v/>
      </c>
      <c r="S543" s="38" t="str">
        <f t="shared" si="165"/>
        <v/>
      </c>
      <c r="T543" s="38" t="str">
        <f t="shared" si="166"/>
        <v/>
      </c>
      <c r="AF543" t="str">
        <f t="shared" si="151"/>
        <v/>
      </c>
      <c r="AG543" s="38" t="str">
        <f t="shared" si="150"/>
        <v/>
      </c>
    </row>
    <row r="544" spans="1:33" x14ac:dyDescent="0.2">
      <c r="A544" t="str">
        <f t="shared" si="152"/>
        <v/>
      </c>
      <c r="B544" s="38" t="str">
        <f t="shared" si="153"/>
        <v/>
      </c>
      <c r="C544" s="38" t="str">
        <f t="shared" si="154"/>
        <v/>
      </c>
      <c r="D544" s="38" t="str">
        <f t="shared" si="155"/>
        <v/>
      </c>
      <c r="E544" s="38" t="str">
        <f t="shared" si="156"/>
        <v/>
      </c>
      <c r="F544" s="38" t="str">
        <f t="shared" si="157"/>
        <v/>
      </c>
      <c r="G544" s="38" t="str">
        <f t="shared" si="167"/>
        <v/>
      </c>
      <c r="H544" s="38" t="str">
        <f t="shared" si="168"/>
        <v/>
      </c>
      <c r="L544" t="str">
        <f t="shared" si="158"/>
        <v/>
      </c>
      <c r="M544" s="38" t="str">
        <f t="shared" si="159"/>
        <v/>
      </c>
      <c r="N544" s="38" t="str">
        <f t="shared" si="160"/>
        <v/>
      </c>
      <c r="O544" s="38" t="str">
        <f t="shared" si="161"/>
        <v/>
      </c>
      <c r="P544" s="38" t="str">
        <f t="shared" si="162"/>
        <v/>
      </c>
      <c r="Q544" s="38" t="str">
        <f t="shared" si="163"/>
        <v/>
      </c>
      <c r="R544" s="38" t="str">
        <f t="shared" si="164"/>
        <v/>
      </c>
      <c r="S544" s="38" t="str">
        <f t="shared" si="165"/>
        <v/>
      </c>
      <c r="T544" s="38" t="str">
        <f t="shared" si="166"/>
        <v/>
      </c>
      <c r="AF544" t="str">
        <f t="shared" si="151"/>
        <v/>
      </c>
      <c r="AG544" s="38" t="str">
        <f t="shared" si="150"/>
        <v/>
      </c>
    </row>
    <row r="545" spans="1:33" x14ac:dyDescent="0.2">
      <c r="A545" t="str">
        <f t="shared" si="152"/>
        <v/>
      </c>
      <c r="B545" s="38" t="str">
        <f t="shared" si="153"/>
        <v/>
      </c>
      <c r="C545" s="38" t="str">
        <f t="shared" si="154"/>
        <v/>
      </c>
      <c r="D545" s="38" t="str">
        <f t="shared" si="155"/>
        <v/>
      </c>
      <c r="E545" s="38" t="str">
        <f t="shared" si="156"/>
        <v/>
      </c>
      <c r="F545" s="38" t="str">
        <f t="shared" si="157"/>
        <v/>
      </c>
      <c r="G545" s="38" t="str">
        <f t="shared" si="167"/>
        <v/>
      </c>
      <c r="H545" s="38" t="str">
        <f t="shared" si="168"/>
        <v/>
      </c>
      <c r="L545" t="str">
        <f t="shared" si="158"/>
        <v/>
      </c>
      <c r="M545" s="38" t="str">
        <f t="shared" si="159"/>
        <v/>
      </c>
      <c r="N545" s="38" t="str">
        <f t="shared" si="160"/>
        <v/>
      </c>
      <c r="O545" s="38" t="str">
        <f t="shared" si="161"/>
        <v/>
      </c>
      <c r="P545" s="38" t="str">
        <f t="shared" si="162"/>
        <v/>
      </c>
      <c r="Q545" s="38" t="str">
        <f t="shared" si="163"/>
        <v/>
      </c>
      <c r="R545" s="38" t="str">
        <f t="shared" si="164"/>
        <v/>
      </c>
      <c r="S545" s="38" t="str">
        <f t="shared" si="165"/>
        <v/>
      </c>
      <c r="T545" s="38" t="str">
        <f t="shared" si="166"/>
        <v/>
      </c>
      <c r="AF545" t="str">
        <f t="shared" si="151"/>
        <v/>
      </c>
      <c r="AG545" s="38" t="str">
        <f t="shared" si="150"/>
        <v/>
      </c>
    </row>
    <row r="546" spans="1:33" x14ac:dyDescent="0.2">
      <c r="A546" t="str">
        <f t="shared" si="152"/>
        <v/>
      </c>
      <c r="B546" s="38" t="str">
        <f t="shared" si="153"/>
        <v/>
      </c>
      <c r="C546" s="38" t="str">
        <f t="shared" si="154"/>
        <v/>
      </c>
      <c r="D546" s="38" t="str">
        <f t="shared" si="155"/>
        <v/>
      </c>
      <c r="E546" s="38" t="str">
        <f t="shared" si="156"/>
        <v/>
      </c>
      <c r="F546" s="38" t="str">
        <f t="shared" si="157"/>
        <v/>
      </c>
      <c r="G546" s="38" t="str">
        <f t="shared" si="167"/>
        <v/>
      </c>
      <c r="H546" s="38" t="str">
        <f t="shared" si="168"/>
        <v/>
      </c>
      <c r="L546" t="str">
        <f t="shared" si="158"/>
        <v/>
      </c>
      <c r="M546" s="38" t="str">
        <f t="shared" si="159"/>
        <v/>
      </c>
      <c r="N546" s="38" t="str">
        <f t="shared" si="160"/>
        <v/>
      </c>
      <c r="O546" s="38" t="str">
        <f t="shared" si="161"/>
        <v/>
      </c>
      <c r="P546" s="38" t="str">
        <f t="shared" si="162"/>
        <v/>
      </c>
      <c r="Q546" s="38" t="str">
        <f t="shared" si="163"/>
        <v/>
      </c>
      <c r="R546" s="38" t="str">
        <f t="shared" si="164"/>
        <v/>
      </c>
      <c r="S546" s="38" t="str">
        <f t="shared" si="165"/>
        <v/>
      </c>
      <c r="T546" s="38" t="str">
        <f t="shared" si="166"/>
        <v/>
      </c>
      <c r="AF546" t="str">
        <f t="shared" si="151"/>
        <v/>
      </c>
      <c r="AG546" s="38" t="str">
        <f t="shared" si="150"/>
        <v/>
      </c>
    </row>
    <row r="547" spans="1:33" x14ac:dyDescent="0.2">
      <c r="A547" t="str">
        <f t="shared" si="152"/>
        <v/>
      </c>
      <c r="B547" s="38" t="str">
        <f t="shared" si="153"/>
        <v/>
      </c>
      <c r="C547" s="38" t="str">
        <f t="shared" si="154"/>
        <v/>
      </c>
      <c r="D547" s="38" t="str">
        <f t="shared" si="155"/>
        <v/>
      </c>
      <c r="E547" s="38" t="str">
        <f t="shared" si="156"/>
        <v/>
      </c>
      <c r="F547" s="38" t="str">
        <f t="shared" si="157"/>
        <v/>
      </c>
      <c r="G547" s="38" t="str">
        <f t="shared" si="167"/>
        <v/>
      </c>
      <c r="H547" s="38" t="str">
        <f t="shared" si="168"/>
        <v/>
      </c>
      <c r="L547" t="str">
        <f t="shared" si="158"/>
        <v/>
      </c>
      <c r="M547" s="38" t="str">
        <f t="shared" si="159"/>
        <v/>
      </c>
      <c r="N547" s="38" t="str">
        <f t="shared" si="160"/>
        <v/>
      </c>
      <c r="O547" s="38" t="str">
        <f t="shared" si="161"/>
        <v/>
      </c>
      <c r="P547" s="38" t="str">
        <f t="shared" si="162"/>
        <v/>
      </c>
      <c r="Q547" s="38" t="str">
        <f t="shared" si="163"/>
        <v/>
      </c>
      <c r="R547" s="38" t="str">
        <f t="shared" si="164"/>
        <v/>
      </c>
      <c r="S547" s="38" t="str">
        <f t="shared" si="165"/>
        <v/>
      </c>
      <c r="T547" s="38" t="str">
        <f t="shared" si="166"/>
        <v/>
      </c>
      <c r="AF547" t="str">
        <f t="shared" si="151"/>
        <v/>
      </c>
      <c r="AG547" s="38" t="str">
        <f t="shared" si="150"/>
        <v/>
      </c>
    </row>
    <row r="548" spans="1:33" x14ac:dyDescent="0.2">
      <c r="A548" t="str">
        <f t="shared" si="152"/>
        <v/>
      </c>
      <c r="B548" s="38" t="str">
        <f t="shared" si="153"/>
        <v/>
      </c>
      <c r="C548" s="38" t="str">
        <f t="shared" si="154"/>
        <v/>
      </c>
      <c r="D548" s="38" t="str">
        <f t="shared" si="155"/>
        <v/>
      </c>
      <c r="E548" s="38" t="str">
        <f t="shared" si="156"/>
        <v/>
      </c>
      <c r="F548" s="38" t="str">
        <f t="shared" si="157"/>
        <v/>
      </c>
      <c r="G548" s="38" t="str">
        <f t="shared" si="167"/>
        <v/>
      </c>
      <c r="H548" s="38" t="str">
        <f t="shared" si="168"/>
        <v/>
      </c>
      <c r="L548" t="str">
        <f t="shared" si="158"/>
        <v/>
      </c>
      <c r="M548" s="38" t="str">
        <f t="shared" si="159"/>
        <v/>
      </c>
      <c r="N548" s="38" t="str">
        <f t="shared" si="160"/>
        <v/>
      </c>
      <c r="O548" s="38" t="str">
        <f t="shared" si="161"/>
        <v/>
      </c>
      <c r="P548" s="38" t="str">
        <f t="shared" si="162"/>
        <v/>
      </c>
      <c r="Q548" s="38" t="str">
        <f t="shared" si="163"/>
        <v/>
      </c>
      <c r="R548" s="38" t="str">
        <f t="shared" si="164"/>
        <v/>
      </c>
      <c r="S548" s="38" t="str">
        <f t="shared" si="165"/>
        <v/>
      </c>
      <c r="T548" s="38" t="str">
        <f t="shared" si="166"/>
        <v/>
      </c>
      <c r="AF548" t="str">
        <f t="shared" si="151"/>
        <v/>
      </c>
      <c r="AG548" s="38" t="str">
        <f t="shared" si="150"/>
        <v/>
      </c>
    </row>
    <row r="549" spans="1:33" x14ac:dyDescent="0.2">
      <c r="A549" t="str">
        <f t="shared" si="152"/>
        <v/>
      </c>
      <c r="B549" s="38" t="str">
        <f t="shared" si="153"/>
        <v/>
      </c>
      <c r="C549" s="38" t="str">
        <f t="shared" si="154"/>
        <v/>
      </c>
      <c r="D549" s="38" t="str">
        <f t="shared" si="155"/>
        <v/>
      </c>
      <c r="E549" s="38" t="str">
        <f t="shared" si="156"/>
        <v/>
      </c>
      <c r="F549" s="38" t="str">
        <f t="shared" si="157"/>
        <v/>
      </c>
      <c r="G549" s="38" t="str">
        <f t="shared" si="167"/>
        <v/>
      </c>
      <c r="H549" s="38" t="str">
        <f t="shared" si="168"/>
        <v/>
      </c>
      <c r="L549" t="str">
        <f t="shared" si="158"/>
        <v/>
      </c>
      <c r="M549" s="38" t="str">
        <f t="shared" si="159"/>
        <v/>
      </c>
      <c r="N549" s="38" t="str">
        <f t="shared" si="160"/>
        <v/>
      </c>
      <c r="O549" s="38" t="str">
        <f t="shared" si="161"/>
        <v/>
      </c>
      <c r="P549" s="38" t="str">
        <f t="shared" si="162"/>
        <v/>
      </c>
      <c r="Q549" s="38" t="str">
        <f t="shared" si="163"/>
        <v/>
      </c>
      <c r="R549" s="38" t="str">
        <f t="shared" si="164"/>
        <v/>
      </c>
      <c r="S549" s="38" t="str">
        <f t="shared" si="165"/>
        <v/>
      </c>
      <c r="T549" s="38" t="str">
        <f t="shared" si="166"/>
        <v/>
      </c>
      <c r="AF549" t="str">
        <f t="shared" si="151"/>
        <v/>
      </c>
      <c r="AG549" s="38" t="str">
        <f t="shared" si="150"/>
        <v/>
      </c>
    </row>
    <row r="550" spans="1:33" x14ac:dyDescent="0.2">
      <c r="A550" t="str">
        <f t="shared" si="152"/>
        <v/>
      </c>
      <c r="B550" s="38" t="str">
        <f t="shared" si="153"/>
        <v/>
      </c>
      <c r="C550" s="38" t="str">
        <f t="shared" si="154"/>
        <v/>
      </c>
      <c r="D550" s="38" t="str">
        <f t="shared" si="155"/>
        <v/>
      </c>
      <c r="E550" s="38" t="str">
        <f t="shared" si="156"/>
        <v/>
      </c>
      <c r="F550" s="38" t="str">
        <f t="shared" si="157"/>
        <v/>
      </c>
      <c r="G550" s="38" t="str">
        <f t="shared" si="167"/>
        <v/>
      </c>
      <c r="H550" s="38" t="str">
        <f t="shared" si="168"/>
        <v/>
      </c>
      <c r="L550" t="str">
        <f t="shared" si="158"/>
        <v/>
      </c>
      <c r="M550" s="38" t="str">
        <f t="shared" si="159"/>
        <v/>
      </c>
      <c r="N550" s="38" t="str">
        <f t="shared" si="160"/>
        <v/>
      </c>
      <c r="O550" s="38" t="str">
        <f t="shared" si="161"/>
        <v/>
      </c>
      <c r="P550" s="38" t="str">
        <f t="shared" si="162"/>
        <v/>
      </c>
      <c r="Q550" s="38" t="str">
        <f t="shared" si="163"/>
        <v/>
      </c>
      <c r="R550" s="38" t="str">
        <f t="shared" si="164"/>
        <v/>
      </c>
      <c r="S550" s="38" t="str">
        <f t="shared" si="165"/>
        <v/>
      </c>
      <c r="T550" s="38" t="str">
        <f t="shared" si="166"/>
        <v/>
      </c>
      <c r="AF550" t="str">
        <f t="shared" si="151"/>
        <v/>
      </c>
      <c r="AG550" s="38" t="str">
        <f t="shared" si="150"/>
        <v/>
      </c>
    </row>
    <row r="551" spans="1:33" x14ac:dyDescent="0.2">
      <c r="A551" t="str">
        <f t="shared" si="152"/>
        <v/>
      </c>
      <c r="B551" s="38" t="str">
        <f t="shared" si="153"/>
        <v/>
      </c>
      <c r="C551" s="38" t="str">
        <f t="shared" si="154"/>
        <v/>
      </c>
      <c r="D551" s="38" t="str">
        <f t="shared" si="155"/>
        <v/>
      </c>
      <c r="E551" s="38" t="str">
        <f t="shared" si="156"/>
        <v/>
      </c>
      <c r="F551" s="38" t="str">
        <f t="shared" si="157"/>
        <v/>
      </c>
      <c r="G551" s="38" t="str">
        <f t="shared" si="167"/>
        <v/>
      </c>
      <c r="H551" s="38" t="str">
        <f t="shared" si="168"/>
        <v/>
      </c>
      <c r="L551" t="str">
        <f t="shared" si="158"/>
        <v/>
      </c>
      <c r="M551" s="38" t="str">
        <f t="shared" si="159"/>
        <v/>
      </c>
      <c r="N551" s="38" t="str">
        <f t="shared" si="160"/>
        <v/>
      </c>
      <c r="O551" s="38" t="str">
        <f t="shared" si="161"/>
        <v/>
      </c>
      <c r="P551" s="38" t="str">
        <f t="shared" si="162"/>
        <v/>
      </c>
      <c r="Q551" s="38" t="str">
        <f t="shared" si="163"/>
        <v/>
      </c>
      <c r="R551" s="38" t="str">
        <f t="shared" si="164"/>
        <v/>
      </c>
      <c r="S551" s="38" t="str">
        <f t="shared" si="165"/>
        <v/>
      </c>
      <c r="T551" s="38" t="str">
        <f t="shared" si="166"/>
        <v/>
      </c>
      <c r="AF551" t="str">
        <f t="shared" si="151"/>
        <v/>
      </c>
      <c r="AG551" s="38" t="str">
        <f t="shared" si="150"/>
        <v/>
      </c>
    </row>
    <row r="552" spans="1:33" x14ac:dyDescent="0.2">
      <c r="A552" t="str">
        <f t="shared" si="152"/>
        <v/>
      </c>
      <c r="B552" s="38" t="str">
        <f t="shared" si="153"/>
        <v/>
      </c>
      <c r="C552" s="38" t="str">
        <f t="shared" si="154"/>
        <v/>
      </c>
      <c r="D552" s="38" t="str">
        <f t="shared" si="155"/>
        <v/>
      </c>
      <c r="E552" s="38" t="str">
        <f t="shared" si="156"/>
        <v/>
      </c>
      <c r="F552" s="38" t="str">
        <f t="shared" si="157"/>
        <v/>
      </c>
      <c r="G552" s="38" t="str">
        <f t="shared" si="167"/>
        <v/>
      </c>
      <c r="H552" s="38" t="str">
        <f t="shared" si="168"/>
        <v/>
      </c>
      <c r="L552" t="str">
        <f t="shared" si="158"/>
        <v/>
      </c>
      <c r="M552" s="38" t="str">
        <f t="shared" si="159"/>
        <v/>
      </c>
      <c r="N552" s="38" t="str">
        <f t="shared" si="160"/>
        <v/>
      </c>
      <c r="O552" s="38" t="str">
        <f t="shared" si="161"/>
        <v/>
      </c>
      <c r="P552" s="38" t="str">
        <f t="shared" si="162"/>
        <v/>
      </c>
      <c r="Q552" s="38" t="str">
        <f t="shared" si="163"/>
        <v/>
      </c>
      <c r="R552" s="38" t="str">
        <f t="shared" si="164"/>
        <v/>
      </c>
      <c r="S552" s="38" t="str">
        <f t="shared" si="165"/>
        <v/>
      </c>
      <c r="T552" s="38" t="str">
        <f t="shared" si="166"/>
        <v/>
      </c>
      <c r="AF552" t="str">
        <f t="shared" si="151"/>
        <v/>
      </c>
      <c r="AG552" s="38" t="str">
        <f t="shared" si="150"/>
        <v/>
      </c>
    </row>
    <row r="553" spans="1:33" x14ac:dyDescent="0.2">
      <c r="A553" t="str">
        <f t="shared" si="152"/>
        <v/>
      </c>
      <c r="B553" s="38" t="str">
        <f t="shared" si="153"/>
        <v/>
      </c>
      <c r="C553" s="38" t="str">
        <f t="shared" si="154"/>
        <v/>
      </c>
      <c r="D553" s="38" t="str">
        <f t="shared" si="155"/>
        <v/>
      </c>
      <c r="E553" s="38" t="str">
        <f t="shared" si="156"/>
        <v/>
      </c>
      <c r="F553" s="38" t="str">
        <f t="shared" si="157"/>
        <v/>
      </c>
      <c r="G553" s="38" t="str">
        <f t="shared" si="167"/>
        <v/>
      </c>
      <c r="H553" s="38" t="str">
        <f t="shared" si="168"/>
        <v/>
      </c>
      <c r="L553" t="str">
        <f t="shared" si="158"/>
        <v/>
      </c>
      <c r="M553" s="38" t="str">
        <f t="shared" si="159"/>
        <v/>
      </c>
      <c r="N553" s="38" t="str">
        <f t="shared" si="160"/>
        <v/>
      </c>
      <c r="O553" s="38" t="str">
        <f t="shared" si="161"/>
        <v/>
      </c>
      <c r="P553" s="38" t="str">
        <f t="shared" si="162"/>
        <v/>
      </c>
      <c r="Q553" s="38" t="str">
        <f t="shared" si="163"/>
        <v/>
      </c>
      <c r="R553" s="38" t="str">
        <f t="shared" si="164"/>
        <v/>
      </c>
      <c r="S553" s="38" t="str">
        <f t="shared" si="165"/>
        <v/>
      </c>
      <c r="T553" s="38" t="str">
        <f t="shared" si="166"/>
        <v/>
      </c>
      <c r="AF553" t="str">
        <f t="shared" si="151"/>
        <v/>
      </c>
      <c r="AG553" s="38" t="str">
        <f t="shared" si="150"/>
        <v/>
      </c>
    </row>
    <row r="554" spans="1:33" x14ac:dyDescent="0.2">
      <c r="A554" t="str">
        <f t="shared" si="152"/>
        <v/>
      </c>
      <c r="B554" s="38" t="str">
        <f t="shared" si="153"/>
        <v/>
      </c>
      <c r="C554" s="38" t="str">
        <f t="shared" si="154"/>
        <v/>
      </c>
      <c r="D554" s="38" t="str">
        <f t="shared" si="155"/>
        <v/>
      </c>
      <c r="E554" s="38" t="str">
        <f t="shared" si="156"/>
        <v/>
      </c>
      <c r="F554" s="38" t="str">
        <f t="shared" si="157"/>
        <v/>
      </c>
      <c r="G554" s="38" t="str">
        <f t="shared" si="167"/>
        <v/>
      </c>
      <c r="H554" s="38" t="str">
        <f t="shared" si="168"/>
        <v/>
      </c>
      <c r="L554" t="str">
        <f t="shared" si="158"/>
        <v/>
      </c>
      <c r="M554" s="38" t="str">
        <f t="shared" si="159"/>
        <v/>
      </c>
      <c r="N554" s="38" t="str">
        <f t="shared" si="160"/>
        <v/>
      </c>
      <c r="O554" s="38" t="str">
        <f t="shared" si="161"/>
        <v/>
      </c>
      <c r="P554" s="38" t="str">
        <f t="shared" si="162"/>
        <v/>
      </c>
      <c r="Q554" s="38" t="str">
        <f t="shared" si="163"/>
        <v/>
      </c>
      <c r="R554" s="38" t="str">
        <f t="shared" si="164"/>
        <v/>
      </c>
      <c r="S554" s="38" t="str">
        <f t="shared" si="165"/>
        <v/>
      </c>
      <c r="T554" s="38" t="str">
        <f t="shared" si="166"/>
        <v/>
      </c>
      <c r="AF554" t="str">
        <f t="shared" si="151"/>
        <v/>
      </c>
      <c r="AG554" s="38" t="str">
        <f t="shared" si="150"/>
        <v/>
      </c>
    </row>
    <row r="555" spans="1:33" x14ac:dyDescent="0.2">
      <c r="A555" t="str">
        <f t="shared" si="152"/>
        <v/>
      </c>
      <c r="B555" s="38" t="str">
        <f t="shared" si="153"/>
        <v/>
      </c>
      <c r="C555" s="38" t="str">
        <f t="shared" si="154"/>
        <v/>
      </c>
      <c r="D555" s="38" t="str">
        <f t="shared" si="155"/>
        <v/>
      </c>
      <c r="E555" s="38" t="str">
        <f t="shared" si="156"/>
        <v/>
      </c>
      <c r="F555" s="38" t="str">
        <f t="shared" si="157"/>
        <v/>
      </c>
      <c r="G555" s="38" t="str">
        <f t="shared" si="167"/>
        <v/>
      </c>
      <c r="H555" s="38" t="str">
        <f t="shared" si="168"/>
        <v/>
      </c>
      <c r="L555" t="str">
        <f t="shared" si="158"/>
        <v/>
      </c>
      <c r="M555" s="38" t="str">
        <f t="shared" si="159"/>
        <v/>
      </c>
      <c r="N555" s="38" t="str">
        <f t="shared" si="160"/>
        <v/>
      </c>
      <c r="O555" s="38" t="str">
        <f t="shared" si="161"/>
        <v/>
      </c>
      <c r="P555" s="38" t="str">
        <f t="shared" si="162"/>
        <v/>
      </c>
      <c r="Q555" s="38" t="str">
        <f t="shared" si="163"/>
        <v/>
      </c>
      <c r="R555" s="38" t="str">
        <f t="shared" si="164"/>
        <v/>
      </c>
      <c r="S555" s="38" t="str">
        <f t="shared" si="165"/>
        <v/>
      </c>
      <c r="T555" s="38" t="str">
        <f t="shared" si="166"/>
        <v/>
      </c>
      <c r="AF555" t="str">
        <f t="shared" si="151"/>
        <v/>
      </c>
      <c r="AG555" s="38" t="str">
        <f t="shared" si="150"/>
        <v/>
      </c>
    </row>
    <row r="556" spans="1:33" x14ac:dyDescent="0.2">
      <c r="A556" t="str">
        <f t="shared" si="152"/>
        <v/>
      </c>
      <c r="B556" s="38" t="str">
        <f t="shared" si="153"/>
        <v/>
      </c>
      <c r="C556" s="38" t="str">
        <f t="shared" si="154"/>
        <v/>
      </c>
      <c r="D556" s="38" t="str">
        <f t="shared" si="155"/>
        <v/>
      </c>
      <c r="E556" s="38" t="str">
        <f t="shared" si="156"/>
        <v/>
      </c>
      <c r="F556" s="38" t="str">
        <f t="shared" si="157"/>
        <v/>
      </c>
      <c r="G556" s="38" t="str">
        <f t="shared" si="167"/>
        <v/>
      </c>
      <c r="H556" s="38" t="str">
        <f t="shared" si="168"/>
        <v/>
      </c>
      <c r="L556" t="str">
        <f t="shared" si="158"/>
        <v/>
      </c>
      <c r="M556" s="38" t="str">
        <f t="shared" si="159"/>
        <v/>
      </c>
      <c r="N556" s="38" t="str">
        <f t="shared" si="160"/>
        <v/>
      </c>
      <c r="O556" s="38" t="str">
        <f t="shared" si="161"/>
        <v/>
      </c>
      <c r="P556" s="38" t="str">
        <f t="shared" si="162"/>
        <v/>
      </c>
      <c r="Q556" s="38" t="str">
        <f t="shared" si="163"/>
        <v/>
      </c>
      <c r="R556" s="38" t="str">
        <f t="shared" si="164"/>
        <v/>
      </c>
      <c r="S556" s="38" t="str">
        <f t="shared" si="165"/>
        <v/>
      </c>
      <c r="T556" s="38" t="str">
        <f t="shared" si="166"/>
        <v/>
      </c>
      <c r="AF556" t="str">
        <f t="shared" si="151"/>
        <v/>
      </c>
      <c r="AG556" s="38" t="str">
        <f t="shared" si="150"/>
        <v/>
      </c>
    </row>
    <row r="557" spans="1:33" x14ac:dyDescent="0.2">
      <c r="A557" t="str">
        <f t="shared" si="152"/>
        <v/>
      </c>
      <c r="B557" s="38" t="str">
        <f t="shared" si="153"/>
        <v/>
      </c>
      <c r="C557" s="38" t="str">
        <f t="shared" si="154"/>
        <v/>
      </c>
      <c r="D557" s="38" t="str">
        <f t="shared" si="155"/>
        <v/>
      </c>
      <c r="E557" s="38" t="str">
        <f t="shared" si="156"/>
        <v/>
      </c>
      <c r="F557" s="38" t="str">
        <f t="shared" si="157"/>
        <v/>
      </c>
      <c r="G557" s="38" t="str">
        <f t="shared" si="167"/>
        <v/>
      </c>
      <c r="H557" s="38" t="str">
        <f t="shared" si="168"/>
        <v/>
      </c>
      <c r="L557" t="str">
        <f t="shared" si="158"/>
        <v/>
      </c>
      <c r="M557" s="38" t="str">
        <f t="shared" si="159"/>
        <v/>
      </c>
      <c r="N557" s="38" t="str">
        <f t="shared" si="160"/>
        <v/>
      </c>
      <c r="O557" s="38" t="str">
        <f t="shared" si="161"/>
        <v/>
      </c>
      <c r="P557" s="38" t="str">
        <f t="shared" si="162"/>
        <v/>
      </c>
      <c r="Q557" s="38" t="str">
        <f t="shared" si="163"/>
        <v/>
      </c>
      <c r="R557" s="38" t="str">
        <f t="shared" si="164"/>
        <v/>
      </c>
      <c r="S557" s="38" t="str">
        <f t="shared" si="165"/>
        <v/>
      </c>
      <c r="T557" s="38" t="str">
        <f t="shared" si="166"/>
        <v/>
      </c>
      <c r="AF557" t="str">
        <f t="shared" si="151"/>
        <v/>
      </c>
      <c r="AG557" s="38" t="str">
        <f t="shared" si="150"/>
        <v/>
      </c>
    </row>
    <row r="558" spans="1:33" x14ac:dyDescent="0.2">
      <c r="A558" t="str">
        <f t="shared" si="152"/>
        <v/>
      </c>
      <c r="B558" s="38" t="str">
        <f t="shared" si="153"/>
        <v/>
      </c>
      <c r="C558" s="38" t="str">
        <f t="shared" si="154"/>
        <v/>
      </c>
      <c r="D558" s="38" t="str">
        <f t="shared" si="155"/>
        <v/>
      </c>
      <c r="E558" s="38" t="str">
        <f t="shared" si="156"/>
        <v/>
      </c>
      <c r="F558" s="38" t="str">
        <f t="shared" si="157"/>
        <v/>
      </c>
      <c r="G558" s="38" t="str">
        <f t="shared" si="167"/>
        <v/>
      </c>
      <c r="H558" s="38" t="str">
        <f t="shared" si="168"/>
        <v/>
      </c>
      <c r="L558" t="str">
        <f t="shared" si="158"/>
        <v/>
      </c>
      <c r="M558" s="38" t="str">
        <f t="shared" si="159"/>
        <v/>
      </c>
      <c r="N558" s="38" t="str">
        <f t="shared" si="160"/>
        <v/>
      </c>
      <c r="O558" s="38" t="str">
        <f t="shared" si="161"/>
        <v/>
      </c>
      <c r="P558" s="38" t="str">
        <f t="shared" si="162"/>
        <v/>
      </c>
      <c r="Q558" s="38" t="str">
        <f t="shared" si="163"/>
        <v/>
      </c>
      <c r="R558" s="38" t="str">
        <f t="shared" si="164"/>
        <v/>
      </c>
      <c r="S558" s="38" t="str">
        <f t="shared" si="165"/>
        <v/>
      </c>
      <c r="T558" s="38" t="str">
        <f t="shared" si="166"/>
        <v/>
      </c>
      <c r="AF558" t="str">
        <f t="shared" si="151"/>
        <v/>
      </c>
      <c r="AG558" s="38" t="str">
        <f t="shared" si="150"/>
        <v/>
      </c>
    </row>
    <row r="559" spans="1:33" x14ac:dyDescent="0.2">
      <c r="A559" t="str">
        <f t="shared" si="152"/>
        <v/>
      </c>
      <c r="B559" s="38" t="str">
        <f t="shared" si="153"/>
        <v/>
      </c>
      <c r="C559" s="38" t="str">
        <f t="shared" si="154"/>
        <v/>
      </c>
      <c r="D559" s="38" t="str">
        <f t="shared" si="155"/>
        <v/>
      </c>
      <c r="E559" s="38" t="str">
        <f t="shared" si="156"/>
        <v/>
      </c>
      <c r="F559" s="38" t="str">
        <f t="shared" si="157"/>
        <v/>
      </c>
      <c r="G559" s="38" t="str">
        <f t="shared" si="167"/>
        <v/>
      </c>
      <c r="H559" s="38" t="str">
        <f t="shared" si="168"/>
        <v/>
      </c>
      <c r="L559" t="str">
        <f t="shared" si="158"/>
        <v/>
      </c>
      <c r="M559" s="38" t="str">
        <f t="shared" si="159"/>
        <v/>
      </c>
      <c r="N559" s="38" t="str">
        <f t="shared" si="160"/>
        <v/>
      </c>
      <c r="O559" s="38" t="str">
        <f t="shared" si="161"/>
        <v/>
      </c>
      <c r="P559" s="38" t="str">
        <f t="shared" si="162"/>
        <v/>
      </c>
      <c r="Q559" s="38" t="str">
        <f t="shared" si="163"/>
        <v/>
      </c>
      <c r="R559" s="38" t="str">
        <f t="shared" si="164"/>
        <v/>
      </c>
      <c r="S559" s="38" t="str">
        <f t="shared" si="165"/>
        <v/>
      </c>
      <c r="T559" s="38" t="str">
        <f t="shared" si="166"/>
        <v/>
      </c>
      <c r="AF559" t="str">
        <f t="shared" si="151"/>
        <v/>
      </c>
      <c r="AG559" s="38" t="str">
        <f t="shared" si="150"/>
        <v/>
      </c>
    </row>
    <row r="560" spans="1:33" x14ac:dyDescent="0.2">
      <c r="A560" t="str">
        <f t="shared" si="152"/>
        <v/>
      </c>
      <c r="B560" s="38" t="str">
        <f t="shared" si="153"/>
        <v/>
      </c>
      <c r="C560" s="38" t="str">
        <f t="shared" si="154"/>
        <v/>
      </c>
      <c r="D560" s="38" t="str">
        <f t="shared" si="155"/>
        <v/>
      </c>
      <c r="E560" s="38" t="str">
        <f t="shared" si="156"/>
        <v/>
      </c>
      <c r="F560" s="38" t="str">
        <f t="shared" si="157"/>
        <v/>
      </c>
      <c r="G560" s="38" t="str">
        <f t="shared" si="167"/>
        <v/>
      </c>
      <c r="H560" s="38" t="str">
        <f t="shared" si="168"/>
        <v/>
      </c>
      <c r="L560" t="str">
        <f t="shared" si="158"/>
        <v/>
      </c>
      <c r="M560" s="38" t="str">
        <f t="shared" si="159"/>
        <v/>
      </c>
      <c r="N560" s="38" t="str">
        <f t="shared" si="160"/>
        <v/>
      </c>
      <c r="O560" s="38" t="str">
        <f t="shared" si="161"/>
        <v/>
      </c>
      <c r="P560" s="38" t="str">
        <f t="shared" si="162"/>
        <v/>
      </c>
      <c r="Q560" s="38" t="str">
        <f t="shared" si="163"/>
        <v/>
      </c>
      <c r="R560" s="38" t="str">
        <f t="shared" si="164"/>
        <v/>
      </c>
      <c r="S560" s="38" t="str">
        <f t="shared" si="165"/>
        <v/>
      </c>
      <c r="T560" s="38" t="str">
        <f t="shared" si="166"/>
        <v/>
      </c>
      <c r="AF560" t="str">
        <f t="shared" si="151"/>
        <v/>
      </c>
      <c r="AG560" s="38" t="str">
        <f t="shared" si="150"/>
        <v/>
      </c>
    </row>
    <row r="561" spans="1:33" x14ac:dyDescent="0.2">
      <c r="A561" t="str">
        <f t="shared" si="152"/>
        <v/>
      </c>
      <c r="B561" s="38" t="str">
        <f t="shared" si="153"/>
        <v/>
      </c>
      <c r="C561" s="38" t="str">
        <f t="shared" si="154"/>
        <v/>
      </c>
      <c r="D561" s="38" t="str">
        <f t="shared" si="155"/>
        <v/>
      </c>
      <c r="E561" s="38" t="str">
        <f t="shared" si="156"/>
        <v/>
      </c>
      <c r="F561" s="38" t="str">
        <f t="shared" si="157"/>
        <v/>
      </c>
      <c r="G561" s="38" t="str">
        <f t="shared" si="167"/>
        <v/>
      </c>
      <c r="H561" s="38" t="str">
        <f t="shared" si="168"/>
        <v/>
      </c>
      <c r="L561" t="str">
        <f t="shared" si="158"/>
        <v/>
      </c>
      <c r="M561" s="38" t="str">
        <f t="shared" si="159"/>
        <v/>
      </c>
      <c r="N561" s="38" t="str">
        <f t="shared" si="160"/>
        <v/>
      </c>
      <c r="O561" s="38" t="str">
        <f t="shared" si="161"/>
        <v/>
      </c>
      <c r="P561" s="38" t="str">
        <f t="shared" si="162"/>
        <v/>
      </c>
      <c r="Q561" s="38" t="str">
        <f t="shared" si="163"/>
        <v/>
      </c>
      <c r="R561" s="38" t="str">
        <f t="shared" si="164"/>
        <v/>
      </c>
      <c r="S561" s="38" t="str">
        <f t="shared" si="165"/>
        <v/>
      </c>
      <c r="T561" s="38" t="str">
        <f t="shared" si="166"/>
        <v/>
      </c>
      <c r="AF561" t="str">
        <f t="shared" si="151"/>
        <v/>
      </c>
      <c r="AG561" s="38" t="str">
        <f t="shared" si="150"/>
        <v/>
      </c>
    </row>
    <row r="562" spans="1:33" x14ac:dyDescent="0.2">
      <c r="A562" t="str">
        <f t="shared" si="152"/>
        <v/>
      </c>
      <c r="B562" s="38" t="str">
        <f t="shared" si="153"/>
        <v/>
      </c>
      <c r="C562" s="38" t="str">
        <f t="shared" si="154"/>
        <v/>
      </c>
      <c r="D562" s="38" t="str">
        <f t="shared" si="155"/>
        <v/>
      </c>
      <c r="E562" s="38" t="str">
        <f t="shared" si="156"/>
        <v/>
      </c>
      <c r="F562" s="38" t="str">
        <f t="shared" si="157"/>
        <v/>
      </c>
      <c r="G562" s="38" t="str">
        <f t="shared" si="167"/>
        <v/>
      </c>
      <c r="H562" s="38" t="str">
        <f t="shared" si="168"/>
        <v/>
      </c>
      <c r="L562" t="str">
        <f t="shared" si="158"/>
        <v/>
      </c>
      <c r="M562" s="38" t="str">
        <f t="shared" si="159"/>
        <v/>
      </c>
      <c r="N562" s="38" t="str">
        <f t="shared" si="160"/>
        <v/>
      </c>
      <c r="O562" s="38" t="str">
        <f t="shared" si="161"/>
        <v/>
      </c>
      <c r="P562" s="38" t="str">
        <f t="shared" si="162"/>
        <v/>
      </c>
      <c r="Q562" s="38" t="str">
        <f t="shared" si="163"/>
        <v/>
      </c>
      <c r="R562" s="38" t="str">
        <f t="shared" si="164"/>
        <v/>
      </c>
      <c r="S562" s="38" t="str">
        <f t="shared" si="165"/>
        <v/>
      </c>
      <c r="T562" s="38" t="str">
        <f t="shared" si="166"/>
        <v/>
      </c>
      <c r="AF562" t="str">
        <f t="shared" si="151"/>
        <v/>
      </c>
      <c r="AG562" s="38" t="str">
        <f t="shared" si="150"/>
        <v/>
      </c>
    </row>
    <row r="563" spans="1:33" x14ac:dyDescent="0.2">
      <c r="A563" t="str">
        <f t="shared" si="152"/>
        <v/>
      </c>
      <c r="B563" s="38" t="str">
        <f t="shared" si="153"/>
        <v/>
      </c>
      <c r="C563" s="38" t="str">
        <f t="shared" si="154"/>
        <v/>
      </c>
      <c r="D563" s="38" t="str">
        <f t="shared" si="155"/>
        <v/>
      </c>
      <c r="E563" s="38" t="str">
        <f t="shared" si="156"/>
        <v/>
      </c>
      <c r="F563" s="38" t="str">
        <f t="shared" si="157"/>
        <v/>
      </c>
      <c r="G563" s="38" t="str">
        <f t="shared" si="167"/>
        <v/>
      </c>
      <c r="H563" s="38" t="str">
        <f t="shared" si="168"/>
        <v/>
      </c>
      <c r="L563" t="str">
        <f t="shared" si="158"/>
        <v/>
      </c>
      <c r="M563" s="38" t="str">
        <f t="shared" si="159"/>
        <v/>
      </c>
      <c r="N563" s="38" t="str">
        <f t="shared" si="160"/>
        <v/>
      </c>
      <c r="O563" s="38" t="str">
        <f t="shared" si="161"/>
        <v/>
      </c>
      <c r="P563" s="38" t="str">
        <f t="shared" si="162"/>
        <v/>
      </c>
      <c r="Q563" s="38" t="str">
        <f t="shared" si="163"/>
        <v/>
      </c>
      <c r="R563" s="38" t="str">
        <f t="shared" si="164"/>
        <v/>
      </c>
      <c r="S563" s="38" t="str">
        <f t="shared" si="165"/>
        <v/>
      </c>
      <c r="T563" s="38" t="str">
        <f t="shared" si="166"/>
        <v/>
      </c>
      <c r="AF563" t="str">
        <f t="shared" si="151"/>
        <v/>
      </c>
      <c r="AG563" s="38" t="str">
        <f t="shared" si="150"/>
        <v/>
      </c>
    </row>
    <row r="564" spans="1:33" x14ac:dyDescent="0.2">
      <c r="A564" t="str">
        <f t="shared" si="152"/>
        <v/>
      </c>
      <c r="B564" s="38" t="str">
        <f t="shared" si="153"/>
        <v/>
      </c>
      <c r="C564" s="38" t="str">
        <f t="shared" si="154"/>
        <v/>
      </c>
      <c r="D564" s="38" t="str">
        <f t="shared" si="155"/>
        <v/>
      </c>
      <c r="E564" s="38" t="str">
        <f t="shared" si="156"/>
        <v/>
      </c>
      <c r="F564" s="38" t="str">
        <f t="shared" si="157"/>
        <v/>
      </c>
      <c r="G564" s="38" t="str">
        <f t="shared" si="167"/>
        <v/>
      </c>
      <c r="H564" s="38" t="str">
        <f t="shared" si="168"/>
        <v/>
      </c>
      <c r="L564" t="str">
        <f t="shared" si="158"/>
        <v/>
      </c>
      <c r="M564" s="38" t="str">
        <f t="shared" si="159"/>
        <v/>
      </c>
      <c r="N564" s="38" t="str">
        <f t="shared" si="160"/>
        <v/>
      </c>
      <c r="O564" s="38" t="str">
        <f t="shared" si="161"/>
        <v/>
      </c>
      <c r="P564" s="38" t="str">
        <f t="shared" si="162"/>
        <v/>
      </c>
      <c r="Q564" s="38" t="str">
        <f t="shared" si="163"/>
        <v/>
      </c>
      <c r="R564" s="38" t="str">
        <f t="shared" si="164"/>
        <v/>
      </c>
      <c r="S564" s="38" t="str">
        <f t="shared" si="165"/>
        <v/>
      </c>
      <c r="T564" s="38" t="str">
        <f t="shared" si="166"/>
        <v/>
      </c>
      <c r="AF564" t="str">
        <f t="shared" si="151"/>
        <v/>
      </c>
      <c r="AG564" s="38" t="str">
        <f t="shared" si="150"/>
        <v/>
      </c>
    </row>
    <row r="565" spans="1:33" x14ac:dyDescent="0.2">
      <c r="A565" t="str">
        <f t="shared" si="152"/>
        <v/>
      </c>
      <c r="B565" s="38" t="str">
        <f t="shared" si="153"/>
        <v/>
      </c>
      <c r="C565" s="38" t="str">
        <f t="shared" si="154"/>
        <v/>
      </c>
      <c r="D565" s="38" t="str">
        <f t="shared" si="155"/>
        <v/>
      </c>
      <c r="E565" s="38" t="str">
        <f t="shared" si="156"/>
        <v/>
      </c>
      <c r="F565" s="38" t="str">
        <f t="shared" si="157"/>
        <v/>
      </c>
      <c r="G565" s="38" t="str">
        <f t="shared" si="167"/>
        <v/>
      </c>
      <c r="H565" s="38" t="str">
        <f t="shared" si="168"/>
        <v/>
      </c>
      <c r="L565" t="str">
        <f t="shared" si="158"/>
        <v/>
      </c>
      <c r="M565" s="38" t="str">
        <f t="shared" si="159"/>
        <v/>
      </c>
      <c r="N565" s="38" t="str">
        <f t="shared" si="160"/>
        <v/>
      </c>
      <c r="O565" s="38" t="str">
        <f t="shared" si="161"/>
        <v/>
      </c>
      <c r="P565" s="38" t="str">
        <f t="shared" si="162"/>
        <v/>
      </c>
      <c r="Q565" s="38" t="str">
        <f t="shared" si="163"/>
        <v/>
      </c>
      <c r="R565" s="38" t="str">
        <f t="shared" si="164"/>
        <v/>
      </c>
      <c r="S565" s="38" t="str">
        <f t="shared" si="165"/>
        <v/>
      </c>
      <c r="T565" s="38" t="str">
        <f t="shared" si="166"/>
        <v/>
      </c>
      <c r="AF565" t="str">
        <f t="shared" si="151"/>
        <v/>
      </c>
      <c r="AG565" s="38" t="str">
        <f t="shared" si="150"/>
        <v/>
      </c>
    </row>
    <row r="566" spans="1:33" x14ac:dyDescent="0.2">
      <c r="A566" t="str">
        <f t="shared" si="152"/>
        <v/>
      </c>
      <c r="B566" s="38" t="str">
        <f t="shared" si="153"/>
        <v/>
      </c>
      <c r="C566" s="38" t="str">
        <f t="shared" si="154"/>
        <v/>
      </c>
      <c r="D566" s="38" t="str">
        <f t="shared" si="155"/>
        <v/>
      </c>
      <c r="E566" s="38" t="str">
        <f t="shared" si="156"/>
        <v/>
      </c>
      <c r="F566" s="38" t="str">
        <f t="shared" si="157"/>
        <v/>
      </c>
      <c r="G566" s="38" t="str">
        <f t="shared" si="167"/>
        <v/>
      </c>
      <c r="H566" s="38" t="str">
        <f t="shared" si="168"/>
        <v/>
      </c>
      <c r="L566" t="str">
        <f t="shared" si="158"/>
        <v/>
      </c>
      <c r="M566" s="38" t="str">
        <f t="shared" si="159"/>
        <v/>
      </c>
      <c r="N566" s="38" t="str">
        <f t="shared" si="160"/>
        <v/>
      </c>
      <c r="O566" s="38" t="str">
        <f t="shared" si="161"/>
        <v/>
      </c>
      <c r="P566" s="38" t="str">
        <f t="shared" si="162"/>
        <v/>
      </c>
      <c r="Q566" s="38" t="str">
        <f t="shared" si="163"/>
        <v/>
      </c>
      <c r="R566" s="38" t="str">
        <f t="shared" si="164"/>
        <v/>
      </c>
      <c r="S566" s="38" t="str">
        <f t="shared" si="165"/>
        <v/>
      </c>
      <c r="T566" s="38" t="str">
        <f t="shared" si="166"/>
        <v/>
      </c>
      <c r="AF566" t="str">
        <f t="shared" si="151"/>
        <v/>
      </c>
      <c r="AG566" s="38" t="str">
        <f t="shared" si="150"/>
        <v/>
      </c>
    </row>
    <row r="567" spans="1:33" x14ac:dyDescent="0.2">
      <c r="A567" t="str">
        <f t="shared" si="152"/>
        <v/>
      </c>
      <c r="B567" s="38" t="str">
        <f t="shared" si="153"/>
        <v/>
      </c>
      <c r="C567" s="38" t="str">
        <f t="shared" si="154"/>
        <v/>
      </c>
      <c r="D567" s="38" t="str">
        <f t="shared" si="155"/>
        <v/>
      </c>
      <c r="E567" s="38" t="str">
        <f t="shared" si="156"/>
        <v/>
      </c>
      <c r="F567" s="38" t="str">
        <f t="shared" si="157"/>
        <v/>
      </c>
      <c r="G567" s="38" t="str">
        <f t="shared" si="167"/>
        <v/>
      </c>
      <c r="H567" s="38" t="str">
        <f t="shared" si="168"/>
        <v/>
      </c>
      <c r="L567" t="str">
        <f t="shared" si="158"/>
        <v/>
      </c>
      <c r="M567" s="38" t="str">
        <f t="shared" si="159"/>
        <v/>
      </c>
      <c r="N567" s="38" t="str">
        <f t="shared" si="160"/>
        <v/>
      </c>
      <c r="O567" s="38" t="str">
        <f t="shared" si="161"/>
        <v/>
      </c>
      <c r="P567" s="38" t="str">
        <f t="shared" si="162"/>
        <v/>
      </c>
      <c r="Q567" s="38" t="str">
        <f t="shared" si="163"/>
        <v/>
      </c>
      <c r="R567" s="38" t="str">
        <f t="shared" si="164"/>
        <v/>
      </c>
      <c r="S567" s="38" t="str">
        <f t="shared" si="165"/>
        <v/>
      </c>
      <c r="T567" s="38" t="str">
        <f t="shared" si="166"/>
        <v/>
      </c>
      <c r="AF567" t="str">
        <f t="shared" si="151"/>
        <v/>
      </c>
      <c r="AG567" s="38" t="str">
        <f t="shared" si="150"/>
        <v/>
      </c>
    </row>
    <row r="568" spans="1:33" x14ac:dyDescent="0.2">
      <c r="A568" t="str">
        <f t="shared" si="152"/>
        <v/>
      </c>
      <c r="B568" s="38" t="str">
        <f t="shared" si="153"/>
        <v/>
      </c>
      <c r="C568" s="38" t="str">
        <f t="shared" si="154"/>
        <v/>
      </c>
      <c r="D568" s="38" t="str">
        <f t="shared" si="155"/>
        <v/>
      </c>
      <c r="E568" s="38" t="str">
        <f t="shared" si="156"/>
        <v/>
      </c>
      <c r="F568" s="38" t="str">
        <f t="shared" si="157"/>
        <v/>
      </c>
      <c r="G568" s="38" t="str">
        <f t="shared" si="167"/>
        <v/>
      </c>
      <c r="H568" s="38" t="str">
        <f t="shared" si="168"/>
        <v/>
      </c>
      <c r="L568" t="str">
        <f t="shared" si="158"/>
        <v/>
      </c>
      <c r="M568" s="38" t="str">
        <f t="shared" si="159"/>
        <v/>
      </c>
      <c r="N568" s="38" t="str">
        <f t="shared" si="160"/>
        <v/>
      </c>
      <c r="O568" s="38" t="str">
        <f t="shared" si="161"/>
        <v/>
      </c>
      <c r="P568" s="38" t="str">
        <f t="shared" si="162"/>
        <v/>
      </c>
      <c r="Q568" s="38" t="str">
        <f t="shared" si="163"/>
        <v/>
      </c>
      <c r="R568" s="38" t="str">
        <f t="shared" si="164"/>
        <v/>
      </c>
      <c r="S568" s="38" t="str">
        <f t="shared" si="165"/>
        <v/>
      </c>
      <c r="T568" s="38" t="str">
        <f t="shared" si="166"/>
        <v/>
      </c>
      <c r="AF568" t="str">
        <f t="shared" si="151"/>
        <v/>
      </c>
      <c r="AG568" s="38" t="str">
        <f t="shared" si="150"/>
        <v/>
      </c>
    </row>
    <row r="569" spans="1:33" x14ac:dyDescent="0.2">
      <c r="A569" t="str">
        <f t="shared" si="152"/>
        <v/>
      </c>
      <c r="B569" s="38" t="str">
        <f t="shared" si="153"/>
        <v/>
      </c>
      <c r="C569" s="38" t="str">
        <f t="shared" si="154"/>
        <v/>
      </c>
      <c r="D569" s="38" t="str">
        <f t="shared" si="155"/>
        <v/>
      </c>
      <c r="E569" s="38" t="str">
        <f t="shared" si="156"/>
        <v/>
      </c>
      <c r="F569" s="38" t="str">
        <f t="shared" si="157"/>
        <v/>
      </c>
      <c r="G569" s="38" t="str">
        <f t="shared" si="167"/>
        <v/>
      </c>
      <c r="H569" s="38" t="str">
        <f t="shared" si="168"/>
        <v/>
      </c>
      <c r="L569" t="str">
        <f t="shared" si="158"/>
        <v/>
      </c>
      <c r="M569" s="38" t="str">
        <f t="shared" si="159"/>
        <v/>
      </c>
      <c r="N569" s="38" t="str">
        <f t="shared" si="160"/>
        <v/>
      </c>
      <c r="O569" s="38" t="str">
        <f t="shared" si="161"/>
        <v/>
      </c>
      <c r="P569" s="38" t="str">
        <f t="shared" si="162"/>
        <v/>
      </c>
      <c r="Q569" s="38" t="str">
        <f t="shared" si="163"/>
        <v/>
      </c>
      <c r="R569" s="38" t="str">
        <f t="shared" si="164"/>
        <v/>
      </c>
      <c r="S569" s="38" t="str">
        <f t="shared" si="165"/>
        <v/>
      </c>
      <c r="T569" s="38" t="str">
        <f t="shared" si="166"/>
        <v/>
      </c>
      <c r="AF569" t="str">
        <f t="shared" si="151"/>
        <v/>
      </c>
      <c r="AG569" s="38" t="str">
        <f t="shared" si="150"/>
        <v/>
      </c>
    </row>
    <row r="570" spans="1:33" x14ac:dyDescent="0.2">
      <c r="A570" t="str">
        <f t="shared" si="152"/>
        <v/>
      </c>
      <c r="B570" s="38" t="str">
        <f t="shared" si="153"/>
        <v/>
      </c>
      <c r="C570" s="38" t="str">
        <f t="shared" si="154"/>
        <v/>
      </c>
      <c r="D570" s="38" t="str">
        <f t="shared" si="155"/>
        <v/>
      </c>
      <c r="E570" s="38" t="str">
        <f t="shared" si="156"/>
        <v/>
      </c>
      <c r="F570" s="38" t="str">
        <f t="shared" si="157"/>
        <v/>
      </c>
      <c r="G570" s="38" t="str">
        <f t="shared" si="167"/>
        <v/>
      </c>
      <c r="H570" s="38" t="str">
        <f t="shared" si="168"/>
        <v/>
      </c>
      <c r="L570" t="str">
        <f t="shared" si="158"/>
        <v/>
      </c>
      <c r="M570" s="38" t="str">
        <f t="shared" si="159"/>
        <v/>
      </c>
      <c r="N570" s="38" t="str">
        <f t="shared" si="160"/>
        <v/>
      </c>
      <c r="O570" s="38" t="str">
        <f t="shared" si="161"/>
        <v/>
      </c>
      <c r="P570" s="38" t="str">
        <f t="shared" si="162"/>
        <v/>
      </c>
      <c r="Q570" s="38" t="str">
        <f t="shared" si="163"/>
        <v/>
      </c>
      <c r="R570" s="38" t="str">
        <f t="shared" si="164"/>
        <v/>
      </c>
      <c r="S570" s="38" t="str">
        <f t="shared" si="165"/>
        <v/>
      </c>
      <c r="T570" s="38" t="str">
        <f t="shared" si="166"/>
        <v/>
      </c>
      <c r="AF570" t="str">
        <f t="shared" si="151"/>
        <v/>
      </c>
      <c r="AG570" s="38" t="str">
        <f t="shared" si="150"/>
        <v/>
      </c>
    </row>
    <row r="571" spans="1:33" x14ac:dyDescent="0.2">
      <c r="A571" t="str">
        <f t="shared" si="152"/>
        <v/>
      </c>
      <c r="B571" s="38" t="str">
        <f t="shared" si="153"/>
        <v/>
      </c>
      <c r="C571" s="38" t="str">
        <f t="shared" si="154"/>
        <v/>
      </c>
      <c r="D571" s="38" t="str">
        <f t="shared" si="155"/>
        <v/>
      </c>
      <c r="E571" s="38" t="str">
        <f t="shared" si="156"/>
        <v/>
      </c>
      <c r="F571" s="38" t="str">
        <f t="shared" si="157"/>
        <v/>
      </c>
      <c r="G571" s="38" t="str">
        <f t="shared" si="167"/>
        <v/>
      </c>
      <c r="H571" s="38" t="str">
        <f t="shared" si="168"/>
        <v/>
      </c>
      <c r="L571" t="str">
        <f t="shared" si="158"/>
        <v/>
      </c>
      <c r="M571" s="38" t="str">
        <f t="shared" si="159"/>
        <v/>
      </c>
      <c r="N571" s="38" t="str">
        <f t="shared" si="160"/>
        <v/>
      </c>
      <c r="O571" s="38" t="str">
        <f t="shared" si="161"/>
        <v/>
      </c>
      <c r="P571" s="38" t="str">
        <f t="shared" si="162"/>
        <v/>
      </c>
      <c r="Q571" s="38" t="str">
        <f t="shared" si="163"/>
        <v/>
      </c>
      <c r="R571" s="38" t="str">
        <f t="shared" si="164"/>
        <v/>
      </c>
      <c r="S571" s="38" t="str">
        <f t="shared" si="165"/>
        <v/>
      </c>
      <c r="T571" s="38" t="str">
        <f t="shared" si="166"/>
        <v/>
      </c>
      <c r="AF571" t="str">
        <f t="shared" si="151"/>
        <v/>
      </c>
      <c r="AG571" s="38" t="str">
        <f t="shared" si="150"/>
        <v/>
      </c>
    </row>
    <row r="572" spans="1:33" x14ac:dyDescent="0.2">
      <c r="A572" t="str">
        <f t="shared" si="152"/>
        <v/>
      </c>
      <c r="B572" s="38" t="str">
        <f t="shared" si="153"/>
        <v/>
      </c>
      <c r="C572" s="38" t="str">
        <f t="shared" si="154"/>
        <v/>
      </c>
      <c r="D572" s="38" t="str">
        <f t="shared" si="155"/>
        <v/>
      </c>
      <c r="E572" s="38" t="str">
        <f t="shared" si="156"/>
        <v/>
      </c>
      <c r="F572" s="38" t="str">
        <f t="shared" si="157"/>
        <v/>
      </c>
      <c r="G572" s="38" t="str">
        <f t="shared" si="167"/>
        <v/>
      </c>
      <c r="H572" s="38" t="str">
        <f t="shared" si="168"/>
        <v/>
      </c>
      <c r="L572" t="str">
        <f t="shared" si="158"/>
        <v/>
      </c>
      <c r="M572" s="38" t="str">
        <f t="shared" si="159"/>
        <v/>
      </c>
      <c r="N572" s="38" t="str">
        <f t="shared" si="160"/>
        <v/>
      </c>
      <c r="O572" s="38" t="str">
        <f t="shared" si="161"/>
        <v/>
      </c>
      <c r="P572" s="38" t="str">
        <f t="shared" si="162"/>
        <v/>
      </c>
      <c r="Q572" s="38" t="str">
        <f t="shared" si="163"/>
        <v/>
      </c>
      <c r="R572" s="38" t="str">
        <f t="shared" si="164"/>
        <v/>
      </c>
      <c r="S572" s="38" t="str">
        <f t="shared" si="165"/>
        <v/>
      </c>
      <c r="T572" s="38" t="str">
        <f t="shared" si="166"/>
        <v/>
      </c>
      <c r="AF572" t="str">
        <f t="shared" si="151"/>
        <v/>
      </c>
      <c r="AG572" s="38" t="str">
        <f t="shared" si="150"/>
        <v/>
      </c>
    </row>
    <row r="573" spans="1:33" x14ac:dyDescent="0.2">
      <c r="A573" t="str">
        <f t="shared" si="152"/>
        <v/>
      </c>
      <c r="B573" s="38" t="str">
        <f t="shared" si="153"/>
        <v/>
      </c>
      <c r="C573" s="38" t="str">
        <f t="shared" si="154"/>
        <v/>
      </c>
      <c r="D573" s="38" t="str">
        <f t="shared" si="155"/>
        <v/>
      </c>
      <c r="E573" s="38" t="str">
        <f t="shared" si="156"/>
        <v/>
      </c>
      <c r="F573" s="38" t="str">
        <f t="shared" si="157"/>
        <v/>
      </c>
      <c r="G573" s="38" t="str">
        <f t="shared" si="167"/>
        <v/>
      </c>
      <c r="H573" s="38" t="str">
        <f t="shared" si="168"/>
        <v/>
      </c>
      <c r="L573" t="str">
        <f t="shared" si="158"/>
        <v/>
      </c>
      <c r="M573" s="38" t="str">
        <f t="shared" si="159"/>
        <v/>
      </c>
      <c r="N573" s="38" t="str">
        <f t="shared" si="160"/>
        <v/>
      </c>
      <c r="O573" s="38" t="str">
        <f t="shared" si="161"/>
        <v/>
      </c>
      <c r="P573" s="38" t="str">
        <f t="shared" si="162"/>
        <v/>
      </c>
      <c r="Q573" s="38" t="str">
        <f t="shared" si="163"/>
        <v/>
      </c>
      <c r="R573" s="38" t="str">
        <f t="shared" si="164"/>
        <v/>
      </c>
      <c r="S573" s="38" t="str">
        <f t="shared" si="165"/>
        <v/>
      </c>
      <c r="T573" s="38" t="str">
        <f t="shared" si="166"/>
        <v/>
      </c>
      <c r="AF573" t="str">
        <f t="shared" si="151"/>
        <v/>
      </c>
      <c r="AG573" s="38" t="str">
        <f t="shared" si="150"/>
        <v/>
      </c>
    </row>
    <row r="574" spans="1:33" x14ac:dyDescent="0.2">
      <c r="A574" t="str">
        <f t="shared" si="152"/>
        <v/>
      </c>
      <c r="B574" s="38" t="str">
        <f t="shared" si="153"/>
        <v/>
      </c>
      <c r="C574" s="38" t="str">
        <f t="shared" si="154"/>
        <v/>
      </c>
      <c r="D574" s="38" t="str">
        <f t="shared" si="155"/>
        <v/>
      </c>
      <c r="E574" s="38" t="str">
        <f t="shared" si="156"/>
        <v/>
      </c>
      <c r="F574" s="38" t="str">
        <f t="shared" si="157"/>
        <v/>
      </c>
      <c r="G574" s="38" t="str">
        <f t="shared" si="167"/>
        <v/>
      </c>
      <c r="H574" s="38" t="str">
        <f t="shared" si="168"/>
        <v/>
      </c>
      <c r="L574" t="str">
        <f t="shared" si="158"/>
        <v/>
      </c>
      <c r="M574" s="38" t="str">
        <f t="shared" si="159"/>
        <v/>
      </c>
      <c r="N574" s="38" t="str">
        <f t="shared" si="160"/>
        <v/>
      </c>
      <c r="O574" s="38" t="str">
        <f t="shared" si="161"/>
        <v/>
      </c>
      <c r="P574" s="38" t="str">
        <f t="shared" si="162"/>
        <v/>
      </c>
      <c r="Q574" s="38" t="str">
        <f t="shared" si="163"/>
        <v/>
      </c>
      <c r="R574" s="38" t="str">
        <f t="shared" si="164"/>
        <v/>
      </c>
      <c r="S574" s="38" t="str">
        <f t="shared" si="165"/>
        <v/>
      </c>
      <c r="T574" s="38" t="str">
        <f t="shared" si="166"/>
        <v/>
      </c>
      <c r="AF574" t="str">
        <f t="shared" si="151"/>
        <v/>
      </c>
      <c r="AG574" s="38" t="str">
        <f t="shared" si="150"/>
        <v/>
      </c>
    </row>
    <row r="575" spans="1:33" x14ac:dyDescent="0.2">
      <c r="A575" t="str">
        <f t="shared" si="152"/>
        <v/>
      </c>
      <c r="B575" s="38" t="str">
        <f t="shared" si="153"/>
        <v/>
      </c>
      <c r="C575" s="38" t="str">
        <f t="shared" si="154"/>
        <v/>
      </c>
      <c r="D575" s="38" t="str">
        <f t="shared" si="155"/>
        <v/>
      </c>
      <c r="E575" s="38" t="str">
        <f t="shared" si="156"/>
        <v/>
      </c>
      <c r="F575" s="38" t="str">
        <f t="shared" si="157"/>
        <v/>
      </c>
      <c r="G575" s="38" t="str">
        <f t="shared" si="167"/>
        <v/>
      </c>
      <c r="H575" s="38" t="str">
        <f t="shared" si="168"/>
        <v/>
      </c>
      <c r="L575" t="str">
        <f t="shared" si="158"/>
        <v/>
      </c>
      <c r="M575" s="38" t="str">
        <f t="shared" si="159"/>
        <v/>
      </c>
      <c r="N575" s="38" t="str">
        <f t="shared" si="160"/>
        <v/>
      </c>
      <c r="O575" s="38" t="str">
        <f t="shared" si="161"/>
        <v/>
      </c>
      <c r="P575" s="38" t="str">
        <f t="shared" si="162"/>
        <v/>
      </c>
      <c r="Q575" s="38" t="str">
        <f t="shared" si="163"/>
        <v/>
      </c>
      <c r="R575" s="38" t="str">
        <f t="shared" si="164"/>
        <v/>
      </c>
      <c r="S575" s="38" t="str">
        <f t="shared" si="165"/>
        <v/>
      </c>
      <c r="T575" s="38" t="str">
        <f t="shared" si="166"/>
        <v/>
      </c>
      <c r="AF575" t="str">
        <f t="shared" si="151"/>
        <v/>
      </c>
      <c r="AG575" s="38" t="str">
        <f t="shared" si="150"/>
        <v/>
      </c>
    </row>
    <row r="576" spans="1:33" x14ac:dyDescent="0.2">
      <c r="A576" t="str">
        <f t="shared" si="152"/>
        <v/>
      </c>
      <c r="B576" s="38" t="str">
        <f t="shared" si="153"/>
        <v/>
      </c>
      <c r="C576" s="38" t="str">
        <f t="shared" si="154"/>
        <v/>
      </c>
      <c r="D576" s="38" t="str">
        <f t="shared" si="155"/>
        <v/>
      </c>
      <c r="E576" s="38" t="str">
        <f t="shared" si="156"/>
        <v/>
      </c>
      <c r="F576" s="38" t="str">
        <f t="shared" si="157"/>
        <v/>
      </c>
      <c r="G576" s="38" t="str">
        <f t="shared" si="167"/>
        <v/>
      </c>
      <c r="H576" s="38" t="str">
        <f t="shared" si="168"/>
        <v/>
      </c>
      <c r="L576" t="str">
        <f t="shared" si="158"/>
        <v/>
      </c>
      <c r="M576" s="38" t="str">
        <f t="shared" si="159"/>
        <v/>
      </c>
      <c r="N576" s="38" t="str">
        <f t="shared" si="160"/>
        <v/>
      </c>
      <c r="O576" s="38" t="str">
        <f t="shared" si="161"/>
        <v/>
      </c>
      <c r="P576" s="38" t="str">
        <f t="shared" si="162"/>
        <v/>
      </c>
      <c r="Q576" s="38" t="str">
        <f t="shared" si="163"/>
        <v/>
      </c>
      <c r="R576" s="38" t="str">
        <f t="shared" si="164"/>
        <v/>
      </c>
      <c r="S576" s="38" t="str">
        <f t="shared" si="165"/>
        <v/>
      </c>
      <c r="T576" s="38" t="str">
        <f t="shared" si="166"/>
        <v/>
      </c>
      <c r="AF576" t="str">
        <f t="shared" si="151"/>
        <v/>
      </c>
      <c r="AG576" s="38" t="str">
        <f t="shared" si="150"/>
        <v/>
      </c>
    </row>
    <row r="577" spans="1:33" x14ac:dyDescent="0.2">
      <c r="A577" t="str">
        <f t="shared" si="152"/>
        <v/>
      </c>
      <c r="B577" s="38" t="str">
        <f t="shared" si="153"/>
        <v/>
      </c>
      <c r="C577" s="38" t="str">
        <f t="shared" si="154"/>
        <v/>
      </c>
      <c r="D577" s="38" t="str">
        <f t="shared" si="155"/>
        <v/>
      </c>
      <c r="E577" s="38" t="str">
        <f t="shared" si="156"/>
        <v/>
      </c>
      <c r="F577" s="38" t="str">
        <f t="shared" si="157"/>
        <v/>
      </c>
      <c r="G577" s="38" t="str">
        <f t="shared" si="167"/>
        <v/>
      </c>
      <c r="H577" s="38" t="str">
        <f t="shared" si="168"/>
        <v/>
      </c>
      <c r="L577" t="str">
        <f t="shared" si="158"/>
        <v/>
      </c>
      <c r="M577" s="38" t="str">
        <f t="shared" si="159"/>
        <v/>
      </c>
      <c r="N577" s="38" t="str">
        <f t="shared" si="160"/>
        <v/>
      </c>
      <c r="O577" s="38" t="str">
        <f t="shared" si="161"/>
        <v/>
      </c>
      <c r="P577" s="38" t="str">
        <f t="shared" si="162"/>
        <v/>
      </c>
      <c r="Q577" s="38" t="str">
        <f t="shared" si="163"/>
        <v/>
      </c>
      <c r="R577" s="38" t="str">
        <f t="shared" si="164"/>
        <v/>
      </c>
      <c r="S577" s="38" t="str">
        <f t="shared" si="165"/>
        <v/>
      </c>
      <c r="T577" s="38" t="str">
        <f t="shared" si="166"/>
        <v/>
      </c>
      <c r="AF577" t="str">
        <f t="shared" si="151"/>
        <v/>
      </c>
      <c r="AG577" s="38" t="str">
        <f t="shared" si="150"/>
        <v/>
      </c>
    </row>
    <row r="578" spans="1:33" x14ac:dyDescent="0.2">
      <c r="A578" t="str">
        <f t="shared" si="152"/>
        <v/>
      </c>
      <c r="B578" s="38" t="str">
        <f t="shared" si="153"/>
        <v/>
      </c>
      <c r="C578" s="38" t="str">
        <f t="shared" si="154"/>
        <v/>
      </c>
      <c r="D578" s="38" t="str">
        <f t="shared" si="155"/>
        <v/>
      </c>
      <c r="E578" s="38" t="str">
        <f t="shared" si="156"/>
        <v/>
      </c>
      <c r="F578" s="38" t="str">
        <f t="shared" si="157"/>
        <v/>
      </c>
      <c r="G578" s="38" t="str">
        <f t="shared" si="167"/>
        <v/>
      </c>
      <c r="H578" s="38" t="str">
        <f t="shared" si="168"/>
        <v/>
      </c>
      <c r="L578" t="str">
        <f t="shared" si="158"/>
        <v/>
      </c>
      <c r="M578" s="38" t="str">
        <f t="shared" si="159"/>
        <v/>
      </c>
      <c r="N578" s="38" t="str">
        <f t="shared" si="160"/>
        <v/>
      </c>
      <c r="O578" s="38" t="str">
        <f t="shared" si="161"/>
        <v/>
      </c>
      <c r="P578" s="38" t="str">
        <f t="shared" si="162"/>
        <v/>
      </c>
      <c r="Q578" s="38" t="str">
        <f t="shared" si="163"/>
        <v/>
      </c>
      <c r="R578" s="38" t="str">
        <f t="shared" si="164"/>
        <v/>
      </c>
      <c r="S578" s="38" t="str">
        <f t="shared" si="165"/>
        <v/>
      </c>
      <c r="T578" s="38" t="str">
        <f t="shared" si="166"/>
        <v/>
      </c>
      <c r="AF578" t="str">
        <f t="shared" si="151"/>
        <v/>
      </c>
      <c r="AG578" s="38" t="str">
        <f t="shared" si="150"/>
        <v/>
      </c>
    </row>
    <row r="579" spans="1:33" x14ac:dyDescent="0.2">
      <c r="A579" t="str">
        <f t="shared" si="152"/>
        <v/>
      </c>
      <c r="B579" s="38" t="str">
        <f t="shared" si="153"/>
        <v/>
      </c>
      <c r="C579" s="38" t="str">
        <f t="shared" si="154"/>
        <v/>
      </c>
      <c r="D579" s="38" t="str">
        <f t="shared" si="155"/>
        <v/>
      </c>
      <c r="E579" s="38" t="str">
        <f t="shared" si="156"/>
        <v/>
      </c>
      <c r="F579" s="38" t="str">
        <f t="shared" si="157"/>
        <v/>
      </c>
      <c r="G579" s="38" t="str">
        <f t="shared" si="167"/>
        <v/>
      </c>
      <c r="H579" s="38" t="str">
        <f t="shared" si="168"/>
        <v/>
      </c>
      <c r="L579" t="str">
        <f t="shared" si="158"/>
        <v/>
      </c>
      <c r="M579" s="38" t="str">
        <f t="shared" si="159"/>
        <v/>
      </c>
      <c r="N579" s="38" t="str">
        <f t="shared" si="160"/>
        <v/>
      </c>
      <c r="O579" s="38" t="str">
        <f t="shared" si="161"/>
        <v/>
      </c>
      <c r="P579" s="38" t="str">
        <f t="shared" si="162"/>
        <v/>
      </c>
      <c r="Q579" s="38" t="str">
        <f t="shared" si="163"/>
        <v/>
      </c>
      <c r="R579" s="38" t="str">
        <f t="shared" si="164"/>
        <v/>
      </c>
      <c r="S579" s="38" t="str">
        <f t="shared" si="165"/>
        <v/>
      </c>
      <c r="T579" s="38" t="str">
        <f t="shared" si="166"/>
        <v/>
      </c>
      <c r="AF579" t="str">
        <f t="shared" si="151"/>
        <v/>
      </c>
      <c r="AG579" s="38" t="str">
        <f t="shared" si="150"/>
        <v/>
      </c>
    </row>
    <row r="580" spans="1:33" x14ac:dyDescent="0.2">
      <c r="A580" t="str">
        <f t="shared" si="152"/>
        <v/>
      </c>
      <c r="B580" s="38" t="str">
        <f t="shared" si="153"/>
        <v/>
      </c>
      <c r="C580" s="38" t="str">
        <f t="shared" si="154"/>
        <v/>
      </c>
      <c r="D580" s="38" t="str">
        <f t="shared" si="155"/>
        <v/>
      </c>
      <c r="E580" s="38" t="str">
        <f t="shared" si="156"/>
        <v/>
      </c>
      <c r="F580" s="38" t="str">
        <f t="shared" si="157"/>
        <v/>
      </c>
      <c r="G580" s="38" t="str">
        <f t="shared" si="167"/>
        <v/>
      </c>
      <c r="H580" s="38" t="str">
        <f t="shared" si="168"/>
        <v/>
      </c>
      <c r="L580" t="str">
        <f t="shared" si="158"/>
        <v/>
      </c>
      <c r="M580" s="38" t="str">
        <f t="shared" si="159"/>
        <v/>
      </c>
      <c r="N580" s="38" t="str">
        <f t="shared" si="160"/>
        <v/>
      </c>
      <c r="O580" s="38" t="str">
        <f t="shared" si="161"/>
        <v/>
      </c>
      <c r="P580" s="38" t="str">
        <f t="shared" si="162"/>
        <v/>
      </c>
      <c r="Q580" s="38" t="str">
        <f t="shared" si="163"/>
        <v/>
      </c>
      <c r="R580" s="38" t="str">
        <f t="shared" si="164"/>
        <v/>
      </c>
      <c r="S580" s="38" t="str">
        <f t="shared" si="165"/>
        <v/>
      </c>
      <c r="T580" s="38" t="str">
        <f t="shared" si="166"/>
        <v/>
      </c>
      <c r="AF580" t="str">
        <f t="shared" si="151"/>
        <v/>
      </c>
      <c r="AG580" s="38" t="str">
        <f t="shared" si="150"/>
        <v/>
      </c>
    </row>
    <row r="581" spans="1:33" x14ac:dyDescent="0.2">
      <c r="A581" t="str">
        <f t="shared" si="152"/>
        <v/>
      </c>
      <c r="B581" s="38" t="str">
        <f t="shared" si="153"/>
        <v/>
      </c>
      <c r="C581" s="38" t="str">
        <f t="shared" si="154"/>
        <v/>
      </c>
      <c r="D581" s="38" t="str">
        <f t="shared" si="155"/>
        <v/>
      </c>
      <c r="E581" s="38" t="str">
        <f t="shared" si="156"/>
        <v/>
      </c>
      <c r="F581" s="38" t="str">
        <f t="shared" si="157"/>
        <v/>
      </c>
      <c r="G581" s="38" t="str">
        <f t="shared" si="167"/>
        <v/>
      </c>
      <c r="H581" s="38" t="str">
        <f t="shared" si="168"/>
        <v/>
      </c>
      <c r="L581" t="str">
        <f t="shared" si="158"/>
        <v/>
      </c>
      <c r="M581" s="38" t="str">
        <f t="shared" si="159"/>
        <v/>
      </c>
      <c r="N581" s="38" t="str">
        <f t="shared" si="160"/>
        <v/>
      </c>
      <c r="O581" s="38" t="str">
        <f t="shared" si="161"/>
        <v/>
      </c>
      <c r="P581" s="38" t="str">
        <f t="shared" si="162"/>
        <v/>
      </c>
      <c r="Q581" s="38" t="str">
        <f t="shared" si="163"/>
        <v/>
      </c>
      <c r="R581" s="38" t="str">
        <f t="shared" si="164"/>
        <v/>
      </c>
      <c r="S581" s="38" t="str">
        <f t="shared" si="165"/>
        <v/>
      </c>
      <c r="T581" s="38" t="str">
        <f t="shared" si="166"/>
        <v/>
      </c>
      <c r="AF581" t="str">
        <f t="shared" si="151"/>
        <v/>
      </c>
      <c r="AG581" s="38" t="str">
        <f t="shared" si="150"/>
        <v/>
      </c>
    </row>
    <row r="582" spans="1:33" x14ac:dyDescent="0.2">
      <c r="A582" t="str">
        <f t="shared" si="152"/>
        <v/>
      </c>
      <c r="B582" s="38" t="str">
        <f t="shared" si="153"/>
        <v/>
      </c>
      <c r="C582" s="38" t="str">
        <f t="shared" si="154"/>
        <v/>
      </c>
      <c r="D582" s="38" t="str">
        <f t="shared" si="155"/>
        <v/>
      </c>
      <c r="E582" s="38" t="str">
        <f t="shared" si="156"/>
        <v/>
      </c>
      <c r="F582" s="38" t="str">
        <f t="shared" si="157"/>
        <v/>
      </c>
      <c r="G582" s="38" t="str">
        <f t="shared" si="167"/>
        <v/>
      </c>
      <c r="H582" s="38" t="str">
        <f t="shared" si="168"/>
        <v/>
      </c>
      <c r="L582" t="str">
        <f t="shared" si="158"/>
        <v/>
      </c>
      <c r="M582" s="38" t="str">
        <f t="shared" si="159"/>
        <v/>
      </c>
      <c r="N582" s="38" t="str">
        <f t="shared" si="160"/>
        <v/>
      </c>
      <c r="O582" s="38" t="str">
        <f t="shared" si="161"/>
        <v/>
      </c>
      <c r="P582" s="38" t="str">
        <f t="shared" si="162"/>
        <v/>
      </c>
      <c r="Q582" s="38" t="str">
        <f t="shared" si="163"/>
        <v/>
      </c>
      <c r="R582" s="38" t="str">
        <f t="shared" si="164"/>
        <v/>
      </c>
      <c r="S582" s="38" t="str">
        <f t="shared" si="165"/>
        <v/>
      </c>
      <c r="T582" s="38" t="str">
        <f t="shared" si="166"/>
        <v/>
      </c>
      <c r="AF582" t="str">
        <f t="shared" si="151"/>
        <v/>
      </c>
      <c r="AG582" s="38" t="str">
        <f t="shared" si="150"/>
        <v/>
      </c>
    </row>
    <row r="583" spans="1:33" x14ac:dyDescent="0.2">
      <c r="A583" t="str">
        <f t="shared" si="152"/>
        <v/>
      </c>
      <c r="B583" s="38" t="str">
        <f t="shared" si="153"/>
        <v/>
      </c>
      <c r="C583" s="38" t="str">
        <f t="shared" si="154"/>
        <v/>
      </c>
      <c r="D583" s="38" t="str">
        <f t="shared" si="155"/>
        <v/>
      </c>
      <c r="E583" s="38" t="str">
        <f t="shared" si="156"/>
        <v/>
      </c>
      <c r="F583" s="38" t="str">
        <f t="shared" si="157"/>
        <v/>
      </c>
      <c r="G583" s="38" t="str">
        <f t="shared" si="167"/>
        <v/>
      </c>
      <c r="H583" s="38" t="str">
        <f t="shared" si="168"/>
        <v/>
      </c>
      <c r="L583" t="str">
        <f t="shared" si="158"/>
        <v/>
      </c>
      <c r="M583" s="38" t="str">
        <f t="shared" si="159"/>
        <v/>
      </c>
      <c r="N583" s="38" t="str">
        <f t="shared" si="160"/>
        <v/>
      </c>
      <c r="O583" s="38" t="str">
        <f t="shared" si="161"/>
        <v/>
      </c>
      <c r="P583" s="38" t="str">
        <f t="shared" si="162"/>
        <v/>
      </c>
      <c r="Q583" s="38" t="str">
        <f t="shared" si="163"/>
        <v/>
      </c>
      <c r="R583" s="38" t="str">
        <f t="shared" si="164"/>
        <v/>
      </c>
      <c r="S583" s="38" t="str">
        <f t="shared" si="165"/>
        <v/>
      </c>
      <c r="T583" s="38" t="str">
        <f t="shared" si="166"/>
        <v/>
      </c>
      <c r="AF583" t="str">
        <f t="shared" si="151"/>
        <v/>
      </c>
      <c r="AG583" s="38" t="str">
        <f t="shared" si="150"/>
        <v/>
      </c>
    </row>
    <row r="584" spans="1:33" x14ac:dyDescent="0.2">
      <c r="A584" t="str">
        <f t="shared" si="152"/>
        <v/>
      </c>
      <c r="B584" s="38" t="str">
        <f t="shared" si="153"/>
        <v/>
      </c>
      <c r="C584" s="38" t="str">
        <f t="shared" si="154"/>
        <v/>
      </c>
      <c r="D584" s="38" t="str">
        <f t="shared" si="155"/>
        <v/>
      </c>
      <c r="E584" s="38" t="str">
        <f t="shared" si="156"/>
        <v/>
      </c>
      <c r="F584" s="38" t="str">
        <f t="shared" si="157"/>
        <v/>
      </c>
      <c r="G584" s="38" t="str">
        <f t="shared" si="167"/>
        <v/>
      </c>
      <c r="H584" s="38" t="str">
        <f t="shared" si="168"/>
        <v/>
      </c>
      <c r="L584" t="str">
        <f t="shared" si="158"/>
        <v/>
      </c>
      <c r="M584" s="38" t="str">
        <f t="shared" si="159"/>
        <v/>
      </c>
      <c r="N584" s="38" t="str">
        <f t="shared" si="160"/>
        <v/>
      </c>
      <c r="O584" s="38" t="str">
        <f t="shared" si="161"/>
        <v/>
      </c>
      <c r="P584" s="38" t="str">
        <f t="shared" si="162"/>
        <v/>
      </c>
      <c r="Q584" s="38" t="str">
        <f t="shared" si="163"/>
        <v/>
      </c>
      <c r="R584" s="38" t="str">
        <f t="shared" si="164"/>
        <v/>
      </c>
      <c r="S584" s="38" t="str">
        <f t="shared" si="165"/>
        <v/>
      </c>
      <c r="T584" s="38" t="str">
        <f t="shared" si="166"/>
        <v/>
      </c>
      <c r="AF584" t="str">
        <f t="shared" si="151"/>
        <v/>
      </c>
      <c r="AG584" s="38" t="str">
        <f t="shared" si="150"/>
        <v/>
      </c>
    </row>
    <row r="585" spans="1:33" x14ac:dyDescent="0.2">
      <c r="A585" t="str">
        <f t="shared" si="152"/>
        <v/>
      </c>
      <c r="B585" s="38" t="str">
        <f t="shared" si="153"/>
        <v/>
      </c>
      <c r="C585" s="38" t="str">
        <f t="shared" si="154"/>
        <v/>
      </c>
      <c r="D585" s="38" t="str">
        <f t="shared" si="155"/>
        <v/>
      </c>
      <c r="E585" s="38" t="str">
        <f t="shared" si="156"/>
        <v/>
      </c>
      <c r="F585" s="38" t="str">
        <f t="shared" si="157"/>
        <v/>
      </c>
      <c r="G585" s="38" t="str">
        <f t="shared" si="167"/>
        <v/>
      </c>
      <c r="H585" s="38" t="str">
        <f t="shared" si="168"/>
        <v/>
      </c>
      <c r="L585" t="str">
        <f t="shared" si="158"/>
        <v/>
      </c>
      <c r="M585" s="38" t="str">
        <f t="shared" si="159"/>
        <v/>
      </c>
      <c r="N585" s="38" t="str">
        <f t="shared" si="160"/>
        <v/>
      </c>
      <c r="O585" s="38" t="str">
        <f t="shared" si="161"/>
        <v/>
      </c>
      <c r="P585" s="38" t="str">
        <f t="shared" si="162"/>
        <v/>
      </c>
      <c r="Q585" s="38" t="str">
        <f t="shared" si="163"/>
        <v/>
      </c>
      <c r="R585" s="38" t="str">
        <f t="shared" si="164"/>
        <v/>
      </c>
      <c r="S585" s="38" t="str">
        <f t="shared" si="165"/>
        <v/>
      </c>
      <c r="T585" s="38" t="str">
        <f t="shared" si="166"/>
        <v/>
      </c>
      <c r="AF585" t="str">
        <f t="shared" si="151"/>
        <v/>
      </c>
      <c r="AG585" s="38" t="str">
        <f t="shared" si="150"/>
        <v/>
      </c>
    </row>
    <row r="586" spans="1:33" x14ac:dyDescent="0.2">
      <c r="A586" t="str">
        <f t="shared" si="152"/>
        <v/>
      </c>
      <c r="B586" s="38" t="str">
        <f t="shared" si="153"/>
        <v/>
      </c>
      <c r="C586" s="38" t="str">
        <f t="shared" si="154"/>
        <v/>
      </c>
      <c r="D586" s="38" t="str">
        <f t="shared" si="155"/>
        <v/>
      </c>
      <c r="E586" s="38" t="str">
        <f t="shared" si="156"/>
        <v/>
      </c>
      <c r="F586" s="38" t="str">
        <f t="shared" si="157"/>
        <v/>
      </c>
      <c r="G586" s="38" t="str">
        <f t="shared" si="167"/>
        <v/>
      </c>
      <c r="H586" s="38" t="str">
        <f t="shared" si="168"/>
        <v/>
      </c>
      <c r="L586" t="str">
        <f t="shared" si="158"/>
        <v/>
      </c>
      <c r="M586" s="38" t="str">
        <f t="shared" si="159"/>
        <v/>
      </c>
      <c r="N586" s="38" t="str">
        <f t="shared" si="160"/>
        <v/>
      </c>
      <c r="O586" s="38" t="str">
        <f t="shared" si="161"/>
        <v/>
      </c>
      <c r="P586" s="38" t="str">
        <f t="shared" si="162"/>
        <v/>
      </c>
      <c r="Q586" s="38" t="str">
        <f t="shared" si="163"/>
        <v/>
      </c>
      <c r="R586" s="38" t="str">
        <f t="shared" si="164"/>
        <v/>
      </c>
      <c r="S586" s="38" t="str">
        <f t="shared" si="165"/>
        <v/>
      </c>
      <c r="T586" s="38" t="str">
        <f t="shared" si="166"/>
        <v/>
      </c>
      <c r="AF586" t="str">
        <f t="shared" si="151"/>
        <v/>
      </c>
      <c r="AG586" s="38" t="str">
        <f t="shared" si="150"/>
        <v/>
      </c>
    </row>
    <row r="587" spans="1:33" x14ac:dyDescent="0.2">
      <c r="A587" t="str">
        <f t="shared" si="152"/>
        <v/>
      </c>
      <c r="B587" s="38" t="str">
        <f t="shared" si="153"/>
        <v/>
      </c>
      <c r="C587" s="38" t="str">
        <f t="shared" si="154"/>
        <v/>
      </c>
      <c r="D587" s="38" t="str">
        <f t="shared" si="155"/>
        <v/>
      </c>
      <c r="E587" s="38" t="str">
        <f t="shared" si="156"/>
        <v/>
      </c>
      <c r="F587" s="38" t="str">
        <f t="shared" si="157"/>
        <v/>
      </c>
      <c r="G587" s="38" t="str">
        <f t="shared" si="167"/>
        <v/>
      </c>
      <c r="H587" s="38" t="str">
        <f t="shared" si="168"/>
        <v/>
      </c>
      <c r="L587" t="str">
        <f t="shared" si="158"/>
        <v/>
      </c>
      <c r="M587" s="38" t="str">
        <f t="shared" si="159"/>
        <v/>
      </c>
      <c r="N587" s="38" t="str">
        <f t="shared" si="160"/>
        <v/>
      </c>
      <c r="O587" s="38" t="str">
        <f t="shared" si="161"/>
        <v/>
      </c>
      <c r="P587" s="38" t="str">
        <f t="shared" si="162"/>
        <v/>
      </c>
      <c r="Q587" s="38" t="str">
        <f t="shared" si="163"/>
        <v/>
      </c>
      <c r="R587" s="38" t="str">
        <f t="shared" si="164"/>
        <v/>
      </c>
      <c r="S587" s="38" t="str">
        <f t="shared" si="165"/>
        <v/>
      </c>
      <c r="T587" s="38" t="str">
        <f t="shared" si="166"/>
        <v/>
      </c>
      <c r="AF587" t="str">
        <f t="shared" si="151"/>
        <v/>
      </c>
      <c r="AG587" s="38" t="str">
        <f t="shared" si="150"/>
        <v/>
      </c>
    </row>
    <row r="588" spans="1:33" x14ac:dyDescent="0.2">
      <c r="A588" t="str">
        <f t="shared" si="152"/>
        <v/>
      </c>
      <c r="B588" s="38" t="str">
        <f t="shared" si="153"/>
        <v/>
      </c>
      <c r="C588" s="38" t="str">
        <f t="shared" si="154"/>
        <v/>
      </c>
      <c r="D588" s="38" t="str">
        <f t="shared" si="155"/>
        <v/>
      </c>
      <c r="E588" s="38" t="str">
        <f t="shared" si="156"/>
        <v/>
      </c>
      <c r="F588" s="38" t="str">
        <f t="shared" si="157"/>
        <v/>
      </c>
      <c r="G588" s="38" t="str">
        <f t="shared" si="167"/>
        <v/>
      </c>
      <c r="H588" s="38" t="str">
        <f t="shared" si="168"/>
        <v/>
      </c>
      <c r="L588" t="str">
        <f t="shared" si="158"/>
        <v/>
      </c>
      <c r="M588" s="38" t="str">
        <f t="shared" si="159"/>
        <v/>
      </c>
      <c r="N588" s="38" t="str">
        <f t="shared" si="160"/>
        <v/>
      </c>
      <c r="O588" s="38" t="str">
        <f t="shared" si="161"/>
        <v/>
      </c>
      <c r="P588" s="38" t="str">
        <f t="shared" si="162"/>
        <v/>
      </c>
      <c r="Q588" s="38" t="str">
        <f t="shared" si="163"/>
        <v/>
      </c>
      <c r="R588" s="38" t="str">
        <f t="shared" si="164"/>
        <v/>
      </c>
      <c r="S588" s="38" t="str">
        <f t="shared" si="165"/>
        <v/>
      </c>
      <c r="T588" s="38" t="str">
        <f t="shared" si="166"/>
        <v/>
      </c>
      <c r="AF588" t="str">
        <f t="shared" si="151"/>
        <v/>
      </c>
      <c r="AG588" s="38" t="str">
        <f t="shared" si="150"/>
        <v/>
      </c>
    </row>
    <row r="589" spans="1:33" x14ac:dyDescent="0.2">
      <c r="A589" t="str">
        <f t="shared" si="152"/>
        <v/>
      </c>
      <c r="B589" s="38" t="str">
        <f t="shared" si="153"/>
        <v/>
      </c>
      <c r="C589" s="38" t="str">
        <f t="shared" si="154"/>
        <v/>
      </c>
      <c r="D589" s="38" t="str">
        <f t="shared" si="155"/>
        <v/>
      </c>
      <c r="E589" s="38" t="str">
        <f t="shared" si="156"/>
        <v/>
      </c>
      <c r="F589" s="38" t="str">
        <f t="shared" si="157"/>
        <v/>
      </c>
      <c r="G589" s="38" t="str">
        <f t="shared" si="167"/>
        <v/>
      </c>
      <c r="H589" s="38" t="str">
        <f t="shared" si="168"/>
        <v/>
      </c>
      <c r="L589" t="str">
        <f t="shared" si="158"/>
        <v/>
      </c>
      <c r="M589" s="38" t="str">
        <f t="shared" si="159"/>
        <v/>
      </c>
      <c r="N589" s="38" t="str">
        <f t="shared" si="160"/>
        <v/>
      </c>
      <c r="O589" s="38" t="str">
        <f t="shared" si="161"/>
        <v/>
      </c>
      <c r="P589" s="38" t="str">
        <f t="shared" si="162"/>
        <v/>
      </c>
      <c r="Q589" s="38" t="str">
        <f t="shared" si="163"/>
        <v/>
      </c>
      <c r="R589" s="38" t="str">
        <f t="shared" si="164"/>
        <v/>
      </c>
      <c r="S589" s="38" t="str">
        <f t="shared" si="165"/>
        <v/>
      </c>
      <c r="T589" s="38" t="str">
        <f t="shared" si="166"/>
        <v/>
      </c>
      <c r="AF589" t="str">
        <f t="shared" si="151"/>
        <v/>
      </c>
      <c r="AG589" s="38" t="str">
        <f t="shared" si="150"/>
        <v/>
      </c>
    </row>
    <row r="590" spans="1:33" x14ac:dyDescent="0.2">
      <c r="A590" t="str">
        <f t="shared" si="152"/>
        <v/>
      </c>
      <c r="B590" s="38" t="str">
        <f t="shared" si="153"/>
        <v/>
      </c>
      <c r="C590" s="38" t="str">
        <f t="shared" si="154"/>
        <v/>
      </c>
      <c r="D590" s="38" t="str">
        <f t="shared" si="155"/>
        <v/>
      </c>
      <c r="E590" s="38" t="str">
        <f t="shared" si="156"/>
        <v/>
      </c>
      <c r="F590" s="38" t="str">
        <f t="shared" si="157"/>
        <v/>
      </c>
      <c r="G590" s="38" t="str">
        <f t="shared" si="167"/>
        <v/>
      </c>
      <c r="H590" s="38" t="str">
        <f t="shared" si="168"/>
        <v/>
      </c>
      <c r="L590" t="str">
        <f t="shared" si="158"/>
        <v/>
      </c>
      <c r="M590" s="38" t="str">
        <f t="shared" si="159"/>
        <v/>
      </c>
      <c r="N590" s="38" t="str">
        <f t="shared" si="160"/>
        <v/>
      </c>
      <c r="O590" s="38" t="str">
        <f t="shared" si="161"/>
        <v/>
      </c>
      <c r="P590" s="38" t="str">
        <f t="shared" si="162"/>
        <v/>
      </c>
      <c r="Q590" s="38" t="str">
        <f t="shared" si="163"/>
        <v/>
      </c>
      <c r="R590" s="38" t="str">
        <f t="shared" si="164"/>
        <v/>
      </c>
      <c r="S590" s="38" t="str">
        <f t="shared" si="165"/>
        <v/>
      </c>
      <c r="T590" s="38" t="str">
        <f t="shared" si="166"/>
        <v/>
      </c>
      <c r="AF590" t="str">
        <f t="shared" si="151"/>
        <v/>
      </c>
      <c r="AG590" s="38" t="str">
        <f t="shared" si="150"/>
        <v/>
      </c>
    </row>
    <row r="591" spans="1:33" x14ac:dyDescent="0.2">
      <c r="A591" t="str">
        <f t="shared" si="152"/>
        <v/>
      </c>
      <c r="B591" s="38" t="str">
        <f t="shared" si="153"/>
        <v/>
      </c>
      <c r="C591" s="38" t="str">
        <f t="shared" si="154"/>
        <v/>
      </c>
      <c r="D591" s="38" t="str">
        <f t="shared" si="155"/>
        <v/>
      </c>
      <c r="E591" s="38" t="str">
        <f t="shared" si="156"/>
        <v/>
      </c>
      <c r="F591" s="38" t="str">
        <f t="shared" si="157"/>
        <v/>
      </c>
      <c r="G591" s="38" t="str">
        <f t="shared" si="167"/>
        <v/>
      </c>
      <c r="H591" s="38" t="str">
        <f t="shared" si="168"/>
        <v/>
      </c>
      <c r="L591" t="str">
        <f t="shared" si="158"/>
        <v/>
      </c>
      <c r="M591" s="38" t="str">
        <f t="shared" si="159"/>
        <v/>
      </c>
      <c r="N591" s="38" t="str">
        <f t="shared" si="160"/>
        <v/>
      </c>
      <c r="O591" s="38" t="str">
        <f t="shared" si="161"/>
        <v/>
      </c>
      <c r="P591" s="38" t="str">
        <f t="shared" si="162"/>
        <v/>
      </c>
      <c r="Q591" s="38" t="str">
        <f t="shared" si="163"/>
        <v/>
      </c>
      <c r="R591" s="38" t="str">
        <f t="shared" si="164"/>
        <v/>
      </c>
      <c r="S591" s="38" t="str">
        <f t="shared" si="165"/>
        <v/>
      </c>
      <c r="T591" s="38" t="str">
        <f t="shared" si="166"/>
        <v/>
      </c>
      <c r="AF591" t="str">
        <f t="shared" si="151"/>
        <v/>
      </c>
      <c r="AG591" s="38" t="str">
        <f t="shared" si="150"/>
        <v/>
      </c>
    </row>
    <row r="592" spans="1:33" x14ac:dyDescent="0.2">
      <c r="A592" t="str">
        <f t="shared" si="152"/>
        <v/>
      </c>
      <c r="B592" s="38" t="str">
        <f t="shared" si="153"/>
        <v/>
      </c>
      <c r="C592" s="38" t="str">
        <f t="shared" si="154"/>
        <v/>
      </c>
      <c r="D592" s="38" t="str">
        <f t="shared" si="155"/>
        <v/>
      </c>
      <c r="E592" s="38" t="str">
        <f t="shared" si="156"/>
        <v/>
      </c>
      <c r="F592" s="38" t="str">
        <f t="shared" si="157"/>
        <v/>
      </c>
      <c r="G592" s="38" t="str">
        <f t="shared" si="167"/>
        <v/>
      </c>
      <c r="H592" s="38" t="str">
        <f t="shared" si="168"/>
        <v/>
      </c>
      <c r="L592" t="str">
        <f t="shared" si="158"/>
        <v/>
      </c>
      <c r="M592" s="38" t="str">
        <f t="shared" si="159"/>
        <v/>
      </c>
      <c r="N592" s="38" t="str">
        <f t="shared" si="160"/>
        <v/>
      </c>
      <c r="O592" s="38" t="str">
        <f t="shared" si="161"/>
        <v/>
      </c>
      <c r="P592" s="38" t="str">
        <f t="shared" si="162"/>
        <v/>
      </c>
      <c r="Q592" s="38" t="str">
        <f t="shared" si="163"/>
        <v/>
      </c>
      <c r="R592" s="38" t="str">
        <f t="shared" si="164"/>
        <v/>
      </c>
      <c r="S592" s="38" t="str">
        <f t="shared" si="165"/>
        <v/>
      </c>
      <c r="T592" s="38" t="str">
        <f t="shared" si="166"/>
        <v/>
      </c>
      <c r="AF592" t="str">
        <f t="shared" si="151"/>
        <v/>
      </c>
      <c r="AG592" s="38" t="str">
        <f t="shared" si="150"/>
        <v/>
      </c>
    </row>
    <row r="593" spans="1:33" x14ac:dyDescent="0.2">
      <c r="A593" t="str">
        <f t="shared" si="152"/>
        <v/>
      </c>
      <c r="B593" s="38" t="str">
        <f t="shared" si="153"/>
        <v/>
      </c>
      <c r="C593" s="38" t="str">
        <f t="shared" si="154"/>
        <v/>
      </c>
      <c r="D593" s="38" t="str">
        <f t="shared" si="155"/>
        <v/>
      </c>
      <c r="E593" s="38" t="str">
        <f t="shared" si="156"/>
        <v/>
      </c>
      <c r="F593" s="38" t="str">
        <f t="shared" si="157"/>
        <v/>
      </c>
      <c r="G593" s="38" t="str">
        <f t="shared" si="167"/>
        <v/>
      </c>
      <c r="H593" s="38" t="str">
        <f t="shared" si="168"/>
        <v/>
      </c>
      <c r="L593" t="str">
        <f t="shared" si="158"/>
        <v/>
      </c>
      <c r="M593" s="38" t="str">
        <f t="shared" si="159"/>
        <v/>
      </c>
      <c r="N593" s="38" t="str">
        <f t="shared" si="160"/>
        <v/>
      </c>
      <c r="O593" s="38" t="str">
        <f t="shared" si="161"/>
        <v/>
      </c>
      <c r="P593" s="38" t="str">
        <f t="shared" si="162"/>
        <v/>
      </c>
      <c r="Q593" s="38" t="str">
        <f t="shared" si="163"/>
        <v/>
      </c>
      <c r="R593" s="38" t="str">
        <f t="shared" si="164"/>
        <v/>
      </c>
      <c r="S593" s="38" t="str">
        <f t="shared" si="165"/>
        <v/>
      </c>
      <c r="T593" s="38" t="str">
        <f t="shared" si="166"/>
        <v/>
      </c>
      <c r="AF593" t="str">
        <f t="shared" si="151"/>
        <v/>
      </c>
      <c r="AG593" s="38" t="str">
        <f t="shared" si="150"/>
        <v/>
      </c>
    </row>
    <row r="594" spans="1:33" x14ac:dyDescent="0.2">
      <c r="A594" t="str">
        <f t="shared" si="152"/>
        <v/>
      </c>
      <c r="B594" s="38" t="str">
        <f t="shared" si="153"/>
        <v/>
      </c>
      <c r="C594" s="38" t="str">
        <f t="shared" si="154"/>
        <v/>
      </c>
      <c r="D594" s="38" t="str">
        <f t="shared" si="155"/>
        <v/>
      </c>
      <c r="E594" s="38" t="str">
        <f t="shared" si="156"/>
        <v/>
      </c>
      <c r="F594" s="38" t="str">
        <f t="shared" si="157"/>
        <v/>
      </c>
      <c r="G594" s="38" t="str">
        <f t="shared" si="167"/>
        <v/>
      </c>
      <c r="H594" s="38" t="str">
        <f t="shared" si="168"/>
        <v/>
      </c>
      <c r="L594" t="str">
        <f t="shared" si="158"/>
        <v/>
      </c>
      <c r="M594" s="38" t="str">
        <f t="shared" si="159"/>
        <v/>
      </c>
      <c r="N594" s="38" t="str">
        <f t="shared" si="160"/>
        <v/>
      </c>
      <c r="O594" s="38" t="str">
        <f t="shared" si="161"/>
        <v/>
      </c>
      <c r="P594" s="38" t="str">
        <f t="shared" si="162"/>
        <v/>
      </c>
      <c r="Q594" s="38" t="str">
        <f t="shared" si="163"/>
        <v/>
      </c>
      <c r="R594" s="38" t="str">
        <f t="shared" si="164"/>
        <v/>
      </c>
      <c r="S594" s="38" t="str">
        <f t="shared" si="165"/>
        <v/>
      </c>
      <c r="T594" s="38" t="str">
        <f t="shared" si="166"/>
        <v/>
      </c>
      <c r="AF594" t="str">
        <f t="shared" si="151"/>
        <v/>
      </c>
      <c r="AG594" s="38" t="str">
        <f t="shared" si="150"/>
        <v/>
      </c>
    </row>
    <row r="595" spans="1:33" x14ac:dyDescent="0.2">
      <c r="A595" t="str">
        <f t="shared" si="152"/>
        <v/>
      </c>
      <c r="B595" s="38" t="str">
        <f t="shared" si="153"/>
        <v/>
      </c>
      <c r="C595" s="38" t="str">
        <f t="shared" si="154"/>
        <v/>
      </c>
      <c r="D595" s="38" t="str">
        <f t="shared" si="155"/>
        <v/>
      </c>
      <c r="E595" s="38" t="str">
        <f t="shared" si="156"/>
        <v/>
      </c>
      <c r="F595" s="38" t="str">
        <f t="shared" si="157"/>
        <v/>
      </c>
      <c r="G595" s="38" t="str">
        <f t="shared" si="167"/>
        <v/>
      </c>
      <c r="H595" s="38" t="str">
        <f t="shared" si="168"/>
        <v/>
      </c>
      <c r="L595" t="str">
        <f t="shared" si="158"/>
        <v/>
      </c>
      <c r="M595" s="38" t="str">
        <f t="shared" si="159"/>
        <v/>
      </c>
      <c r="N595" s="38" t="str">
        <f t="shared" si="160"/>
        <v/>
      </c>
      <c r="O595" s="38" t="str">
        <f t="shared" si="161"/>
        <v/>
      </c>
      <c r="P595" s="38" t="str">
        <f t="shared" si="162"/>
        <v/>
      </c>
      <c r="Q595" s="38" t="str">
        <f t="shared" si="163"/>
        <v/>
      </c>
      <c r="R595" s="38" t="str">
        <f t="shared" si="164"/>
        <v/>
      </c>
      <c r="S595" s="38" t="str">
        <f t="shared" si="165"/>
        <v/>
      </c>
      <c r="T595" s="38" t="str">
        <f t="shared" si="166"/>
        <v/>
      </c>
      <c r="AF595" t="str">
        <f t="shared" si="151"/>
        <v/>
      </c>
      <c r="AG595" s="38" t="str">
        <f t="shared" si="150"/>
        <v/>
      </c>
    </row>
    <row r="596" spans="1:33" x14ac:dyDescent="0.2">
      <c r="A596" t="str">
        <f t="shared" si="152"/>
        <v/>
      </c>
      <c r="B596" s="38" t="str">
        <f t="shared" si="153"/>
        <v/>
      </c>
      <c r="C596" s="38" t="str">
        <f t="shared" si="154"/>
        <v/>
      </c>
      <c r="D596" s="38" t="str">
        <f t="shared" si="155"/>
        <v/>
      </c>
      <c r="E596" s="38" t="str">
        <f t="shared" si="156"/>
        <v/>
      </c>
      <c r="F596" s="38" t="str">
        <f t="shared" si="157"/>
        <v/>
      </c>
      <c r="G596" s="38" t="str">
        <f t="shared" si="167"/>
        <v/>
      </c>
      <c r="H596" s="38" t="str">
        <f t="shared" si="168"/>
        <v/>
      </c>
      <c r="L596" t="str">
        <f t="shared" si="158"/>
        <v/>
      </c>
      <c r="M596" s="38" t="str">
        <f t="shared" si="159"/>
        <v/>
      </c>
      <c r="N596" s="38" t="str">
        <f t="shared" si="160"/>
        <v/>
      </c>
      <c r="O596" s="38" t="str">
        <f t="shared" si="161"/>
        <v/>
      </c>
      <c r="P596" s="38" t="str">
        <f t="shared" si="162"/>
        <v/>
      </c>
      <c r="Q596" s="38" t="str">
        <f t="shared" si="163"/>
        <v/>
      </c>
      <c r="R596" s="38" t="str">
        <f t="shared" si="164"/>
        <v/>
      </c>
      <c r="S596" s="38" t="str">
        <f t="shared" si="165"/>
        <v/>
      </c>
      <c r="T596" s="38" t="str">
        <f t="shared" si="166"/>
        <v/>
      </c>
      <c r="AF596" t="str">
        <f t="shared" si="151"/>
        <v/>
      </c>
      <c r="AG596" s="38" t="str">
        <f t="shared" si="150"/>
        <v/>
      </c>
    </row>
    <row r="597" spans="1:33" x14ac:dyDescent="0.2">
      <c r="A597" t="str">
        <f t="shared" si="152"/>
        <v/>
      </c>
      <c r="B597" s="38" t="str">
        <f t="shared" si="153"/>
        <v/>
      </c>
      <c r="C597" s="38" t="str">
        <f t="shared" si="154"/>
        <v/>
      </c>
      <c r="D597" s="38" t="str">
        <f t="shared" si="155"/>
        <v/>
      </c>
      <c r="E597" s="38" t="str">
        <f t="shared" si="156"/>
        <v/>
      </c>
      <c r="F597" s="38" t="str">
        <f t="shared" si="157"/>
        <v/>
      </c>
      <c r="G597" s="38" t="str">
        <f t="shared" si="167"/>
        <v/>
      </c>
      <c r="H597" s="38" t="str">
        <f t="shared" si="168"/>
        <v/>
      </c>
      <c r="L597" t="str">
        <f t="shared" si="158"/>
        <v/>
      </c>
      <c r="M597" s="38" t="str">
        <f t="shared" si="159"/>
        <v/>
      </c>
      <c r="N597" s="38" t="str">
        <f t="shared" si="160"/>
        <v/>
      </c>
      <c r="O597" s="38" t="str">
        <f t="shared" si="161"/>
        <v/>
      </c>
      <c r="P597" s="38" t="str">
        <f t="shared" si="162"/>
        <v/>
      </c>
      <c r="Q597" s="38" t="str">
        <f t="shared" si="163"/>
        <v/>
      </c>
      <c r="R597" s="38" t="str">
        <f t="shared" si="164"/>
        <v/>
      </c>
      <c r="S597" s="38" t="str">
        <f t="shared" si="165"/>
        <v/>
      </c>
      <c r="T597" s="38" t="str">
        <f t="shared" si="166"/>
        <v/>
      </c>
      <c r="AF597" t="str">
        <f t="shared" si="151"/>
        <v/>
      </c>
      <c r="AG597" s="38" t="str">
        <f t="shared" ref="AG597:AG660" si="169">F598</f>
        <v/>
      </c>
    </row>
    <row r="598" spans="1:33" x14ac:dyDescent="0.2">
      <c r="A598" t="str">
        <f t="shared" si="152"/>
        <v/>
      </c>
      <c r="B598" s="38" t="str">
        <f t="shared" si="153"/>
        <v/>
      </c>
      <c r="C598" s="38" t="str">
        <f t="shared" si="154"/>
        <v/>
      </c>
      <c r="D598" s="38" t="str">
        <f t="shared" si="155"/>
        <v/>
      </c>
      <c r="E598" s="38" t="str">
        <f t="shared" si="156"/>
        <v/>
      </c>
      <c r="F598" s="38" t="str">
        <f t="shared" si="157"/>
        <v/>
      </c>
      <c r="G598" s="38" t="str">
        <f t="shared" si="167"/>
        <v/>
      </c>
      <c r="H598" s="38" t="str">
        <f t="shared" si="168"/>
        <v/>
      </c>
      <c r="L598" t="str">
        <f t="shared" si="158"/>
        <v/>
      </c>
      <c r="M598" s="38" t="str">
        <f t="shared" si="159"/>
        <v/>
      </c>
      <c r="N598" s="38" t="str">
        <f t="shared" si="160"/>
        <v/>
      </c>
      <c r="O598" s="38" t="str">
        <f t="shared" si="161"/>
        <v/>
      </c>
      <c r="P598" s="38" t="str">
        <f t="shared" si="162"/>
        <v/>
      </c>
      <c r="Q598" s="38" t="str">
        <f t="shared" si="163"/>
        <v/>
      </c>
      <c r="R598" s="38" t="str">
        <f t="shared" si="164"/>
        <v/>
      </c>
      <c r="S598" s="38" t="str">
        <f t="shared" si="165"/>
        <v/>
      </c>
      <c r="T598" s="38" t="str">
        <f t="shared" si="166"/>
        <v/>
      </c>
      <c r="AF598" t="str">
        <f t="shared" si="151"/>
        <v/>
      </c>
      <c r="AG598" s="38" t="str">
        <f t="shared" si="169"/>
        <v/>
      </c>
    </row>
    <row r="599" spans="1:33" x14ac:dyDescent="0.2">
      <c r="A599" t="str">
        <f t="shared" si="152"/>
        <v/>
      </c>
      <c r="B599" s="38" t="str">
        <f t="shared" si="153"/>
        <v/>
      </c>
      <c r="C599" s="38" t="str">
        <f t="shared" si="154"/>
        <v/>
      </c>
      <c r="D599" s="38" t="str">
        <f t="shared" si="155"/>
        <v/>
      </c>
      <c r="E599" s="38" t="str">
        <f t="shared" si="156"/>
        <v/>
      </c>
      <c r="F599" s="38" t="str">
        <f t="shared" si="157"/>
        <v/>
      </c>
      <c r="G599" s="38" t="str">
        <f t="shared" si="167"/>
        <v/>
      </c>
      <c r="H599" s="38" t="str">
        <f t="shared" si="168"/>
        <v/>
      </c>
      <c r="L599" t="str">
        <f t="shared" si="158"/>
        <v/>
      </c>
      <c r="M599" s="38" t="str">
        <f t="shared" si="159"/>
        <v/>
      </c>
      <c r="N599" s="38" t="str">
        <f t="shared" si="160"/>
        <v/>
      </c>
      <c r="O599" s="38" t="str">
        <f t="shared" si="161"/>
        <v/>
      </c>
      <c r="P599" s="38" t="str">
        <f t="shared" si="162"/>
        <v/>
      </c>
      <c r="Q599" s="38" t="str">
        <f t="shared" si="163"/>
        <v/>
      </c>
      <c r="R599" s="38" t="str">
        <f t="shared" si="164"/>
        <v/>
      </c>
      <c r="S599" s="38" t="str">
        <f t="shared" si="165"/>
        <v/>
      </c>
      <c r="T599" s="38" t="str">
        <f t="shared" si="166"/>
        <v/>
      </c>
      <c r="AF599" t="str">
        <f t="shared" ref="AF599:AF662" si="170">IF(AF598&lt;($B$6*$B$7),AF598+1,"")</f>
        <v/>
      </c>
      <c r="AG599" s="38" t="str">
        <f t="shared" si="169"/>
        <v/>
      </c>
    </row>
    <row r="600" spans="1:33" x14ac:dyDescent="0.2">
      <c r="A600" t="str">
        <f t="shared" ref="A600:A663" si="171">IF(A599&lt;($B$6*$B$7),A599+1,"")</f>
        <v/>
      </c>
      <c r="B600" s="38" t="str">
        <f t="shared" ref="B600:B663" si="172">IF(A600="","",F599)</f>
        <v/>
      </c>
      <c r="C600" s="38" t="str">
        <f t="shared" ref="C600:C663" si="173">IF(A600="","",(B600*$B$8))</f>
        <v/>
      </c>
      <c r="D600" s="38" t="str">
        <f t="shared" ref="D600:D663" si="174">IF(A600="","", $B$5)</f>
        <v/>
      </c>
      <c r="E600" s="38" t="str">
        <f t="shared" ref="E600:E663" si="175">IF(D600="","",(D600-C600))</f>
        <v/>
      </c>
      <c r="F600" s="38" t="str">
        <f t="shared" ref="F600:F663" si="176">IF(A600="","", B600-E600)</f>
        <v/>
      </c>
      <c r="G600" s="38" t="str">
        <f t="shared" si="167"/>
        <v/>
      </c>
      <c r="H600" s="38" t="str">
        <f t="shared" si="168"/>
        <v/>
      </c>
      <c r="L600" t="str">
        <f t="shared" ref="L600:L663" si="177">IF(L599&lt;($B$6*$B$7),L599+1,"")</f>
        <v/>
      </c>
      <c r="M600" s="38" t="str">
        <f t="shared" ref="M600:M663" si="178">IF(L600="", "", R599)</f>
        <v/>
      </c>
      <c r="N600" s="38" t="str">
        <f t="shared" ref="N600:N663" si="179">IF(L600="","",$B$5)</f>
        <v/>
      </c>
      <c r="O600" s="38" t="str">
        <f t="shared" ref="O600:O663" si="180">IF(L600="","",M600-N600)</f>
        <v/>
      </c>
      <c r="P600" s="38" t="str">
        <f t="shared" ref="P600:P663" si="181">IF(L600="","",O599*$B$8)</f>
        <v/>
      </c>
      <c r="Q600" s="38" t="str">
        <f t="shared" ref="Q600:Q663" si="182">IF(L600="","",N600-P600)</f>
        <v/>
      </c>
      <c r="R600" s="38" t="str">
        <f t="shared" ref="R600:R663" si="183">IF(L600="","",O600*(1+$B$8))</f>
        <v/>
      </c>
      <c r="S600" s="38" t="str">
        <f t="shared" ref="S600:S663" si="184">IF(L600="","",S599+P600)</f>
        <v/>
      </c>
      <c r="T600" s="38" t="str">
        <f t="shared" ref="T600:T663" si="185">IF(L600="","",Q600+T599)</f>
        <v/>
      </c>
      <c r="AF600" t="str">
        <f t="shared" si="170"/>
        <v/>
      </c>
      <c r="AG600" s="38" t="str">
        <f t="shared" si="169"/>
        <v/>
      </c>
    </row>
    <row r="601" spans="1:33" x14ac:dyDescent="0.2">
      <c r="A601" t="str">
        <f t="shared" si="171"/>
        <v/>
      </c>
      <c r="B601" s="38" t="str">
        <f t="shared" si="172"/>
        <v/>
      </c>
      <c r="C601" s="38" t="str">
        <f t="shared" si="173"/>
        <v/>
      </c>
      <c r="D601" s="38" t="str">
        <f t="shared" si="174"/>
        <v/>
      </c>
      <c r="E601" s="38" t="str">
        <f t="shared" si="175"/>
        <v/>
      </c>
      <c r="F601" s="38" t="str">
        <f t="shared" si="176"/>
        <v/>
      </c>
      <c r="G601" s="38" t="str">
        <f t="shared" si="167"/>
        <v/>
      </c>
      <c r="H601" s="38" t="str">
        <f t="shared" si="168"/>
        <v/>
      </c>
      <c r="L601" t="str">
        <f t="shared" si="177"/>
        <v/>
      </c>
      <c r="M601" s="38" t="str">
        <f t="shared" si="178"/>
        <v/>
      </c>
      <c r="N601" s="38" t="str">
        <f t="shared" si="179"/>
        <v/>
      </c>
      <c r="O601" s="38" t="str">
        <f t="shared" si="180"/>
        <v/>
      </c>
      <c r="P601" s="38" t="str">
        <f t="shared" si="181"/>
        <v/>
      </c>
      <c r="Q601" s="38" t="str">
        <f t="shared" si="182"/>
        <v/>
      </c>
      <c r="R601" s="38" t="str">
        <f t="shared" si="183"/>
        <v/>
      </c>
      <c r="S601" s="38" t="str">
        <f t="shared" si="184"/>
        <v/>
      </c>
      <c r="T601" s="38" t="str">
        <f t="shared" si="185"/>
        <v/>
      </c>
      <c r="AF601" t="str">
        <f t="shared" si="170"/>
        <v/>
      </c>
      <c r="AG601" s="38" t="str">
        <f t="shared" si="169"/>
        <v/>
      </c>
    </row>
    <row r="602" spans="1:33" x14ac:dyDescent="0.2">
      <c r="A602" t="str">
        <f t="shared" si="171"/>
        <v/>
      </c>
      <c r="B602" s="38" t="str">
        <f t="shared" si="172"/>
        <v/>
      </c>
      <c r="C602" s="38" t="str">
        <f t="shared" si="173"/>
        <v/>
      </c>
      <c r="D602" s="38" t="str">
        <f t="shared" si="174"/>
        <v/>
      </c>
      <c r="E602" s="38" t="str">
        <f t="shared" si="175"/>
        <v/>
      </c>
      <c r="F602" s="38" t="str">
        <f t="shared" si="176"/>
        <v/>
      </c>
      <c r="G602" s="38" t="str">
        <f t="shared" ref="G602:G665" si="186">IF(A602="","", (G601+C602))</f>
        <v/>
      </c>
      <c r="H602" s="38" t="str">
        <f t="shared" ref="H602:H665" si="187">IF(A602="","",(H601+E602))</f>
        <v/>
      </c>
      <c r="L602" t="str">
        <f t="shared" si="177"/>
        <v/>
      </c>
      <c r="M602" s="38" t="str">
        <f t="shared" si="178"/>
        <v/>
      </c>
      <c r="N602" s="38" t="str">
        <f t="shared" si="179"/>
        <v/>
      </c>
      <c r="O602" s="38" t="str">
        <f t="shared" si="180"/>
        <v/>
      </c>
      <c r="P602" s="38" t="str">
        <f t="shared" si="181"/>
        <v/>
      </c>
      <c r="Q602" s="38" t="str">
        <f t="shared" si="182"/>
        <v/>
      </c>
      <c r="R602" s="38" t="str">
        <f t="shared" si="183"/>
        <v/>
      </c>
      <c r="S602" s="38" t="str">
        <f t="shared" si="184"/>
        <v/>
      </c>
      <c r="T602" s="38" t="str">
        <f t="shared" si="185"/>
        <v/>
      </c>
      <c r="AF602" t="str">
        <f t="shared" si="170"/>
        <v/>
      </c>
      <c r="AG602" s="38" t="str">
        <f t="shared" si="169"/>
        <v/>
      </c>
    </row>
    <row r="603" spans="1:33" x14ac:dyDescent="0.2">
      <c r="A603" t="str">
        <f t="shared" si="171"/>
        <v/>
      </c>
      <c r="B603" s="38" t="str">
        <f t="shared" si="172"/>
        <v/>
      </c>
      <c r="C603" s="38" t="str">
        <f t="shared" si="173"/>
        <v/>
      </c>
      <c r="D603" s="38" t="str">
        <f t="shared" si="174"/>
        <v/>
      </c>
      <c r="E603" s="38" t="str">
        <f t="shared" si="175"/>
        <v/>
      </c>
      <c r="F603" s="38" t="str">
        <f t="shared" si="176"/>
        <v/>
      </c>
      <c r="G603" s="38" t="str">
        <f t="shared" si="186"/>
        <v/>
      </c>
      <c r="H603" s="38" t="str">
        <f t="shared" si="187"/>
        <v/>
      </c>
      <c r="L603" t="str">
        <f t="shared" si="177"/>
        <v/>
      </c>
      <c r="M603" s="38" t="str">
        <f t="shared" si="178"/>
        <v/>
      </c>
      <c r="N603" s="38" t="str">
        <f t="shared" si="179"/>
        <v/>
      </c>
      <c r="O603" s="38" t="str">
        <f t="shared" si="180"/>
        <v/>
      </c>
      <c r="P603" s="38" t="str">
        <f t="shared" si="181"/>
        <v/>
      </c>
      <c r="Q603" s="38" t="str">
        <f t="shared" si="182"/>
        <v/>
      </c>
      <c r="R603" s="38" t="str">
        <f t="shared" si="183"/>
        <v/>
      </c>
      <c r="S603" s="38" t="str">
        <f t="shared" si="184"/>
        <v/>
      </c>
      <c r="T603" s="38" t="str">
        <f t="shared" si="185"/>
        <v/>
      </c>
      <c r="AF603" t="str">
        <f t="shared" si="170"/>
        <v/>
      </c>
      <c r="AG603" s="38" t="str">
        <f t="shared" si="169"/>
        <v/>
      </c>
    </row>
    <row r="604" spans="1:33" x14ac:dyDescent="0.2">
      <c r="A604" t="str">
        <f t="shared" si="171"/>
        <v/>
      </c>
      <c r="B604" s="38" t="str">
        <f t="shared" si="172"/>
        <v/>
      </c>
      <c r="C604" s="38" t="str">
        <f t="shared" si="173"/>
        <v/>
      </c>
      <c r="D604" s="38" t="str">
        <f t="shared" si="174"/>
        <v/>
      </c>
      <c r="E604" s="38" t="str">
        <f t="shared" si="175"/>
        <v/>
      </c>
      <c r="F604" s="38" t="str">
        <f t="shared" si="176"/>
        <v/>
      </c>
      <c r="G604" s="38" t="str">
        <f t="shared" si="186"/>
        <v/>
      </c>
      <c r="H604" s="38" t="str">
        <f t="shared" si="187"/>
        <v/>
      </c>
      <c r="L604" t="str">
        <f t="shared" si="177"/>
        <v/>
      </c>
      <c r="M604" s="38" t="str">
        <f t="shared" si="178"/>
        <v/>
      </c>
      <c r="N604" s="38" t="str">
        <f t="shared" si="179"/>
        <v/>
      </c>
      <c r="O604" s="38" t="str">
        <f t="shared" si="180"/>
        <v/>
      </c>
      <c r="P604" s="38" t="str">
        <f t="shared" si="181"/>
        <v/>
      </c>
      <c r="Q604" s="38" t="str">
        <f t="shared" si="182"/>
        <v/>
      </c>
      <c r="R604" s="38" t="str">
        <f t="shared" si="183"/>
        <v/>
      </c>
      <c r="S604" s="38" t="str">
        <f t="shared" si="184"/>
        <v/>
      </c>
      <c r="T604" s="38" t="str">
        <f t="shared" si="185"/>
        <v/>
      </c>
      <c r="AF604" t="str">
        <f t="shared" si="170"/>
        <v/>
      </c>
      <c r="AG604" s="38" t="str">
        <f t="shared" si="169"/>
        <v/>
      </c>
    </row>
    <row r="605" spans="1:33" x14ac:dyDescent="0.2">
      <c r="A605" t="str">
        <f t="shared" si="171"/>
        <v/>
      </c>
      <c r="B605" s="38" t="str">
        <f t="shared" si="172"/>
        <v/>
      </c>
      <c r="C605" s="38" t="str">
        <f t="shared" si="173"/>
        <v/>
      </c>
      <c r="D605" s="38" t="str">
        <f t="shared" si="174"/>
        <v/>
      </c>
      <c r="E605" s="38" t="str">
        <f t="shared" si="175"/>
        <v/>
      </c>
      <c r="F605" s="38" t="str">
        <f t="shared" si="176"/>
        <v/>
      </c>
      <c r="G605" s="38" t="str">
        <f t="shared" si="186"/>
        <v/>
      </c>
      <c r="H605" s="38" t="str">
        <f t="shared" si="187"/>
        <v/>
      </c>
      <c r="L605" t="str">
        <f t="shared" si="177"/>
        <v/>
      </c>
      <c r="M605" s="38" t="str">
        <f t="shared" si="178"/>
        <v/>
      </c>
      <c r="N605" s="38" t="str">
        <f t="shared" si="179"/>
        <v/>
      </c>
      <c r="O605" s="38" t="str">
        <f t="shared" si="180"/>
        <v/>
      </c>
      <c r="P605" s="38" t="str">
        <f t="shared" si="181"/>
        <v/>
      </c>
      <c r="Q605" s="38" t="str">
        <f t="shared" si="182"/>
        <v/>
      </c>
      <c r="R605" s="38" t="str">
        <f t="shared" si="183"/>
        <v/>
      </c>
      <c r="S605" s="38" t="str">
        <f t="shared" si="184"/>
        <v/>
      </c>
      <c r="T605" s="38" t="str">
        <f t="shared" si="185"/>
        <v/>
      </c>
      <c r="AF605" t="str">
        <f t="shared" si="170"/>
        <v/>
      </c>
      <c r="AG605" s="38" t="str">
        <f t="shared" si="169"/>
        <v/>
      </c>
    </row>
    <row r="606" spans="1:33" x14ac:dyDescent="0.2">
      <c r="A606" t="str">
        <f t="shared" si="171"/>
        <v/>
      </c>
      <c r="B606" s="38" t="str">
        <f t="shared" si="172"/>
        <v/>
      </c>
      <c r="C606" s="38" t="str">
        <f t="shared" si="173"/>
        <v/>
      </c>
      <c r="D606" s="38" t="str">
        <f t="shared" si="174"/>
        <v/>
      </c>
      <c r="E606" s="38" t="str">
        <f t="shared" si="175"/>
        <v/>
      </c>
      <c r="F606" s="38" t="str">
        <f t="shared" si="176"/>
        <v/>
      </c>
      <c r="G606" s="38" t="str">
        <f t="shared" si="186"/>
        <v/>
      </c>
      <c r="H606" s="38" t="str">
        <f t="shared" si="187"/>
        <v/>
      </c>
      <c r="L606" t="str">
        <f t="shared" si="177"/>
        <v/>
      </c>
      <c r="M606" s="38" t="str">
        <f t="shared" si="178"/>
        <v/>
      </c>
      <c r="N606" s="38" t="str">
        <f t="shared" si="179"/>
        <v/>
      </c>
      <c r="O606" s="38" t="str">
        <f t="shared" si="180"/>
        <v/>
      </c>
      <c r="P606" s="38" t="str">
        <f t="shared" si="181"/>
        <v/>
      </c>
      <c r="Q606" s="38" t="str">
        <f t="shared" si="182"/>
        <v/>
      </c>
      <c r="R606" s="38" t="str">
        <f t="shared" si="183"/>
        <v/>
      </c>
      <c r="S606" s="38" t="str">
        <f t="shared" si="184"/>
        <v/>
      </c>
      <c r="T606" s="38" t="str">
        <f t="shared" si="185"/>
        <v/>
      </c>
      <c r="AF606" t="str">
        <f t="shared" si="170"/>
        <v/>
      </c>
      <c r="AG606" s="38" t="str">
        <f t="shared" si="169"/>
        <v/>
      </c>
    </row>
    <row r="607" spans="1:33" x14ac:dyDescent="0.2">
      <c r="A607" t="str">
        <f t="shared" si="171"/>
        <v/>
      </c>
      <c r="B607" s="38" t="str">
        <f t="shared" si="172"/>
        <v/>
      </c>
      <c r="C607" s="38" t="str">
        <f t="shared" si="173"/>
        <v/>
      </c>
      <c r="D607" s="38" t="str">
        <f t="shared" si="174"/>
        <v/>
      </c>
      <c r="E607" s="38" t="str">
        <f t="shared" si="175"/>
        <v/>
      </c>
      <c r="F607" s="38" t="str">
        <f t="shared" si="176"/>
        <v/>
      </c>
      <c r="G607" s="38" t="str">
        <f t="shared" si="186"/>
        <v/>
      </c>
      <c r="H607" s="38" t="str">
        <f t="shared" si="187"/>
        <v/>
      </c>
      <c r="L607" t="str">
        <f t="shared" si="177"/>
        <v/>
      </c>
      <c r="M607" s="38" t="str">
        <f t="shared" si="178"/>
        <v/>
      </c>
      <c r="N607" s="38" t="str">
        <f t="shared" si="179"/>
        <v/>
      </c>
      <c r="O607" s="38" t="str">
        <f t="shared" si="180"/>
        <v/>
      </c>
      <c r="P607" s="38" t="str">
        <f t="shared" si="181"/>
        <v/>
      </c>
      <c r="Q607" s="38" t="str">
        <f t="shared" si="182"/>
        <v/>
      </c>
      <c r="R607" s="38" t="str">
        <f t="shared" si="183"/>
        <v/>
      </c>
      <c r="S607" s="38" t="str">
        <f t="shared" si="184"/>
        <v/>
      </c>
      <c r="T607" s="38" t="str">
        <f t="shared" si="185"/>
        <v/>
      </c>
      <c r="AF607" t="str">
        <f t="shared" si="170"/>
        <v/>
      </c>
      <c r="AG607" s="38" t="str">
        <f t="shared" si="169"/>
        <v/>
      </c>
    </row>
    <row r="608" spans="1:33" x14ac:dyDescent="0.2">
      <c r="A608" t="str">
        <f t="shared" si="171"/>
        <v/>
      </c>
      <c r="B608" s="38" t="str">
        <f t="shared" si="172"/>
        <v/>
      </c>
      <c r="C608" s="38" t="str">
        <f t="shared" si="173"/>
        <v/>
      </c>
      <c r="D608" s="38" t="str">
        <f t="shared" si="174"/>
        <v/>
      </c>
      <c r="E608" s="38" t="str">
        <f t="shared" si="175"/>
        <v/>
      </c>
      <c r="F608" s="38" t="str">
        <f t="shared" si="176"/>
        <v/>
      </c>
      <c r="G608" s="38" t="str">
        <f t="shared" si="186"/>
        <v/>
      </c>
      <c r="H608" s="38" t="str">
        <f t="shared" si="187"/>
        <v/>
      </c>
      <c r="L608" t="str">
        <f t="shared" si="177"/>
        <v/>
      </c>
      <c r="M608" s="38" t="str">
        <f t="shared" si="178"/>
        <v/>
      </c>
      <c r="N608" s="38" t="str">
        <f t="shared" si="179"/>
        <v/>
      </c>
      <c r="O608" s="38" t="str">
        <f t="shared" si="180"/>
        <v/>
      </c>
      <c r="P608" s="38" t="str">
        <f t="shared" si="181"/>
        <v/>
      </c>
      <c r="Q608" s="38" t="str">
        <f t="shared" si="182"/>
        <v/>
      </c>
      <c r="R608" s="38" t="str">
        <f t="shared" si="183"/>
        <v/>
      </c>
      <c r="S608" s="38" t="str">
        <f t="shared" si="184"/>
        <v/>
      </c>
      <c r="T608" s="38" t="str">
        <f t="shared" si="185"/>
        <v/>
      </c>
      <c r="AF608" t="str">
        <f t="shared" si="170"/>
        <v/>
      </c>
      <c r="AG608" s="38" t="str">
        <f t="shared" si="169"/>
        <v/>
      </c>
    </row>
    <row r="609" spans="1:33" x14ac:dyDescent="0.2">
      <c r="A609" t="str">
        <f t="shared" si="171"/>
        <v/>
      </c>
      <c r="B609" s="38" t="str">
        <f t="shared" si="172"/>
        <v/>
      </c>
      <c r="C609" s="38" t="str">
        <f t="shared" si="173"/>
        <v/>
      </c>
      <c r="D609" s="38" t="str">
        <f t="shared" si="174"/>
        <v/>
      </c>
      <c r="E609" s="38" t="str">
        <f t="shared" si="175"/>
        <v/>
      </c>
      <c r="F609" s="38" t="str">
        <f t="shared" si="176"/>
        <v/>
      </c>
      <c r="G609" s="38" t="str">
        <f t="shared" si="186"/>
        <v/>
      </c>
      <c r="H609" s="38" t="str">
        <f t="shared" si="187"/>
        <v/>
      </c>
      <c r="L609" t="str">
        <f t="shared" si="177"/>
        <v/>
      </c>
      <c r="M609" s="38" t="str">
        <f t="shared" si="178"/>
        <v/>
      </c>
      <c r="N609" s="38" t="str">
        <f t="shared" si="179"/>
        <v/>
      </c>
      <c r="O609" s="38" t="str">
        <f t="shared" si="180"/>
        <v/>
      </c>
      <c r="P609" s="38" t="str">
        <f t="shared" si="181"/>
        <v/>
      </c>
      <c r="Q609" s="38" t="str">
        <f t="shared" si="182"/>
        <v/>
      </c>
      <c r="R609" s="38" t="str">
        <f t="shared" si="183"/>
        <v/>
      </c>
      <c r="S609" s="38" t="str">
        <f t="shared" si="184"/>
        <v/>
      </c>
      <c r="T609" s="38" t="str">
        <f t="shared" si="185"/>
        <v/>
      </c>
      <c r="AF609" t="str">
        <f t="shared" si="170"/>
        <v/>
      </c>
      <c r="AG609" s="38" t="str">
        <f t="shared" si="169"/>
        <v/>
      </c>
    </row>
    <row r="610" spans="1:33" x14ac:dyDescent="0.2">
      <c r="A610" t="str">
        <f t="shared" si="171"/>
        <v/>
      </c>
      <c r="B610" s="38" t="str">
        <f t="shared" si="172"/>
        <v/>
      </c>
      <c r="C610" s="38" t="str">
        <f t="shared" si="173"/>
        <v/>
      </c>
      <c r="D610" s="38" t="str">
        <f t="shared" si="174"/>
        <v/>
      </c>
      <c r="E610" s="38" t="str">
        <f t="shared" si="175"/>
        <v/>
      </c>
      <c r="F610" s="38" t="str">
        <f t="shared" si="176"/>
        <v/>
      </c>
      <c r="G610" s="38" t="str">
        <f t="shared" si="186"/>
        <v/>
      </c>
      <c r="H610" s="38" t="str">
        <f t="shared" si="187"/>
        <v/>
      </c>
      <c r="L610" t="str">
        <f t="shared" si="177"/>
        <v/>
      </c>
      <c r="M610" s="38" t="str">
        <f t="shared" si="178"/>
        <v/>
      </c>
      <c r="N610" s="38" t="str">
        <f t="shared" si="179"/>
        <v/>
      </c>
      <c r="O610" s="38" t="str">
        <f t="shared" si="180"/>
        <v/>
      </c>
      <c r="P610" s="38" t="str">
        <f t="shared" si="181"/>
        <v/>
      </c>
      <c r="Q610" s="38" t="str">
        <f t="shared" si="182"/>
        <v/>
      </c>
      <c r="R610" s="38" t="str">
        <f t="shared" si="183"/>
        <v/>
      </c>
      <c r="S610" s="38" t="str">
        <f t="shared" si="184"/>
        <v/>
      </c>
      <c r="T610" s="38" t="str">
        <f t="shared" si="185"/>
        <v/>
      </c>
      <c r="AF610" t="str">
        <f t="shared" si="170"/>
        <v/>
      </c>
      <c r="AG610" s="38" t="str">
        <f t="shared" si="169"/>
        <v/>
      </c>
    </row>
    <row r="611" spans="1:33" x14ac:dyDescent="0.2">
      <c r="A611" t="str">
        <f t="shared" si="171"/>
        <v/>
      </c>
      <c r="B611" s="38" t="str">
        <f t="shared" si="172"/>
        <v/>
      </c>
      <c r="C611" s="38" t="str">
        <f t="shared" si="173"/>
        <v/>
      </c>
      <c r="D611" s="38" t="str">
        <f t="shared" si="174"/>
        <v/>
      </c>
      <c r="E611" s="38" t="str">
        <f t="shared" si="175"/>
        <v/>
      </c>
      <c r="F611" s="38" t="str">
        <f t="shared" si="176"/>
        <v/>
      </c>
      <c r="G611" s="38" t="str">
        <f t="shared" si="186"/>
        <v/>
      </c>
      <c r="H611" s="38" t="str">
        <f t="shared" si="187"/>
        <v/>
      </c>
      <c r="L611" t="str">
        <f t="shared" si="177"/>
        <v/>
      </c>
      <c r="M611" s="38" t="str">
        <f t="shared" si="178"/>
        <v/>
      </c>
      <c r="N611" s="38" t="str">
        <f t="shared" si="179"/>
        <v/>
      </c>
      <c r="O611" s="38" t="str">
        <f t="shared" si="180"/>
        <v/>
      </c>
      <c r="P611" s="38" t="str">
        <f t="shared" si="181"/>
        <v/>
      </c>
      <c r="Q611" s="38" t="str">
        <f t="shared" si="182"/>
        <v/>
      </c>
      <c r="R611" s="38" t="str">
        <f t="shared" si="183"/>
        <v/>
      </c>
      <c r="S611" s="38" t="str">
        <f t="shared" si="184"/>
        <v/>
      </c>
      <c r="T611" s="38" t="str">
        <f t="shared" si="185"/>
        <v/>
      </c>
      <c r="AF611" t="str">
        <f t="shared" si="170"/>
        <v/>
      </c>
      <c r="AG611" s="38" t="str">
        <f t="shared" si="169"/>
        <v/>
      </c>
    </row>
    <row r="612" spans="1:33" x14ac:dyDescent="0.2">
      <c r="A612" t="str">
        <f t="shared" si="171"/>
        <v/>
      </c>
      <c r="B612" s="38" t="str">
        <f t="shared" si="172"/>
        <v/>
      </c>
      <c r="C612" s="38" t="str">
        <f t="shared" si="173"/>
        <v/>
      </c>
      <c r="D612" s="38" t="str">
        <f t="shared" si="174"/>
        <v/>
      </c>
      <c r="E612" s="38" t="str">
        <f t="shared" si="175"/>
        <v/>
      </c>
      <c r="F612" s="38" t="str">
        <f t="shared" si="176"/>
        <v/>
      </c>
      <c r="G612" s="38" t="str">
        <f t="shared" si="186"/>
        <v/>
      </c>
      <c r="H612" s="38" t="str">
        <f t="shared" si="187"/>
        <v/>
      </c>
      <c r="L612" t="str">
        <f t="shared" si="177"/>
        <v/>
      </c>
      <c r="M612" s="38" t="str">
        <f t="shared" si="178"/>
        <v/>
      </c>
      <c r="N612" s="38" t="str">
        <f t="shared" si="179"/>
        <v/>
      </c>
      <c r="O612" s="38" t="str">
        <f t="shared" si="180"/>
        <v/>
      </c>
      <c r="P612" s="38" t="str">
        <f t="shared" si="181"/>
        <v/>
      </c>
      <c r="Q612" s="38" t="str">
        <f t="shared" si="182"/>
        <v/>
      </c>
      <c r="R612" s="38" t="str">
        <f t="shared" si="183"/>
        <v/>
      </c>
      <c r="S612" s="38" t="str">
        <f t="shared" si="184"/>
        <v/>
      </c>
      <c r="T612" s="38" t="str">
        <f t="shared" si="185"/>
        <v/>
      </c>
      <c r="AF612" t="str">
        <f t="shared" si="170"/>
        <v/>
      </c>
      <c r="AG612" s="38" t="str">
        <f t="shared" si="169"/>
        <v/>
      </c>
    </row>
    <row r="613" spans="1:33" x14ac:dyDescent="0.2">
      <c r="A613" t="str">
        <f t="shared" si="171"/>
        <v/>
      </c>
      <c r="B613" s="38" t="str">
        <f t="shared" si="172"/>
        <v/>
      </c>
      <c r="C613" s="38" t="str">
        <f t="shared" si="173"/>
        <v/>
      </c>
      <c r="D613" s="38" t="str">
        <f t="shared" si="174"/>
        <v/>
      </c>
      <c r="E613" s="38" t="str">
        <f t="shared" si="175"/>
        <v/>
      </c>
      <c r="F613" s="38" t="str">
        <f t="shared" si="176"/>
        <v/>
      </c>
      <c r="G613" s="38" t="str">
        <f t="shared" si="186"/>
        <v/>
      </c>
      <c r="H613" s="38" t="str">
        <f t="shared" si="187"/>
        <v/>
      </c>
      <c r="L613" t="str">
        <f t="shared" si="177"/>
        <v/>
      </c>
      <c r="M613" s="38" t="str">
        <f t="shared" si="178"/>
        <v/>
      </c>
      <c r="N613" s="38" t="str">
        <f t="shared" si="179"/>
        <v/>
      </c>
      <c r="O613" s="38" t="str">
        <f t="shared" si="180"/>
        <v/>
      </c>
      <c r="P613" s="38" t="str">
        <f t="shared" si="181"/>
        <v/>
      </c>
      <c r="Q613" s="38" t="str">
        <f t="shared" si="182"/>
        <v/>
      </c>
      <c r="R613" s="38" t="str">
        <f t="shared" si="183"/>
        <v/>
      </c>
      <c r="S613" s="38" t="str">
        <f t="shared" si="184"/>
        <v/>
      </c>
      <c r="T613" s="38" t="str">
        <f t="shared" si="185"/>
        <v/>
      </c>
      <c r="AF613" t="str">
        <f t="shared" si="170"/>
        <v/>
      </c>
      <c r="AG613" s="38" t="str">
        <f t="shared" si="169"/>
        <v/>
      </c>
    </row>
    <row r="614" spans="1:33" x14ac:dyDescent="0.2">
      <c r="A614" t="str">
        <f t="shared" si="171"/>
        <v/>
      </c>
      <c r="B614" s="38" t="str">
        <f t="shared" si="172"/>
        <v/>
      </c>
      <c r="C614" s="38" t="str">
        <f t="shared" si="173"/>
        <v/>
      </c>
      <c r="D614" s="38" t="str">
        <f t="shared" si="174"/>
        <v/>
      </c>
      <c r="E614" s="38" t="str">
        <f t="shared" si="175"/>
        <v/>
      </c>
      <c r="F614" s="38" t="str">
        <f t="shared" si="176"/>
        <v/>
      </c>
      <c r="G614" s="38" t="str">
        <f t="shared" si="186"/>
        <v/>
      </c>
      <c r="H614" s="38" t="str">
        <f t="shared" si="187"/>
        <v/>
      </c>
      <c r="L614" t="str">
        <f t="shared" si="177"/>
        <v/>
      </c>
      <c r="M614" s="38" t="str">
        <f t="shared" si="178"/>
        <v/>
      </c>
      <c r="N614" s="38" t="str">
        <f t="shared" si="179"/>
        <v/>
      </c>
      <c r="O614" s="38" t="str">
        <f t="shared" si="180"/>
        <v/>
      </c>
      <c r="P614" s="38" t="str">
        <f t="shared" si="181"/>
        <v/>
      </c>
      <c r="Q614" s="38" t="str">
        <f t="shared" si="182"/>
        <v/>
      </c>
      <c r="R614" s="38" t="str">
        <f t="shared" si="183"/>
        <v/>
      </c>
      <c r="S614" s="38" t="str">
        <f t="shared" si="184"/>
        <v/>
      </c>
      <c r="T614" s="38" t="str">
        <f t="shared" si="185"/>
        <v/>
      </c>
      <c r="AF614" t="str">
        <f t="shared" si="170"/>
        <v/>
      </c>
      <c r="AG614" s="38" t="str">
        <f t="shared" si="169"/>
        <v/>
      </c>
    </row>
    <row r="615" spans="1:33" x14ac:dyDescent="0.2">
      <c r="A615" t="str">
        <f t="shared" si="171"/>
        <v/>
      </c>
      <c r="B615" s="38" t="str">
        <f t="shared" si="172"/>
        <v/>
      </c>
      <c r="C615" s="38" t="str">
        <f t="shared" si="173"/>
        <v/>
      </c>
      <c r="D615" s="38" t="str">
        <f t="shared" si="174"/>
        <v/>
      </c>
      <c r="E615" s="38" t="str">
        <f t="shared" si="175"/>
        <v/>
      </c>
      <c r="F615" s="38" t="str">
        <f t="shared" si="176"/>
        <v/>
      </c>
      <c r="G615" s="38" t="str">
        <f t="shared" si="186"/>
        <v/>
      </c>
      <c r="H615" s="38" t="str">
        <f t="shared" si="187"/>
        <v/>
      </c>
      <c r="L615" t="str">
        <f t="shared" si="177"/>
        <v/>
      </c>
      <c r="M615" s="38" t="str">
        <f t="shared" si="178"/>
        <v/>
      </c>
      <c r="N615" s="38" t="str">
        <f t="shared" si="179"/>
        <v/>
      </c>
      <c r="O615" s="38" t="str">
        <f t="shared" si="180"/>
        <v/>
      </c>
      <c r="P615" s="38" t="str">
        <f t="shared" si="181"/>
        <v/>
      </c>
      <c r="Q615" s="38" t="str">
        <f t="shared" si="182"/>
        <v/>
      </c>
      <c r="R615" s="38" t="str">
        <f t="shared" si="183"/>
        <v/>
      </c>
      <c r="S615" s="38" t="str">
        <f t="shared" si="184"/>
        <v/>
      </c>
      <c r="T615" s="38" t="str">
        <f t="shared" si="185"/>
        <v/>
      </c>
      <c r="AF615" t="str">
        <f t="shared" si="170"/>
        <v/>
      </c>
      <c r="AG615" s="38" t="str">
        <f t="shared" si="169"/>
        <v/>
      </c>
    </row>
    <row r="616" spans="1:33" x14ac:dyDescent="0.2">
      <c r="A616" t="str">
        <f t="shared" si="171"/>
        <v/>
      </c>
      <c r="B616" s="38" t="str">
        <f t="shared" si="172"/>
        <v/>
      </c>
      <c r="C616" s="38" t="str">
        <f t="shared" si="173"/>
        <v/>
      </c>
      <c r="D616" s="38" t="str">
        <f t="shared" si="174"/>
        <v/>
      </c>
      <c r="E616" s="38" t="str">
        <f t="shared" si="175"/>
        <v/>
      </c>
      <c r="F616" s="38" t="str">
        <f t="shared" si="176"/>
        <v/>
      </c>
      <c r="G616" s="38" t="str">
        <f t="shared" si="186"/>
        <v/>
      </c>
      <c r="H616" s="38" t="str">
        <f t="shared" si="187"/>
        <v/>
      </c>
      <c r="L616" t="str">
        <f t="shared" si="177"/>
        <v/>
      </c>
      <c r="M616" s="38" t="str">
        <f t="shared" si="178"/>
        <v/>
      </c>
      <c r="N616" s="38" t="str">
        <f t="shared" si="179"/>
        <v/>
      </c>
      <c r="O616" s="38" t="str">
        <f t="shared" si="180"/>
        <v/>
      </c>
      <c r="P616" s="38" t="str">
        <f t="shared" si="181"/>
        <v/>
      </c>
      <c r="Q616" s="38" t="str">
        <f t="shared" si="182"/>
        <v/>
      </c>
      <c r="R616" s="38" t="str">
        <f t="shared" si="183"/>
        <v/>
      </c>
      <c r="S616" s="38" t="str">
        <f t="shared" si="184"/>
        <v/>
      </c>
      <c r="T616" s="38" t="str">
        <f t="shared" si="185"/>
        <v/>
      </c>
      <c r="AF616" t="str">
        <f t="shared" si="170"/>
        <v/>
      </c>
      <c r="AG616" s="38" t="str">
        <f t="shared" si="169"/>
        <v/>
      </c>
    </row>
    <row r="617" spans="1:33" x14ac:dyDescent="0.2">
      <c r="A617" t="str">
        <f t="shared" si="171"/>
        <v/>
      </c>
      <c r="B617" s="38" t="str">
        <f t="shared" si="172"/>
        <v/>
      </c>
      <c r="C617" s="38" t="str">
        <f t="shared" si="173"/>
        <v/>
      </c>
      <c r="D617" s="38" t="str">
        <f t="shared" si="174"/>
        <v/>
      </c>
      <c r="E617" s="38" t="str">
        <f t="shared" si="175"/>
        <v/>
      </c>
      <c r="F617" s="38" t="str">
        <f t="shared" si="176"/>
        <v/>
      </c>
      <c r="G617" s="38" t="str">
        <f t="shared" si="186"/>
        <v/>
      </c>
      <c r="H617" s="38" t="str">
        <f t="shared" si="187"/>
        <v/>
      </c>
      <c r="L617" t="str">
        <f t="shared" si="177"/>
        <v/>
      </c>
      <c r="M617" s="38" t="str">
        <f t="shared" si="178"/>
        <v/>
      </c>
      <c r="N617" s="38" t="str">
        <f t="shared" si="179"/>
        <v/>
      </c>
      <c r="O617" s="38" t="str">
        <f t="shared" si="180"/>
        <v/>
      </c>
      <c r="P617" s="38" t="str">
        <f t="shared" si="181"/>
        <v/>
      </c>
      <c r="Q617" s="38" t="str">
        <f t="shared" si="182"/>
        <v/>
      </c>
      <c r="R617" s="38" t="str">
        <f t="shared" si="183"/>
        <v/>
      </c>
      <c r="S617" s="38" t="str">
        <f t="shared" si="184"/>
        <v/>
      </c>
      <c r="T617" s="38" t="str">
        <f t="shared" si="185"/>
        <v/>
      </c>
      <c r="AF617" t="str">
        <f t="shared" si="170"/>
        <v/>
      </c>
      <c r="AG617" s="38" t="str">
        <f t="shared" si="169"/>
        <v/>
      </c>
    </row>
    <row r="618" spans="1:33" x14ac:dyDescent="0.2">
      <c r="A618" t="str">
        <f t="shared" si="171"/>
        <v/>
      </c>
      <c r="B618" s="38" t="str">
        <f t="shared" si="172"/>
        <v/>
      </c>
      <c r="C618" s="38" t="str">
        <f t="shared" si="173"/>
        <v/>
      </c>
      <c r="D618" s="38" t="str">
        <f t="shared" si="174"/>
        <v/>
      </c>
      <c r="E618" s="38" t="str">
        <f t="shared" si="175"/>
        <v/>
      </c>
      <c r="F618" s="38" t="str">
        <f t="shared" si="176"/>
        <v/>
      </c>
      <c r="G618" s="38" t="str">
        <f t="shared" si="186"/>
        <v/>
      </c>
      <c r="H618" s="38" t="str">
        <f t="shared" si="187"/>
        <v/>
      </c>
      <c r="L618" t="str">
        <f t="shared" si="177"/>
        <v/>
      </c>
      <c r="M618" s="38" t="str">
        <f t="shared" si="178"/>
        <v/>
      </c>
      <c r="N618" s="38" t="str">
        <f t="shared" si="179"/>
        <v/>
      </c>
      <c r="O618" s="38" t="str">
        <f t="shared" si="180"/>
        <v/>
      </c>
      <c r="P618" s="38" t="str">
        <f t="shared" si="181"/>
        <v/>
      </c>
      <c r="Q618" s="38" t="str">
        <f t="shared" si="182"/>
        <v/>
      </c>
      <c r="R618" s="38" t="str">
        <f t="shared" si="183"/>
        <v/>
      </c>
      <c r="S618" s="38" t="str">
        <f t="shared" si="184"/>
        <v/>
      </c>
      <c r="T618" s="38" t="str">
        <f t="shared" si="185"/>
        <v/>
      </c>
      <c r="AF618" t="str">
        <f t="shared" si="170"/>
        <v/>
      </c>
      <c r="AG618" s="38" t="str">
        <f t="shared" si="169"/>
        <v/>
      </c>
    </row>
    <row r="619" spans="1:33" x14ac:dyDescent="0.2">
      <c r="A619" t="str">
        <f t="shared" si="171"/>
        <v/>
      </c>
      <c r="B619" s="38" t="str">
        <f t="shared" si="172"/>
        <v/>
      </c>
      <c r="C619" s="38" t="str">
        <f t="shared" si="173"/>
        <v/>
      </c>
      <c r="D619" s="38" t="str">
        <f t="shared" si="174"/>
        <v/>
      </c>
      <c r="E619" s="38" t="str">
        <f t="shared" si="175"/>
        <v/>
      </c>
      <c r="F619" s="38" t="str">
        <f t="shared" si="176"/>
        <v/>
      </c>
      <c r="G619" s="38" t="str">
        <f t="shared" si="186"/>
        <v/>
      </c>
      <c r="H619" s="38" t="str">
        <f t="shared" si="187"/>
        <v/>
      </c>
      <c r="L619" t="str">
        <f t="shared" si="177"/>
        <v/>
      </c>
      <c r="M619" s="38" t="str">
        <f t="shared" si="178"/>
        <v/>
      </c>
      <c r="N619" s="38" t="str">
        <f t="shared" si="179"/>
        <v/>
      </c>
      <c r="O619" s="38" t="str">
        <f t="shared" si="180"/>
        <v/>
      </c>
      <c r="P619" s="38" t="str">
        <f t="shared" si="181"/>
        <v/>
      </c>
      <c r="Q619" s="38" t="str">
        <f t="shared" si="182"/>
        <v/>
      </c>
      <c r="R619" s="38" t="str">
        <f t="shared" si="183"/>
        <v/>
      </c>
      <c r="S619" s="38" t="str">
        <f t="shared" si="184"/>
        <v/>
      </c>
      <c r="T619" s="38" t="str">
        <f t="shared" si="185"/>
        <v/>
      </c>
      <c r="AF619" t="str">
        <f t="shared" si="170"/>
        <v/>
      </c>
      <c r="AG619" s="38" t="str">
        <f t="shared" si="169"/>
        <v/>
      </c>
    </row>
    <row r="620" spans="1:33" x14ac:dyDescent="0.2">
      <c r="A620" t="str">
        <f t="shared" si="171"/>
        <v/>
      </c>
      <c r="B620" s="38" t="str">
        <f t="shared" si="172"/>
        <v/>
      </c>
      <c r="C620" s="38" t="str">
        <f t="shared" si="173"/>
        <v/>
      </c>
      <c r="D620" s="38" t="str">
        <f t="shared" si="174"/>
        <v/>
      </c>
      <c r="E620" s="38" t="str">
        <f t="shared" si="175"/>
        <v/>
      </c>
      <c r="F620" s="38" t="str">
        <f t="shared" si="176"/>
        <v/>
      </c>
      <c r="G620" s="38" t="str">
        <f t="shared" si="186"/>
        <v/>
      </c>
      <c r="H620" s="38" t="str">
        <f t="shared" si="187"/>
        <v/>
      </c>
      <c r="L620" t="str">
        <f t="shared" si="177"/>
        <v/>
      </c>
      <c r="M620" s="38" t="str">
        <f t="shared" si="178"/>
        <v/>
      </c>
      <c r="N620" s="38" t="str">
        <f t="shared" si="179"/>
        <v/>
      </c>
      <c r="O620" s="38" t="str">
        <f t="shared" si="180"/>
        <v/>
      </c>
      <c r="P620" s="38" t="str">
        <f t="shared" si="181"/>
        <v/>
      </c>
      <c r="Q620" s="38" t="str">
        <f t="shared" si="182"/>
        <v/>
      </c>
      <c r="R620" s="38" t="str">
        <f t="shared" si="183"/>
        <v/>
      </c>
      <c r="S620" s="38" t="str">
        <f t="shared" si="184"/>
        <v/>
      </c>
      <c r="T620" s="38" t="str">
        <f t="shared" si="185"/>
        <v/>
      </c>
      <c r="AF620" t="str">
        <f t="shared" si="170"/>
        <v/>
      </c>
      <c r="AG620" s="38" t="str">
        <f t="shared" si="169"/>
        <v/>
      </c>
    </row>
    <row r="621" spans="1:33" x14ac:dyDescent="0.2">
      <c r="A621" t="str">
        <f t="shared" si="171"/>
        <v/>
      </c>
      <c r="B621" s="38" t="str">
        <f t="shared" si="172"/>
        <v/>
      </c>
      <c r="C621" s="38" t="str">
        <f t="shared" si="173"/>
        <v/>
      </c>
      <c r="D621" s="38" t="str">
        <f t="shared" si="174"/>
        <v/>
      </c>
      <c r="E621" s="38" t="str">
        <f t="shared" si="175"/>
        <v/>
      </c>
      <c r="F621" s="38" t="str">
        <f t="shared" si="176"/>
        <v/>
      </c>
      <c r="G621" s="38" t="str">
        <f t="shared" si="186"/>
        <v/>
      </c>
      <c r="H621" s="38" t="str">
        <f t="shared" si="187"/>
        <v/>
      </c>
      <c r="L621" t="str">
        <f t="shared" si="177"/>
        <v/>
      </c>
      <c r="M621" s="38" t="str">
        <f t="shared" si="178"/>
        <v/>
      </c>
      <c r="N621" s="38" t="str">
        <f t="shared" si="179"/>
        <v/>
      </c>
      <c r="O621" s="38" t="str">
        <f t="shared" si="180"/>
        <v/>
      </c>
      <c r="P621" s="38" t="str">
        <f t="shared" si="181"/>
        <v/>
      </c>
      <c r="Q621" s="38" t="str">
        <f t="shared" si="182"/>
        <v/>
      </c>
      <c r="R621" s="38" t="str">
        <f t="shared" si="183"/>
        <v/>
      </c>
      <c r="S621" s="38" t="str">
        <f t="shared" si="184"/>
        <v/>
      </c>
      <c r="T621" s="38" t="str">
        <f t="shared" si="185"/>
        <v/>
      </c>
      <c r="AF621" t="str">
        <f t="shared" si="170"/>
        <v/>
      </c>
      <c r="AG621" s="38" t="str">
        <f t="shared" si="169"/>
        <v/>
      </c>
    </row>
    <row r="622" spans="1:33" x14ac:dyDescent="0.2">
      <c r="A622" t="str">
        <f t="shared" si="171"/>
        <v/>
      </c>
      <c r="B622" s="38" t="str">
        <f t="shared" si="172"/>
        <v/>
      </c>
      <c r="C622" s="38" t="str">
        <f t="shared" si="173"/>
        <v/>
      </c>
      <c r="D622" s="38" t="str">
        <f t="shared" si="174"/>
        <v/>
      </c>
      <c r="E622" s="38" t="str">
        <f t="shared" si="175"/>
        <v/>
      </c>
      <c r="F622" s="38" t="str">
        <f t="shared" si="176"/>
        <v/>
      </c>
      <c r="G622" s="38" t="str">
        <f t="shared" si="186"/>
        <v/>
      </c>
      <c r="H622" s="38" t="str">
        <f t="shared" si="187"/>
        <v/>
      </c>
      <c r="L622" t="str">
        <f t="shared" si="177"/>
        <v/>
      </c>
      <c r="M622" s="38" t="str">
        <f t="shared" si="178"/>
        <v/>
      </c>
      <c r="N622" s="38" t="str">
        <f t="shared" si="179"/>
        <v/>
      </c>
      <c r="O622" s="38" t="str">
        <f t="shared" si="180"/>
        <v/>
      </c>
      <c r="P622" s="38" t="str">
        <f t="shared" si="181"/>
        <v/>
      </c>
      <c r="Q622" s="38" t="str">
        <f t="shared" si="182"/>
        <v/>
      </c>
      <c r="R622" s="38" t="str">
        <f t="shared" si="183"/>
        <v/>
      </c>
      <c r="S622" s="38" t="str">
        <f t="shared" si="184"/>
        <v/>
      </c>
      <c r="T622" s="38" t="str">
        <f t="shared" si="185"/>
        <v/>
      </c>
      <c r="AF622" t="str">
        <f t="shared" si="170"/>
        <v/>
      </c>
      <c r="AG622" s="38" t="str">
        <f t="shared" si="169"/>
        <v/>
      </c>
    </row>
    <row r="623" spans="1:33" x14ac:dyDescent="0.2">
      <c r="A623" t="str">
        <f t="shared" si="171"/>
        <v/>
      </c>
      <c r="B623" s="38" t="str">
        <f t="shared" si="172"/>
        <v/>
      </c>
      <c r="C623" s="38" t="str">
        <f t="shared" si="173"/>
        <v/>
      </c>
      <c r="D623" s="38" t="str">
        <f t="shared" si="174"/>
        <v/>
      </c>
      <c r="E623" s="38" t="str">
        <f t="shared" si="175"/>
        <v/>
      </c>
      <c r="F623" s="38" t="str">
        <f t="shared" si="176"/>
        <v/>
      </c>
      <c r="G623" s="38" t="str">
        <f t="shared" si="186"/>
        <v/>
      </c>
      <c r="H623" s="38" t="str">
        <f t="shared" si="187"/>
        <v/>
      </c>
      <c r="L623" t="str">
        <f t="shared" si="177"/>
        <v/>
      </c>
      <c r="M623" s="38" t="str">
        <f t="shared" si="178"/>
        <v/>
      </c>
      <c r="N623" s="38" t="str">
        <f t="shared" si="179"/>
        <v/>
      </c>
      <c r="O623" s="38" t="str">
        <f t="shared" si="180"/>
        <v/>
      </c>
      <c r="P623" s="38" t="str">
        <f t="shared" si="181"/>
        <v/>
      </c>
      <c r="Q623" s="38" t="str">
        <f t="shared" si="182"/>
        <v/>
      </c>
      <c r="R623" s="38" t="str">
        <f t="shared" si="183"/>
        <v/>
      </c>
      <c r="S623" s="38" t="str">
        <f t="shared" si="184"/>
        <v/>
      </c>
      <c r="T623" s="38" t="str">
        <f t="shared" si="185"/>
        <v/>
      </c>
      <c r="AF623" t="str">
        <f t="shared" si="170"/>
        <v/>
      </c>
      <c r="AG623" s="38" t="str">
        <f t="shared" si="169"/>
        <v/>
      </c>
    </row>
    <row r="624" spans="1:33" x14ac:dyDescent="0.2">
      <c r="A624" t="str">
        <f t="shared" si="171"/>
        <v/>
      </c>
      <c r="B624" s="38" t="str">
        <f t="shared" si="172"/>
        <v/>
      </c>
      <c r="C624" s="38" t="str">
        <f t="shared" si="173"/>
        <v/>
      </c>
      <c r="D624" s="38" t="str">
        <f t="shared" si="174"/>
        <v/>
      </c>
      <c r="E624" s="38" t="str">
        <f t="shared" si="175"/>
        <v/>
      </c>
      <c r="F624" s="38" t="str">
        <f t="shared" si="176"/>
        <v/>
      </c>
      <c r="G624" s="38" t="str">
        <f t="shared" si="186"/>
        <v/>
      </c>
      <c r="H624" s="38" t="str">
        <f t="shared" si="187"/>
        <v/>
      </c>
      <c r="L624" t="str">
        <f t="shared" si="177"/>
        <v/>
      </c>
      <c r="M624" s="38" t="str">
        <f t="shared" si="178"/>
        <v/>
      </c>
      <c r="N624" s="38" t="str">
        <f t="shared" si="179"/>
        <v/>
      </c>
      <c r="O624" s="38" t="str">
        <f t="shared" si="180"/>
        <v/>
      </c>
      <c r="P624" s="38" t="str">
        <f t="shared" si="181"/>
        <v/>
      </c>
      <c r="Q624" s="38" t="str">
        <f t="shared" si="182"/>
        <v/>
      </c>
      <c r="R624" s="38" t="str">
        <f t="shared" si="183"/>
        <v/>
      </c>
      <c r="S624" s="38" t="str">
        <f t="shared" si="184"/>
        <v/>
      </c>
      <c r="T624" s="38" t="str">
        <f t="shared" si="185"/>
        <v/>
      </c>
      <c r="AF624" t="str">
        <f t="shared" si="170"/>
        <v/>
      </c>
      <c r="AG624" s="38" t="str">
        <f t="shared" si="169"/>
        <v/>
      </c>
    </row>
    <row r="625" spans="1:33" x14ac:dyDescent="0.2">
      <c r="A625" t="str">
        <f t="shared" si="171"/>
        <v/>
      </c>
      <c r="B625" s="38" t="str">
        <f t="shared" si="172"/>
        <v/>
      </c>
      <c r="C625" s="38" t="str">
        <f t="shared" si="173"/>
        <v/>
      </c>
      <c r="D625" s="38" t="str">
        <f t="shared" si="174"/>
        <v/>
      </c>
      <c r="E625" s="38" t="str">
        <f t="shared" si="175"/>
        <v/>
      </c>
      <c r="F625" s="38" t="str">
        <f t="shared" si="176"/>
        <v/>
      </c>
      <c r="G625" s="38" t="str">
        <f t="shared" si="186"/>
        <v/>
      </c>
      <c r="H625" s="38" t="str">
        <f t="shared" si="187"/>
        <v/>
      </c>
      <c r="L625" t="str">
        <f t="shared" si="177"/>
        <v/>
      </c>
      <c r="M625" s="38" t="str">
        <f t="shared" si="178"/>
        <v/>
      </c>
      <c r="N625" s="38" t="str">
        <f t="shared" si="179"/>
        <v/>
      </c>
      <c r="O625" s="38" t="str">
        <f t="shared" si="180"/>
        <v/>
      </c>
      <c r="P625" s="38" t="str">
        <f t="shared" si="181"/>
        <v/>
      </c>
      <c r="Q625" s="38" t="str">
        <f t="shared" si="182"/>
        <v/>
      </c>
      <c r="R625" s="38" t="str">
        <f t="shared" si="183"/>
        <v/>
      </c>
      <c r="S625" s="38" t="str">
        <f t="shared" si="184"/>
        <v/>
      </c>
      <c r="T625" s="38" t="str">
        <f t="shared" si="185"/>
        <v/>
      </c>
      <c r="AF625" t="str">
        <f t="shared" si="170"/>
        <v/>
      </c>
      <c r="AG625" s="38" t="str">
        <f t="shared" si="169"/>
        <v/>
      </c>
    </row>
    <row r="626" spans="1:33" x14ac:dyDescent="0.2">
      <c r="A626" t="str">
        <f t="shared" si="171"/>
        <v/>
      </c>
      <c r="B626" s="38" t="str">
        <f t="shared" si="172"/>
        <v/>
      </c>
      <c r="C626" s="38" t="str">
        <f t="shared" si="173"/>
        <v/>
      </c>
      <c r="D626" s="38" t="str">
        <f t="shared" si="174"/>
        <v/>
      </c>
      <c r="E626" s="38" t="str">
        <f t="shared" si="175"/>
        <v/>
      </c>
      <c r="F626" s="38" t="str">
        <f t="shared" si="176"/>
        <v/>
      </c>
      <c r="G626" s="38" t="str">
        <f t="shared" si="186"/>
        <v/>
      </c>
      <c r="H626" s="38" t="str">
        <f t="shared" si="187"/>
        <v/>
      </c>
      <c r="L626" t="str">
        <f t="shared" si="177"/>
        <v/>
      </c>
      <c r="M626" s="38" t="str">
        <f t="shared" si="178"/>
        <v/>
      </c>
      <c r="N626" s="38" t="str">
        <f t="shared" si="179"/>
        <v/>
      </c>
      <c r="O626" s="38" t="str">
        <f t="shared" si="180"/>
        <v/>
      </c>
      <c r="P626" s="38" t="str">
        <f t="shared" si="181"/>
        <v/>
      </c>
      <c r="Q626" s="38" t="str">
        <f t="shared" si="182"/>
        <v/>
      </c>
      <c r="R626" s="38" t="str">
        <f t="shared" si="183"/>
        <v/>
      </c>
      <c r="S626" s="38" t="str">
        <f t="shared" si="184"/>
        <v/>
      </c>
      <c r="T626" s="38" t="str">
        <f t="shared" si="185"/>
        <v/>
      </c>
      <c r="AF626" t="str">
        <f t="shared" si="170"/>
        <v/>
      </c>
      <c r="AG626" s="38" t="str">
        <f t="shared" si="169"/>
        <v/>
      </c>
    </row>
    <row r="627" spans="1:33" x14ac:dyDescent="0.2">
      <c r="A627" t="str">
        <f t="shared" si="171"/>
        <v/>
      </c>
      <c r="B627" s="38" t="str">
        <f t="shared" si="172"/>
        <v/>
      </c>
      <c r="C627" s="38" t="str">
        <f t="shared" si="173"/>
        <v/>
      </c>
      <c r="D627" s="38" t="str">
        <f t="shared" si="174"/>
        <v/>
      </c>
      <c r="E627" s="38" t="str">
        <f t="shared" si="175"/>
        <v/>
      </c>
      <c r="F627" s="38" t="str">
        <f t="shared" si="176"/>
        <v/>
      </c>
      <c r="G627" s="38" t="str">
        <f t="shared" si="186"/>
        <v/>
      </c>
      <c r="H627" s="38" t="str">
        <f t="shared" si="187"/>
        <v/>
      </c>
      <c r="L627" t="str">
        <f t="shared" si="177"/>
        <v/>
      </c>
      <c r="M627" s="38" t="str">
        <f t="shared" si="178"/>
        <v/>
      </c>
      <c r="N627" s="38" t="str">
        <f t="shared" si="179"/>
        <v/>
      </c>
      <c r="O627" s="38" t="str">
        <f t="shared" si="180"/>
        <v/>
      </c>
      <c r="P627" s="38" t="str">
        <f t="shared" si="181"/>
        <v/>
      </c>
      <c r="Q627" s="38" t="str">
        <f t="shared" si="182"/>
        <v/>
      </c>
      <c r="R627" s="38" t="str">
        <f t="shared" si="183"/>
        <v/>
      </c>
      <c r="S627" s="38" t="str">
        <f t="shared" si="184"/>
        <v/>
      </c>
      <c r="T627" s="38" t="str">
        <f t="shared" si="185"/>
        <v/>
      </c>
      <c r="AF627" t="str">
        <f t="shared" si="170"/>
        <v/>
      </c>
      <c r="AG627" s="38" t="str">
        <f t="shared" si="169"/>
        <v/>
      </c>
    </row>
    <row r="628" spans="1:33" x14ac:dyDescent="0.2">
      <c r="A628" t="str">
        <f t="shared" si="171"/>
        <v/>
      </c>
      <c r="B628" s="38" t="str">
        <f t="shared" si="172"/>
        <v/>
      </c>
      <c r="C628" s="38" t="str">
        <f t="shared" si="173"/>
        <v/>
      </c>
      <c r="D628" s="38" t="str">
        <f t="shared" si="174"/>
        <v/>
      </c>
      <c r="E628" s="38" t="str">
        <f t="shared" si="175"/>
        <v/>
      </c>
      <c r="F628" s="38" t="str">
        <f t="shared" si="176"/>
        <v/>
      </c>
      <c r="G628" s="38" t="str">
        <f t="shared" si="186"/>
        <v/>
      </c>
      <c r="H628" s="38" t="str">
        <f t="shared" si="187"/>
        <v/>
      </c>
      <c r="L628" t="str">
        <f t="shared" si="177"/>
        <v/>
      </c>
      <c r="M628" s="38" t="str">
        <f t="shared" si="178"/>
        <v/>
      </c>
      <c r="N628" s="38" t="str">
        <f t="shared" si="179"/>
        <v/>
      </c>
      <c r="O628" s="38" t="str">
        <f t="shared" si="180"/>
        <v/>
      </c>
      <c r="P628" s="38" t="str">
        <f t="shared" si="181"/>
        <v/>
      </c>
      <c r="Q628" s="38" t="str">
        <f t="shared" si="182"/>
        <v/>
      </c>
      <c r="R628" s="38" t="str">
        <f t="shared" si="183"/>
        <v/>
      </c>
      <c r="S628" s="38" t="str">
        <f t="shared" si="184"/>
        <v/>
      </c>
      <c r="T628" s="38" t="str">
        <f t="shared" si="185"/>
        <v/>
      </c>
      <c r="AF628" t="str">
        <f t="shared" si="170"/>
        <v/>
      </c>
      <c r="AG628" s="38" t="str">
        <f t="shared" si="169"/>
        <v/>
      </c>
    </row>
    <row r="629" spans="1:33" x14ac:dyDescent="0.2">
      <c r="A629" t="str">
        <f t="shared" si="171"/>
        <v/>
      </c>
      <c r="B629" s="38" t="str">
        <f t="shared" si="172"/>
        <v/>
      </c>
      <c r="C629" s="38" t="str">
        <f t="shared" si="173"/>
        <v/>
      </c>
      <c r="D629" s="38" t="str">
        <f t="shared" si="174"/>
        <v/>
      </c>
      <c r="E629" s="38" t="str">
        <f t="shared" si="175"/>
        <v/>
      </c>
      <c r="F629" s="38" t="str">
        <f t="shared" si="176"/>
        <v/>
      </c>
      <c r="G629" s="38" t="str">
        <f t="shared" si="186"/>
        <v/>
      </c>
      <c r="H629" s="38" t="str">
        <f t="shared" si="187"/>
        <v/>
      </c>
      <c r="L629" t="str">
        <f t="shared" si="177"/>
        <v/>
      </c>
      <c r="M629" s="38" t="str">
        <f t="shared" si="178"/>
        <v/>
      </c>
      <c r="N629" s="38" t="str">
        <f t="shared" si="179"/>
        <v/>
      </c>
      <c r="O629" s="38" t="str">
        <f t="shared" si="180"/>
        <v/>
      </c>
      <c r="P629" s="38" t="str">
        <f t="shared" si="181"/>
        <v/>
      </c>
      <c r="Q629" s="38" t="str">
        <f t="shared" si="182"/>
        <v/>
      </c>
      <c r="R629" s="38" t="str">
        <f t="shared" si="183"/>
        <v/>
      </c>
      <c r="S629" s="38" t="str">
        <f t="shared" si="184"/>
        <v/>
      </c>
      <c r="T629" s="38" t="str">
        <f t="shared" si="185"/>
        <v/>
      </c>
      <c r="AF629" t="str">
        <f t="shared" si="170"/>
        <v/>
      </c>
      <c r="AG629" s="38" t="str">
        <f t="shared" si="169"/>
        <v/>
      </c>
    </row>
    <row r="630" spans="1:33" x14ac:dyDescent="0.2">
      <c r="A630" t="str">
        <f t="shared" si="171"/>
        <v/>
      </c>
      <c r="B630" s="38" t="str">
        <f t="shared" si="172"/>
        <v/>
      </c>
      <c r="C630" s="38" t="str">
        <f t="shared" si="173"/>
        <v/>
      </c>
      <c r="D630" s="38" t="str">
        <f t="shared" si="174"/>
        <v/>
      </c>
      <c r="E630" s="38" t="str">
        <f t="shared" si="175"/>
        <v/>
      </c>
      <c r="F630" s="38" t="str">
        <f t="shared" si="176"/>
        <v/>
      </c>
      <c r="G630" s="38" t="str">
        <f t="shared" si="186"/>
        <v/>
      </c>
      <c r="H630" s="38" t="str">
        <f t="shared" si="187"/>
        <v/>
      </c>
      <c r="L630" t="str">
        <f t="shared" si="177"/>
        <v/>
      </c>
      <c r="M630" s="38" t="str">
        <f t="shared" si="178"/>
        <v/>
      </c>
      <c r="N630" s="38" t="str">
        <f t="shared" si="179"/>
        <v/>
      </c>
      <c r="O630" s="38" t="str">
        <f t="shared" si="180"/>
        <v/>
      </c>
      <c r="P630" s="38" t="str">
        <f t="shared" si="181"/>
        <v/>
      </c>
      <c r="Q630" s="38" t="str">
        <f t="shared" si="182"/>
        <v/>
      </c>
      <c r="R630" s="38" t="str">
        <f t="shared" si="183"/>
        <v/>
      </c>
      <c r="S630" s="38" t="str">
        <f t="shared" si="184"/>
        <v/>
      </c>
      <c r="T630" s="38" t="str">
        <f t="shared" si="185"/>
        <v/>
      </c>
      <c r="AF630" t="str">
        <f t="shared" si="170"/>
        <v/>
      </c>
      <c r="AG630" s="38" t="str">
        <f t="shared" si="169"/>
        <v/>
      </c>
    </row>
    <row r="631" spans="1:33" x14ac:dyDescent="0.2">
      <c r="A631" t="str">
        <f t="shared" si="171"/>
        <v/>
      </c>
      <c r="B631" s="38" t="str">
        <f t="shared" si="172"/>
        <v/>
      </c>
      <c r="C631" s="38" t="str">
        <f t="shared" si="173"/>
        <v/>
      </c>
      <c r="D631" s="38" t="str">
        <f t="shared" si="174"/>
        <v/>
      </c>
      <c r="E631" s="38" t="str">
        <f t="shared" si="175"/>
        <v/>
      </c>
      <c r="F631" s="38" t="str">
        <f t="shared" si="176"/>
        <v/>
      </c>
      <c r="G631" s="38" t="str">
        <f t="shared" si="186"/>
        <v/>
      </c>
      <c r="H631" s="38" t="str">
        <f t="shared" si="187"/>
        <v/>
      </c>
      <c r="L631" t="str">
        <f t="shared" si="177"/>
        <v/>
      </c>
      <c r="M631" s="38" t="str">
        <f t="shared" si="178"/>
        <v/>
      </c>
      <c r="N631" s="38" t="str">
        <f t="shared" si="179"/>
        <v/>
      </c>
      <c r="O631" s="38" t="str">
        <f t="shared" si="180"/>
        <v/>
      </c>
      <c r="P631" s="38" t="str">
        <f t="shared" si="181"/>
        <v/>
      </c>
      <c r="Q631" s="38" t="str">
        <f t="shared" si="182"/>
        <v/>
      </c>
      <c r="R631" s="38" t="str">
        <f t="shared" si="183"/>
        <v/>
      </c>
      <c r="S631" s="38" t="str">
        <f t="shared" si="184"/>
        <v/>
      </c>
      <c r="T631" s="38" t="str">
        <f t="shared" si="185"/>
        <v/>
      </c>
      <c r="AF631" t="str">
        <f t="shared" si="170"/>
        <v/>
      </c>
      <c r="AG631" s="38" t="str">
        <f t="shared" si="169"/>
        <v/>
      </c>
    </row>
    <row r="632" spans="1:33" x14ac:dyDescent="0.2">
      <c r="A632" t="str">
        <f t="shared" si="171"/>
        <v/>
      </c>
      <c r="B632" s="38" t="str">
        <f t="shared" si="172"/>
        <v/>
      </c>
      <c r="C632" s="38" t="str">
        <f t="shared" si="173"/>
        <v/>
      </c>
      <c r="D632" s="38" t="str">
        <f t="shared" si="174"/>
        <v/>
      </c>
      <c r="E632" s="38" t="str">
        <f t="shared" si="175"/>
        <v/>
      </c>
      <c r="F632" s="38" t="str">
        <f t="shared" si="176"/>
        <v/>
      </c>
      <c r="G632" s="38" t="str">
        <f t="shared" si="186"/>
        <v/>
      </c>
      <c r="H632" s="38" t="str">
        <f t="shared" si="187"/>
        <v/>
      </c>
      <c r="L632" t="str">
        <f t="shared" si="177"/>
        <v/>
      </c>
      <c r="M632" s="38" t="str">
        <f t="shared" si="178"/>
        <v/>
      </c>
      <c r="N632" s="38" t="str">
        <f t="shared" si="179"/>
        <v/>
      </c>
      <c r="O632" s="38" t="str">
        <f t="shared" si="180"/>
        <v/>
      </c>
      <c r="P632" s="38" t="str">
        <f t="shared" si="181"/>
        <v/>
      </c>
      <c r="Q632" s="38" t="str">
        <f t="shared" si="182"/>
        <v/>
      </c>
      <c r="R632" s="38" t="str">
        <f t="shared" si="183"/>
        <v/>
      </c>
      <c r="S632" s="38" t="str">
        <f t="shared" si="184"/>
        <v/>
      </c>
      <c r="T632" s="38" t="str">
        <f t="shared" si="185"/>
        <v/>
      </c>
      <c r="AF632" t="str">
        <f t="shared" si="170"/>
        <v/>
      </c>
      <c r="AG632" s="38" t="str">
        <f t="shared" si="169"/>
        <v/>
      </c>
    </row>
    <row r="633" spans="1:33" x14ac:dyDescent="0.2">
      <c r="A633" t="str">
        <f t="shared" si="171"/>
        <v/>
      </c>
      <c r="B633" s="38" t="str">
        <f t="shared" si="172"/>
        <v/>
      </c>
      <c r="C633" s="38" t="str">
        <f t="shared" si="173"/>
        <v/>
      </c>
      <c r="D633" s="38" t="str">
        <f t="shared" si="174"/>
        <v/>
      </c>
      <c r="E633" s="38" t="str">
        <f t="shared" si="175"/>
        <v/>
      </c>
      <c r="F633" s="38" t="str">
        <f t="shared" si="176"/>
        <v/>
      </c>
      <c r="G633" s="38" t="str">
        <f t="shared" si="186"/>
        <v/>
      </c>
      <c r="H633" s="38" t="str">
        <f t="shared" si="187"/>
        <v/>
      </c>
      <c r="L633" t="str">
        <f t="shared" si="177"/>
        <v/>
      </c>
      <c r="M633" s="38" t="str">
        <f t="shared" si="178"/>
        <v/>
      </c>
      <c r="N633" s="38" t="str">
        <f t="shared" si="179"/>
        <v/>
      </c>
      <c r="O633" s="38" t="str">
        <f t="shared" si="180"/>
        <v/>
      </c>
      <c r="P633" s="38" t="str">
        <f t="shared" si="181"/>
        <v/>
      </c>
      <c r="Q633" s="38" t="str">
        <f t="shared" si="182"/>
        <v/>
      </c>
      <c r="R633" s="38" t="str">
        <f t="shared" si="183"/>
        <v/>
      </c>
      <c r="S633" s="38" t="str">
        <f t="shared" si="184"/>
        <v/>
      </c>
      <c r="T633" s="38" t="str">
        <f t="shared" si="185"/>
        <v/>
      </c>
      <c r="AF633" t="str">
        <f t="shared" si="170"/>
        <v/>
      </c>
      <c r="AG633" s="38" t="str">
        <f t="shared" si="169"/>
        <v/>
      </c>
    </row>
    <row r="634" spans="1:33" x14ac:dyDescent="0.2">
      <c r="A634" t="str">
        <f t="shared" si="171"/>
        <v/>
      </c>
      <c r="B634" s="38" t="str">
        <f t="shared" si="172"/>
        <v/>
      </c>
      <c r="C634" s="38" t="str">
        <f t="shared" si="173"/>
        <v/>
      </c>
      <c r="D634" s="38" t="str">
        <f t="shared" si="174"/>
        <v/>
      </c>
      <c r="E634" s="38" t="str">
        <f t="shared" si="175"/>
        <v/>
      </c>
      <c r="F634" s="38" t="str">
        <f t="shared" si="176"/>
        <v/>
      </c>
      <c r="G634" s="38" t="str">
        <f t="shared" si="186"/>
        <v/>
      </c>
      <c r="H634" s="38" t="str">
        <f t="shared" si="187"/>
        <v/>
      </c>
      <c r="L634" t="str">
        <f t="shared" si="177"/>
        <v/>
      </c>
      <c r="M634" s="38" t="str">
        <f t="shared" si="178"/>
        <v/>
      </c>
      <c r="N634" s="38" t="str">
        <f t="shared" si="179"/>
        <v/>
      </c>
      <c r="O634" s="38" t="str">
        <f t="shared" si="180"/>
        <v/>
      </c>
      <c r="P634" s="38" t="str">
        <f t="shared" si="181"/>
        <v/>
      </c>
      <c r="Q634" s="38" t="str">
        <f t="shared" si="182"/>
        <v/>
      </c>
      <c r="R634" s="38" t="str">
        <f t="shared" si="183"/>
        <v/>
      </c>
      <c r="S634" s="38" t="str">
        <f t="shared" si="184"/>
        <v/>
      </c>
      <c r="T634" s="38" t="str">
        <f t="shared" si="185"/>
        <v/>
      </c>
      <c r="AF634" t="str">
        <f t="shared" si="170"/>
        <v/>
      </c>
      <c r="AG634" s="38" t="str">
        <f t="shared" si="169"/>
        <v/>
      </c>
    </row>
    <row r="635" spans="1:33" x14ac:dyDescent="0.2">
      <c r="A635" t="str">
        <f t="shared" si="171"/>
        <v/>
      </c>
      <c r="B635" s="38" t="str">
        <f t="shared" si="172"/>
        <v/>
      </c>
      <c r="C635" s="38" t="str">
        <f t="shared" si="173"/>
        <v/>
      </c>
      <c r="D635" s="38" t="str">
        <f t="shared" si="174"/>
        <v/>
      </c>
      <c r="E635" s="38" t="str">
        <f t="shared" si="175"/>
        <v/>
      </c>
      <c r="F635" s="38" t="str">
        <f t="shared" si="176"/>
        <v/>
      </c>
      <c r="G635" s="38" t="str">
        <f t="shared" si="186"/>
        <v/>
      </c>
      <c r="H635" s="38" t="str">
        <f t="shared" si="187"/>
        <v/>
      </c>
      <c r="L635" t="str">
        <f t="shared" si="177"/>
        <v/>
      </c>
      <c r="M635" s="38" t="str">
        <f t="shared" si="178"/>
        <v/>
      </c>
      <c r="N635" s="38" t="str">
        <f t="shared" si="179"/>
        <v/>
      </c>
      <c r="O635" s="38" t="str">
        <f t="shared" si="180"/>
        <v/>
      </c>
      <c r="P635" s="38" t="str">
        <f t="shared" si="181"/>
        <v/>
      </c>
      <c r="Q635" s="38" t="str">
        <f t="shared" si="182"/>
        <v/>
      </c>
      <c r="R635" s="38" t="str">
        <f t="shared" si="183"/>
        <v/>
      </c>
      <c r="S635" s="38" t="str">
        <f t="shared" si="184"/>
        <v/>
      </c>
      <c r="T635" s="38" t="str">
        <f t="shared" si="185"/>
        <v/>
      </c>
      <c r="AF635" t="str">
        <f t="shared" si="170"/>
        <v/>
      </c>
      <c r="AG635" s="38" t="str">
        <f t="shared" si="169"/>
        <v/>
      </c>
    </row>
    <row r="636" spans="1:33" x14ac:dyDescent="0.2">
      <c r="A636" t="str">
        <f t="shared" si="171"/>
        <v/>
      </c>
      <c r="B636" s="38" t="str">
        <f t="shared" si="172"/>
        <v/>
      </c>
      <c r="C636" s="38" t="str">
        <f t="shared" si="173"/>
        <v/>
      </c>
      <c r="D636" s="38" t="str">
        <f t="shared" si="174"/>
        <v/>
      </c>
      <c r="E636" s="38" t="str">
        <f t="shared" si="175"/>
        <v/>
      </c>
      <c r="F636" s="38" t="str">
        <f t="shared" si="176"/>
        <v/>
      </c>
      <c r="G636" s="38" t="str">
        <f t="shared" si="186"/>
        <v/>
      </c>
      <c r="H636" s="38" t="str">
        <f t="shared" si="187"/>
        <v/>
      </c>
      <c r="L636" t="str">
        <f t="shared" si="177"/>
        <v/>
      </c>
      <c r="M636" s="38" t="str">
        <f t="shared" si="178"/>
        <v/>
      </c>
      <c r="N636" s="38" t="str">
        <f t="shared" si="179"/>
        <v/>
      </c>
      <c r="O636" s="38" t="str">
        <f t="shared" si="180"/>
        <v/>
      </c>
      <c r="P636" s="38" t="str">
        <f t="shared" si="181"/>
        <v/>
      </c>
      <c r="Q636" s="38" t="str">
        <f t="shared" si="182"/>
        <v/>
      </c>
      <c r="R636" s="38" t="str">
        <f t="shared" si="183"/>
        <v/>
      </c>
      <c r="S636" s="38" t="str">
        <f t="shared" si="184"/>
        <v/>
      </c>
      <c r="T636" s="38" t="str">
        <f t="shared" si="185"/>
        <v/>
      </c>
      <c r="AF636" t="str">
        <f t="shared" si="170"/>
        <v/>
      </c>
      <c r="AG636" s="38" t="str">
        <f t="shared" si="169"/>
        <v/>
      </c>
    </row>
    <row r="637" spans="1:33" x14ac:dyDescent="0.2">
      <c r="A637" t="str">
        <f t="shared" si="171"/>
        <v/>
      </c>
      <c r="B637" s="38" t="str">
        <f t="shared" si="172"/>
        <v/>
      </c>
      <c r="C637" s="38" t="str">
        <f t="shared" si="173"/>
        <v/>
      </c>
      <c r="D637" s="38" t="str">
        <f t="shared" si="174"/>
        <v/>
      </c>
      <c r="E637" s="38" t="str">
        <f t="shared" si="175"/>
        <v/>
      </c>
      <c r="F637" s="38" t="str">
        <f t="shared" si="176"/>
        <v/>
      </c>
      <c r="G637" s="38" t="str">
        <f t="shared" si="186"/>
        <v/>
      </c>
      <c r="H637" s="38" t="str">
        <f t="shared" si="187"/>
        <v/>
      </c>
      <c r="L637" t="str">
        <f t="shared" si="177"/>
        <v/>
      </c>
      <c r="M637" s="38" t="str">
        <f t="shared" si="178"/>
        <v/>
      </c>
      <c r="N637" s="38" t="str">
        <f t="shared" si="179"/>
        <v/>
      </c>
      <c r="O637" s="38" t="str">
        <f t="shared" si="180"/>
        <v/>
      </c>
      <c r="P637" s="38" t="str">
        <f t="shared" si="181"/>
        <v/>
      </c>
      <c r="Q637" s="38" t="str">
        <f t="shared" si="182"/>
        <v/>
      </c>
      <c r="R637" s="38" t="str">
        <f t="shared" si="183"/>
        <v/>
      </c>
      <c r="S637" s="38" t="str">
        <f t="shared" si="184"/>
        <v/>
      </c>
      <c r="T637" s="38" t="str">
        <f t="shared" si="185"/>
        <v/>
      </c>
      <c r="AF637" t="str">
        <f t="shared" si="170"/>
        <v/>
      </c>
      <c r="AG637" s="38" t="str">
        <f t="shared" si="169"/>
        <v/>
      </c>
    </row>
    <row r="638" spans="1:33" x14ac:dyDescent="0.2">
      <c r="A638" t="str">
        <f t="shared" si="171"/>
        <v/>
      </c>
      <c r="B638" s="38" t="str">
        <f t="shared" si="172"/>
        <v/>
      </c>
      <c r="C638" s="38" t="str">
        <f t="shared" si="173"/>
        <v/>
      </c>
      <c r="D638" s="38" t="str">
        <f t="shared" si="174"/>
        <v/>
      </c>
      <c r="E638" s="38" t="str">
        <f t="shared" si="175"/>
        <v/>
      </c>
      <c r="F638" s="38" t="str">
        <f t="shared" si="176"/>
        <v/>
      </c>
      <c r="G638" s="38" t="str">
        <f t="shared" si="186"/>
        <v/>
      </c>
      <c r="H638" s="38" t="str">
        <f t="shared" si="187"/>
        <v/>
      </c>
      <c r="L638" t="str">
        <f t="shared" si="177"/>
        <v/>
      </c>
      <c r="M638" s="38" t="str">
        <f t="shared" si="178"/>
        <v/>
      </c>
      <c r="N638" s="38" t="str">
        <f t="shared" si="179"/>
        <v/>
      </c>
      <c r="O638" s="38" t="str">
        <f t="shared" si="180"/>
        <v/>
      </c>
      <c r="P638" s="38" t="str">
        <f t="shared" si="181"/>
        <v/>
      </c>
      <c r="Q638" s="38" t="str">
        <f t="shared" si="182"/>
        <v/>
      </c>
      <c r="R638" s="38" t="str">
        <f t="shared" si="183"/>
        <v/>
      </c>
      <c r="S638" s="38" t="str">
        <f t="shared" si="184"/>
        <v/>
      </c>
      <c r="T638" s="38" t="str">
        <f t="shared" si="185"/>
        <v/>
      </c>
      <c r="AF638" t="str">
        <f t="shared" si="170"/>
        <v/>
      </c>
      <c r="AG638" s="38" t="str">
        <f t="shared" si="169"/>
        <v/>
      </c>
    </row>
    <row r="639" spans="1:33" x14ac:dyDescent="0.2">
      <c r="A639" t="str">
        <f t="shared" si="171"/>
        <v/>
      </c>
      <c r="B639" s="38" t="str">
        <f t="shared" si="172"/>
        <v/>
      </c>
      <c r="C639" s="38" t="str">
        <f t="shared" si="173"/>
        <v/>
      </c>
      <c r="D639" s="38" t="str">
        <f t="shared" si="174"/>
        <v/>
      </c>
      <c r="E639" s="38" t="str">
        <f t="shared" si="175"/>
        <v/>
      </c>
      <c r="F639" s="38" t="str">
        <f t="shared" si="176"/>
        <v/>
      </c>
      <c r="G639" s="38" t="str">
        <f t="shared" si="186"/>
        <v/>
      </c>
      <c r="H639" s="38" t="str">
        <f t="shared" si="187"/>
        <v/>
      </c>
      <c r="L639" t="str">
        <f t="shared" si="177"/>
        <v/>
      </c>
      <c r="M639" s="38" t="str">
        <f t="shared" si="178"/>
        <v/>
      </c>
      <c r="N639" s="38" t="str">
        <f t="shared" si="179"/>
        <v/>
      </c>
      <c r="O639" s="38" t="str">
        <f t="shared" si="180"/>
        <v/>
      </c>
      <c r="P639" s="38" t="str">
        <f t="shared" si="181"/>
        <v/>
      </c>
      <c r="Q639" s="38" t="str">
        <f t="shared" si="182"/>
        <v/>
      </c>
      <c r="R639" s="38" t="str">
        <f t="shared" si="183"/>
        <v/>
      </c>
      <c r="S639" s="38" t="str">
        <f t="shared" si="184"/>
        <v/>
      </c>
      <c r="T639" s="38" t="str">
        <f t="shared" si="185"/>
        <v/>
      </c>
      <c r="AF639" t="str">
        <f t="shared" si="170"/>
        <v/>
      </c>
      <c r="AG639" s="38" t="str">
        <f t="shared" si="169"/>
        <v/>
      </c>
    </row>
    <row r="640" spans="1:33" x14ac:dyDescent="0.2">
      <c r="A640" t="str">
        <f t="shared" si="171"/>
        <v/>
      </c>
      <c r="B640" s="38" t="str">
        <f t="shared" si="172"/>
        <v/>
      </c>
      <c r="C640" s="38" t="str">
        <f t="shared" si="173"/>
        <v/>
      </c>
      <c r="D640" s="38" t="str">
        <f t="shared" si="174"/>
        <v/>
      </c>
      <c r="E640" s="38" t="str">
        <f t="shared" si="175"/>
        <v/>
      </c>
      <c r="F640" s="38" t="str">
        <f t="shared" si="176"/>
        <v/>
      </c>
      <c r="G640" s="38" t="str">
        <f t="shared" si="186"/>
        <v/>
      </c>
      <c r="H640" s="38" t="str">
        <f t="shared" si="187"/>
        <v/>
      </c>
      <c r="L640" t="str">
        <f t="shared" si="177"/>
        <v/>
      </c>
      <c r="M640" s="38" t="str">
        <f t="shared" si="178"/>
        <v/>
      </c>
      <c r="N640" s="38" t="str">
        <f t="shared" si="179"/>
        <v/>
      </c>
      <c r="O640" s="38" t="str">
        <f t="shared" si="180"/>
        <v/>
      </c>
      <c r="P640" s="38" t="str">
        <f t="shared" si="181"/>
        <v/>
      </c>
      <c r="Q640" s="38" t="str">
        <f t="shared" si="182"/>
        <v/>
      </c>
      <c r="R640" s="38" t="str">
        <f t="shared" si="183"/>
        <v/>
      </c>
      <c r="S640" s="38" t="str">
        <f t="shared" si="184"/>
        <v/>
      </c>
      <c r="T640" s="38" t="str">
        <f t="shared" si="185"/>
        <v/>
      </c>
      <c r="AF640" t="str">
        <f t="shared" si="170"/>
        <v/>
      </c>
      <c r="AG640" s="38" t="str">
        <f t="shared" si="169"/>
        <v/>
      </c>
    </row>
    <row r="641" spans="1:33" x14ac:dyDescent="0.2">
      <c r="A641" t="str">
        <f t="shared" si="171"/>
        <v/>
      </c>
      <c r="B641" s="38" t="str">
        <f t="shared" si="172"/>
        <v/>
      </c>
      <c r="C641" s="38" t="str">
        <f t="shared" si="173"/>
        <v/>
      </c>
      <c r="D641" s="38" t="str">
        <f t="shared" si="174"/>
        <v/>
      </c>
      <c r="E641" s="38" t="str">
        <f t="shared" si="175"/>
        <v/>
      </c>
      <c r="F641" s="38" t="str">
        <f t="shared" si="176"/>
        <v/>
      </c>
      <c r="G641" s="38" t="str">
        <f t="shared" si="186"/>
        <v/>
      </c>
      <c r="H641" s="38" t="str">
        <f t="shared" si="187"/>
        <v/>
      </c>
      <c r="L641" t="str">
        <f t="shared" si="177"/>
        <v/>
      </c>
      <c r="M641" s="38" t="str">
        <f t="shared" si="178"/>
        <v/>
      </c>
      <c r="N641" s="38" t="str">
        <f t="shared" si="179"/>
        <v/>
      </c>
      <c r="O641" s="38" t="str">
        <f t="shared" si="180"/>
        <v/>
      </c>
      <c r="P641" s="38" t="str">
        <f t="shared" si="181"/>
        <v/>
      </c>
      <c r="Q641" s="38" t="str">
        <f t="shared" si="182"/>
        <v/>
      </c>
      <c r="R641" s="38" t="str">
        <f t="shared" si="183"/>
        <v/>
      </c>
      <c r="S641" s="38" t="str">
        <f t="shared" si="184"/>
        <v/>
      </c>
      <c r="T641" s="38" t="str">
        <f t="shared" si="185"/>
        <v/>
      </c>
      <c r="AF641" t="str">
        <f t="shared" si="170"/>
        <v/>
      </c>
      <c r="AG641" s="38" t="str">
        <f t="shared" si="169"/>
        <v/>
      </c>
    </row>
    <row r="642" spans="1:33" x14ac:dyDescent="0.2">
      <c r="A642" t="str">
        <f t="shared" si="171"/>
        <v/>
      </c>
      <c r="B642" s="38" t="str">
        <f t="shared" si="172"/>
        <v/>
      </c>
      <c r="C642" s="38" t="str">
        <f t="shared" si="173"/>
        <v/>
      </c>
      <c r="D642" s="38" t="str">
        <f t="shared" si="174"/>
        <v/>
      </c>
      <c r="E642" s="38" t="str">
        <f t="shared" si="175"/>
        <v/>
      </c>
      <c r="F642" s="38" t="str">
        <f t="shared" si="176"/>
        <v/>
      </c>
      <c r="G642" s="38" t="str">
        <f t="shared" si="186"/>
        <v/>
      </c>
      <c r="H642" s="38" t="str">
        <f t="shared" si="187"/>
        <v/>
      </c>
      <c r="L642" t="str">
        <f t="shared" si="177"/>
        <v/>
      </c>
      <c r="M642" s="38" t="str">
        <f t="shared" si="178"/>
        <v/>
      </c>
      <c r="N642" s="38" t="str">
        <f t="shared" si="179"/>
        <v/>
      </c>
      <c r="O642" s="38" t="str">
        <f t="shared" si="180"/>
        <v/>
      </c>
      <c r="P642" s="38" t="str">
        <f t="shared" si="181"/>
        <v/>
      </c>
      <c r="Q642" s="38" t="str">
        <f t="shared" si="182"/>
        <v/>
      </c>
      <c r="R642" s="38" t="str">
        <f t="shared" si="183"/>
        <v/>
      </c>
      <c r="S642" s="38" t="str">
        <f t="shared" si="184"/>
        <v/>
      </c>
      <c r="T642" s="38" t="str">
        <f t="shared" si="185"/>
        <v/>
      </c>
      <c r="AF642" t="str">
        <f t="shared" si="170"/>
        <v/>
      </c>
      <c r="AG642" s="38" t="str">
        <f t="shared" si="169"/>
        <v/>
      </c>
    </row>
    <row r="643" spans="1:33" x14ac:dyDescent="0.2">
      <c r="A643" t="str">
        <f t="shared" si="171"/>
        <v/>
      </c>
      <c r="B643" s="38" t="str">
        <f t="shared" si="172"/>
        <v/>
      </c>
      <c r="C643" s="38" t="str">
        <f t="shared" si="173"/>
        <v/>
      </c>
      <c r="D643" s="38" t="str">
        <f t="shared" si="174"/>
        <v/>
      </c>
      <c r="E643" s="38" t="str">
        <f t="shared" si="175"/>
        <v/>
      </c>
      <c r="F643" s="38" t="str">
        <f t="shared" si="176"/>
        <v/>
      </c>
      <c r="G643" s="38" t="str">
        <f t="shared" si="186"/>
        <v/>
      </c>
      <c r="H643" s="38" t="str">
        <f t="shared" si="187"/>
        <v/>
      </c>
      <c r="L643" t="str">
        <f t="shared" si="177"/>
        <v/>
      </c>
      <c r="M643" s="38" t="str">
        <f t="shared" si="178"/>
        <v/>
      </c>
      <c r="N643" s="38" t="str">
        <f t="shared" si="179"/>
        <v/>
      </c>
      <c r="O643" s="38" t="str">
        <f t="shared" si="180"/>
        <v/>
      </c>
      <c r="P643" s="38" t="str">
        <f t="shared" si="181"/>
        <v/>
      </c>
      <c r="Q643" s="38" t="str">
        <f t="shared" si="182"/>
        <v/>
      </c>
      <c r="R643" s="38" t="str">
        <f t="shared" si="183"/>
        <v/>
      </c>
      <c r="S643" s="38" t="str">
        <f t="shared" si="184"/>
        <v/>
      </c>
      <c r="T643" s="38" t="str">
        <f t="shared" si="185"/>
        <v/>
      </c>
      <c r="AF643" t="str">
        <f t="shared" si="170"/>
        <v/>
      </c>
      <c r="AG643" s="38" t="str">
        <f t="shared" si="169"/>
        <v/>
      </c>
    </row>
    <row r="644" spans="1:33" x14ac:dyDescent="0.2">
      <c r="A644" t="str">
        <f t="shared" si="171"/>
        <v/>
      </c>
      <c r="B644" s="38" t="str">
        <f t="shared" si="172"/>
        <v/>
      </c>
      <c r="C644" s="38" t="str">
        <f t="shared" si="173"/>
        <v/>
      </c>
      <c r="D644" s="38" t="str">
        <f t="shared" si="174"/>
        <v/>
      </c>
      <c r="E644" s="38" t="str">
        <f t="shared" si="175"/>
        <v/>
      </c>
      <c r="F644" s="38" t="str">
        <f t="shared" si="176"/>
        <v/>
      </c>
      <c r="G644" s="38" t="str">
        <f t="shared" si="186"/>
        <v/>
      </c>
      <c r="H644" s="38" t="str">
        <f t="shared" si="187"/>
        <v/>
      </c>
      <c r="L644" t="str">
        <f t="shared" si="177"/>
        <v/>
      </c>
      <c r="M644" s="38" t="str">
        <f t="shared" si="178"/>
        <v/>
      </c>
      <c r="N644" s="38" t="str">
        <f t="shared" si="179"/>
        <v/>
      </c>
      <c r="O644" s="38" t="str">
        <f t="shared" si="180"/>
        <v/>
      </c>
      <c r="P644" s="38" t="str">
        <f t="shared" si="181"/>
        <v/>
      </c>
      <c r="Q644" s="38" t="str">
        <f t="shared" si="182"/>
        <v/>
      </c>
      <c r="R644" s="38" t="str">
        <f t="shared" si="183"/>
        <v/>
      </c>
      <c r="S644" s="38" t="str">
        <f t="shared" si="184"/>
        <v/>
      </c>
      <c r="T644" s="38" t="str">
        <f t="shared" si="185"/>
        <v/>
      </c>
      <c r="AF644" t="str">
        <f t="shared" si="170"/>
        <v/>
      </c>
      <c r="AG644" s="38" t="str">
        <f t="shared" si="169"/>
        <v/>
      </c>
    </row>
    <row r="645" spans="1:33" x14ac:dyDescent="0.2">
      <c r="A645" t="str">
        <f t="shared" si="171"/>
        <v/>
      </c>
      <c r="B645" s="38" t="str">
        <f t="shared" si="172"/>
        <v/>
      </c>
      <c r="C645" s="38" t="str">
        <f t="shared" si="173"/>
        <v/>
      </c>
      <c r="D645" s="38" t="str">
        <f t="shared" si="174"/>
        <v/>
      </c>
      <c r="E645" s="38" t="str">
        <f t="shared" si="175"/>
        <v/>
      </c>
      <c r="F645" s="38" t="str">
        <f t="shared" si="176"/>
        <v/>
      </c>
      <c r="G645" s="38" t="str">
        <f t="shared" si="186"/>
        <v/>
      </c>
      <c r="H645" s="38" t="str">
        <f t="shared" si="187"/>
        <v/>
      </c>
      <c r="L645" t="str">
        <f t="shared" si="177"/>
        <v/>
      </c>
      <c r="M645" s="38" t="str">
        <f t="shared" si="178"/>
        <v/>
      </c>
      <c r="N645" s="38" t="str">
        <f t="shared" si="179"/>
        <v/>
      </c>
      <c r="O645" s="38" t="str">
        <f t="shared" si="180"/>
        <v/>
      </c>
      <c r="P645" s="38" t="str">
        <f t="shared" si="181"/>
        <v/>
      </c>
      <c r="Q645" s="38" t="str">
        <f t="shared" si="182"/>
        <v/>
      </c>
      <c r="R645" s="38" t="str">
        <f t="shared" si="183"/>
        <v/>
      </c>
      <c r="S645" s="38" t="str">
        <f t="shared" si="184"/>
        <v/>
      </c>
      <c r="T645" s="38" t="str">
        <f t="shared" si="185"/>
        <v/>
      </c>
      <c r="AF645" t="str">
        <f t="shared" si="170"/>
        <v/>
      </c>
      <c r="AG645" s="38" t="str">
        <f t="shared" si="169"/>
        <v/>
      </c>
    </row>
    <row r="646" spans="1:33" x14ac:dyDescent="0.2">
      <c r="A646" t="str">
        <f t="shared" si="171"/>
        <v/>
      </c>
      <c r="B646" s="38" t="str">
        <f t="shared" si="172"/>
        <v/>
      </c>
      <c r="C646" s="38" t="str">
        <f t="shared" si="173"/>
        <v/>
      </c>
      <c r="D646" s="38" t="str">
        <f t="shared" si="174"/>
        <v/>
      </c>
      <c r="E646" s="38" t="str">
        <f t="shared" si="175"/>
        <v/>
      </c>
      <c r="F646" s="38" t="str">
        <f t="shared" si="176"/>
        <v/>
      </c>
      <c r="G646" s="38" t="str">
        <f t="shared" si="186"/>
        <v/>
      </c>
      <c r="H646" s="38" t="str">
        <f t="shared" si="187"/>
        <v/>
      </c>
      <c r="L646" t="str">
        <f t="shared" si="177"/>
        <v/>
      </c>
      <c r="M646" s="38" t="str">
        <f t="shared" si="178"/>
        <v/>
      </c>
      <c r="N646" s="38" t="str">
        <f t="shared" si="179"/>
        <v/>
      </c>
      <c r="O646" s="38" t="str">
        <f t="shared" si="180"/>
        <v/>
      </c>
      <c r="P646" s="38" t="str">
        <f t="shared" si="181"/>
        <v/>
      </c>
      <c r="Q646" s="38" t="str">
        <f t="shared" si="182"/>
        <v/>
      </c>
      <c r="R646" s="38" t="str">
        <f t="shared" si="183"/>
        <v/>
      </c>
      <c r="S646" s="38" t="str">
        <f t="shared" si="184"/>
        <v/>
      </c>
      <c r="T646" s="38" t="str">
        <f t="shared" si="185"/>
        <v/>
      </c>
      <c r="AF646" t="str">
        <f t="shared" si="170"/>
        <v/>
      </c>
      <c r="AG646" s="38" t="str">
        <f t="shared" si="169"/>
        <v/>
      </c>
    </row>
    <row r="647" spans="1:33" x14ac:dyDescent="0.2">
      <c r="A647" t="str">
        <f t="shared" si="171"/>
        <v/>
      </c>
      <c r="B647" s="38" t="str">
        <f t="shared" si="172"/>
        <v/>
      </c>
      <c r="C647" s="38" t="str">
        <f t="shared" si="173"/>
        <v/>
      </c>
      <c r="D647" s="38" t="str">
        <f t="shared" si="174"/>
        <v/>
      </c>
      <c r="E647" s="38" t="str">
        <f t="shared" si="175"/>
        <v/>
      </c>
      <c r="F647" s="38" t="str">
        <f t="shared" si="176"/>
        <v/>
      </c>
      <c r="G647" s="38" t="str">
        <f t="shared" si="186"/>
        <v/>
      </c>
      <c r="H647" s="38" t="str">
        <f t="shared" si="187"/>
        <v/>
      </c>
      <c r="L647" t="str">
        <f t="shared" si="177"/>
        <v/>
      </c>
      <c r="M647" s="38" t="str">
        <f t="shared" si="178"/>
        <v/>
      </c>
      <c r="N647" s="38" t="str">
        <f t="shared" si="179"/>
        <v/>
      </c>
      <c r="O647" s="38" t="str">
        <f t="shared" si="180"/>
        <v/>
      </c>
      <c r="P647" s="38" t="str">
        <f t="shared" si="181"/>
        <v/>
      </c>
      <c r="Q647" s="38" t="str">
        <f t="shared" si="182"/>
        <v/>
      </c>
      <c r="R647" s="38" t="str">
        <f t="shared" si="183"/>
        <v/>
      </c>
      <c r="S647" s="38" t="str">
        <f t="shared" si="184"/>
        <v/>
      </c>
      <c r="T647" s="38" t="str">
        <f t="shared" si="185"/>
        <v/>
      </c>
      <c r="AF647" t="str">
        <f t="shared" si="170"/>
        <v/>
      </c>
      <c r="AG647" s="38" t="str">
        <f t="shared" si="169"/>
        <v/>
      </c>
    </row>
    <row r="648" spans="1:33" x14ac:dyDescent="0.2">
      <c r="A648" t="str">
        <f t="shared" si="171"/>
        <v/>
      </c>
      <c r="B648" s="38" t="str">
        <f t="shared" si="172"/>
        <v/>
      </c>
      <c r="C648" s="38" t="str">
        <f t="shared" si="173"/>
        <v/>
      </c>
      <c r="D648" s="38" t="str">
        <f t="shared" si="174"/>
        <v/>
      </c>
      <c r="E648" s="38" t="str">
        <f t="shared" si="175"/>
        <v/>
      </c>
      <c r="F648" s="38" t="str">
        <f t="shared" si="176"/>
        <v/>
      </c>
      <c r="G648" s="38" t="str">
        <f t="shared" si="186"/>
        <v/>
      </c>
      <c r="H648" s="38" t="str">
        <f t="shared" si="187"/>
        <v/>
      </c>
      <c r="L648" t="str">
        <f t="shared" si="177"/>
        <v/>
      </c>
      <c r="M648" s="38" t="str">
        <f t="shared" si="178"/>
        <v/>
      </c>
      <c r="N648" s="38" t="str">
        <f t="shared" si="179"/>
        <v/>
      </c>
      <c r="O648" s="38" t="str">
        <f t="shared" si="180"/>
        <v/>
      </c>
      <c r="P648" s="38" t="str">
        <f t="shared" si="181"/>
        <v/>
      </c>
      <c r="Q648" s="38" t="str">
        <f t="shared" si="182"/>
        <v/>
      </c>
      <c r="R648" s="38" t="str">
        <f t="shared" si="183"/>
        <v/>
      </c>
      <c r="S648" s="38" t="str">
        <f t="shared" si="184"/>
        <v/>
      </c>
      <c r="T648" s="38" t="str">
        <f t="shared" si="185"/>
        <v/>
      </c>
      <c r="AF648" t="str">
        <f t="shared" si="170"/>
        <v/>
      </c>
      <c r="AG648" s="38" t="str">
        <f t="shared" si="169"/>
        <v/>
      </c>
    </row>
    <row r="649" spans="1:33" x14ac:dyDescent="0.2">
      <c r="A649" t="str">
        <f t="shared" si="171"/>
        <v/>
      </c>
      <c r="B649" s="38" t="str">
        <f t="shared" si="172"/>
        <v/>
      </c>
      <c r="C649" s="38" t="str">
        <f t="shared" si="173"/>
        <v/>
      </c>
      <c r="D649" s="38" t="str">
        <f t="shared" si="174"/>
        <v/>
      </c>
      <c r="E649" s="38" t="str">
        <f t="shared" si="175"/>
        <v/>
      </c>
      <c r="F649" s="38" t="str">
        <f t="shared" si="176"/>
        <v/>
      </c>
      <c r="G649" s="38" t="str">
        <f t="shared" si="186"/>
        <v/>
      </c>
      <c r="H649" s="38" t="str">
        <f t="shared" si="187"/>
        <v/>
      </c>
      <c r="L649" t="str">
        <f t="shared" si="177"/>
        <v/>
      </c>
      <c r="M649" s="38" t="str">
        <f t="shared" si="178"/>
        <v/>
      </c>
      <c r="N649" s="38" t="str">
        <f t="shared" si="179"/>
        <v/>
      </c>
      <c r="O649" s="38" t="str">
        <f t="shared" si="180"/>
        <v/>
      </c>
      <c r="P649" s="38" t="str">
        <f t="shared" si="181"/>
        <v/>
      </c>
      <c r="Q649" s="38" t="str">
        <f t="shared" si="182"/>
        <v/>
      </c>
      <c r="R649" s="38" t="str">
        <f t="shared" si="183"/>
        <v/>
      </c>
      <c r="S649" s="38" t="str">
        <f t="shared" si="184"/>
        <v/>
      </c>
      <c r="T649" s="38" t="str">
        <f t="shared" si="185"/>
        <v/>
      </c>
      <c r="AF649" t="str">
        <f t="shared" si="170"/>
        <v/>
      </c>
      <c r="AG649" s="38" t="str">
        <f t="shared" si="169"/>
        <v/>
      </c>
    </row>
    <row r="650" spans="1:33" x14ac:dyDescent="0.2">
      <c r="A650" t="str">
        <f t="shared" si="171"/>
        <v/>
      </c>
      <c r="B650" s="38" t="str">
        <f t="shared" si="172"/>
        <v/>
      </c>
      <c r="C650" s="38" t="str">
        <f t="shared" si="173"/>
        <v/>
      </c>
      <c r="D650" s="38" t="str">
        <f t="shared" si="174"/>
        <v/>
      </c>
      <c r="E650" s="38" t="str">
        <f t="shared" si="175"/>
        <v/>
      </c>
      <c r="F650" s="38" t="str">
        <f t="shared" si="176"/>
        <v/>
      </c>
      <c r="G650" s="38" t="str">
        <f t="shared" si="186"/>
        <v/>
      </c>
      <c r="H650" s="38" t="str">
        <f t="shared" si="187"/>
        <v/>
      </c>
      <c r="L650" t="str">
        <f t="shared" si="177"/>
        <v/>
      </c>
      <c r="M650" s="38" t="str">
        <f t="shared" si="178"/>
        <v/>
      </c>
      <c r="N650" s="38" t="str">
        <f t="shared" si="179"/>
        <v/>
      </c>
      <c r="O650" s="38" t="str">
        <f t="shared" si="180"/>
        <v/>
      </c>
      <c r="P650" s="38" t="str">
        <f t="shared" si="181"/>
        <v/>
      </c>
      <c r="Q650" s="38" t="str">
        <f t="shared" si="182"/>
        <v/>
      </c>
      <c r="R650" s="38" t="str">
        <f t="shared" si="183"/>
        <v/>
      </c>
      <c r="S650" s="38" t="str">
        <f t="shared" si="184"/>
        <v/>
      </c>
      <c r="T650" s="38" t="str">
        <f t="shared" si="185"/>
        <v/>
      </c>
      <c r="AF650" t="str">
        <f t="shared" si="170"/>
        <v/>
      </c>
      <c r="AG650" s="38" t="str">
        <f t="shared" si="169"/>
        <v/>
      </c>
    </row>
    <row r="651" spans="1:33" x14ac:dyDescent="0.2">
      <c r="A651" t="str">
        <f t="shared" si="171"/>
        <v/>
      </c>
      <c r="B651" s="38" t="str">
        <f t="shared" si="172"/>
        <v/>
      </c>
      <c r="C651" s="38" t="str">
        <f t="shared" si="173"/>
        <v/>
      </c>
      <c r="D651" s="38" t="str">
        <f t="shared" si="174"/>
        <v/>
      </c>
      <c r="E651" s="38" t="str">
        <f t="shared" si="175"/>
        <v/>
      </c>
      <c r="F651" s="38" t="str">
        <f t="shared" si="176"/>
        <v/>
      </c>
      <c r="G651" s="38" t="str">
        <f t="shared" si="186"/>
        <v/>
      </c>
      <c r="H651" s="38" t="str">
        <f t="shared" si="187"/>
        <v/>
      </c>
      <c r="L651" t="str">
        <f t="shared" si="177"/>
        <v/>
      </c>
      <c r="M651" s="38" t="str">
        <f t="shared" si="178"/>
        <v/>
      </c>
      <c r="N651" s="38" t="str">
        <f t="shared" si="179"/>
        <v/>
      </c>
      <c r="O651" s="38" t="str">
        <f t="shared" si="180"/>
        <v/>
      </c>
      <c r="P651" s="38" t="str">
        <f t="shared" si="181"/>
        <v/>
      </c>
      <c r="Q651" s="38" t="str">
        <f t="shared" si="182"/>
        <v/>
      </c>
      <c r="R651" s="38" t="str">
        <f t="shared" si="183"/>
        <v/>
      </c>
      <c r="S651" s="38" t="str">
        <f t="shared" si="184"/>
        <v/>
      </c>
      <c r="T651" s="38" t="str">
        <f t="shared" si="185"/>
        <v/>
      </c>
      <c r="AF651" t="str">
        <f t="shared" si="170"/>
        <v/>
      </c>
      <c r="AG651" s="38" t="str">
        <f t="shared" si="169"/>
        <v/>
      </c>
    </row>
    <row r="652" spans="1:33" x14ac:dyDescent="0.2">
      <c r="A652" t="str">
        <f t="shared" si="171"/>
        <v/>
      </c>
      <c r="B652" s="38" t="str">
        <f t="shared" si="172"/>
        <v/>
      </c>
      <c r="C652" s="38" t="str">
        <f t="shared" si="173"/>
        <v/>
      </c>
      <c r="D652" s="38" t="str">
        <f t="shared" si="174"/>
        <v/>
      </c>
      <c r="E652" s="38" t="str">
        <f t="shared" si="175"/>
        <v/>
      </c>
      <c r="F652" s="38" t="str">
        <f t="shared" si="176"/>
        <v/>
      </c>
      <c r="G652" s="38" t="str">
        <f t="shared" si="186"/>
        <v/>
      </c>
      <c r="H652" s="38" t="str">
        <f t="shared" si="187"/>
        <v/>
      </c>
      <c r="L652" t="str">
        <f t="shared" si="177"/>
        <v/>
      </c>
      <c r="M652" s="38" t="str">
        <f t="shared" si="178"/>
        <v/>
      </c>
      <c r="N652" s="38" t="str">
        <f t="shared" si="179"/>
        <v/>
      </c>
      <c r="O652" s="38" t="str">
        <f t="shared" si="180"/>
        <v/>
      </c>
      <c r="P652" s="38" t="str">
        <f t="shared" si="181"/>
        <v/>
      </c>
      <c r="Q652" s="38" t="str">
        <f t="shared" si="182"/>
        <v/>
      </c>
      <c r="R652" s="38" t="str">
        <f t="shared" si="183"/>
        <v/>
      </c>
      <c r="S652" s="38" t="str">
        <f t="shared" si="184"/>
        <v/>
      </c>
      <c r="T652" s="38" t="str">
        <f t="shared" si="185"/>
        <v/>
      </c>
      <c r="AF652" t="str">
        <f t="shared" si="170"/>
        <v/>
      </c>
      <c r="AG652" s="38" t="str">
        <f t="shared" si="169"/>
        <v/>
      </c>
    </row>
    <row r="653" spans="1:33" x14ac:dyDescent="0.2">
      <c r="A653" t="str">
        <f t="shared" si="171"/>
        <v/>
      </c>
      <c r="B653" s="38" t="str">
        <f t="shared" si="172"/>
        <v/>
      </c>
      <c r="C653" s="38" t="str">
        <f t="shared" si="173"/>
        <v/>
      </c>
      <c r="D653" s="38" t="str">
        <f t="shared" si="174"/>
        <v/>
      </c>
      <c r="E653" s="38" t="str">
        <f t="shared" si="175"/>
        <v/>
      </c>
      <c r="F653" s="38" t="str">
        <f t="shared" si="176"/>
        <v/>
      </c>
      <c r="G653" s="38" t="str">
        <f t="shared" si="186"/>
        <v/>
      </c>
      <c r="H653" s="38" t="str">
        <f t="shared" si="187"/>
        <v/>
      </c>
      <c r="L653" t="str">
        <f t="shared" si="177"/>
        <v/>
      </c>
      <c r="M653" s="38" t="str">
        <f t="shared" si="178"/>
        <v/>
      </c>
      <c r="N653" s="38" t="str">
        <f t="shared" si="179"/>
        <v/>
      </c>
      <c r="O653" s="38" t="str">
        <f t="shared" si="180"/>
        <v/>
      </c>
      <c r="P653" s="38" t="str">
        <f t="shared" si="181"/>
        <v/>
      </c>
      <c r="Q653" s="38" t="str">
        <f t="shared" si="182"/>
        <v/>
      </c>
      <c r="R653" s="38" t="str">
        <f t="shared" si="183"/>
        <v/>
      </c>
      <c r="S653" s="38" t="str">
        <f t="shared" si="184"/>
        <v/>
      </c>
      <c r="T653" s="38" t="str">
        <f t="shared" si="185"/>
        <v/>
      </c>
      <c r="AF653" t="str">
        <f t="shared" si="170"/>
        <v/>
      </c>
      <c r="AG653" s="38" t="str">
        <f t="shared" si="169"/>
        <v/>
      </c>
    </row>
    <row r="654" spans="1:33" x14ac:dyDescent="0.2">
      <c r="A654" t="str">
        <f t="shared" si="171"/>
        <v/>
      </c>
      <c r="B654" s="38" t="str">
        <f t="shared" si="172"/>
        <v/>
      </c>
      <c r="C654" s="38" t="str">
        <f t="shared" si="173"/>
        <v/>
      </c>
      <c r="D654" s="38" t="str">
        <f t="shared" si="174"/>
        <v/>
      </c>
      <c r="E654" s="38" t="str">
        <f t="shared" si="175"/>
        <v/>
      </c>
      <c r="F654" s="38" t="str">
        <f t="shared" si="176"/>
        <v/>
      </c>
      <c r="G654" s="38" t="str">
        <f t="shared" si="186"/>
        <v/>
      </c>
      <c r="H654" s="38" t="str">
        <f t="shared" si="187"/>
        <v/>
      </c>
      <c r="L654" t="str">
        <f t="shared" si="177"/>
        <v/>
      </c>
      <c r="M654" s="38" t="str">
        <f t="shared" si="178"/>
        <v/>
      </c>
      <c r="N654" s="38" t="str">
        <f t="shared" si="179"/>
        <v/>
      </c>
      <c r="O654" s="38" t="str">
        <f t="shared" si="180"/>
        <v/>
      </c>
      <c r="P654" s="38" t="str">
        <f t="shared" si="181"/>
        <v/>
      </c>
      <c r="Q654" s="38" t="str">
        <f t="shared" si="182"/>
        <v/>
      </c>
      <c r="R654" s="38" t="str">
        <f t="shared" si="183"/>
        <v/>
      </c>
      <c r="S654" s="38" t="str">
        <f t="shared" si="184"/>
        <v/>
      </c>
      <c r="T654" s="38" t="str">
        <f t="shared" si="185"/>
        <v/>
      </c>
      <c r="AF654" t="str">
        <f t="shared" si="170"/>
        <v/>
      </c>
      <c r="AG654" s="38" t="str">
        <f t="shared" si="169"/>
        <v/>
      </c>
    </row>
    <row r="655" spans="1:33" x14ac:dyDescent="0.2">
      <c r="A655" t="str">
        <f t="shared" si="171"/>
        <v/>
      </c>
      <c r="B655" s="38" t="str">
        <f t="shared" si="172"/>
        <v/>
      </c>
      <c r="C655" s="38" t="str">
        <f t="shared" si="173"/>
        <v/>
      </c>
      <c r="D655" s="38" t="str">
        <f t="shared" si="174"/>
        <v/>
      </c>
      <c r="E655" s="38" t="str">
        <f t="shared" si="175"/>
        <v/>
      </c>
      <c r="F655" s="38" t="str">
        <f t="shared" si="176"/>
        <v/>
      </c>
      <c r="G655" s="38" t="str">
        <f t="shared" si="186"/>
        <v/>
      </c>
      <c r="H655" s="38" t="str">
        <f t="shared" si="187"/>
        <v/>
      </c>
      <c r="L655" t="str">
        <f t="shared" si="177"/>
        <v/>
      </c>
      <c r="M655" s="38" t="str">
        <f t="shared" si="178"/>
        <v/>
      </c>
      <c r="N655" s="38" t="str">
        <f t="shared" si="179"/>
        <v/>
      </c>
      <c r="O655" s="38" t="str">
        <f t="shared" si="180"/>
        <v/>
      </c>
      <c r="P655" s="38" t="str">
        <f t="shared" si="181"/>
        <v/>
      </c>
      <c r="Q655" s="38" t="str">
        <f t="shared" si="182"/>
        <v/>
      </c>
      <c r="R655" s="38" t="str">
        <f t="shared" si="183"/>
        <v/>
      </c>
      <c r="S655" s="38" t="str">
        <f t="shared" si="184"/>
        <v/>
      </c>
      <c r="T655" s="38" t="str">
        <f t="shared" si="185"/>
        <v/>
      </c>
      <c r="AF655" t="str">
        <f t="shared" si="170"/>
        <v/>
      </c>
      <c r="AG655" s="38" t="str">
        <f t="shared" si="169"/>
        <v/>
      </c>
    </row>
    <row r="656" spans="1:33" x14ac:dyDescent="0.2">
      <c r="A656" t="str">
        <f t="shared" si="171"/>
        <v/>
      </c>
      <c r="B656" s="38" t="str">
        <f t="shared" si="172"/>
        <v/>
      </c>
      <c r="C656" s="38" t="str">
        <f t="shared" si="173"/>
        <v/>
      </c>
      <c r="D656" s="38" t="str">
        <f t="shared" si="174"/>
        <v/>
      </c>
      <c r="E656" s="38" t="str">
        <f t="shared" si="175"/>
        <v/>
      </c>
      <c r="F656" s="38" t="str">
        <f t="shared" si="176"/>
        <v/>
      </c>
      <c r="G656" s="38" t="str">
        <f t="shared" si="186"/>
        <v/>
      </c>
      <c r="H656" s="38" t="str">
        <f t="shared" si="187"/>
        <v/>
      </c>
      <c r="L656" t="str">
        <f t="shared" si="177"/>
        <v/>
      </c>
      <c r="M656" s="38" t="str">
        <f t="shared" si="178"/>
        <v/>
      </c>
      <c r="N656" s="38" t="str">
        <f t="shared" si="179"/>
        <v/>
      </c>
      <c r="O656" s="38" t="str">
        <f t="shared" si="180"/>
        <v/>
      </c>
      <c r="P656" s="38" t="str">
        <f t="shared" si="181"/>
        <v/>
      </c>
      <c r="Q656" s="38" t="str">
        <f t="shared" si="182"/>
        <v/>
      </c>
      <c r="R656" s="38" t="str">
        <f t="shared" si="183"/>
        <v/>
      </c>
      <c r="S656" s="38" t="str">
        <f t="shared" si="184"/>
        <v/>
      </c>
      <c r="T656" s="38" t="str">
        <f t="shared" si="185"/>
        <v/>
      </c>
      <c r="AF656" t="str">
        <f t="shared" si="170"/>
        <v/>
      </c>
      <c r="AG656" s="38" t="str">
        <f t="shared" si="169"/>
        <v/>
      </c>
    </row>
    <row r="657" spans="1:33" x14ac:dyDescent="0.2">
      <c r="A657" t="str">
        <f t="shared" si="171"/>
        <v/>
      </c>
      <c r="B657" s="38" t="str">
        <f t="shared" si="172"/>
        <v/>
      </c>
      <c r="C657" s="38" t="str">
        <f t="shared" si="173"/>
        <v/>
      </c>
      <c r="D657" s="38" t="str">
        <f t="shared" si="174"/>
        <v/>
      </c>
      <c r="E657" s="38" t="str">
        <f t="shared" si="175"/>
        <v/>
      </c>
      <c r="F657" s="38" t="str">
        <f t="shared" si="176"/>
        <v/>
      </c>
      <c r="G657" s="38" t="str">
        <f t="shared" si="186"/>
        <v/>
      </c>
      <c r="H657" s="38" t="str">
        <f t="shared" si="187"/>
        <v/>
      </c>
      <c r="L657" t="str">
        <f t="shared" si="177"/>
        <v/>
      </c>
      <c r="M657" s="38" t="str">
        <f t="shared" si="178"/>
        <v/>
      </c>
      <c r="N657" s="38" t="str">
        <f t="shared" si="179"/>
        <v/>
      </c>
      <c r="O657" s="38" t="str">
        <f t="shared" si="180"/>
        <v/>
      </c>
      <c r="P657" s="38" t="str">
        <f t="shared" si="181"/>
        <v/>
      </c>
      <c r="Q657" s="38" t="str">
        <f t="shared" si="182"/>
        <v/>
      </c>
      <c r="R657" s="38" t="str">
        <f t="shared" si="183"/>
        <v/>
      </c>
      <c r="S657" s="38" t="str">
        <f t="shared" si="184"/>
        <v/>
      </c>
      <c r="T657" s="38" t="str">
        <f t="shared" si="185"/>
        <v/>
      </c>
      <c r="AF657" t="str">
        <f t="shared" si="170"/>
        <v/>
      </c>
      <c r="AG657" s="38" t="str">
        <f t="shared" si="169"/>
        <v/>
      </c>
    </row>
    <row r="658" spans="1:33" x14ac:dyDescent="0.2">
      <c r="A658" t="str">
        <f t="shared" si="171"/>
        <v/>
      </c>
      <c r="B658" s="38" t="str">
        <f t="shared" si="172"/>
        <v/>
      </c>
      <c r="C658" s="38" t="str">
        <f t="shared" si="173"/>
        <v/>
      </c>
      <c r="D658" s="38" t="str">
        <f t="shared" si="174"/>
        <v/>
      </c>
      <c r="E658" s="38" t="str">
        <f t="shared" si="175"/>
        <v/>
      </c>
      <c r="F658" s="38" t="str">
        <f t="shared" si="176"/>
        <v/>
      </c>
      <c r="G658" s="38" t="str">
        <f t="shared" si="186"/>
        <v/>
      </c>
      <c r="H658" s="38" t="str">
        <f t="shared" si="187"/>
        <v/>
      </c>
      <c r="L658" t="str">
        <f t="shared" si="177"/>
        <v/>
      </c>
      <c r="M658" s="38" t="str">
        <f t="shared" si="178"/>
        <v/>
      </c>
      <c r="N658" s="38" t="str">
        <f t="shared" si="179"/>
        <v/>
      </c>
      <c r="O658" s="38" t="str">
        <f t="shared" si="180"/>
        <v/>
      </c>
      <c r="P658" s="38" t="str">
        <f t="shared" si="181"/>
        <v/>
      </c>
      <c r="Q658" s="38" t="str">
        <f t="shared" si="182"/>
        <v/>
      </c>
      <c r="R658" s="38" t="str">
        <f t="shared" si="183"/>
        <v/>
      </c>
      <c r="S658" s="38" t="str">
        <f t="shared" si="184"/>
        <v/>
      </c>
      <c r="T658" s="38" t="str">
        <f t="shared" si="185"/>
        <v/>
      </c>
      <c r="AF658" t="str">
        <f t="shared" si="170"/>
        <v/>
      </c>
      <c r="AG658" s="38" t="str">
        <f t="shared" si="169"/>
        <v/>
      </c>
    </row>
    <row r="659" spans="1:33" x14ac:dyDescent="0.2">
      <c r="A659" t="str">
        <f t="shared" si="171"/>
        <v/>
      </c>
      <c r="B659" s="38" t="str">
        <f t="shared" si="172"/>
        <v/>
      </c>
      <c r="C659" s="38" t="str">
        <f t="shared" si="173"/>
        <v/>
      </c>
      <c r="D659" s="38" t="str">
        <f t="shared" si="174"/>
        <v/>
      </c>
      <c r="E659" s="38" t="str">
        <f t="shared" si="175"/>
        <v/>
      </c>
      <c r="F659" s="38" t="str">
        <f t="shared" si="176"/>
        <v/>
      </c>
      <c r="G659" s="38" t="str">
        <f t="shared" si="186"/>
        <v/>
      </c>
      <c r="H659" s="38" t="str">
        <f t="shared" si="187"/>
        <v/>
      </c>
      <c r="L659" t="str">
        <f t="shared" si="177"/>
        <v/>
      </c>
      <c r="M659" s="38" t="str">
        <f t="shared" si="178"/>
        <v/>
      </c>
      <c r="N659" s="38" t="str">
        <f t="shared" si="179"/>
        <v/>
      </c>
      <c r="O659" s="38" t="str">
        <f t="shared" si="180"/>
        <v/>
      </c>
      <c r="P659" s="38" t="str">
        <f t="shared" si="181"/>
        <v/>
      </c>
      <c r="Q659" s="38" t="str">
        <f t="shared" si="182"/>
        <v/>
      </c>
      <c r="R659" s="38" t="str">
        <f t="shared" si="183"/>
        <v/>
      </c>
      <c r="S659" s="38" t="str">
        <f t="shared" si="184"/>
        <v/>
      </c>
      <c r="T659" s="38" t="str">
        <f t="shared" si="185"/>
        <v/>
      </c>
      <c r="AF659" t="str">
        <f t="shared" si="170"/>
        <v/>
      </c>
      <c r="AG659" s="38" t="str">
        <f t="shared" si="169"/>
        <v/>
      </c>
    </row>
    <row r="660" spans="1:33" x14ac:dyDescent="0.2">
      <c r="A660" t="str">
        <f t="shared" si="171"/>
        <v/>
      </c>
      <c r="B660" s="38" t="str">
        <f t="shared" si="172"/>
        <v/>
      </c>
      <c r="C660" s="38" t="str">
        <f t="shared" si="173"/>
        <v/>
      </c>
      <c r="D660" s="38" t="str">
        <f t="shared" si="174"/>
        <v/>
      </c>
      <c r="E660" s="38" t="str">
        <f t="shared" si="175"/>
        <v/>
      </c>
      <c r="F660" s="38" t="str">
        <f t="shared" si="176"/>
        <v/>
      </c>
      <c r="G660" s="38" t="str">
        <f t="shared" si="186"/>
        <v/>
      </c>
      <c r="H660" s="38" t="str">
        <f t="shared" si="187"/>
        <v/>
      </c>
      <c r="L660" t="str">
        <f t="shared" si="177"/>
        <v/>
      </c>
      <c r="M660" s="38" t="str">
        <f t="shared" si="178"/>
        <v/>
      </c>
      <c r="N660" s="38" t="str">
        <f t="shared" si="179"/>
        <v/>
      </c>
      <c r="O660" s="38" t="str">
        <f t="shared" si="180"/>
        <v/>
      </c>
      <c r="P660" s="38" t="str">
        <f t="shared" si="181"/>
        <v/>
      </c>
      <c r="Q660" s="38" t="str">
        <f t="shared" si="182"/>
        <v/>
      </c>
      <c r="R660" s="38" t="str">
        <f t="shared" si="183"/>
        <v/>
      </c>
      <c r="S660" s="38" t="str">
        <f t="shared" si="184"/>
        <v/>
      </c>
      <c r="T660" s="38" t="str">
        <f t="shared" si="185"/>
        <v/>
      </c>
      <c r="AF660" t="str">
        <f t="shared" si="170"/>
        <v/>
      </c>
      <c r="AG660" s="38" t="str">
        <f t="shared" si="169"/>
        <v/>
      </c>
    </row>
    <row r="661" spans="1:33" x14ac:dyDescent="0.2">
      <c r="A661" t="str">
        <f t="shared" si="171"/>
        <v/>
      </c>
      <c r="B661" s="38" t="str">
        <f t="shared" si="172"/>
        <v/>
      </c>
      <c r="C661" s="38" t="str">
        <f t="shared" si="173"/>
        <v/>
      </c>
      <c r="D661" s="38" t="str">
        <f t="shared" si="174"/>
        <v/>
      </c>
      <c r="E661" s="38" t="str">
        <f t="shared" si="175"/>
        <v/>
      </c>
      <c r="F661" s="38" t="str">
        <f t="shared" si="176"/>
        <v/>
      </c>
      <c r="G661" s="38" t="str">
        <f t="shared" si="186"/>
        <v/>
      </c>
      <c r="H661" s="38" t="str">
        <f t="shared" si="187"/>
        <v/>
      </c>
      <c r="L661" t="str">
        <f t="shared" si="177"/>
        <v/>
      </c>
      <c r="M661" s="38" t="str">
        <f t="shared" si="178"/>
        <v/>
      </c>
      <c r="N661" s="38" t="str">
        <f t="shared" si="179"/>
        <v/>
      </c>
      <c r="O661" s="38" t="str">
        <f t="shared" si="180"/>
        <v/>
      </c>
      <c r="P661" s="38" t="str">
        <f t="shared" si="181"/>
        <v/>
      </c>
      <c r="Q661" s="38" t="str">
        <f t="shared" si="182"/>
        <v/>
      </c>
      <c r="R661" s="38" t="str">
        <f t="shared" si="183"/>
        <v/>
      </c>
      <c r="S661" s="38" t="str">
        <f t="shared" si="184"/>
        <v/>
      </c>
      <c r="T661" s="38" t="str">
        <f t="shared" si="185"/>
        <v/>
      </c>
      <c r="AF661" t="str">
        <f t="shared" si="170"/>
        <v/>
      </c>
      <c r="AG661" s="38" t="str">
        <f t="shared" ref="AG661:AG724" si="188">F662</f>
        <v/>
      </c>
    </row>
    <row r="662" spans="1:33" x14ac:dyDescent="0.2">
      <c r="A662" t="str">
        <f t="shared" si="171"/>
        <v/>
      </c>
      <c r="B662" s="38" t="str">
        <f t="shared" si="172"/>
        <v/>
      </c>
      <c r="C662" s="38" t="str">
        <f t="shared" si="173"/>
        <v/>
      </c>
      <c r="D662" s="38" t="str">
        <f t="shared" si="174"/>
        <v/>
      </c>
      <c r="E662" s="38" t="str">
        <f t="shared" si="175"/>
        <v/>
      </c>
      <c r="F662" s="38" t="str">
        <f t="shared" si="176"/>
        <v/>
      </c>
      <c r="G662" s="38" t="str">
        <f t="shared" si="186"/>
        <v/>
      </c>
      <c r="H662" s="38" t="str">
        <f t="shared" si="187"/>
        <v/>
      </c>
      <c r="L662" t="str">
        <f t="shared" si="177"/>
        <v/>
      </c>
      <c r="M662" s="38" t="str">
        <f t="shared" si="178"/>
        <v/>
      </c>
      <c r="N662" s="38" t="str">
        <f t="shared" si="179"/>
        <v/>
      </c>
      <c r="O662" s="38" t="str">
        <f t="shared" si="180"/>
        <v/>
      </c>
      <c r="P662" s="38" t="str">
        <f t="shared" si="181"/>
        <v/>
      </c>
      <c r="Q662" s="38" t="str">
        <f t="shared" si="182"/>
        <v/>
      </c>
      <c r="R662" s="38" t="str">
        <f t="shared" si="183"/>
        <v/>
      </c>
      <c r="S662" s="38" t="str">
        <f t="shared" si="184"/>
        <v/>
      </c>
      <c r="T662" s="38" t="str">
        <f t="shared" si="185"/>
        <v/>
      </c>
      <c r="AF662" t="str">
        <f t="shared" si="170"/>
        <v/>
      </c>
      <c r="AG662" s="38" t="str">
        <f t="shared" si="188"/>
        <v/>
      </c>
    </row>
    <row r="663" spans="1:33" x14ac:dyDescent="0.2">
      <c r="A663" t="str">
        <f t="shared" si="171"/>
        <v/>
      </c>
      <c r="B663" s="38" t="str">
        <f t="shared" si="172"/>
        <v/>
      </c>
      <c r="C663" s="38" t="str">
        <f t="shared" si="173"/>
        <v/>
      </c>
      <c r="D663" s="38" t="str">
        <f t="shared" si="174"/>
        <v/>
      </c>
      <c r="E663" s="38" t="str">
        <f t="shared" si="175"/>
        <v/>
      </c>
      <c r="F663" s="38" t="str">
        <f t="shared" si="176"/>
        <v/>
      </c>
      <c r="G663" s="38" t="str">
        <f t="shared" si="186"/>
        <v/>
      </c>
      <c r="H663" s="38" t="str">
        <f t="shared" si="187"/>
        <v/>
      </c>
      <c r="L663" t="str">
        <f t="shared" si="177"/>
        <v/>
      </c>
      <c r="M663" s="38" t="str">
        <f t="shared" si="178"/>
        <v/>
      </c>
      <c r="N663" s="38" t="str">
        <f t="shared" si="179"/>
        <v/>
      </c>
      <c r="O663" s="38" t="str">
        <f t="shared" si="180"/>
        <v/>
      </c>
      <c r="P663" s="38" t="str">
        <f t="shared" si="181"/>
        <v/>
      </c>
      <c r="Q663" s="38" t="str">
        <f t="shared" si="182"/>
        <v/>
      </c>
      <c r="R663" s="38" t="str">
        <f t="shared" si="183"/>
        <v/>
      </c>
      <c r="S663" s="38" t="str">
        <f t="shared" si="184"/>
        <v/>
      </c>
      <c r="T663" s="38" t="str">
        <f t="shared" si="185"/>
        <v/>
      </c>
      <c r="AF663" t="str">
        <f t="shared" ref="AF663:AF726" si="189">IF(AF662&lt;($B$6*$B$7),AF662+1,"")</f>
        <v/>
      </c>
      <c r="AG663" s="38" t="str">
        <f t="shared" si="188"/>
        <v/>
      </c>
    </row>
    <row r="664" spans="1:33" x14ac:dyDescent="0.2">
      <c r="A664" t="str">
        <f t="shared" ref="A664:A727" si="190">IF(A663&lt;($B$6*$B$7),A663+1,"")</f>
        <v/>
      </c>
      <c r="B664" s="38" t="str">
        <f t="shared" ref="B664:B727" si="191">IF(A664="","",F663)</f>
        <v/>
      </c>
      <c r="C664" s="38" t="str">
        <f t="shared" ref="C664:C727" si="192">IF(A664="","",(B664*$B$8))</f>
        <v/>
      </c>
      <c r="D664" s="38" t="str">
        <f t="shared" ref="D664:D727" si="193">IF(A664="","", $B$5)</f>
        <v/>
      </c>
      <c r="E664" s="38" t="str">
        <f t="shared" ref="E664:E727" si="194">IF(D664="","",(D664-C664))</f>
        <v/>
      </c>
      <c r="F664" s="38" t="str">
        <f t="shared" ref="F664:F727" si="195">IF(A664="","", B664-E664)</f>
        <v/>
      </c>
      <c r="G664" s="38" t="str">
        <f t="shared" si="186"/>
        <v/>
      </c>
      <c r="H664" s="38" t="str">
        <f t="shared" si="187"/>
        <v/>
      </c>
      <c r="L664" t="str">
        <f t="shared" ref="L664:L727" si="196">IF(L663&lt;($B$6*$B$7),L663+1,"")</f>
        <v/>
      </c>
      <c r="M664" s="38" t="str">
        <f t="shared" ref="M664:M727" si="197">IF(L664="", "", R663)</f>
        <v/>
      </c>
      <c r="N664" s="38" t="str">
        <f t="shared" ref="N664:N727" si="198">IF(L664="","",$B$5)</f>
        <v/>
      </c>
      <c r="O664" s="38" t="str">
        <f t="shared" ref="O664:O727" si="199">IF(L664="","",M664-N664)</f>
        <v/>
      </c>
      <c r="P664" s="38" t="str">
        <f t="shared" ref="P664:P727" si="200">IF(L664="","",O663*$B$8)</f>
        <v/>
      </c>
      <c r="Q664" s="38" t="str">
        <f t="shared" ref="Q664:Q727" si="201">IF(L664="","",N664-P664)</f>
        <v/>
      </c>
      <c r="R664" s="38" t="str">
        <f t="shared" ref="R664:R727" si="202">IF(L664="","",O664*(1+$B$8))</f>
        <v/>
      </c>
      <c r="S664" s="38" t="str">
        <f t="shared" ref="S664:S727" si="203">IF(L664="","",S663+P664)</f>
        <v/>
      </c>
      <c r="T664" s="38" t="str">
        <f t="shared" ref="T664:T727" si="204">IF(L664="","",Q664+T663)</f>
        <v/>
      </c>
      <c r="AF664" t="str">
        <f t="shared" si="189"/>
        <v/>
      </c>
      <c r="AG664" s="38" t="str">
        <f t="shared" si="188"/>
        <v/>
      </c>
    </row>
    <row r="665" spans="1:33" x14ac:dyDescent="0.2">
      <c r="A665" t="str">
        <f t="shared" si="190"/>
        <v/>
      </c>
      <c r="B665" s="38" t="str">
        <f t="shared" si="191"/>
        <v/>
      </c>
      <c r="C665" s="38" t="str">
        <f t="shared" si="192"/>
        <v/>
      </c>
      <c r="D665" s="38" t="str">
        <f t="shared" si="193"/>
        <v/>
      </c>
      <c r="E665" s="38" t="str">
        <f t="shared" si="194"/>
        <v/>
      </c>
      <c r="F665" s="38" t="str">
        <f t="shared" si="195"/>
        <v/>
      </c>
      <c r="G665" s="38" t="str">
        <f t="shared" si="186"/>
        <v/>
      </c>
      <c r="H665" s="38" t="str">
        <f t="shared" si="187"/>
        <v/>
      </c>
      <c r="L665" t="str">
        <f t="shared" si="196"/>
        <v/>
      </c>
      <c r="M665" s="38" t="str">
        <f t="shared" si="197"/>
        <v/>
      </c>
      <c r="N665" s="38" t="str">
        <f t="shared" si="198"/>
        <v/>
      </c>
      <c r="O665" s="38" t="str">
        <f t="shared" si="199"/>
        <v/>
      </c>
      <c r="P665" s="38" t="str">
        <f t="shared" si="200"/>
        <v/>
      </c>
      <c r="Q665" s="38" t="str">
        <f t="shared" si="201"/>
        <v/>
      </c>
      <c r="R665" s="38" t="str">
        <f t="shared" si="202"/>
        <v/>
      </c>
      <c r="S665" s="38" t="str">
        <f t="shared" si="203"/>
        <v/>
      </c>
      <c r="T665" s="38" t="str">
        <f t="shared" si="204"/>
        <v/>
      </c>
      <c r="AF665" t="str">
        <f t="shared" si="189"/>
        <v/>
      </c>
      <c r="AG665" s="38" t="str">
        <f t="shared" si="188"/>
        <v/>
      </c>
    </row>
    <row r="666" spans="1:33" x14ac:dyDescent="0.2">
      <c r="A666" t="str">
        <f t="shared" si="190"/>
        <v/>
      </c>
      <c r="B666" s="38" t="str">
        <f t="shared" si="191"/>
        <v/>
      </c>
      <c r="C666" s="38" t="str">
        <f t="shared" si="192"/>
        <v/>
      </c>
      <c r="D666" s="38" t="str">
        <f t="shared" si="193"/>
        <v/>
      </c>
      <c r="E666" s="38" t="str">
        <f t="shared" si="194"/>
        <v/>
      </c>
      <c r="F666" s="38" t="str">
        <f t="shared" si="195"/>
        <v/>
      </c>
      <c r="G666" s="38" t="str">
        <f t="shared" ref="G666:G729" si="205">IF(A666="","", (G665+C666))</f>
        <v/>
      </c>
      <c r="H666" s="38" t="str">
        <f t="shared" ref="H666:H729" si="206">IF(A666="","",(H665+E666))</f>
        <v/>
      </c>
      <c r="L666" t="str">
        <f t="shared" si="196"/>
        <v/>
      </c>
      <c r="M666" s="38" t="str">
        <f t="shared" si="197"/>
        <v/>
      </c>
      <c r="N666" s="38" t="str">
        <f t="shared" si="198"/>
        <v/>
      </c>
      <c r="O666" s="38" t="str">
        <f t="shared" si="199"/>
        <v/>
      </c>
      <c r="P666" s="38" t="str">
        <f t="shared" si="200"/>
        <v/>
      </c>
      <c r="Q666" s="38" t="str">
        <f t="shared" si="201"/>
        <v/>
      </c>
      <c r="R666" s="38" t="str">
        <f t="shared" si="202"/>
        <v/>
      </c>
      <c r="S666" s="38" t="str">
        <f t="shared" si="203"/>
        <v/>
      </c>
      <c r="T666" s="38" t="str">
        <f t="shared" si="204"/>
        <v/>
      </c>
      <c r="AF666" t="str">
        <f t="shared" si="189"/>
        <v/>
      </c>
      <c r="AG666" s="38" t="str">
        <f t="shared" si="188"/>
        <v/>
      </c>
    </row>
    <row r="667" spans="1:33" x14ac:dyDescent="0.2">
      <c r="A667" t="str">
        <f t="shared" si="190"/>
        <v/>
      </c>
      <c r="B667" s="38" t="str">
        <f t="shared" si="191"/>
        <v/>
      </c>
      <c r="C667" s="38" t="str">
        <f t="shared" si="192"/>
        <v/>
      </c>
      <c r="D667" s="38" t="str">
        <f t="shared" si="193"/>
        <v/>
      </c>
      <c r="E667" s="38" t="str">
        <f t="shared" si="194"/>
        <v/>
      </c>
      <c r="F667" s="38" t="str">
        <f t="shared" si="195"/>
        <v/>
      </c>
      <c r="G667" s="38" t="str">
        <f t="shared" si="205"/>
        <v/>
      </c>
      <c r="H667" s="38" t="str">
        <f t="shared" si="206"/>
        <v/>
      </c>
      <c r="L667" t="str">
        <f t="shared" si="196"/>
        <v/>
      </c>
      <c r="M667" s="38" t="str">
        <f t="shared" si="197"/>
        <v/>
      </c>
      <c r="N667" s="38" t="str">
        <f t="shared" si="198"/>
        <v/>
      </c>
      <c r="O667" s="38" t="str">
        <f t="shared" si="199"/>
        <v/>
      </c>
      <c r="P667" s="38" t="str">
        <f t="shared" si="200"/>
        <v/>
      </c>
      <c r="Q667" s="38" t="str">
        <f t="shared" si="201"/>
        <v/>
      </c>
      <c r="R667" s="38" t="str">
        <f t="shared" si="202"/>
        <v/>
      </c>
      <c r="S667" s="38" t="str">
        <f t="shared" si="203"/>
        <v/>
      </c>
      <c r="T667" s="38" t="str">
        <f t="shared" si="204"/>
        <v/>
      </c>
      <c r="AF667" t="str">
        <f t="shared" si="189"/>
        <v/>
      </c>
      <c r="AG667" s="38" t="str">
        <f t="shared" si="188"/>
        <v/>
      </c>
    </row>
    <row r="668" spans="1:33" x14ac:dyDescent="0.2">
      <c r="A668" t="str">
        <f t="shared" si="190"/>
        <v/>
      </c>
      <c r="B668" s="38" t="str">
        <f t="shared" si="191"/>
        <v/>
      </c>
      <c r="C668" s="38" t="str">
        <f t="shared" si="192"/>
        <v/>
      </c>
      <c r="D668" s="38" t="str">
        <f t="shared" si="193"/>
        <v/>
      </c>
      <c r="E668" s="38" t="str">
        <f t="shared" si="194"/>
        <v/>
      </c>
      <c r="F668" s="38" t="str">
        <f t="shared" si="195"/>
        <v/>
      </c>
      <c r="G668" s="38" t="str">
        <f t="shared" si="205"/>
        <v/>
      </c>
      <c r="H668" s="38" t="str">
        <f t="shared" si="206"/>
        <v/>
      </c>
      <c r="L668" t="str">
        <f t="shared" si="196"/>
        <v/>
      </c>
      <c r="M668" s="38" t="str">
        <f t="shared" si="197"/>
        <v/>
      </c>
      <c r="N668" s="38" t="str">
        <f t="shared" si="198"/>
        <v/>
      </c>
      <c r="O668" s="38" t="str">
        <f t="shared" si="199"/>
        <v/>
      </c>
      <c r="P668" s="38" t="str">
        <f t="shared" si="200"/>
        <v/>
      </c>
      <c r="Q668" s="38" t="str">
        <f t="shared" si="201"/>
        <v/>
      </c>
      <c r="R668" s="38" t="str">
        <f t="shared" si="202"/>
        <v/>
      </c>
      <c r="S668" s="38" t="str">
        <f t="shared" si="203"/>
        <v/>
      </c>
      <c r="T668" s="38" t="str">
        <f t="shared" si="204"/>
        <v/>
      </c>
      <c r="AF668" t="str">
        <f t="shared" si="189"/>
        <v/>
      </c>
      <c r="AG668" s="38" t="str">
        <f t="shared" si="188"/>
        <v/>
      </c>
    </row>
    <row r="669" spans="1:33" x14ac:dyDescent="0.2">
      <c r="A669" t="str">
        <f t="shared" si="190"/>
        <v/>
      </c>
      <c r="B669" s="38" t="str">
        <f t="shared" si="191"/>
        <v/>
      </c>
      <c r="C669" s="38" t="str">
        <f t="shared" si="192"/>
        <v/>
      </c>
      <c r="D669" s="38" t="str">
        <f t="shared" si="193"/>
        <v/>
      </c>
      <c r="E669" s="38" t="str">
        <f t="shared" si="194"/>
        <v/>
      </c>
      <c r="F669" s="38" t="str">
        <f t="shared" si="195"/>
        <v/>
      </c>
      <c r="G669" s="38" t="str">
        <f t="shared" si="205"/>
        <v/>
      </c>
      <c r="H669" s="38" t="str">
        <f t="shared" si="206"/>
        <v/>
      </c>
      <c r="L669" t="str">
        <f t="shared" si="196"/>
        <v/>
      </c>
      <c r="M669" s="38" t="str">
        <f t="shared" si="197"/>
        <v/>
      </c>
      <c r="N669" s="38" t="str">
        <f t="shared" si="198"/>
        <v/>
      </c>
      <c r="O669" s="38" t="str">
        <f t="shared" si="199"/>
        <v/>
      </c>
      <c r="P669" s="38" t="str">
        <f t="shared" si="200"/>
        <v/>
      </c>
      <c r="Q669" s="38" t="str">
        <f t="shared" si="201"/>
        <v/>
      </c>
      <c r="R669" s="38" t="str">
        <f t="shared" si="202"/>
        <v/>
      </c>
      <c r="S669" s="38" t="str">
        <f t="shared" si="203"/>
        <v/>
      </c>
      <c r="T669" s="38" t="str">
        <f t="shared" si="204"/>
        <v/>
      </c>
      <c r="AF669" t="str">
        <f t="shared" si="189"/>
        <v/>
      </c>
      <c r="AG669" s="38" t="str">
        <f t="shared" si="188"/>
        <v/>
      </c>
    </row>
    <row r="670" spans="1:33" x14ac:dyDescent="0.2">
      <c r="A670" t="str">
        <f t="shared" si="190"/>
        <v/>
      </c>
      <c r="B670" s="38" t="str">
        <f t="shared" si="191"/>
        <v/>
      </c>
      <c r="C670" s="38" t="str">
        <f t="shared" si="192"/>
        <v/>
      </c>
      <c r="D670" s="38" t="str">
        <f t="shared" si="193"/>
        <v/>
      </c>
      <c r="E670" s="38" t="str">
        <f t="shared" si="194"/>
        <v/>
      </c>
      <c r="F670" s="38" t="str">
        <f t="shared" si="195"/>
        <v/>
      </c>
      <c r="G670" s="38" t="str">
        <f t="shared" si="205"/>
        <v/>
      </c>
      <c r="H670" s="38" t="str">
        <f t="shared" si="206"/>
        <v/>
      </c>
      <c r="L670" t="str">
        <f t="shared" si="196"/>
        <v/>
      </c>
      <c r="M670" s="38" t="str">
        <f t="shared" si="197"/>
        <v/>
      </c>
      <c r="N670" s="38" t="str">
        <f t="shared" si="198"/>
        <v/>
      </c>
      <c r="O670" s="38" t="str">
        <f t="shared" si="199"/>
        <v/>
      </c>
      <c r="P670" s="38" t="str">
        <f t="shared" si="200"/>
        <v/>
      </c>
      <c r="Q670" s="38" t="str">
        <f t="shared" si="201"/>
        <v/>
      </c>
      <c r="R670" s="38" t="str">
        <f t="shared" si="202"/>
        <v/>
      </c>
      <c r="S670" s="38" t="str">
        <f t="shared" si="203"/>
        <v/>
      </c>
      <c r="T670" s="38" t="str">
        <f t="shared" si="204"/>
        <v/>
      </c>
      <c r="AF670" t="str">
        <f t="shared" si="189"/>
        <v/>
      </c>
      <c r="AG670" s="38" t="str">
        <f t="shared" si="188"/>
        <v/>
      </c>
    </row>
    <row r="671" spans="1:33" x14ac:dyDescent="0.2">
      <c r="A671" t="str">
        <f t="shared" si="190"/>
        <v/>
      </c>
      <c r="B671" s="38" t="str">
        <f t="shared" si="191"/>
        <v/>
      </c>
      <c r="C671" s="38" t="str">
        <f t="shared" si="192"/>
        <v/>
      </c>
      <c r="D671" s="38" t="str">
        <f t="shared" si="193"/>
        <v/>
      </c>
      <c r="E671" s="38" t="str">
        <f t="shared" si="194"/>
        <v/>
      </c>
      <c r="F671" s="38" t="str">
        <f t="shared" si="195"/>
        <v/>
      </c>
      <c r="G671" s="38" t="str">
        <f t="shared" si="205"/>
        <v/>
      </c>
      <c r="H671" s="38" t="str">
        <f t="shared" si="206"/>
        <v/>
      </c>
      <c r="L671" t="str">
        <f t="shared" si="196"/>
        <v/>
      </c>
      <c r="M671" s="38" t="str">
        <f t="shared" si="197"/>
        <v/>
      </c>
      <c r="N671" s="38" t="str">
        <f t="shared" si="198"/>
        <v/>
      </c>
      <c r="O671" s="38" t="str">
        <f t="shared" si="199"/>
        <v/>
      </c>
      <c r="P671" s="38" t="str">
        <f t="shared" si="200"/>
        <v/>
      </c>
      <c r="Q671" s="38" t="str">
        <f t="shared" si="201"/>
        <v/>
      </c>
      <c r="R671" s="38" t="str">
        <f t="shared" si="202"/>
        <v/>
      </c>
      <c r="S671" s="38" t="str">
        <f t="shared" si="203"/>
        <v/>
      </c>
      <c r="T671" s="38" t="str">
        <f t="shared" si="204"/>
        <v/>
      </c>
      <c r="AF671" t="str">
        <f t="shared" si="189"/>
        <v/>
      </c>
      <c r="AG671" s="38" t="str">
        <f t="shared" si="188"/>
        <v/>
      </c>
    </row>
    <row r="672" spans="1:33" x14ac:dyDescent="0.2">
      <c r="A672" t="str">
        <f t="shared" si="190"/>
        <v/>
      </c>
      <c r="B672" s="38" t="str">
        <f t="shared" si="191"/>
        <v/>
      </c>
      <c r="C672" s="38" t="str">
        <f t="shared" si="192"/>
        <v/>
      </c>
      <c r="D672" s="38" t="str">
        <f t="shared" si="193"/>
        <v/>
      </c>
      <c r="E672" s="38" t="str">
        <f t="shared" si="194"/>
        <v/>
      </c>
      <c r="F672" s="38" t="str">
        <f t="shared" si="195"/>
        <v/>
      </c>
      <c r="G672" s="38" t="str">
        <f t="shared" si="205"/>
        <v/>
      </c>
      <c r="H672" s="38" t="str">
        <f t="shared" si="206"/>
        <v/>
      </c>
      <c r="L672" t="str">
        <f t="shared" si="196"/>
        <v/>
      </c>
      <c r="M672" s="38" t="str">
        <f t="shared" si="197"/>
        <v/>
      </c>
      <c r="N672" s="38" t="str">
        <f t="shared" si="198"/>
        <v/>
      </c>
      <c r="O672" s="38" t="str">
        <f t="shared" si="199"/>
        <v/>
      </c>
      <c r="P672" s="38" t="str">
        <f t="shared" si="200"/>
        <v/>
      </c>
      <c r="Q672" s="38" t="str">
        <f t="shared" si="201"/>
        <v/>
      </c>
      <c r="R672" s="38" t="str">
        <f t="shared" si="202"/>
        <v/>
      </c>
      <c r="S672" s="38" t="str">
        <f t="shared" si="203"/>
        <v/>
      </c>
      <c r="T672" s="38" t="str">
        <f t="shared" si="204"/>
        <v/>
      </c>
      <c r="AF672" t="str">
        <f t="shared" si="189"/>
        <v/>
      </c>
      <c r="AG672" s="38" t="str">
        <f t="shared" si="188"/>
        <v/>
      </c>
    </row>
    <row r="673" spans="1:33" x14ac:dyDescent="0.2">
      <c r="A673" t="str">
        <f t="shared" si="190"/>
        <v/>
      </c>
      <c r="B673" s="38" t="str">
        <f t="shared" si="191"/>
        <v/>
      </c>
      <c r="C673" s="38" t="str">
        <f t="shared" si="192"/>
        <v/>
      </c>
      <c r="D673" s="38" t="str">
        <f t="shared" si="193"/>
        <v/>
      </c>
      <c r="E673" s="38" t="str">
        <f t="shared" si="194"/>
        <v/>
      </c>
      <c r="F673" s="38" t="str">
        <f t="shared" si="195"/>
        <v/>
      </c>
      <c r="G673" s="38" t="str">
        <f t="shared" si="205"/>
        <v/>
      </c>
      <c r="H673" s="38" t="str">
        <f t="shared" si="206"/>
        <v/>
      </c>
      <c r="L673" t="str">
        <f t="shared" si="196"/>
        <v/>
      </c>
      <c r="M673" s="38" t="str">
        <f t="shared" si="197"/>
        <v/>
      </c>
      <c r="N673" s="38" t="str">
        <f t="shared" si="198"/>
        <v/>
      </c>
      <c r="O673" s="38" t="str">
        <f t="shared" si="199"/>
        <v/>
      </c>
      <c r="P673" s="38" t="str">
        <f t="shared" si="200"/>
        <v/>
      </c>
      <c r="Q673" s="38" t="str">
        <f t="shared" si="201"/>
        <v/>
      </c>
      <c r="R673" s="38" t="str">
        <f t="shared" si="202"/>
        <v/>
      </c>
      <c r="S673" s="38" t="str">
        <f t="shared" si="203"/>
        <v/>
      </c>
      <c r="T673" s="38" t="str">
        <f t="shared" si="204"/>
        <v/>
      </c>
      <c r="AF673" t="str">
        <f t="shared" si="189"/>
        <v/>
      </c>
      <c r="AG673" s="38" t="str">
        <f t="shared" si="188"/>
        <v/>
      </c>
    </row>
    <row r="674" spans="1:33" x14ac:dyDescent="0.2">
      <c r="A674" t="str">
        <f t="shared" si="190"/>
        <v/>
      </c>
      <c r="B674" s="38" t="str">
        <f t="shared" si="191"/>
        <v/>
      </c>
      <c r="C674" s="38" t="str">
        <f t="shared" si="192"/>
        <v/>
      </c>
      <c r="D674" s="38" t="str">
        <f t="shared" si="193"/>
        <v/>
      </c>
      <c r="E674" s="38" t="str">
        <f t="shared" si="194"/>
        <v/>
      </c>
      <c r="F674" s="38" t="str">
        <f t="shared" si="195"/>
        <v/>
      </c>
      <c r="G674" s="38" t="str">
        <f t="shared" si="205"/>
        <v/>
      </c>
      <c r="H674" s="38" t="str">
        <f t="shared" si="206"/>
        <v/>
      </c>
      <c r="L674" t="str">
        <f t="shared" si="196"/>
        <v/>
      </c>
      <c r="M674" s="38" t="str">
        <f t="shared" si="197"/>
        <v/>
      </c>
      <c r="N674" s="38" t="str">
        <f t="shared" si="198"/>
        <v/>
      </c>
      <c r="O674" s="38" t="str">
        <f t="shared" si="199"/>
        <v/>
      </c>
      <c r="P674" s="38" t="str">
        <f t="shared" si="200"/>
        <v/>
      </c>
      <c r="Q674" s="38" t="str">
        <f t="shared" si="201"/>
        <v/>
      </c>
      <c r="R674" s="38" t="str">
        <f t="shared" si="202"/>
        <v/>
      </c>
      <c r="S674" s="38" t="str">
        <f t="shared" si="203"/>
        <v/>
      </c>
      <c r="T674" s="38" t="str">
        <f t="shared" si="204"/>
        <v/>
      </c>
      <c r="AF674" t="str">
        <f t="shared" si="189"/>
        <v/>
      </c>
      <c r="AG674" s="38" t="str">
        <f t="shared" si="188"/>
        <v/>
      </c>
    </row>
    <row r="675" spans="1:33" x14ac:dyDescent="0.2">
      <c r="A675" t="str">
        <f t="shared" si="190"/>
        <v/>
      </c>
      <c r="B675" s="38" t="str">
        <f t="shared" si="191"/>
        <v/>
      </c>
      <c r="C675" s="38" t="str">
        <f t="shared" si="192"/>
        <v/>
      </c>
      <c r="D675" s="38" t="str">
        <f t="shared" si="193"/>
        <v/>
      </c>
      <c r="E675" s="38" t="str">
        <f t="shared" si="194"/>
        <v/>
      </c>
      <c r="F675" s="38" t="str">
        <f t="shared" si="195"/>
        <v/>
      </c>
      <c r="G675" s="38" t="str">
        <f t="shared" si="205"/>
        <v/>
      </c>
      <c r="H675" s="38" t="str">
        <f t="shared" si="206"/>
        <v/>
      </c>
      <c r="L675" t="str">
        <f t="shared" si="196"/>
        <v/>
      </c>
      <c r="M675" s="38" t="str">
        <f t="shared" si="197"/>
        <v/>
      </c>
      <c r="N675" s="38" t="str">
        <f t="shared" si="198"/>
        <v/>
      </c>
      <c r="O675" s="38" t="str">
        <f t="shared" si="199"/>
        <v/>
      </c>
      <c r="P675" s="38" t="str">
        <f t="shared" si="200"/>
        <v/>
      </c>
      <c r="Q675" s="38" t="str">
        <f t="shared" si="201"/>
        <v/>
      </c>
      <c r="R675" s="38" t="str">
        <f t="shared" si="202"/>
        <v/>
      </c>
      <c r="S675" s="38" t="str">
        <f t="shared" si="203"/>
        <v/>
      </c>
      <c r="T675" s="38" t="str">
        <f t="shared" si="204"/>
        <v/>
      </c>
      <c r="AF675" t="str">
        <f t="shared" si="189"/>
        <v/>
      </c>
      <c r="AG675" s="38" t="str">
        <f t="shared" si="188"/>
        <v/>
      </c>
    </row>
    <row r="676" spans="1:33" x14ac:dyDescent="0.2">
      <c r="A676" t="str">
        <f t="shared" si="190"/>
        <v/>
      </c>
      <c r="B676" s="38" t="str">
        <f t="shared" si="191"/>
        <v/>
      </c>
      <c r="C676" s="38" t="str">
        <f t="shared" si="192"/>
        <v/>
      </c>
      <c r="D676" s="38" t="str">
        <f t="shared" si="193"/>
        <v/>
      </c>
      <c r="E676" s="38" t="str">
        <f t="shared" si="194"/>
        <v/>
      </c>
      <c r="F676" s="38" t="str">
        <f t="shared" si="195"/>
        <v/>
      </c>
      <c r="G676" s="38" t="str">
        <f t="shared" si="205"/>
        <v/>
      </c>
      <c r="H676" s="38" t="str">
        <f t="shared" si="206"/>
        <v/>
      </c>
      <c r="L676" t="str">
        <f t="shared" si="196"/>
        <v/>
      </c>
      <c r="M676" s="38" t="str">
        <f t="shared" si="197"/>
        <v/>
      </c>
      <c r="N676" s="38" t="str">
        <f t="shared" si="198"/>
        <v/>
      </c>
      <c r="O676" s="38" t="str">
        <f t="shared" si="199"/>
        <v/>
      </c>
      <c r="P676" s="38" t="str">
        <f t="shared" si="200"/>
        <v/>
      </c>
      <c r="Q676" s="38" t="str">
        <f t="shared" si="201"/>
        <v/>
      </c>
      <c r="R676" s="38" t="str">
        <f t="shared" si="202"/>
        <v/>
      </c>
      <c r="S676" s="38" t="str">
        <f t="shared" si="203"/>
        <v/>
      </c>
      <c r="T676" s="38" t="str">
        <f t="shared" si="204"/>
        <v/>
      </c>
      <c r="AF676" t="str">
        <f t="shared" si="189"/>
        <v/>
      </c>
      <c r="AG676" s="38" t="str">
        <f t="shared" si="188"/>
        <v/>
      </c>
    </row>
    <row r="677" spans="1:33" x14ac:dyDescent="0.2">
      <c r="A677" t="str">
        <f t="shared" si="190"/>
        <v/>
      </c>
      <c r="B677" s="38" t="str">
        <f t="shared" si="191"/>
        <v/>
      </c>
      <c r="C677" s="38" t="str">
        <f t="shared" si="192"/>
        <v/>
      </c>
      <c r="D677" s="38" t="str">
        <f t="shared" si="193"/>
        <v/>
      </c>
      <c r="E677" s="38" t="str">
        <f t="shared" si="194"/>
        <v/>
      </c>
      <c r="F677" s="38" t="str">
        <f t="shared" si="195"/>
        <v/>
      </c>
      <c r="G677" s="38" t="str">
        <f t="shared" si="205"/>
        <v/>
      </c>
      <c r="H677" s="38" t="str">
        <f t="shared" si="206"/>
        <v/>
      </c>
      <c r="L677" t="str">
        <f t="shared" si="196"/>
        <v/>
      </c>
      <c r="M677" s="38" t="str">
        <f t="shared" si="197"/>
        <v/>
      </c>
      <c r="N677" s="38" t="str">
        <f t="shared" si="198"/>
        <v/>
      </c>
      <c r="O677" s="38" t="str">
        <f t="shared" si="199"/>
        <v/>
      </c>
      <c r="P677" s="38" t="str">
        <f t="shared" si="200"/>
        <v/>
      </c>
      <c r="Q677" s="38" t="str">
        <f t="shared" si="201"/>
        <v/>
      </c>
      <c r="R677" s="38" t="str">
        <f t="shared" si="202"/>
        <v/>
      </c>
      <c r="S677" s="38" t="str">
        <f t="shared" si="203"/>
        <v/>
      </c>
      <c r="T677" s="38" t="str">
        <f t="shared" si="204"/>
        <v/>
      </c>
      <c r="AF677" t="str">
        <f t="shared" si="189"/>
        <v/>
      </c>
      <c r="AG677" s="38" t="str">
        <f t="shared" si="188"/>
        <v/>
      </c>
    </row>
    <row r="678" spans="1:33" x14ac:dyDescent="0.2">
      <c r="A678" t="str">
        <f t="shared" si="190"/>
        <v/>
      </c>
      <c r="B678" s="38" t="str">
        <f t="shared" si="191"/>
        <v/>
      </c>
      <c r="C678" s="38" t="str">
        <f t="shared" si="192"/>
        <v/>
      </c>
      <c r="D678" s="38" t="str">
        <f t="shared" si="193"/>
        <v/>
      </c>
      <c r="E678" s="38" t="str">
        <f t="shared" si="194"/>
        <v/>
      </c>
      <c r="F678" s="38" t="str">
        <f t="shared" si="195"/>
        <v/>
      </c>
      <c r="G678" s="38" t="str">
        <f t="shared" si="205"/>
        <v/>
      </c>
      <c r="H678" s="38" t="str">
        <f t="shared" si="206"/>
        <v/>
      </c>
      <c r="L678" t="str">
        <f t="shared" si="196"/>
        <v/>
      </c>
      <c r="M678" s="38" t="str">
        <f t="shared" si="197"/>
        <v/>
      </c>
      <c r="N678" s="38" t="str">
        <f t="shared" si="198"/>
        <v/>
      </c>
      <c r="O678" s="38" t="str">
        <f t="shared" si="199"/>
        <v/>
      </c>
      <c r="P678" s="38" t="str">
        <f t="shared" si="200"/>
        <v/>
      </c>
      <c r="Q678" s="38" t="str">
        <f t="shared" si="201"/>
        <v/>
      </c>
      <c r="R678" s="38" t="str">
        <f t="shared" si="202"/>
        <v/>
      </c>
      <c r="S678" s="38" t="str">
        <f t="shared" si="203"/>
        <v/>
      </c>
      <c r="T678" s="38" t="str">
        <f t="shared" si="204"/>
        <v/>
      </c>
      <c r="AF678" t="str">
        <f t="shared" si="189"/>
        <v/>
      </c>
      <c r="AG678" s="38" t="str">
        <f t="shared" si="188"/>
        <v/>
      </c>
    </row>
    <row r="679" spans="1:33" x14ac:dyDescent="0.2">
      <c r="A679" t="str">
        <f t="shared" si="190"/>
        <v/>
      </c>
      <c r="B679" s="38" t="str">
        <f t="shared" si="191"/>
        <v/>
      </c>
      <c r="C679" s="38" t="str">
        <f t="shared" si="192"/>
        <v/>
      </c>
      <c r="D679" s="38" t="str">
        <f t="shared" si="193"/>
        <v/>
      </c>
      <c r="E679" s="38" t="str">
        <f t="shared" si="194"/>
        <v/>
      </c>
      <c r="F679" s="38" t="str">
        <f t="shared" si="195"/>
        <v/>
      </c>
      <c r="G679" s="38" t="str">
        <f t="shared" si="205"/>
        <v/>
      </c>
      <c r="H679" s="38" t="str">
        <f t="shared" si="206"/>
        <v/>
      </c>
      <c r="L679" t="str">
        <f t="shared" si="196"/>
        <v/>
      </c>
      <c r="M679" s="38" t="str">
        <f t="shared" si="197"/>
        <v/>
      </c>
      <c r="N679" s="38" t="str">
        <f t="shared" si="198"/>
        <v/>
      </c>
      <c r="O679" s="38" t="str">
        <f t="shared" si="199"/>
        <v/>
      </c>
      <c r="P679" s="38" t="str">
        <f t="shared" si="200"/>
        <v/>
      </c>
      <c r="Q679" s="38" t="str">
        <f t="shared" si="201"/>
        <v/>
      </c>
      <c r="R679" s="38" t="str">
        <f t="shared" si="202"/>
        <v/>
      </c>
      <c r="S679" s="38" t="str">
        <f t="shared" si="203"/>
        <v/>
      </c>
      <c r="T679" s="38" t="str">
        <f t="shared" si="204"/>
        <v/>
      </c>
      <c r="AF679" t="str">
        <f t="shared" si="189"/>
        <v/>
      </c>
      <c r="AG679" s="38" t="str">
        <f t="shared" si="188"/>
        <v/>
      </c>
    </row>
    <row r="680" spans="1:33" x14ac:dyDescent="0.2">
      <c r="A680" t="str">
        <f t="shared" si="190"/>
        <v/>
      </c>
      <c r="B680" s="38" t="str">
        <f t="shared" si="191"/>
        <v/>
      </c>
      <c r="C680" s="38" t="str">
        <f t="shared" si="192"/>
        <v/>
      </c>
      <c r="D680" s="38" t="str">
        <f t="shared" si="193"/>
        <v/>
      </c>
      <c r="E680" s="38" t="str">
        <f t="shared" si="194"/>
        <v/>
      </c>
      <c r="F680" s="38" t="str">
        <f t="shared" si="195"/>
        <v/>
      </c>
      <c r="G680" s="38" t="str">
        <f t="shared" si="205"/>
        <v/>
      </c>
      <c r="H680" s="38" t="str">
        <f t="shared" si="206"/>
        <v/>
      </c>
      <c r="L680" t="str">
        <f t="shared" si="196"/>
        <v/>
      </c>
      <c r="M680" s="38" t="str">
        <f t="shared" si="197"/>
        <v/>
      </c>
      <c r="N680" s="38" t="str">
        <f t="shared" si="198"/>
        <v/>
      </c>
      <c r="O680" s="38" t="str">
        <f t="shared" si="199"/>
        <v/>
      </c>
      <c r="P680" s="38" t="str">
        <f t="shared" si="200"/>
        <v/>
      </c>
      <c r="Q680" s="38" t="str">
        <f t="shared" si="201"/>
        <v/>
      </c>
      <c r="R680" s="38" t="str">
        <f t="shared" si="202"/>
        <v/>
      </c>
      <c r="S680" s="38" t="str">
        <f t="shared" si="203"/>
        <v/>
      </c>
      <c r="T680" s="38" t="str">
        <f t="shared" si="204"/>
        <v/>
      </c>
      <c r="AF680" t="str">
        <f t="shared" si="189"/>
        <v/>
      </c>
      <c r="AG680" s="38" t="str">
        <f t="shared" si="188"/>
        <v/>
      </c>
    </row>
    <row r="681" spans="1:33" x14ac:dyDescent="0.2">
      <c r="A681" t="str">
        <f t="shared" si="190"/>
        <v/>
      </c>
      <c r="B681" s="38" t="str">
        <f t="shared" si="191"/>
        <v/>
      </c>
      <c r="C681" s="38" t="str">
        <f t="shared" si="192"/>
        <v/>
      </c>
      <c r="D681" s="38" t="str">
        <f t="shared" si="193"/>
        <v/>
      </c>
      <c r="E681" s="38" t="str">
        <f t="shared" si="194"/>
        <v/>
      </c>
      <c r="F681" s="38" t="str">
        <f t="shared" si="195"/>
        <v/>
      </c>
      <c r="G681" s="38" t="str">
        <f t="shared" si="205"/>
        <v/>
      </c>
      <c r="H681" s="38" t="str">
        <f t="shared" si="206"/>
        <v/>
      </c>
      <c r="L681" t="str">
        <f t="shared" si="196"/>
        <v/>
      </c>
      <c r="M681" s="38" t="str">
        <f t="shared" si="197"/>
        <v/>
      </c>
      <c r="N681" s="38" t="str">
        <f t="shared" si="198"/>
        <v/>
      </c>
      <c r="O681" s="38" t="str">
        <f t="shared" si="199"/>
        <v/>
      </c>
      <c r="P681" s="38" t="str">
        <f t="shared" si="200"/>
        <v/>
      </c>
      <c r="Q681" s="38" t="str">
        <f t="shared" si="201"/>
        <v/>
      </c>
      <c r="R681" s="38" t="str">
        <f t="shared" si="202"/>
        <v/>
      </c>
      <c r="S681" s="38" t="str">
        <f t="shared" si="203"/>
        <v/>
      </c>
      <c r="T681" s="38" t="str">
        <f t="shared" si="204"/>
        <v/>
      </c>
      <c r="AF681" t="str">
        <f t="shared" si="189"/>
        <v/>
      </c>
      <c r="AG681" s="38" t="str">
        <f t="shared" si="188"/>
        <v/>
      </c>
    </row>
    <row r="682" spans="1:33" x14ac:dyDescent="0.2">
      <c r="A682" t="str">
        <f t="shared" si="190"/>
        <v/>
      </c>
      <c r="B682" s="38" t="str">
        <f t="shared" si="191"/>
        <v/>
      </c>
      <c r="C682" s="38" t="str">
        <f t="shared" si="192"/>
        <v/>
      </c>
      <c r="D682" s="38" t="str">
        <f t="shared" si="193"/>
        <v/>
      </c>
      <c r="E682" s="38" t="str">
        <f t="shared" si="194"/>
        <v/>
      </c>
      <c r="F682" s="38" t="str">
        <f t="shared" si="195"/>
        <v/>
      </c>
      <c r="G682" s="38" t="str">
        <f t="shared" si="205"/>
        <v/>
      </c>
      <c r="H682" s="38" t="str">
        <f t="shared" si="206"/>
        <v/>
      </c>
      <c r="L682" t="str">
        <f t="shared" si="196"/>
        <v/>
      </c>
      <c r="M682" s="38" t="str">
        <f t="shared" si="197"/>
        <v/>
      </c>
      <c r="N682" s="38" t="str">
        <f t="shared" si="198"/>
        <v/>
      </c>
      <c r="O682" s="38" t="str">
        <f t="shared" si="199"/>
        <v/>
      </c>
      <c r="P682" s="38" t="str">
        <f t="shared" si="200"/>
        <v/>
      </c>
      <c r="Q682" s="38" t="str">
        <f t="shared" si="201"/>
        <v/>
      </c>
      <c r="R682" s="38" t="str">
        <f t="shared" si="202"/>
        <v/>
      </c>
      <c r="S682" s="38" t="str">
        <f t="shared" si="203"/>
        <v/>
      </c>
      <c r="T682" s="38" t="str">
        <f t="shared" si="204"/>
        <v/>
      </c>
      <c r="AF682" t="str">
        <f t="shared" si="189"/>
        <v/>
      </c>
      <c r="AG682" s="38" t="str">
        <f t="shared" si="188"/>
        <v/>
      </c>
    </row>
    <row r="683" spans="1:33" x14ac:dyDescent="0.2">
      <c r="A683" t="str">
        <f t="shared" si="190"/>
        <v/>
      </c>
      <c r="B683" s="38" t="str">
        <f t="shared" si="191"/>
        <v/>
      </c>
      <c r="C683" s="38" t="str">
        <f t="shared" si="192"/>
        <v/>
      </c>
      <c r="D683" s="38" t="str">
        <f t="shared" si="193"/>
        <v/>
      </c>
      <c r="E683" s="38" t="str">
        <f t="shared" si="194"/>
        <v/>
      </c>
      <c r="F683" s="38" t="str">
        <f t="shared" si="195"/>
        <v/>
      </c>
      <c r="G683" s="38" t="str">
        <f t="shared" si="205"/>
        <v/>
      </c>
      <c r="H683" s="38" t="str">
        <f t="shared" si="206"/>
        <v/>
      </c>
      <c r="L683" t="str">
        <f t="shared" si="196"/>
        <v/>
      </c>
      <c r="M683" s="38" t="str">
        <f t="shared" si="197"/>
        <v/>
      </c>
      <c r="N683" s="38" t="str">
        <f t="shared" si="198"/>
        <v/>
      </c>
      <c r="O683" s="38" t="str">
        <f t="shared" si="199"/>
        <v/>
      </c>
      <c r="P683" s="38" t="str">
        <f t="shared" si="200"/>
        <v/>
      </c>
      <c r="Q683" s="38" t="str">
        <f t="shared" si="201"/>
        <v/>
      </c>
      <c r="R683" s="38" t="str">
        <f t="shared" si="202"/>
        <v/>
      </c>
      <c r="S683" s="38" t="str">
        <f t="shared" si="203"/>
        <v/>
      </c>
      <c r="T683" s="38" t="str">
        <f t="shared" si="204"/>
        <v/>
      </c>
      <c r="AF683" t="str">
        <f t="shared" si="189"/>
        <v/>
      </c>
      <c r="AG683" s="38" t="str">
        <f t="shared" si="188"/>
        <v/>
      </c>
    </row>
    <row r="684" spans="1:33" x14ac:dyDescent="0.2">
      <c r="A684" t="str">
        <f t="shared" si="190"/>
        <v/>
      </c>
      <c r="B684" s="38" t="str">
        <f t="shared" si="191"/>
        <v/>
      </c>
      <c r="C684" s="38" t="str">
        <f t="shared" si="192"/>
        <v/>
      </c>
      <c r="D684" s="38" t="str">
        <f t="shared" si="193"/>
        <v/>
      </c>
      <c r="E684" s="38" t="str">
        <f t="shared" si="194"/>
        <v/>
      </c>
      <c r="F684" s="38" t="str">
        <f t="shared" si="195"/>
        <v/>
      </c>
      <c r="G684" s="38" t="str">
        <f t="shared" si="205"/>
        <v/>
      </c>
      <c r="H684" s="38" t="str">
        <f t="shared" si="206"/>
        <v/>
      </c>
      <c r="L684" t="str">
        <f t="shared" si="196"/>
        <v/>
      </c>
      <c r="M684" s="38" t="str">
        <f t="shared" si="197"/>
        <v/>
      </c>
      <c r="N684" s="38" t="str">
        <f t="shared" si="198"/>
        <v/>
      </c>
      <c r="O684" s="38" t="str">
        <f t="shared" si="199"/>
        <v/>
      </c>
      <c r="P684" s="38" t="str">
        <f t="shared" si="200"/>
        <v/>
      </c>
      <c r="Q684" s="38" t="str">
        <f t="shared" si="201"/>
        <v/>
      </c>
      <c r="R684" s="38" t="str">
        <f t="shared" si="202"/>
        <v/>
      </c>
      <c r="S684" s="38" t="str">
        <f t="shared" si="203"/>
        <v/>
      </c>
      <c r="T684" s="38" t="str">
        <f t="shared" si="204"/>
        <v/>
      </c>
      <c r="AF684" t="str">
        <f t="shared" si="189"/>
        <v/>
      </c>
      <c r="AG684" s="38" t="str">
        <f t="shared" si="188"/>
        <v/>
      </c>
    </row>
    <row r="685" spans="1:33" x14ac:dyDescent="0.2">
      <c r="A685" t="str">
        <f t="shared" si="190"/>
        <v/>
      </c>
      <c r="B685" s="38" t="str">
        <f t="shared" si="191"/>
        <v/>
      </c>
      <c r="C685" s="38" t="str">
        <f t="shared" si="192"/>
        <v/>
      </c>
      <c r="D685" s="38" t="str">
        <f t="shared" si="193"/>
        <v/>
      </c>
      <c r="E685" s="38" t="str">
        <f t="shared" si="194"/>
        <v/>
      </c>
      <c r="F685" s="38" t="str">
        <f t="shared" si="195"/>
        <v/>
      </c>
      <c r="G685" s="38" t="str">
        <f t="shared" si="205"/>
        <v/>
      </c>
      <c r="H685" s="38" t="str">
        <f t="shared" si="206"/>
        <v/>
      </c>
      <c r="L685" t="str">
        <f t="shared" si="196"/>
        <v/>
      </c>
      <c r="M685" s="38" t="str">
        <f t="shared" si="197"/>
        <v/>
      </c>
      <c r="N685" s="38" t="str">
        <f t="shared" si="198"/>
        <v/>
      </c>
      <c r="O685" s="38" t="str">
        <f t="shared" si="199"/>
        <v/>
      </c>
      <c r="P685" s="38" t="str">
        <f t="shared" si="200"/>
        <v/>
      </c>
      <c r="Q685" s="38" t="str">
        <f t="shared" si="201"/>
        <v/>
      </c>
      <c r="R685" s="38" t="str">
        <f t="shared" si="202"/>
        <v/>
      </c>
      <c r="S685" s="38" t="str">
        <f t="shared" si="203"/>
        <v/>
      </c>
      <c r="T685" s="38" t="str">
        <f t="shared" si="204"/>
        <v/>
      </c>
      <c r="AF685" t="str">
        <f t="shared" si="189"/>
        <v/>
      </c>
      <c r="AG685" s="38" t="str">
        <f t="shared" si="188"/>
        <v/>
      </c>
    </row>
    <row r="686" spans="1:33" x14ac:dyDescent="0.2">
      <c r="A686" t="str">
        <f t="shared" si="190"/>
        <v/>
      </c>
      <c r="B686" s="38" t="str">
        <f t="shared" si="191"/>
        <v/>
      </c>
      <c r="C686" s="38" t="str">
        <f t="shared" si="192"/>
        <v/>
      </c>
      <c r="D686" s="38" t="str">
        <f t="shared" si="193"/>
        <v/>
      </c>
      <c r="E686" s="38" t="str">
        <f t="shared" si="194"/>
        <v/>
      </c>
      <c r="F686" s="38" t="str">
        <f t="shared" si="195"/>
        <v/>
      </c>
      <c r="G686" s="38" t="str">
        <f t="shared" si="205"/>
        <v/>
      </c>
      <c r="H686" s="38" t="str">
        <f t="shared" si="206"/>
        <v/>
      </c>
      <c r="L686" t="str">
        <f t="shared" si="196"/>
        <v/>
      </c>
      <c r="M686" s="38" t="str">
        <f t="shared" si="197"/>
        <v/>
      </c>
      <c r="N686" s="38" t="str">
        <f t="shared" si="198"/>
        <v/>
      </c>
      <c r="O686" s="38" t="str">
        <f t="shared" si="199"/>
        <v/>
      </c>
      <c r="P686" s="38" t="str">
        <f t="shared" si="200"/>
        <v/>
      </c>
      <c r="Q686" s="38" t="str">
        <f t="shared" si="201"/>
        <v/>
      </c>
      <c r="R686" s="38" t="str">
        <f t="shared" si="202"/>
        <v/>
      </c>
      <c r="S686" s="38" t="str">
        <f t="shared" si="203"/>
        <v/>
      </c>
      <c r="T686" s="38" t="str">
        <f t="shared" si="204"/>
        <v/>
      </c>
      <c r="AF686" t="str">
        <f t="shared" si="189"/>
        <v/>
      </c>
      <c r="AG686" s="38" t="str">
        <f t="shared" si="188"/>
        <v/>
      </c>
    </row>
    <row r="687" spans="1:33" x14ac:dyDescent="0.2">
      <c r="A687" t="str">
        <f t="shared" si="190"/>
        <v/>
      </c>
      <c r="B687" s="38" t="str">
        <f t="shared" si="191"/>
        <v/>
      </c>
      <c r="C687" s="38" t="str">
        <f t="shared" si="192"/>
        <v/>
      </c>
      <c r="D687" s="38" t="str">
        <f t="shared" si="193"/>
        <v/>
      </c>
      <c r="E687" s="38" t="str">
        <f t="shared" si="194"/>
        <v/>
      </c>
      <c r="F687" s="38" t="str">
        <f t="shared" si="195"/>
        <v/>
      </c>
      <c r="G687" s="38" t="str">
        <f t="shared" si="205"/>
        <v/>
      </c>
      <c r="H687" s="38" t="str">
        <f t="shared" si="206"/>
        <v/>
      </c>
      <c r="L687" t="str">
        <f t="shared" si="196"/>
        <v/>
      </c>
      <c r="M687" s="38" t="str">
        <f t="shared" si="197"/>
        <v/>
      </c>
      <c r="N687" s="38" t="str">
        <f t="shared" si="198"/>
        <v/>
      </c>
      <c r="O687" s="38" t="str">
        <f t="shared" si="199"/>
        <v/>
      </c>
      <c r="P687" s="38" t="str">
        <f t="shared" si="200"/>
        <v/>
      </c>
      <c r="Q687" s="38" t="str">
        <f t="shared" si="201"/>
        <v/>
      </c>
      <c r="R687" s="38" t="str">
        <f t="shared" si="202"/>
        <v/>
      </c>
      <c r="S687" s="38" t="str">
        <f t="shared" si="203"/>
        <v/>
      </c>
      <c r="T687" s="38" t="str">
        <f t="shared" si="204"/>
        <v/>
      </c>
      <c r="AF687" t="str">
        <f t="shared" si="189"/>
        <v/>
      </c>
      <c r="AG687" s="38" t="str">
        <f t="shared" si="188"/>
        <v/>
      </c>
    </row>
    <row r="688" spans="1:33" x14ac:dyDescent="0.2">
      <c r="A688" t="str">
        <f t="shared" si="190"/>
        <v/>
      </c>
      <c r="B688" s="38" t="str">
        <f t="shared" si="191"/>
        <v/>
      </c>
      <c r="C688" s="38" t="str">
        <f t="shared" si="192"/>
        <v/>
      </c>
      <c r="D688" s="38" t="str">
        <f t="shared" si="193"/>
        <v/>
      </c>
      <c r="E688" s="38" t="str">
        <f t="shared" si="194"/>
        <v/>
      </c>
      <c r="F688" s="38" t="str">
        <f t="shared" si="195"/>
        <v/>
      </c>
      <c r="G688" s="38" t="str">
        <f t="shared" si="205"/>
        <v/>
      </c>
      <c r="H688" s="38" t="str">
        <f t="shared" si="206"/>
        <v/>
      </c>
      <c r="L688" t="str">
        <f t="shared" si="196"/>
        <v/>
      </c>
      <c r="M688" s="38" t="str">
        <f t="shared" si="197"/>
        <v/>
      </c>
      <c r="N688" s="38" t="str">
        <f t="shared" si="198"/>
        <v/>
      </c>
      <c r="O688" s="38" t="str">
        <f t="shared" si="199"/>
        <v/>
      </c>
      <c r="P688" s="38" t="str">
        <f t="shared" si="200"/>
        <v/>
      </c>
      <c r="Q688" s="38" t="str">
        <f t="shared" si="201"/>
        <v/>
      </c>
      <c r="R688" s="38" t="str">
        <f t="shared" si="202"/>
        <v/>
      </c>
      <c r="S688" s="38" t="str">
        <f t="shared" si="203"/>
        <v/>
      </c>
      <c r="T688" s="38" t="str">
        <f t="shared" si="204"/>
        <v/>
      </c>
      <c r="AF688" t="str">
        <f t="shared" si="189"/>
        <v/>
      </c>
      <c r="AG688" s="38" t="str">
        <f t="shared" si="188"/>
        <v/>
      </c>
    </row>
    <row r="689" spans="1:33" x14ac:dyDescent="0.2">
      <c r="A689" t="str">
        <f t="shared" si="190"/>
        <v/>
      </c>
      <c r="B689" s="38" t="str">
        <f t="shared" si="191"/>
        <v/>
      </c>
      <c r="C689" s="38" t="str">
        <f t="shared" si="192"/>
        <v/>
      </c>
      <c r="D689" s="38" t="str">
        <f t="shared" si="193"/>
        <v/>
      </c>
      <c r="E689" s="38" t="str">
        <f t="shared" si="194"/>
        <v/>
      </c>
      <c r="F689" s="38" t="str">
        <f t="shared" si="195"/>
        <v/>
      </c>
      <c r="G689" s="38" t="str">
        <f t="shared" si="205"/>
        <v/>
      </c>
      <c r="H689" s="38" t="str">
        <f t="shared" si="206"/>
        <v/>
      </c>
      <c r="L689" t="str">
        <f t="shared" si="196"/>
        <v/>
      </c>
      <c r="M689" s="38" t="str">
        <f t="shared" si="197"/>
        <v/>
      </c>
      <c r="N689" s="38" t="str">
        <f t="shared" si="198"/>
        <v/>
      </c>
      <c r="O689" s="38" t="str">
        <f t="shared" si="199"/>
        <v/>
      </c>
      <c r="P689" s="38" t="str">
        <f t="shared" si="200"/>
        <v/>
      </c>
      <c r="Q689" s="38" t="str">
        <f t="shared" si="201"/>
        <v/>
      </c>
      <c r="R689" s="38" t="str">
        <f t="shared" si="202"/>
        <v/>
      </c>
      <c r="S689" s="38" t="str">
        <f t="shared" si="203"/>
        <v/>
      </c>
      <c r="T689" s="38" t="str">
        <f t="shared" si="204"/>
        <v/>
      </c>
      <c r="AF689" t="str">
        <f t="shared" si="189"/>
        <v/>
      </c>
      <c r="AG689" s="38" t="str">
        <f t="shared" si="188"/>
        <v/>
      </c>
    </row>
    <row r="690" spans="1:33" x14ac:dyDescent="0.2">
      <c r="A690" t="str">
        <f t="shared" si="190"/>
        <v/>
      </c>
      <c r="B690" s="38" t="str">
        <f t="shared" si="191"/>
        <v/>
      </c>
      <c r="C690" s="38" t="str">
        <f t="shared" si="192"/>
        <v/>
      </c>
      <c r="D690" s="38" t="str">
        <f t="shared" si="193"/>
        <v/>
      </c>
      <c r="E690" s="38" t="str">
        <f t="shared" si="194"/>
        <v/>
      </c>
      <c r="F690" s="38" t="str">
        <f t="shared" si="195"/>
        <v/>
      </c>
      <c r="G690" s="38" t="str">
        <f t="shared" si="205"/>
        <v/>
      </c>
      <c r="H690" s="38" t="str">
        <f t="shared" si="206"/>
        <v/>
      </c>
      <c r="L690" t="str">
        <f t="shared" si="196"/>
        <v/>
      </c>
      <c r="M690" s="38" t="str">
        <f t="shared" si="197"/>
        <v/>
      </c>
      <c r="N690" s="38" t="str">
        <f t="shared" si="198"/>
        <v/>
      </c>
      <c r="O690" s="38" t="str">
        <f t="shared" si="199"/>
        <v/>
      </c>
      <c r="P690" s="38" t="str">
        <f t="shared" si="200"/>
        <v/>
      </c>
      <c r="Q690" s="38" t="str">
        <f t="shared" si="201"/>
        <v/>
      </c>
      <c r="R690" s="38" t="str">
        <f t="shared" si="202"/>
        <v/>
      </c>
      <c r="S690" s="38" t="str">
        <f t="shared" si="203"/>
        <v/>
      </c>
      <c r="T690" s="38" t="str">
        <f t="shared" si="204"/>
        <v/>
      </c>
      <c r="AF690" t="str">
        <f t="shared" si="189"/>
        <v/>
      </c>
      <c r="AG690" s="38" t="str">
        <f t="shared" si="188"/>
        <v/>
      </c>
    </row>
    <row r="691" spans="1:33" x14ac:dyDescent="0.2">
      <c r="A691" t="str">
        <f t="shared" si="190"/>
        <v/>
      </c>
      <c r="B691" s="38" t="str">
        <f t="shared" si="191"/>
        <v/>
      </c>
      <c r="C691" s="38" t="str">
        <f t="shared" si="192"/>
        <v/>
      </c>
      <c r="D691" s="38" t="str">
        <f t="shared" si="193"/>
        <v/>
      </c>
      <c r="E691" s="38" t="str">
        <f t="shared" si="194"/>
        <v/>
      </c>
      <c r="F691" s="38" t="str">
        <f t="shared" si="195"/>
        <v/>
      </c>
      <c r="G691" s="38" t="str">
        <f t="shared" si="205"/>
        <v/>
      </c>
      <c r="H691" s="38" t="str">
        <f t="shared" si="206"/>
        <v/>
      </c>
      <c r="L691" t="str">
        <f t="shared" si="196"/>
        <v/>
      </c>
      <c r="M691" s="38" t="str">
        <f t="shared" si="197"/>
        <v/>
      </c>
      <c r="N691" s="38" t="str">
        <f t="shared" si="198"/>
        <v/>
      </c>
      <c r="O691" s="38" t="str">
        <f t="shared" si="199"/>
        <v/>
      </c>
      <c r="P691" s="38" t="str">
        <f t="shared" si="200"/>
        <v/>
      </c>
      <c r="Q691" s="38" t="str">
        <f t="shared" si="201"/>
        <v/>
      </c>
      <c r="R691" s="38" t="str">
        <f t="shared" si="202"/>
        <v/>
      </c>
      <c r="S691" s="38" t="str">
        <f t="shared" si="203"/>
        <v/>
      </c>
      <c r="T691" s="38" t="str">
        <f t="shared" si="204"/>
        <v/>
      </c>
      <c r="AF691" t="str">
        <f t="shared" si="189"/>
        <v/>
      </c>
      <c r="AG691" s="38" t="str">
        <f t="shared" si="188"/>
        <v/>
      </c>
    </row>
    <row r="692" spans="1:33" x14ac:dyDescent="0.2">
      <c r="A692" t="str">
        <f t="shared" si="190"/>
        <v/>
      </c>
      <c r="B692" s="38" t="str">
        <f t="shared" si="191"/>
        <v/>
      </c>
      <c r="C692" s="38" t="str">
        <f t="shared" si="192"/>
        <v/>
      </c>
      <c r="D692" s="38" t="str">
        <f t="shared" si="193"/>
        <v/>
      </c>
      <c r="E692" s="38" t="str">
        <f t="shared" si="194"/>
        <v/>
      </c>
      <c r="F692" s="38" t="str">
        <f t="shared" si="195"/>
        <v/>
      </c>
      <c r="G692" s="38" t="str">
        <f t="shared" si="205"/>
        <v/>
      </c>
      <c r="H692" s="38" t="str">
        <f t="shared" si="206"/>
        <v/>
      </c>
      <c r="L692" t="str">
        <f t="shared" si="196"/>
        <v/>
      </c>
      <c r="M692" s="38" t="str">
        <f t="shared" si="197"/>
        <v/>
      </c>
      <c r="N692" s="38" t="str">
        <f t="shared" si="198"/>
        <v/>
      </c>
      <c r="O692" s="38" t="str">
        <f t="shared" si="199"/>
        <v/>
      </c>
      <c r="P692" s="38" t="str">
        <f t="shared" si="200"/>
        <v/>
      </c>
      <c r="Q692" s="38" t="str">
        <f t="shared" si="201"/>
        <v/>
      </c>
      <c r="R692" s="38" t="str">
        <f t="shared" si="202"/>
        <v/>
      </c>
      <c r="S692" s="38" t="str">
        <f t="shared" si="203"/>
        <v/>
      </c>
      <c r="T692" s="38" t="str">
        <f t="shared" si="204"/>
        <v/>
      </c>
      <c r="AF692" t="str">
        <f t="shared" si="189"/>
        <v/>
      </c>
      <c r="AG692" s="38" t="str">
        <f t="shared" si="188"/>
        <v/>
      </c>
    </row>
    <row r="693" spans="1:33" x14ac:dyDescent="0.2">
      <c r="A693" t="str">
        <f t="shared" si="190"/>
        <v/>
      </c>
      <c r="B693" s="38" t="str">
        <f t="shared" si="191"/>
        <v/>
      </c>
      <c r="C693" s="38" t="str">
        <f t="shared" si="192"/>
        <v/>
      </c>
      <c r="D693" s="38" t="str">
        <f t="shared" si="193"/>
        <v/>
      </c>
      <c r="E693" s="38" t="str">
        <f t="shared" si="194"/>
        <v/>
      </c>
      <c r="F693" s="38" t="str">
        <f t="shared" si="195"/>
        <v/>
      </c>
      <c r="G693" s="38" t="str">
        <f t="shared" si="205"/>
        <v/>
      </c>
      <c r="H693" s="38" t="str">
        <f t="shared" si="206"/>
        <v/>
      </c>
      <c r="L693" t="str">
        <f t="shared" si="196"/>
        <v/>
      </c>
      <c r="M693" s="38" t="str">
        <f t="shared" si="197"/>
        <v/>
      </c>
      <c r="N693" s="38" t="str">
        <f t="shared" si="198"/>
        <v/>
      </c>
      <c r="O693" s="38" t="str">
        <f t="shared" si="199"/>
        <v/>
      </c>
      <c r="P693" s="38" t="str">
        <f t="shared" si="200"/>
        <v/>
      </c>
      <c r="Q693" s="38" t="str">
        <f t="shared" si="201"/>
        <v/>
      </c>
      <c r="R693" s="38" t="str">
        <f t="shared" si="202"/>
        <v/>
      </c>
      <c r="S693" s="38" t="str">
        <f t="shared" si="203"/>
        <v/>
      </c>
      <c r="T693" s="38" t="str">
        <f t="shared" si="204"/>
        <v/>
      </c>
      <c r="AF693" t="str">
        <f t="shared" si="189"/>
        <v/>
      </c>
      <c r="AG693" s="38" t="str">
        <f t="shared" si="188"/>
        <v/>
      </c>
    </row>
    <row r="694" spans="1:33" x14ac:dyDescent="0.2">
      <c r="A694" t="str">
        <f t="shared" si="190"/>
        <v/>
      </c>
      <c r="B694" s="38" t="str">
        <f t="shared" si="191"/>
        <v/>
      </c>
      <c r="C694" s="38" t="str">
        <f t="shared" si="192"/>
        <v/>
      </c>
      <c r="D694" s="38" t="str">
        <f t="shared" si="193"/>
        <v/>
      </c>
      <c r="E694" s="38" t="str">
        <f t="shared" si="194"/>
        <v/>
      </c>
      <c r="F694" s="38" t="str">
        <f t="shared" si="195"/>
        <v/>
      </c>
      <c r="G694" s="38" t="str">
        <f t="shared" si="205"/>
        <v/>
      </c>
      <c r="H694" s="38" t="str">
        <f t="shared" si="206"/>
        <v/>
      </c>
      <c r="L694" t="str">
        <f t="shared" si="196"/>
        <v/>
      </c>
      <c r="M694" s="38" t="str">
        <f t="shared" si="197"/>
        <v/>
      </c>
      <c r="N694" s="38" t="str">
        <f t="shared" si="198"/>
        <v/>
      </c>
      <c r="O694" s="38" t="str">
        <f t="shared" si="199"/>
        <v/>
      </c>
      <c r="P694" s="38" t="str">
        <f t="shared" si="200"/>
        <v/>
      </c>
      <c r="Q694" s="38" t="str">
        <f t="shared" si="201"/>
        <v/>
      </c>
      <c r="R694" s="38" t="str">
        <f t="shared" si="202"/>
        <v/>
      </c>
      <c r="S694" s="38" t="str">
        <f t="shared" si="203"/>
        <v/>
      </c>
      <c r="T694" s="38" t="str">
        <f t="shared" si="204"/>
        <v/>
      </c>
      <c r="AF694" t="str">
        <f t="shared" si="189"/>
        <v/>
      </c>
      <c r="AG694" s="38" t="str">
        <f t="shared" si="188"/>
        <v/>
      </c>
    </row>
    <row r="695" spans="1:33" x14ac:dyDescent="0.2">
      <c r="A695" t="str">
        <f t="shared" si="190"/>
        <v/>
      </c>
      <c r="B695" s="38" t="str">
        <f t="shared" si="191"/>
        <v/>
      </c>
      <c r="C695" s="38" t="str">
        <f t="shared" si="192"/>
        <v/>
      </c>
      <c r="D695" s="38" t="str">
        <f t="shared" si="193"/>
        <v/>
      </c>
      <c r="E695" s="38" t="str">
        <f t="shared" si="194"/>
        <v/>
      </c>
      <c r="F695" s="38" t="str">
        <f t="shared" si="195"/>
        <v/>
      </c>
      <c r="G695" s="38" t="str">
        <f t="shared" si="205"/>
        <v/>
      </c>
      <c r="H695" s="38" t="str">
        <f t="shared" si="206"/>
        <v/>
      </c>
      <c r="L695" t="str">
        <f t="shared" si="196"/>
        <v/>
      </c>
      <c r="M695" s="38" t="str">
        <f t="shared" si="197"/>
        <v/>
      </c>
      <c r="N695" s="38" t="str">
        <f t="shared" si="198"/>
        <v/>
      </c>
      <c r="O695" s="38" t="str">
        <f t="shared" si="199"/>
        <v/>
      </c>
      <c r="P695" s="38" t="str">
        <f t="shared" si="200"/>
        <v/>
      </c>
      <c r="Q695" s="38" t="str">
        <f t="shared" si="201"/>
        <v/>
      </c>
      <c r="R695" s="38" t="str">
        <f t="shared" si="202"/>
        <v/>
      </c>
      <c r="S695" s="38" t="str">
        <f t="shared" si="203"/>
        <v/>
      </c>
      <c r="T695" s="38" t="str">
        <f t="shared" si="204"/>
        <v/>
      </c>
      <c r="AF695" t="str">
        <f t="shared" si="189"/>
        <v/>
      </c>
      <c r="AG695" s="38" t="str">
        <f t="shared" si="188"/>
        <v/>
      </c>
    </row>
    <row r="696" spans="1:33" x14ac:dyDescent="0.2">
      <c r="A696" t="str">
        <f t="shared" si="190"/>
        <v/>
      </c>
      <c r="B696" s="38" t="str">
        <f t="shared" si="191"/>
        <v/>
      </c>
      <c r="C696" s="38" t="str">
        <f t="shared" si="192"/>
        <v/>
      </c>
      <c r="D696" s="38" t="str">
        <f t="shared" si="193"/>
        <v/>
      </c>
      <c r="E696" s="38" t="str">
        <f t="shared" si="194"/>
        <v/>
      </c>
      <c r="F696" s="38" t="str">
        <f t="shared" si="195"/>
        <v/>
      </c>
      <c r="G696" s="38" t="str">
        <f t="shared" si="205"/>
        <v/>
      </c>
      <c r="H696" s="38" t="str">
        <f t="shared" si="206"/>
        <v/>
      </c>
      <c r="L696" t="str">
        <f t="shared" si="196"/>
        <v/>
      </c>
      <c r="M696" s="38" t="str">
        <f t="shared" si="197"/>
        <v/>
      </c>
      <c r="N696" s="38" t="str">
        <f t="shared" si="198"/>
        <v/>
      </c>
      <c r="O696" s="38" t="str">
        <f t="shared" si="199"/>
        <v/>
      </c>
      <c r="P696" s="38" t="str">
        <f t="shared" si="200"/>
        <v/>
      </c>
      <c r="Q696" s="38" t="str">
        <f t="shared" si="201"/>
        <v/>
      </c>
      <c r="R696" s="38" t="str">
        <f t="shared" si="202"/>
        <v/>
      </c>
      <c r="S696" s="38" t="str">
        <f t="shared" si="203"/>
        <v/>
      </c>
      <c r="T696" s="38" t="str">
        <f t="shared" si="204"/>
        <v/>
      </c>
      <c r="AF696" t="str">
        <f t="shared" si="189"/>
        <v/>
      </c>
      <c r="AG696" s="38" t="str">
        <f t="shared" si="188"/>
        <v/>
      </c>
    </row>
    <row r="697" spans="1:33" x14ac:dyDescent="0.2">
      <c r="A697" t="str">
        <f t="shared" si="190"/>
        <v/>
      </c>
      <c r="B697" s="38" t="str">
        <f t="shared" si="191"/>
        <v/>
      </c>
      <c r="C697" s="38" t="str">
        <f t="shared" si="192"/>
        <v/>
      </c>
      <c r="D697" s="38" t="str">
        <f t="shared" si="193"/>
        <v/>
      </c>
      <c r="E697" s="38" t="str">
        <f t="shared" si="194"/>
        <v/>
      </c>
      <c r="F697" s="38" t="str">
        <f t="shared" si="195"/>
        <v/>
      </c>
      <c r="G697" s="38" t="str">
        <f t="shared" si="205"/>
        <v/>
      </c>
      <c r="H697" s="38" t="str">
        <f t="shared" si="206"/>
        <v/>
      </c>
      <c r="L697" t="str">
        <f t="shared" si="196"/>
        <v/>
      </c>
      <c r="M697" s="38" t="str">
        <f t="shared" si="197"/>
        <v/>
      </c>
      <c r="N697" s="38" t="str">
        <f t="shared" si="198"/>
        <v/>
      </c>
      <c r="O697" s="38" t="str">
        <f t="shared" si="199"/>
        <v/>
      </c>
      <c r="P697" s="38" t="str">
        <f t="shared" si="200"/>
        <v/>
      </c>
      <c r="Q697" s="38" t="str">
        <f t="shared" si="201"/>
        <v/>
      </c>
      <c r="R697" s="38" t="str">
        <f t="shared" si="202"/>
        <v/>
      </c>
      <c r="S697" s="38" t="str">
        <f t="shared" si="203"/>
        <v/>
      </c>
      <c r="T697" s="38" t="str">
        <f t="shared" si="204"/>
        <v/>
      </c>
      <c r="AF697" t="str">
        <f t="shared" si="189"/>
        <v/>
      </c>
      <c r="AG697" s="38" t="str">
        <f t="shared" si="188"/>
        <v/>
      </c>
    </row>
    <row r="698" spans="1:33" x14ac:dyDescent="0.2">
      <c r="A698" t="str">
        <f t="shared" si="190"/>
        <v/>
      </c>
      <c r="B698" s="38" t="str">
        <f t="shared" si="191"/>
        <v/>
      </c>
      <c r="C698" s="38" t="str">
        <f t="shared" si="192"/>
        <v/>
      </c>
      <c r="D698" s="38" t="str">
        <f t="shared" si="193"/>
        <v/>
      </c>
      <c r="E698" s="38" t="str">
        <f t="shared" si="194"/>
        <v/>
      </c>
      <c r="F698" s="38" t="str">
        <f t="shared" si="195"/>
        <v/>
      </c>
      <c r="G698" s="38" t="str">
        <f t="shared" si="205"/>
        <v/>
      </c>
      <c r="H698" s="38" t="str">
        <f t="shared" si="206"/>
        <v/>
      </c>
      <c r="L698" t="str">
        <f t="shared" si="196"/>
        <v/>
      </c>
      <c r="M698" s="38" t="str">
        <f t="shared" si="197"/>
        <v/>
      </c>
      <c r="N698" s="38" t="str">
        <f t="shared" si="198"/>
        <v/>
      </c>
      <c r="O698" s="38" t="str">
        <f t="shared" si="199"/>
        <v/>
      </c>
      <c r="P698" s="38" t="str">
        <f t="shared" si="200"/>
        <v/>
      </c>
      <c r="Q698" s="38" t="str">
        <f t="shared" si="201"/>
        <v/>
      </c>
      <c r="R698" s="38" t="str">
        <f t="shared" si="202"/>
        <v/>
      </c>
      <c r="S698" s="38" t="str">
        <f t="shared" si="203"/>
        <v/>
      </c>
      <c r="T698" s="38" t="str">
        <f t="shared" si="204"/>
        <v/>
      </c>
      <c r="AF698" t="str">
        <f t="shared" si="189"/>
        <v/>
      </c>
      <c r="AG698" s="38" t="str">
        <f t="shared" si="188"/>
        <v/>
      </c>
    </row>
    <row r="699" spans="1:33" x14ac:dyDescent="0.2">
      <c r="A699" t="str">
        <f t="shared" si="190"/>
        <v/>
      </c>
      <c r="B699" s="38" t="str">
        <f t="shared" si="191"/>
        <v/>
      </c>
      <c r="C699" s="38" t="str">
        <f t="shared" si="192"/>
        <v/>
      </c>
      <c r="D699" s="38" t="str">
        <f t="shared" si="193"/>
        <v/>
      </c>
      <c r="E699" s="38" t="str">
        <f t="shared" si="194"/>
        <v/>
      </c>
      <c r="F699" s="38" t="str">
        <f t="shared" si="195"/>
        <v/>
      </c>
      <c r="G699" s="38" t="str">
        <f t="shared" si="205"/>
        <v/>
      </c>
      <c r="H699" s="38" t="str">
        <f t="shared" si="206"/>
        <v/>
      </c>
      <c r="L699" t="str">
        <f t="shared" si="196"/>
        <v/>
      </c>
      <c r="M699" s="38" t="str">
        <f t="shared" si="197"/>
        <v/>
      </c>
      <c r="N699" s="38" t="str">
        <f t="shared" si="198"/>
        <v/>
      </c>
      <c r="O699" s="38" t="str">
        <f t="shared" si="199"/>
        <v/>
      </c>
      <c r="P699" s="38" t="str">
        <f t="shared" si="200"/>
        <v/>
      </c>
      <c r="Q699" s="38" t="str">
        <f t="shared" si="201"/>
        <v/>
      </c>
      <c r="R699" s="38" t="str">
        <f t="shared" si="202"/>
        <v/>
      </c>
      <c r="S699" s="38" t="str">
        <f t="shared" si="203"/>
        <v/>
      </c>
      <c r="T699" s="38" t="str">
        <f t="shared" si="204"/>
        <v/>
      </c>
      <c r="AF699" t="str">
        <f t="shared" si="189"/>
        <v/>
      </c>
      <c r="AG699" s="38" t="str">
        <f t="shared" si="188"/>
        <v/>
      </c>
    </row>
    <row r="700" spans="1:33" x14ac:dyDescent="0.2">
      <c r="A700" t="str">
        <f t="shared" si="190"/>
        <v/>
      </c>
      <c r="B700" s="38" t="str">
        <f t="shared" si="191"/>
        <v/>
      </c>
      <c r="C700" s="38" t="str">
        <f t="shared" si="192"/>
        <v/>
      </c>
      <c r="D700" s="38" t="str">
        <f t="shared" si="193"/>
        <v/>
      </c>
      <c r="E700" s="38" t="str">
        <f t="shared" si="194"/>
        <v/>
      </c>
      <c r="F700" s="38" t="str">
        <f t="shared" si="195"/>
        <v/>
      </c>
      <c r="G700" s="38" t="str">
        <f t="shared" si="205"/>
        <v/>
      </c>
      <c r="H700" s="38" t="str">
        <f t="shared" si="206"/>
        <v/>
      </c>
      <c r="L700" t="str">
        <f t="shared" si="196"/>
        <v/>
      </c>
      <c r="M700" s="38" t="str">
        <f t="shared" si="197"/>
        <v/>
      </c>
      <c r="N700" s="38" t="str">
        <f t="shared" si="198"/>
        <v/>
      </c>
      <c r="O700" s="38" t="str">
        <f t="shared" si="199"/>
        <v/>
      </c>
      <c r="P700" s="38" t="str">
        <f t="shared" si="200"/>
        <v/>
      </c>
      <c r="Q700" s="38" t="str">
        <f t="shared" si="201"/>
        <v/>
      </c>
      <c r="R700" s="38" t="str">
        <f t="shared" si="202"/>
        <v/>
      </c>
      <c r="S700" s="38" t="str">
        <f t="shared" si="203"/>
        <v/>
      </c>
      <c r="T700" s="38" t="str">
        <f t="shared" si="204"/>
        <v/>
      </c>
      <c r="AF700" t="str">
        <f t="shared" si="189"/>
        <v/>
      </c>
      <c r="AG700" s="38" t="str">
        <f t="shared" si="188"/>
        <v/>
      </c>
    </row>
    <row r="701" spans="1:33" x14ac:dyDescent="0.2">
      <c r="A701" t="str">
        <f t="shared" si="190"/>
        <v/>
      </c>
      <c r="B701" s="38" t="str">
        <f t="shared" si="191"/>
        <v/>
      </c>
      <c r="C701" s="38" t="str">
        <f t="shared" si="192"/>
        <v/>
      </c>
      <c r="D701" s="38" t="str">
        <f t="shared" si="193"/>
        <v/>
      </c>
      <c r="E701" s="38" t="str">
        <f t="shared" si="194"/>
        <v/>
      </c>
      <c r="F701" s="38" t="str">
        <f t="shared" si="195"/>
        <v/>
      </c>
      <c r="G701" s="38" t="str">
        <f t="shared" si="205"/>
        <v/>
      </c>
      <c r="H701" s="38" t="str">
        <f t="shared" si="206"/>
        <v/>
      </c>
      <c r="L701" t="str">
        <f t="shared" si="196"/>
        <v/>
      </c>
      <c r="M701" s="38" t="str">
        <f t="shared" si="197"/>
        <v/>
      </c>
      <c r="N701" s="38" t="str">
        <f t="shared" si="198"/>
        <v/>
      </c>
      <c r="O701" s="38" t="str">
        <f t="shared" si="199"/>
        <v/>
      </c>
      <c r="P701" s="38" t="str">
        <f t="shared" si="200"/>
        <v/>
      </c>
      <c r="Q701" s="38" t="str">
        <f t="shared" si="201"/>
        <v/>
      </c>
      <c r="R701" s="38" t="str">
        <f t="shared" si="202"/>
        <v/>
      </c>
      <c r="S701" s="38" t="str">
        <f t="shared" si="203"/>
        <v/>
      </c>
      <c r="T701" s="38" t="str">
        <f t="shared" si="204"/>
        <v/>
      </c>
      <c r="AF701" t="str">
        <f t="shared" si="189"/>
        <v/>
      </c>
      <c r="AG701" s="38" t="str">
        <f t="shared" si="188"/>
        <v/>
      </c>
    </row>
    <row r="702" spans="1:33" x14ac:dyDescent="0.2">
      <c r="A702" t="str">
        <f t="shared" si="190"/>
        <v/>
      </c>
      <c r="B702" s="38" t="str">
        <f t="shared" si="191"/>
        <v/>
      </c>
      <c r="C702" s="38" t="str">
        <f t="shared" si="192"/>
        <v/>
      </c>
      <c r="D702" s="38" t="str">
        <f t="shared" si="193"/>
        <v/>
      </c>
      <c r="E702" s="38" t="str">
        <f t="shared" si="194"/>
        <v/>
      </c>
      <c r="F702" s="38" t="str">
        <f t="shared" si="195"/>
        <v/>
      </c>
      <c r="G702" s="38" t="str">
        <f t="shared" si="205"/>
        <v/>
      </c>
      <c r="H702" s="38" t="str">
        <f t="shared" si="206"/>
        <v/>
      </c>
      <c r="L702" t="str">
        <f t="shared" si="196"/>
        <v/>
      </c>
      <c r="M702" s="38" t="str">
        <f t="shared" si="197"/>
        <v/>
      </c>
      <c r="N702" s="38" t="str">
        <f t="shared" si="198"/>
        <v/>
      </c>
      <c r="O702" s="38" t="str">
        <f t="shared" si="199"/>
        <v/>
      </c>
      <c r="P702" s="38" t="str">
        <f t="shared" si="200"/>
        <v/>
      </c>
      <c r="Q702" s="38" t="str">
        <f t="shared" si="201"/>
        <v/>
      </c>
      <c r="R702" s="38" t="str">
        <f t="shared" si="202"/>
        <v/>
      </c>
      <c r="S702" s="38" t="str">
        <f t="shared" si="203"/>
        <v/>
      </c>
      <c r="T702" s="38" t="str">
        <f t="shared" si="204"/>
        <v/>
      </c>
      <c r="AF702" t="str">
        <f t="shared" si="189"/>
        <v/>
      </c>
      <c r="AG702" s="38" t="str">
        <f t="shared" si="188"/>
        <v/>
      </c>
    </row>
    <row r="703" spans="1:33" x14ac:dyDescent="0.2">
      <c r="A703" t="str">
        <f t="shared" si="190"/>
        <v/>
      </c>
      <c r="B703" s="38" t="str">
        <f t="shared" si="191"/>
        <v/>
      </c>
      <c r="C703" s="38" t="str">
        <f t="shared" si="192"/>
        <v/>
      </c>
      <c r="D703" s="38" t="str">
        <f t="shared" si="193"/>
        <v/>
      </c>
      <c r="E703" s="38" t="str">
        <f t="shared" si="194"/>
        <v/>
      </c>
      <c r="F703" s="38" t="str">
        <f t="shared" si="195"/>
        <v/>
      </c>
      <c r="G703" s="38" t="str">
        <f t="shared" si="205"/>
        <v/>
      </c>
      <c r="H703" s="38" t="str">
        <f t="shared" si="206"/>
        <v/>
      </c>
      <c r="L703" t="str">
        <f t="shared" si="196"/>
        <v/>
      </c>
      <c r="M703" s="38" t="str">
        <f t="shared" si="197"/>
        <v/>
      </c>
      <c r="N703" s="38" t="str">
        <f t="shared" si="198"/>
        <v/>
      </c>
      <c r="O703" s="38" t="str">
        <f t="shared" si="199"/>
        <v/>
      </c>
      <c r="P703" s="38" t="str">
        <f t="shared" si="200"/>
        <v/>
      </c>
      <c r="Q703" s="38" t="str">
        <f t="shared" si="201"/>
        <v/>
      </c>
      <c r="R703" s="38" t="str">
        <f t="shared" si="202"/>
        <v/>
      </c>
      <c r="S703" s="38" t="str">
        <f t="shared" si="203"/>
        <v/>
      </c>
      <c r="T703" s="38" t="str">
        <f t="shared" si="204"/>
        <v/>
      </c>
      <c r="AF703" t="str">
        <f t="shared" si="189"/>
        <v/>
      </c>
      <c r="AG703" s="38" t="str">
        <f t="shared" si="188"/>
        <v/>
      </c>
    </row>
    <row r="704" spans="1:33" x14ac:dyDescent="0.2">
      <c r="A704" t="str">
        <f t="shared" si="190"/>
        <v/>
      </c>
      <c r="B704" s="38" t="str">
        <f t="shared" si="191"/>
        <v/>
      </c>
      <c r="C704" s="38" t="str">
        <f t="shared" si="192"/>
        <v/>
      </c>
      <c r="D704" s="38" t="str">
        <f t="shared" si="193"/>
        <v/>
      </c>
      <c r="E704" s="38" t="str">
        <f t="shared" si="194"/>
        <v/>
      </c>
      <c r="F704" s="38" t="str">
        <f t="shared" si="195"/>
        <v/>
      </c>
      <c r="G704" s="38" t="str">
        <f t="shared" si="205"/>
        <v/>
      </c>
      <c r="H704" s="38" t="str">
        <f t="shared" si="206"/>
        <v/>
      </c>
      <c r="L704" t="str">
        <f t="shared" si="196"/>
        <v/>
      </c>
      <c r="M704" s="38" t="str">
        <f t="shared" si="197"/>
        <v/>
      </c>
      <c r="N704" s="38" t="str">
        <f t="shared" si="198"/>
        <v/>
      </c>
      <c r="O704" s="38" t="str">
        <f t="shared" si="199"/>
        <v/>
      </c>
      <c r="P704" s="38" t="str">
        <f t="shared" si="200"/>
        <v/>
      </c>
      <c r="Q704" s="38" t="str">
        <f t="shared" si="201"/>
        <v/>
      </c>
      <c r="R704" s="38" t="str">
        <f t="shared" si="202"/>
        <v/>
      </c>
      <c r="S704" s="38" t="str">
        <f t="shared" si="203"/>
        <v/>
      </c>
      <c r="T704" s="38" t="str">
        <f t="shared" si="204"/>
        <v/>
      </c>
      <c r="AF704" t="str">
        <f t="shared" si="189"/>
        <v/>
      </c>
      <c r="AG704" s="38" t="str">
        <f t="shared" si="188"/>
        <v/>
      </c>
    </row>
    <row r="705" spans="1:33" x14ac:dyDescent="0.2">
      <c r="A705" t="str">
        <f t="shared" si="190"/>
        <v/>
      </c>
      <c r="B705" s="38" t="str">
        <f t="shared" si="191"/>
        <v/>
      </c>
      <c r="C705" s="38" t="str">
        <f t="shared" si="192"/>
        <v/>
      </c>
      <c r="D705" s="38" t="str">
        <f t="shared" si="193"/>
        <v/>
      </c>
      <c r="E705" s="38" t="str">
        <f t="shared" si="194"/>
        <v/>
      </c>
      <c r="F705" s="38" t="str">
        <f t="shared" si="195"/>
        <v/>
      </c>
      <c r="G705" s="38" t="str">
        <f t="shared" si="205"/>
        <v/>
      </c>
      <c r="H705" s="38" t="str">
        <f t="shared" si="206"/>
        <v/>
      </c>
      <c r="L705" t="str">
        <f t="shared" si="196"/>
        <v/>
      </c>
      <c r="M705" s="38" t="str">
        <f t="shared" si="197"/>
        <v/>
      </c>
      <c r="N705" s="38" t="str">
        <f t="shared" si="198"/>
        <v/>
      </c>
      <c r="O705" s="38" t="str">
        <f t="shared" si="199"/>
        <v/>
      </c>
      <c r="P705" s="38" t="str">
        <f t="shared" si="200"/>
        <v/>
      </c>
      <c r="Q705" s="38" t="str">
        <f t="shared" si="201"/>
        <v/>
      </c>
      <c r="R705" s="38" t="str">
        <f t="shared" si="202"/>
        <v/>
      </c>
      <c r="S705" s="38" t="str">
        <f t="shared" si="203"/>
        <v/>
      </c>
      <c r="T705" s="38" t="str">
        <f t="shared" si="204"/>
        <v/>
      </c>
      <c r="AF705" t="str">
        <f t="shared" si="189"/>
        <v/>
      </c>
      <c r="AG705" s="38" t="str">
        <f t="shared" si="188"/>
        <v/>
      </c>
    </row>
    <row r="706" spans="1:33" x14ac:dyDescent="0.2">
      <c r="A706" t="str">
        <f t="shared" si="190"/>
        <v/>
      </c>
      <c r="B706" s="38" t="str">
        <f t="shared" si="191"/>
        <v/>
      </c>
      <c r="C706" s="38" t="str">
        <f t="shared" si="192"/>
        <v/>
      </c>
      <c r="D706" s="38" t="str">
        <f t="shared" si="193"/>
        <v/>
      </c>
      <c r="E706" s="38" t="str">
        <f t="shared" si="194"/>
        <v/>
      </c>
      <c r="F706" s="38" t="str">
        <f t="shared" si="195"/>
        <v/>
      </c>
      <c r="G706" s="38" t="str">
        <f t="shared" si="205"/>
        <v/>
      </c>
      <c r="H706" s="38" t="str">
        <f t="shared" si="206"/>
        <v/>
      </c>
      <c r="L706" t="str">
        <f t="shared" si="196"/>
        <v/>
      </c>
      <c r="M706" s="38" t="str">
        <f t="shared" si="197"/>
        <v/>
      </c>
      <c r="N706" s="38" t="str">
        <f t="shared" si="198"/>
        <v/>
      </c>
      <c r="O706" s="38" t="str">
        <f t="shared" si="199"/>
        <v/>
      </c>
      <c r="P706" s="38" t="str">
        <f t="shared" si="200"/>
        <v/>
      </c>
      <c r="Q706" s="38" t="str">
        <f t="shared" si="201"/>
        <v/>
      </c>
      <c r="R706" s="38" t="str">
        <f t="shared" si="202"/>
        <v/>
      </c>
      <c r="S706" s="38" t="str">
        <f t="shared" si="203"/>
        <v/>
      </c>
      <c r="T706" s="38" t="str">
        <f t="shared" si="204"/>
        <v/>
      </c>
      <c r="AF706" t="str">
        <f t="shared" si="189"/>
        <v/>
      </c>
      <c r="AG706" s="38" t="str">
        <f t="shared" si="188"/>
        <v/>
      </c>
    </row>
    <row r="707" spans="1:33" x14ac:dyDescent="0.2">
      <c r="A707" t="str">
        <f t="shared" si="190"/>
        <v/>
      </c>
      <c r="B707" s="38" t="str">
        <f t="shared" si="191"/>
        <v/>
      </c>
      <c r="C707" s="38" t="str">
        <f t="shared" si="192"/>
        <v/>
      </c>
      <c r="D707" s="38" t="str">
        <f t="shared" si="193"/>
        <v/>
      </c>
      <c r="E707" s="38" t="str">
        <f t="shared" si="194"/>
        <v/>
      </c>
      <c r="F707" s="38" t="str">
        <f t="shared" si="195"/>
        <v/>
      </c>
      <c r="G707" s="38" t="str">
        <f t="shared" si="205"/>
        <v/>
      </c>
      <c r="H707" s="38" t="str">
        <f t="shared" si="206"/>
        <v/>
      </c>
      <c r="L707" t="str">
        <f t="shared" si="196"/>
        <v/>
      </c>
      <c r="M707" s="38" t="str">
        <f t="shared" si="197"/>
        <v/>
      </c>
      <c r="N707" s="38" t="str">
        <f t="shared" si="198"/>
        <v/>
      </c>
      <c r="O707" s="38" t="str">
        <f t="shared" si="199"/>
        <v/>
      </c>
      <c r="P707" s="38" t="str">
        <f t="shared" si="200"/>
        <v/>
      </c>
      <c r="Q707" s="38" t="str">
        <f t="shared" si="201"/>
        <v/>
      </c>
      <c r="R707" s="38" t="str">
        <f t="shared" si="202"/>
        <v/>
      </c>
      <c r="S707" s="38" t="str">
        <f t="shared" si="203"/>
        <v/>
      </c>
      <c r="T707" s="38" t="str">
        <f t="shared" si="204"/>
        <v/>
      </c>
      <c r="AF707" t="str">
        <f t="shared" si="189"/>
        <v/>
      </c>
      <c r="AG707" s="38" t="str">
        <f t="shared" si="188"/>
        <v/>
      </c>
    </row>
    <row r="708" spans="1:33" x14ac:dyDescent="0.2">
      <c r="A708" t="str">
        <f t="shared" si="190"/>
        <v/>
      </c>
      <c r="B708" s="38" t="str">
        <f t="shared" si="191"/>
        <v/>
      </c>
      <c r="C708" s="38" t="str">
        <f t="shared" si="192"/>
        <v/>
      </c>
      <c r="D708" s="38" t="str">
        <f t="shared" si="193"/>
        <v/>
      </c>
      <c r="E708" s="38" t="str">
        <f t="shared" si="194"/>
        <v/>
      </c>
      <c r="F708" s="38" t="str">
        <f t="shared" si="195"/>
        <v/>
      </c>
      <c r="G708" s="38" t="str">
        <f t="shared" si="205"/>
        <v/>
      </c>
      <c r="H708" s="38" t="str">
        <f t="shared" si="206"/>
        <v/>
      </c>
      <c r="L708" t="str">
        <f t="shared" si="196"/>
        <v/>
      </c>
      <c r="M708" s="38" t="str">
        <f t="shared" si="197"/>
        <v/>
      </c>
      <c r="N708" s="38" t="str">
        <f t="shared" si="198"/>
        <v/>
      </c>
      <c r="O708" s="38" t="str">
        <f t="shared" si="199"/>
        <v/>
      </c>
      <c r="P708" s="38" t="str">
        <f t="shared" si="200"/>
        <v/>
      </c>
      <c r="Q708" s="38" t="str">
        <f t="shared" si="201"/>
        <v/>
      </c>
      <c r="R708" s="38" t="str">
        <f t="shared" si="202"/>
        <v/>
      </c>
      <c r="S708" s="38" t="str">
        <f t="shared" si="203"/>
        <v/>
      </c>
      <c r="T708" s="38" t="str">
        <f t="shared" si="204"/>
        <v/>
      </c>
      <c r="AF708" t="str">
        <f t="shared" si="189"/>
        <v/>
      </c>
      <c r="AG708" s="38" t="str">
        <f t="shared" si="188"/>
        <v/>
      </c>
    </row>
    <row r="709" spans="1:33" x14ac:dyDescent="0.2">
      <c r="A709" t="str">
        <f t="shared" si="190"/>
        <v/>
      </c>
      <c r="B709" s="38" t="str">
        <f t="shared" si="191"/>
        <v/>
      </c>
      <c r="C709" s="38" t="str">
        <f t="shared" si="192"/>
        <v/>
      </c>
      <c r="D709" s="38" t="str">
        <f t="shared" si="193"/>
        <v/>
      </c>
      <c r="E709" s="38" t="str">
        <f t="shared" si="194"/>
        <v/>
      </c>
      <c r="F709" s="38" t="str">
        <f t="shared" si="195"/>
        <v/>
      </c>
      <c r="G709" s="38" t="str">
        <f t="shared" si="205"/>
        <v/>
      </c>
      <c r="H709" s="38" t="str">
        <f t="shared" si="206"/>
        <v/>
      </c>
      <c r="L709" t="str">
        <f t="shared" si="196"/>
        <v/>
      </c>
      <c r="M709" s="38" t="str">
        <f t="shared" si="197"/>
        <v/>
      </c>
      <c r="N709" s="38" t="str">
        <f t="shared" si="198"/>
        <v/>
      </c>
      <c r="O709" s="38" t="str">
        <f t="shared" si="199"/>
        <v/>
      </c>
      <c r="P709" s="38" t="str">
        <f t="shared" si="200"/>
        <v/>
      </c>
      <c r="Q709" s="38" t="str">
        <f t="shared" si="201"/>
        <v/>
      </c>
      <c r="R709" s="38" t="str">
        <f t="shared" si="202"/>
        <v/>
      </c>
      <c r="S709" s="38" t="str">
        <f t="shared" si="203"/>
        <v/>
      </c>
      <c r="T709" s="38" t="str">
        <f t="shared" si="204"/>
        <v/>
      </c>
      <c r="AF709" t="str">
        <f t="shared" si="189"/>
        <v/>
      </c>
      <c r="AG709" s="38" t="str">
        <f t="shared" si="188"/>
        <v/>
      </c>
    </row>
    <row r="710" spans="1:33" x14ac:dyDescent="0.2">
      <c r="A710" t="str">
        <f t="shared" si="190"/>
        <v/>
      </c>
      <c r="B710" s="38" t="str">
        <f t="shared" si="191"/>
        <v/>
      </c>
      <c r="C710" s="38" t="str">
        <f t="shared" si="192"/>
        <v/>
      </c>
      <c r="D710" s="38" t="str">
        <f t="shared" si="193"/>
        <v/>
      </c>
      <c r="E710" s="38" t="str">
        <f t="shared" si="194"/>
        <v/>
      </c>
      <c r="F710" s="38" t="str">
        <f t="shared" si="195"/>
        <v/>
      </c>
      <c r="G710" s="38" t="str">
        <f t="shared" si="205"/>
        <v/>
      </c>
      <c r="H710" s="38" t="str">
        <f t="shared" si="206"/>
        <v/>
      </c>
      <c r="L710" t="str">
        <f t="shared" si="196"/>
        <v/>
      </c>
      <c r="M710" s="38" t="str">
        <f t="shared" si="197"/>
        <v/>
      </c>
      <c r="N710" s="38" t="str">
        <f t="shared" si="198"/>
        <v/>
      </c>
      <c r="O710" s="38" t="str">
        <f t="shared" si="199"/>
        <v/>
      </c>
      <c r="P710" s="38" t="str">
        <f t="shared" si="200"/>
        <v/>
      </c>
      <c r="Q710" s="38" t="str">
        <f t="shared" si="201"/>
        <v/>
      </c>
      <c r="R710" s="38" t="str">
        <f t="shared" si="202"/>
        <v/>
      </c>
      <c r="S710" s="38" t="str">
        <f t="shared" si="203"/>
        <v/>
      </c>
      <c r="T710" s="38" t="str">
        <f t="shared" si="204"/>
        <v/>
      </c>
      <c r="AF710" t="str">
        <f t="shared" si="189"/>
        <v/>
      </c>
      <c r="AG710" s="38" t="str">
        <f t="shared" si="188"/>
        <v/>
      </c>
    </row>
    <row r="711" spans="1:33" x14ac:dyDescent="0.2">
      <c r="A711" t="str">
        <f t="shared" si="190"/>
        <v/>
      </c>
      <c r="B711" s="38" t="str">
        <f t="shared" si="191"/>
        <v/>
      </c>
      <c r="C711" s="38" t="str">
        <f t="shared" si="192"/>
        <v/>
      </c>
      <c r="D711" s="38" t="str">
        <f t="shared" si="193"/>
        <v/>
      </c>
      <c r="E711" s="38" t="str">
        <f t="shared" si="194"/>
        <v/>
      </c>
      <c r="F711" s="38" t="str">
        <f t="shared" si="195"/>
        <v/>
      </c>
      <c r="G711" s="38" t="str">
        <f t="shared" si="205"/>
        <v/>
      </c>
      <c r="H711" s="38" t="str">
        <f t="shared" si="206"/>
        <v/>
      </c>
      <c r="L711" t="str">
        <f t="shared" si="196"/>
        <v/>
      </c>
      <c r="M711" s="38" t="str">
        <f t="shared" si="197"/>
        <v/>
      </c>
      <c r="N711" s="38" t="str">
        <f t="shared" si="198"/>
        <v/>
      </c>
      <c r="O711" s="38" t="str">
        <f t="shared" si="199"/>
        <v/>
      </c>
      <c r="P711" s="38" t="str">
        <f t="shared" si="200"/>
        <v/>
      </c>
      <c r="Q711" s="38" t="str">
        <f t="shared" si="201"/>
        <v/>
      </c>
      <c r="R711" s="38" t="str">
        <f t="shared" si="202"/>
        <v/>
      </c>
      <c r="S711" s="38" t="str">
        <f t="shared" si="203"/>
        <v/>
      </c>
      <c r="T711" s="38" t="str">
        <f t="shared" si="204"/>
        <v/>
      </c>
      <c r="AF711" t="str">
        <f t="shared" si="189"/>
        <v/>
      </c>
      <c r="AG711" s="38" t="str">
        <f t="shared" si="188"/>
        <v/>
      </c>
    </row>
    <row r="712" spans="1:33" x14ac:dyDescent="0.2">
      <c r="A712" t="str">
        <f t="shared" si="190"/>
        <v/>
      </c>
      <c r="B712" s="38" t="str">
        <f t="shared" si="191"/>
        <v/>
      </c>
      <c r="C712" s="38" t="str">
        <f t="shared" si="192"/>
        <v/>
      </c>
      <c r="D712" s="38" t="str">
        <f t="shared" si="193"/>
        <v/>
      </c>
      <c r="E712" s="38" t="str">
        <f t="shared" si="194"/>
        <v/>
      </c>
      <c r="F712" s="38" t="str">
        <f t="shared" si="195"/>
        <v/>
      </c>
      <c r="G712" s="38" t="str">
        <f t="shared" si="205"/>
        <v/>
      </c>
      <c r="H712" s="38" t="str">
        <f t="shared" si="206"/>
        <v/>
      </c>
      <c r="L712" t="str">
        <f t="shared" si="196"/>
        <v/>
      </c>
      <c r="M712" s="38" t="str">
        <f t="shared" si="197"/>
        <v/>
      </c>
      <c r="N712" s="38" t="str">
        <f t="shared" si="198"/>
        <v/>
      </c>
      <c r="O712" s="38" t="str">
        <f t="shared" si="199"/>
        <v/>
      </c>
      <c r="P712" s="38" t="str">
        <f t="shared" si="200"/>
        <v/>
      </c>
      <c r="Q712" s="38" t="str">
        <f t="shared" si="201"/>
        <v/>
      </c>
      <c r="R712" s="38" t="str">
        <f t="shared" si="202"/>
        <v/>
      </c>
      <c r="S712" s="38" t="str">
        <f t="shared" si="203"/>
        <v/>
      </c>
      <c r="T712" s="38" t="str">
        <f t="shared" si="204"/>
        <v/>
      </c>
      <c r="AF712" t="str">
        <f t="shared" si="189"/>
        <v/>
      </c>
      <c r="AG712" s="38" t="str">
        <f t="shared" si="188"/>
        <v/>
      </c>
    </row>
    <row r="713" spans="1:33" x14ac:dyDescent="0.2">
      <c r="A713" t="str">
        <f t="shared" si="190"/>
        <v/>
      </c>
      <c r="B713" s="38" t="str">
        <f t="shared" si="191"/>
        <v/>
      </c>
      <c r="C713" s="38" t="str">
        <f t="shared" si="192"/>
        <v/>
      </c>
      <c r="D713" s="38" t="str">
        <f t="shared" si="193"/>
        <v/>
      </c>
      <c r="E713" s="38" t="str">
        <f t="shared" si="194"/>
        <v/>
      </c>
      <c r="F713" s="38" t="str">
        <f t="shared" si="195"/>
        <v/>
      </c>
      <c r="G713" s="38" t="str">
        <f t="shared" si="205"/>
        <v/>
      </c>
      <c r="H713" s="38" t="str">
        <f t="shared" si="206"/>
        <v/>
      </c>
      <c r="L713" t="str">
        <f t="shared" si="196"/>
        <v/>
      </c>
      <c r="M713" s="38" t="str">
        <f t="shared" si="197"/>
        <v/>
      </c>
      <c r="N713" s="38" t="str">
        <f t="shared" si="198"/>
        <v/>
      </c>
      <c r="O713" s="38" t="str">
        <f t="shared" si="199"/>
        <v/>
      </c>
      <c r="P713" s="38" t="str">
        <f t="shared" si="200"/>
        <v/>
      </c>
      <c r="Q713" s="38" t="str">
        <f t="shared" si="201"/>
        <v/>
      </c>
      <c r="R713" s="38" t="str">
        <f t="shared" si="202"/>
        <v/>
      </c>
      <c r="S713" s="38" t="str">
        <f t="shared" si="203"/>
        <v/>
      </c>
      <c r="T713" s="38" t="str">
        <f t="shared" si="204"/>
        <v/>
      </c>
      <c r="AF713" t="str">
        <f t="shared" si="189"/>
        <v/>
      </c>
      <c r="AG713" s="38" t="str">
        <f t="shared" si="188"/>
        <v/>
      </c>
    </row>
    <row r="714" spans="1:33" x14ac:dyDescent="0.2">
      <c r="A714" t="str">
        <f t="shared" si="190"/>
        <v/>
      </c>
      <c r="B714" s="38" t="str">
        <f t="shared" si="191"/>
        <v/>
      </c>
      <c r="C714" s="38" t="str">
        <f t="shared" si="192"/>
        <v/>
      </c>
      <c r="D714" s="38" t="str">
        <f t="shared" si="193"/>
        <v/>
      </c>
      <c r="E714" s="38" t="str">
        <f t="shared" si="194"/>
        <v/>
      </c>
      <c r="F714" s="38" t="str">
        <f t="shared" si="195"/>
        <v/>
      </c>
      <c r="G714" s="38" t="str">
        <f t="shared" si="205"/>
        <v/>
      </c>
      <c r="H714" s="38" t="str">
        <f t="shared" si="206"/>
        <v/>
      </c>
      <c r="L714" t="str">
        <f t="shared" si="196"/>
        <v/>
      </c>
      <c r="M714" s="38" t="str">
        <f t="shared" si="197"/>
        <v/>
      </c>
      <c r="N714" s="38" t="str">
        <f t="shared" si="198"/>
        <v/>
      </c>
      <c r="O714" s="38" t="str">
        <f t="shared" si="199"/>
        <v/>
      </c>
      <c r="P714" s="38" t="str">
        <f t="shared" si="200"/>
        <v/>
      </c>
      <c r="Q714" s="38" t="str">
        <f t="shared" si="201"/>
        <v/>
      </c>
      <c r="R714" s="38" t="str">
        <f t="shared" si="202"/>
        <v/>
      </c>
      <c r="S714" s="38" t="str">
        <f t="shared" si="203"/>
        <v/>
      </c>
      <c r="T714" s="38" t="str">
        <f t="shared" si="204"/>
        <v/>
      </c>
      <c r="AF714" t="str">
        <f t="shared" si="189"/>
        <v/>
      </c>
      <c r="AG714" s="38" t="str">
        <f t="shared" si="188"/>
        <v/>
      </c>
    </row>
    <row r="715" spans="1:33" x14ac:dyDescent="0.2">
      <c r="A715" t="str">
        <f t="shared" si="190"/>
        <v/>
      </c>
      <c r="B715" s="38" t="str">
        <f t="shared" si="191"/>
        <v/>
      </c>
      <c r="C715" s="38" t="str">
        <f t="shared" si="192"/>
        <v/>
      </c>
      <c r="D715" s="38" t="str">
        <f t="shared" si="193"/>
        <v/>
      </c>
      <c r="E715" s="38" t="str">
        <f t="shared" si="194"/>
        <v/>
      </c>
      <c r="F715" s="38" t="str">
        <f t="shared" si="195"/>
        <v/>
      </c>
      <c r="G715" s="38" t="str">
        <f t="shared" si="205"/>
        <v/>
      </c>
      <c r="H715" s="38" t="str">
        <f t="shared" si="206"/>
        <v/>
      </c>
      <c r="L715" t="str">
        <f t="shared" si="196"/>
        <v/>
      </c>
      <c r="M715" s="38" t="str">
        <f t="shared" si="197"/>
        <v/>
      </c>
      <c r="N715" s="38" t="str">
        <f t="shared" si="198"/>
        <v/>
      </c>
      <c r="O715" s="38" t="str">
        <f t="shared" si="199"/>
        <v/>
      </c>
      <c r="P715" s="38" t="str">
        <f t="shared" si="200"/>
        <v/>
      </c>
      <c r="Q715" s="38" t="str">
        <f t="shared" si="201"/>
        <v/>
      </c>
      <c r="R715" s="38" t="str">
        <f t="shared" si="202"/>
        <v/>
      </c>
      <c r="S715" s="38" t="str">
        <f t="shared" si="203"/>
        <v/>
      </c>
      <c r="T715" s="38" t="str">
        <f t="shared" si="204"/>
        <v/>
      </c>
      <c r="AF715" t="str">
        <f t="shared" si="189"/>
        <v/>
      </c>
      <c r="AG715" s="38" t="str">
        <f t="shared" si="188"/>
        <v/>
      </c>
    </row>
    <row r="716" spans="1:33" x14ac:dyDescent="0.2">
      <c r="A716" t="str">
        <f t="shared" si="190"/>
        <v/>
      </c>
      <c r="B716" s="38" t="str">
        <f t="shared" si="191"/>
        <v/>
      </c>
      <c r="C716" s="38" t="str">
        <f t="shared" si="192"/>
        <v/>
      </c>
      <c r="D716" s="38" t="str">
        <f t="shared" si="193"/>
        <v/>
      </c>
      <c r="E716" s="38" t="str">
        <f t="shared" si="194"/>
        <v/>
      </c>
      <c r="F716" s="38" t="str">
        <f t="shared" si="195"/>
        <v/>
      </c>
      <c r="G716" s="38" t="str">
        <f t="shared" si="205"/>
        <v/>
      </c>
      <c r="H716" s="38" t="str">
        <f t="shared" si="206"/>
        <v/>
      </c>
      <c r="L716" t="str">
        <f t="shared" si="196"/>
        <v/>
      </c>
      <c r="M716" s="38" t="str">
        <f t="shared" si="197"/>
        <v/>
      </c>
      <c r="N716" s="38" t="str">
        <f t="shared" si="198"/>
        <v/>
      </c>
      <c r="O716" s="38" t="str">
        <f t="shared" si="199"/>
        <v/>
      </c>
      <c r="P716" s="38" t="str">
        <f t="shared" si="200"/>
        <v/>
      </c>
      <c r="Q716" s="38" t="str">
        <f t="shared" si="201"/>
        <v/>
      </c>
      <c r="R716" s="38" t="str">
        <f t="shared" si="202"/>
        <v/>
      </c>
      <c r="S716" s="38" t="str">
        <f t="shared" si="203"/>
        <v/>
      </c>
      <c r="T716" s="38" t="str">
        <f t="shared" si="204"/>
        <v/>
      </c>
      <c r="AF716" t="str">
        <f t="shared" si="189"/>
        <v/>
      </c>
      <c r="AG716" s="38" t="str">
        <f t="shared" si="188"/>
        <v/>
      </c>
    </row>
    <row r="717" spans="1:33" x14ac:dyDescent="0.2">
      <c r="A717" t="str">
        <f t="shared" si="190"/>
        <v/>
      </c>
      <c r="B717" s="38" t="str">
        <f t="shared" si="191"/>
        <v/>
      </c>
      <c r="C717" s="38" t="str">
        <f t="shared" si="192"/>
        <v/>
      </c>
      <c r="D717" s="38" t="str">
        <f t="shared" si="193"/>
        <v/>
      </c>
      <c r="E717" s="38" t="str">
        <f t="shared" si="194"/>
        <v/>
      </c>
      <c r="F717" s="38" t="str">
        <f t="shared" si="195"/>
        <v/>
      </c>
      <c r="G717" s="38" t="str">
        <f t="shared" si="205"/>
        <v/>
      </c>
      <c r="H717" s="38" t="str">
        <f t="shared" si="206"/>
        <v/>
      </c>
      <c r="L717" t="str">
        <f t="shared" si="196"/>
        <v/>
      </c>
      <c r="M717" s="38" t="str">
        <f t="shared" si="197"/>
        <v/>
      </c>
      <c r="N717" s="38" t="str">
        <f t="shared" si="198"/>
        <v/>
      </c>
      <c r="O717" s="38" t="str">
        <f t="shared" si="199"/>
        <v/>
      </c>
      <c r="P717" s="38" t="str">
        <f t="shared" si="200"/>
        <v/>
      </c>
      <c r="Q717" s="38" t="str">
        <f t="shared" si="201"/>
        <v/>
      </c>
      <c r="R717" s="38" t="str">
        <f t="shared" si="202"/>
        <v/>
      </c>
      <c r="S717" s="38" t="str">
        <f t="shared" si="203"/>
        <v/>
      </c>
      <c r="T717" s="38" t="str">
        <f t="shared" si="204"/>
        <v/>
      </c>
      <c r="AF717" t="str">
        <f t="shared" si="189"/>
        <v/>
      </c>
      <c r="AG717" s="38" t="str">
        <f t="shared" si="188"/>
        <v/>
      </c>
    </row>
    <row r="718" spans="1:33" x14ac:dyDescent="0.2">
      <c r="A718" t="str">
        <f t="shared" si="190"/>
        <v/>
      </c>
      <c r="B718" s="38" t="str">
        <f t="shared" si="191"/>
        <v/>
      </c>
      <c r="C718" s="38" t="str">
        <f t="shared" si="192"/>
        <v/>
      </c>
      <c r="D718" s="38" t="str">
        <f t="shared" si="193"/>
        <v/>
      </c>
      <c r="E718" s="38" t="str">
        <f t="shared" si="194"/>
        <v/>
      </c>
      <c r="F718" s="38" t="str">
        <f t="shared" si="195"/>
        <v/>
      </c>
      <c r="G718" s="38" t="str">
        <f t="shared" si="205"/>
        <v/>
      </c>
      <c r="H718" s="38" t="str">
        <f t="shared" si="206"/>
        <v/>
      </c>
      <c r="L718" t="str">
        <f t="shared" si="196"/>
        <v/>
      </c>
      <c r="M718" s="38" t="str">
        <f t="shared" si="197"/>
        <v/>
      </c>
      <c r="N718" s="38" t="str">
        <f t="shared" si="198"/>
        <v/>
      </c>
      <c r="O718" s="38" t="str">
        <f t="shared" si="199"/>
        <v/>
      </c>
      <c r="P718" s="38" t="str">
        <f t="shared" si="200"/>
        <v/>
      </c>
      <c r="Q718" s="38" t="str">
        <f t="shared" si="201"/>
        <v/>
      </c>
      <c r="R718" s="38" t="str">
        <f t="shared" si="202"/>
        <v/>
      </c>
      <c r="S718" s="38" t="str">
        <f t="shared" si="203"/>
        <v/>
      </c>
      <c r="T718" s="38" t="str">
        <f t="shared" si="204"/>
        <v/>
      </c>
      <c r="AF718" t="str">
        <f t="shared" si="189"/>
        <v/>
      </c>
      <c r="AG718" s="38" t="str">
        <f t="shared" si="188"/>
        <v/>
      </c>
    </row>
    <row r="719" spans="1:33" x14ac:dyDescent="0.2">
      <c r="A719" t="str">
        <f t="shared" si="190"/>
        <v/>
      </c>
      <c r="B719" s="38" t="str">
        <f t="shared" si="191"/>
        <v/>
      </c>
      <c r="C719" s="38" t="str">
        <f t="shared" si="192"/>
        <v/>
      </c>
      <c r="D719" s="38" t="str">
        <f t="shared" si="193"/>
        <v/>
      </c>
      <c r="E719" s="38" t="str">
        <f t="shared" si="194"/>
        <v/>
      </c>
      <c r="F719" s="38" t="str">
        <f t="shared" si="195"/>
        <v/>
      </c>
      <c r="G719" s="38" t="str">
        <f t="shared" si="205"/>
        <v/>
      </c>
      <c r="H719" s="38" t="str">
        <f t="shared" si="206"/>
        <v/>
      </c>
      <c r="L719" t="str">
        <f t="shared" si="196"/>
        <v/>
      </c>
      <c r="M719" s="38" t="str">
        <f t="shared" si="197"/>
        <v/>
      </c>
      <c r="N719" s="38" t="str">
        <f t="shared" si="198"/>
        <v/>
      </c>
      <c r="O719" s="38" t="str">
        <f t="shared" si="199"/>
        <v/>
      </c>
      <c r="P719" s="38" t="str">
        <f t="shared" si="200"/>
        <v/>
      </c>
      <c r="Q719" s="38" t="str">
        <f t="shared" si="201"/>
        <v/>
      </c>
      <c r="R719" s="38" t="str">
        <f t="shared" si="202"/>
        <v/>
      </c>
      <c r="S719" s="38" t="str">
        <f t="shared" si="203"/>
        <v/>
      </c>
      <c r="T719" s="38" t="str">
        <f t="shared" si="204"/>
        <v/>
      </c>
      <c r="AF719" t="str">
        <f t="shared" si="189"/>
        <v/>
      </c>
      <c r="AG719" s="38" t="str">
        <f t="shared" si="188"/>
        <v/>
      </c>
    </row>
    <row r="720" spans="1:33" x14ac:dyDescent="0.2">
      <c r="A720" t="str">
        <f t="shared" si="190"/>
        <v/>
      </c>
      <c r="B720" s="38" t="str">
        <f t="shared" si="191"/>
        <v/>
      </c>
      <c r="C720" s="38" t="str">
        <f t="shared" si="192"/>
        <v/>
      </c>
      <c r="D720" s="38" t="str">
        <f t="shared" si="193"/>
        <v/>
      </c>
      <c r="E720" s="38" t="str">
        <f t="shared" si="194"/>
        <v/>
      </c>
      <c r="F720" s="38" t="str">
        <f t="shared" si="195"/>
        <v/>
      </c>
      <c r="G720" s="38" t="str">
        <f t="shared" si="205"/>
        <v/>
      </c>
      <c r="H720" s="38" t="str">
        <f t="shared" si="206"/>
        <v/>
      </c>
      <c r="L720" t="str">
        <f t="shared" si="196"/>
        <v/>
      </c>
      <c r="M720" s="38" t="str">
        <f t="shared" si="197"/>
        <v/>
      </c>
      <c r="N720" s="38" t="str">
        <f t="shared" si="198"/>
        <v/>
      </c>
      <c r="O720" s="38" t="str">
        <f t="shared" si="199"/>
        <v/>
      </c>
      <c r="P720" s="38" t="str">
        <f t="shared" si="200"/>
        <v/>
      </c>
      <c r="Q720" s="38" t="str">
        <f t="shared" si="201"/>
        <v/>
      </c>
      <c r="R720" s="38" t="str">
        <f t="shared" si="202"/>
        <v/>
      </c>
      <c r="S720" s="38" t="str">
        <f t="shared" si="203"/>
        <v/>
      </c>
      <c r="T720" s="38" t="str">
        <f t="shared" si="204"/>
        <v/>
      </c>
      <c r="AF720" t="str">
        <f t="shared" si="189"/>
        <v/>
      </c>
      <c r="AG720" s="38" t="str">
        <f t="shared" si="188"/>
        <v/>
      </c>
    </row>
    <row r="721" spans="1:33" x14ac:dyDescent="0.2">
      <c r="A721" t="str">
        <f t="shared" si="190"/>
        <v/>
      </c>
      <c r="B721" s="38" t="str">
        <f t="shared" si="191"/>
        <v/>
      </c>
      <c r="C721" s="38" t="str">
        <f t="shared" si="192"/>
        <v/>
      </c>
      <c r="D721" s="38" t="str">
        <f t="shared" si="193"/>
        <v/>
      </c>
      <c r="E721" s="38" t="str">
        <f t="shared" si="194"/>
        <v/>
      </c>
      <c r="F721" s="38" t="str">
        <f t="shared" si="195"/>
        <v/>
      </c>
      <c r="G721" s="38" t="str">
        <f t="shared" si="205"/>
        <v/>
      </c>
      <c r="H721" s="38" t="str">
        <f t="shared" si="206"/>
        <v/>
      </c>
      <c r="L721" t="str">
        <f t="shared" si="196"/>
        <v/>
      </c>
      <c r="M721" s="38" t="str">
        <f t="shared" si="197"/>
        <v/>
      </c>
      <c r="N721" s="38" t="str">
        <f t="shared" si="198"/>
        <v/>
      </c>
      <c r="O721" s="38" t="str">
        <f t="shared" si="199"/>
        <v/>
      </c>
      <c r="P721" s="38" t="str">
        <f t="shared" si="200"/>
        <v/>
      </c>
      <c r="Q721" s="38" t="str">
        <f t="shared" si="201"/>
        <v/>
      </c>
      <c r="R721" s="38" t="str">
        <f t="shared" si="202"/>
        <v/>
      </c>
      <c r="S721" s="38" t="str">
        <f t="shared" si="203"/>
        <v/>
      </c>
      <c r="T721" s="38" t="str">
        <f t="shared" si="204"/>
        <v/>
      </c>
      <c r="AF721" t="str">
        <f t="shared" si="189"/>
        <v/>
      </c>
      <c r="AG721" s="38" t="str">
        <f t="shared" si="188"/>
        <v/>
      </c>
    </row>
    <row r="722" spans="1:33" x14ac:dyDescent="0.2">
      <c r="A722" t="str">
        <f t="shared" si="190"/>
        <v/>
      </c>
      <c r="B722" s="38" t="str">
        <f t="shared" si="191"/>
        <v/>
      </c>
      <c r="C722" s="38" t="str">
        <f t="shared" si="192"/>
        <v/>
      </c>
      <c r="D722" s="38" t="str">
        <f t="shared" si="193"/>
        <v/>
      </c>
      <c r="E722" s="38" t="str">
        <f t="shared" si="194"/>
        <v/>
      </c>
      <c r="F722" s="38" t="str">
        <f t="shared" si="195"/>
        <v/>
      </c>
      <c r="G722" s="38" t="str">
        <f t="shared" si="205"/>
        <v/>
      </c>
      <c r="H722" s="38" t="str">
        <f t="shared" si="206"/>
        <v/>
      </c>
      <c r="L722" t="str">
        <f t="shared" si="196"/>
        <v/>
      </c>
      <c r="M722" s="38" t="str">
        <f t="shared" si="197"/>
        <v/>
      </c>
      <c r="N722" s="38" t="str">
        <f t="shared" si="198"/>
        <v/>
      </c>
      <c r="O722" s="38" t="str">
        <f t="shared" si="199"/>
        <v/>
      </c>
      <c r="P722" s="38" t="str">
        <f t="shared" si="200"/>
        <v/>
      </c>
      <c r="Q722" s="38" t="str">
        <f t="shared" si="201"/>
        <v/>
      </c>
      <c r="R722" s="38" t="str">
        <f t="shared" si="202"/>
        <v/>
      </c>
      <c r="S722" s="38" t="str">
        <f t="shared" si="203"/>
        <v/>
      </c>
      <c r="T722" s="38" t="str">
        <f t="shared" si="204"/>
        <v/>
      </c>
      <c r="AF722" t="str">
        <f t="shared" si="189"/>
        <v/>
      </c>
      <c r="AG722" s="38" t="str">
        <f t="shared" si="188"/>
        <v/>
      </c>
    </row>
    <row r="723" spans="1:33" x14ac:dyDescent="0.2">
      <c r="A723" t="str">
        <f t="shared" si="190"/>
        <v/>
      </c>
      <c r="B723" s="38" t="str">
        <f t="shared" si="191"/>
        <v/>
      </c>
      <c r="C723" s="38" t="str">
        <f t="shared" si="192"/>
        <v/>
      </c>
      <c r="D723" s="38" t="str">
        <f t="shared" si="193"/>
        <v/>
      </c>
      <c r="E723" s="38" t="str">
        <f t="shared" si="194"/>
        <v/>
      </c>
      <c r="F723" s="38" t="str">
        <f t="shared" si="195"/>
        <v/>
      </c>
      <c r="G723" s="38" t="str">
        <f t="shared" si="205"/>
        <v/>
      </c>
      <c r="H723" s="38" t="str">
        <f t="shared" si="206"/>
        <v/>
      </c>
      <c r="L723" t="str">
        <f t="shared" si="196"/>
        <v/>
      </c>
      <c r="M723" s="38" t="str">
        <f t="shared" si="197"/>
        <v/>
      </c>
      <c r="N723" s="38" t="str">
        <f t="shared" si="198"/>
        <v/>
      </c>
      <c r="O723" s="38" t="str">
        <f t="shared" si="199"/>
        <v/>
      </c>
      <c r="P723" s="38" t="str">
        <f t="shared" si="200"/>
        <v/>
      </c>
      <c r="Q723" s="38" t="str">
        <f t="shared" si="201"/>
        <v/>
      </c>
      <c r="R723" s="38" t="str">
        <f t="shared" si="202"/>
        <v/>
      </c>
      <c r="S723" s="38" t="str">
        <f t="shared" si="203"/>
        <v/>
      </c>
      <c r="T723" s="38" t="str">
        <f t="shared" si="204"/>
        <v/>
      </c>
      <c r="AF723" t="str">
        <f t="shared" si="189"/>
        <v/>
      </c>
      <c r="AG723" s="38" t="str">
        <f t="shared" si="188"/>
        <v/>
      </c>
    </row>
    <row r="724" spans="1:33" x14ac:dyDescent="0.2">
      <c r="A724" t="str">
        <f t="shared" si="190"/>
        <v/>
      </c>
      <c r="B724" s="38" t="str">
        <f t="shared" si="191"/>
        <v/>
      </c>
      <c r="C724" s="38" t="str">
        <f t="shared" si="192"/>
        <v/>
      </c>
      <c r="D724" s="38" t="str">
        <f t="shared" si="193"/>
        <v/>
      </c>
      <c r="E724" s="38" t="str">
        <f t="shared" si="194"/>
        <v/>
      </c>
      <c r="F724" s="38" t="str">
        <f t="shared" si="195"/>
        <v/>
      </c>
      <c r="G724" s="38" t="str">
        <f t="shared" si="205"/>
        <v/>
      </c>
      <c r="H724" s="38" t="str">
        <f t="shared" si="206"/>
        <v/>
      </c>
      <c r="L724" t="str">
        <f t="shared" si="196"/>
        <v/>
      </c>
      <c r="M724" s="38" t="str">
        <f t="shared" si="197"/>
        <v/>
      </c>
      <c r="N724" s="38" t="str">
        <f t="shared" si="198"/>
        <v/>
      </c>
      <c r="O724" s="38" t="str">
        <f t="shared" si="199"/>
        <v/>
      </c>
      <c r="P724" s="38" t="str">
        <f t="shared" si="200"/>
        <v/>
      </c>
      <c r="Q724" s="38" t="str">
        <f t="shared" si="201"/>
        <v/>
      </c>
      <c r="R724" s="38" t="str">
        <f t="shared" si="202"/>
        <v/>
      </c>
      <c r="S724" s="38" t="str">
        <f t="shared" si="203"/>
        <v/>
      </c>
      <c r="T724" s="38" t="str">
        <f t="shared" si="204"/>
        <v/>
      </c>
      <c r="AF724" t="str">
        <f t="shared" si="189"/>
        <v/>
      </c>
      <c r="AG724" s="38" t="str">
        <f t="shared" si="188"/>
        <v/>
      </c>
    </row>
    <row r="725" spans="1:33" x14ac:dyDescent="0.2">
      <c r="A725" t="str">
        <f t="shared" si="190"/>
        <v/>
      </c>
      <c r="B725" s="38" t="str">
        <f t="shared" si="191"/>
        <v/>
      </c>
      <c r="C725" s="38" t="str">
        <f t="shared" si="192"/>
        <v/>
      </c>
      <c r="D725" s="38" t="str">
        <f t="shared" si="193"/>
        <v/>
      </c>
      <c r="E725" s="38" t="str">
        <f t="shared" si="194"/>
        <v/>
      </c>
      <c r="F725" s="38" t="str">
        <f t="shared" si="195"/>
        <v/>
      </c>
      <c r="G725" s="38" t="str">
        <f t="shared" si="205"/>
        <v/>
      </c>
      <c r="H725" s="38" t="str">
        <f t="shared" si="206"/>
        <v/>
      </c>
      <c r="L725" t="str">
        <f t="shared" si="196"/>
        <v/>
      </c>
      <c r="M725" s="38" t="str">
        <f t="shared" si="197"/>
        <v/>
      </c>
      <c r="N725" s="38" t="str">
        <f t="shared" si="198"/>
        <v/>
      </c>
      <c r="O725" s="38" t="str">
        <f t="shared" si="199"/>
        <v/>
      </c>
      <c r="P725" s="38" t="str">
        <f t="shared" si="200"/>
        <v/>
      </c>
      <c r="Q725" s="38" t="str">
        <f t="shared" si="201"/>
        <v/>
      </c>
      <c r="R725" s="38" t="str">
        <f t="shared" si="202"/>
        <v/>
      </c>
      <c r="S725" s="38" t="str">
        <f t="shared" si="203"/>
        <v/>
      </c>
      <c r="T725" s="38" t="str">
        <f t="shared" si="204"/>
        <v/>
      </c>
      <c r="AF725" t="str">
        <f t="shared" si="189"/>
        <v/>
      </c>
      <c r="AG725" s="38" t="str">
        <f t="shared" ref="AG725:AG740" si="207">F726</f>
        <v/>
      </c>
    </row>
    <row r="726" spans="1:33" x14ac:dyDescent="0.2">
      <c r="A726" t="str">
        <f t="shared" si="190"/>
        <v/>
      </c>
      <c r="B726" s="38" t="str">
        <f t="shared" si="191"/>
        <v/>
      </c>
      <c r="C726" s="38" t="str">
        <f t="shared" si="192"/>
        <v/>
      </c>
      <c r="D726" s="38" t="str">
        <f t="shared" si="193"/>
        <v/>
      </c>
      <c r="E726" s="38" t="str">
        <f t="shared" si="194"/>
        <v/>
      </c>
      <c r="F726" s="38" t="str">
        <f t="shared" si="195"/>
        <v/>
      </c>
      <c r="G726" s="38" t="str">
        <f t="shared" si="205"/>
        <v/>
      </c>
      <c r="H726" s="38" t="str">
        <f t="shared" si="206"/>
        <v/>
      </c>
      <c r="L726" t="str">
        <f t="shared" si="196"/>
        <v/>
      </c>
      <c r="M726" s="38" t="str">
        <f t="shared" si="197"/>
        <v/>
      </c>
      <c r="N726" s="38" t="str">
        <f t="shared" si="198"/>
        <v/>
      </c>
      <c r="O726" s="38" t="str">
        <f t="shared" si="199"/>
        <v/>
      </c>
      <c r="P726" s="38" t="str">
        <f t="shared" si="200"/>
        <v/>
      </c>
      <c r="Q726" s="38" t="str">
        <f t="shared" si="201"/>
        <v/>
      </c>
      <c r="R726" s="38" t="str">
        <f t="shared" si="202"/>
        <v/>
      </c>
      <c r="S726" s="38" t="str">
        <f t="shared" si="203"/>
        <v/>
      </c>
      <c r="T726" s="38" t="str">
        <f t="shared" si="204"/>
        <v/>
      </c>
      <c r="AF726" t="str">
        <f t="shared" si="189"/>
        <v/>
      </c>
      <c r="AG726" s="38" t="str">
        <f t="shared" si="207"/>
        <v/>
      </c>
    </row>
    <row r="727" spans="1:33" x14ac:dyDescent="0.2">
      <c r="A727" t="str">
        <f t="shared" si="190"/>
        <v/>
      </c>
      <c r="B727" s="38" t="str">
        <f t="shared" si="191"/>
        <v/>
      </c>
      <c r="C727" s="38" t="str">
        <f t="shared" si="192"/>
        <v/>
      </c>
      <c r="D727" s="38" t="str">
        <f t="shared" si="193"/>
        <v/>
      </c>
      <c r="E727" s="38" t="str">
        <f t="shared" si="194"/>
        <v/>
      </c>
      <c r="F727" s="38" t="str">
        <f t="shared" si="195"/>
        <v/>
      </c>
      <c r="G727" s="38" t="str">
        <f t="shared" si="205"/>
        <v/>
      </c>
      <c r="H727" s="38" t="str">
        <f t="shared" si="206"/>
        <v/>
      </c>
      <c r="L727" t="str">
        <f t="shared" si="196"/>
        <v/>
      </c>
      <c r="M727" s="38" t="str">
        <f t="shared" si="197"/>
        <v/>
      </c>
      <c r="N727" s="38" t="str">
        <f t="shared" si="198"/>
        <v/>
      </c>
      <c r="O727" s="38" t="str">
        <f t="shared" si="199"/>
        <v/>
      </c>
      <c r="P727" s="38" t="str">
        <f t="shared" si="200"/>
        <v/>
      </c>
      <c r="Q727" s="38" t="str">
        <f t="shared" si="201"/>
        <v/>
      </c>
      <c r="R727" s="38" t="str">
        <f t="shared" si="202"/>
        <v/>
      </c>
      <c r="S727" s="38" t="str">
        <f t="shared" si="203"/>
        <v/>
      </c>
      <c r="T727" s="38" t="str">
        <f t="shared" si="204"/>
        <v/>
      </c>
      <c r="AF727" t="str">
        <f t="shared" ref="AF727:AF790" si="208">IF(AF726&lt;($B$6*$B$7),AF726+1,"")</f>
        <v/>
      </c>
      <c r="AG727" s="38" t="str">
        <f t="shared" si="207"/>
        <v/>
      </c>
    </row>
    <row r="728" spans="1:33" x14ac:dyDescent="0.2">
      <c r="A728" t="str">
        <f t="shared" ref="A728:A791" si="209">IF(A727&lt;($B$6*$B$7),A727+1,"")</f>
        <v/>
      </c>
      <c r="B728" s="38" t="str">
        <f t="shared" ref="B728:B791" si="210">IF(A728="","",F727)</f>
        <v/>
      </c>
      <c r="C728" s="38" t="str">
        <f t="shared" ref="C728:C791" si="211">IF(A728="","",(B728*$B$8))</f>
        <v/>
      </c>
      <c r="D728" s="38" t="str">
        <f t="shared" ref="D728:D791" si="212">IF(A728="","", $B$5)</f>
        <v/>
      </c>
      <c r="E728" s="38" t="str">
        <f t="shared" ref="E728:E791" si="213">IF(D728="","",(D728-C728))</f>
        <v/>
      </c>
      <c r="F728" s="38" t="str">
        <f t="shared" ref="F728:F791" si="214">IF(A728="","", B728-E728)</f>
        <v/>
      </c>
      <c r="G728" s="38" t="str">
        <f t="shared" si="205"/>
        <v/>
      </c>
      <c r="H728" s="38" t="str">
        <f t="shared" si="206"/>
        <v/>
      </c>
      <c r="L728" t="str">
        <f t="shared" ref="L728:L769" si="215">IF(L727&lt;($B$6*$B$7),L727+1,"")</f>
        <v/>
      </c>
      <c r="M728" s="38" t="str">
        <f t="shared" ref="M728:M769" si="216">IF(L728="", "", R727)</f>
        <v/>
      </c>
      <c r="N728" s="38" t="str">
        <f t="shared" ref="N728:N769" si="217">IF(L728="","",$B$5)</f>
        <v/>
      </c>
      <c r="O728" s="38" t="str">
        <f t="shared" ref="O728:O769" si="218">IF(L728="","",M728-N728)</f>
        <v/>
      </c>
      <c r="P728" s="38" t="str">
        <f t="shared" ref="P728:P769" si="219">IF(L728="","",O727*$B$8)</f>
        <v/>
      </c>
      <c r="Q728" s="38" t="str">
        <f t="shared" ref="Q728:Q769" si="220">IF(L728="","",N728-P728)</f>
        <v/>
      </c>
      <c r="R728" s="38" t="str">
        <f t="shared" ref="R728:R769" si="221">IF(L728="","",O728*(1+$B$8))</f>
        <v/>
      </c>
      <c r="S728" s="38" t="str">
        <f t="shared" ref="S728:S769" si="222">IF(L728="","",S727+P728)</f>
        <v/>
      </c>
      <c r="T728" s="38" t="str">
        <f t="shared" ref="T728:T769" si="223">IF(L728="","",Q728+T727)</f>
        <v/>
      </c>
      <c r="AF728" t="str">
        <f t="shared" si="208"/>
        <v/>
      </c>
      <c r="AG728" s="38" t="str">
        <f t="shared" si="207"/>
        <v/>
      </c>
    </row>
    <row r="729" spans="1:33" x14ac:dyDescent="0.2">
      <c r="A729" t="str">
        <f t="shared" si="209"/>
        <v/>
      </c>
      <c r="B729" s="38" t="str">
        <f t="shared" si="210"/>
        <v/>
      </c>
      <c r="C729" s="38" t="str">
        <f t="shared" si="211"/>
        <v/>
      </c>
      <c r="D729" s="38" t="str">
        <f t="shared" si="212"/>
        <v/>
      </c>
      <c r="E729" s="38" t="str">
        <f t="shared" si="213"/>
        <v/>
      </c>
      <c r="F729" s="38" t="str">
        <f t="shared" si="214"/>
        <v/>
      </c>
      <c r="G729" s="38" t="str">
        <f t="shared" si="205"/>
        <v/>
      </c>
      <c r="H729" s="38" t="str">
        <f t="shared" si="206"/>
        <v/>
      </c>
      <c r="L729" t="str">
        <f t="shared" si="215"/>
        <v/>
      </c>
      <c r="M729" s="38" t="str">
        <f t="shared" si="216"/>
        <v/>
      </c>
      <c r="N729" s="38" t="str">
        <f t="shared" si="217"/>
        <v/>
      </c>
      <c r="O729" s="38" t="str">
        <f t="shared" si="218"/>
        <v/>
      </c>
      <c r="P729" s="38" t="str">
        <f t="shared" si="219"/>
        <v/>
      </c>
      <c r="Q729" s="38" t="str">
        <f t="shared" si="220"/>
        <v/>
      </c>
      <c r="R729" s="38" t="str">
        <f t="shared" si="221"/>
        <v/>
      </c>
      <c r="S729" s="38" t="str">
        <f t="shared" si="222"/>
        <v/>
      </c>
      <c r="T729" s="38" t="str">
        <f t="shared" si="223"/>
        <v/>
      </c>
      <c r="AF729" t="str">
        <f t="shared" si="208"/>
        <v/>
      </c>
      <c r="AG729" s="38" t="str">
        <f t="shared" si="207"/>
        <v/>
      </c>
    </row>
    <row r="730" spans="1:33" x14ac:dyDescent="0.2">
      <c r="A730" t="str">
        <f t="shared" si="209"/>
        <v/>
      </c>
      <c r="B730" s="38" t="str">
        <f t="shared" si="210"/>
        <v/>
      </c>
      <c r="C730" s="38" t="str">
        <f t="shared" si="211"/>
        <v/>
      </c>
      <c r="D730" s="38" t="str">
        <f t="shared" si="212"/>
        <v/>
      </c>
      <c r="E730" s="38" t="str">
        <f t="shared" si="213"/>
        <v/>
      </c>
      <c r="F730" s="38" t="str">
        <f t="shared" si="214"/>
        <v/>
      </c>
      <c r="G730" s="38" t="str">
        <f t="shared" ref="G730:G793" si="224">IF(A730="","", (G729+C730))</f>
        <v/>
      </c>
      <c r="H730" s="38" t="str">
        <f t="shared" ref="H730:H793" si="225">IF(A730="","",(H729+E730))</f>
        <v/>
      </c>
      <c r="L730" t="str">
        <f t="shared" si="215"/>
        <v/>
      </c>
      <c r="M730" s="38" t="str">
        <f t="shared" si="216"/>
        <v/>
      </c>
      <c r="N730" s="38" t="str">
        <f t="shared" si="217"/>
        <v/>
      </c>
      <c r="O730" s="38" t="str">
        <f t="shared" si="218"/>
        <v/>
      </c>
      <c r="P730" s="38" t="str">
        <f t="shared" si="219"/>
        <v/>
      </c>
      <c r="Q730" s="38" t="str">
        <f t="shared" si="220"/>
        <v/>
      </c>
      <c r="R730" s="38" t="str">
        <f t="shared" si="221"/>
        <v/>
      </c>
      <c r="S730" s="38" t="str">
        <f t="shared" si="222"/>
        <v/>
      </c>
      <c r="T730" s="38" t="str">
        <f t="shared" si="223"/>
        <v/>
      </c>
      <c r="AF730" t="str">
        <f t="shared" si="208"/>
        <v/>
      </c>
      <c r="AG730" s="38" t="str">
        <f t="shared" si="207"/>
        <v/>
      </c>
    </row>
    <row r="731" spans="1:33" x14ac:dyDescent="0.2">
      <c r="A731" t="str">
        <f t="shared" si="209"/>
        <v/>
      </c>
      <c r="B731" s="38" t="str">
        <f t="shared" si="210"/>
        <v/>
      </c>
      <c r="C731" s="38" t="str">
        <f t="shared" si="211"/>
        <v/>
      </c>
      <c r="D731" s="38" t="str">
        <f t="shared" si="212"/>
        <v/>
      </c>
      <c r="E731" s="38" t="str">
        <f t="shared" si="213"/>
        <v/>
      </c>
      <c r="F731" s="38" t="str">
        <f t="shared" si="214"/>
        <v/>
      </c>
      <c r="G731" s="38" t="str">
        <f t="shared" si="224"/>
        <v/>
      </c>
      <c r="H731" s="38" t="str">
        <f t="shared" si="225"/>
        <v/>
      </c>
      <c r="L731" t="str">
        <f t="shared" si="215"/>
        <v/>
      </c>
      <c r="M731" s="38" t="str">
        <f t="shared" si="216"/>
        <v/>
      </c>
      <c r="N731" s="38" t="str">
        <f t="shared" si="217"/>
        <v/>
      </c>
      <c r="O731" s="38" t="str">
        <f t="shared" si="218"/>
        <v/>
      </c>
      <c r="P731" s="38" t="str">
        <f t="shared" si="219"/>
        <v/>
      </c>
      <c r="Q731" s="38" t="str">
        <f t="shared" si="220"/>
        <v/>
      </c>
      <c r="R731" s="38" t="str">
        <f t="shared" si="221"/>
        <v/>
      </c>
      <c r="S731" s="38" t="str">
        <f t="shared" si="222"/>
        <v/>
      </c>
      <c r="T731" s="38" t="str">
        <f t="shared" si="223"/>
        <v/>
      </c>
      <c r="AF731" t="str">
        <f t="shared" si="208"/>
        <v/>
      </c>
      <c r="AG731" s="38" t="str">
        <f t="shared" si="207"/>
        <v/>
      </c>
    </row>
    <row r="732" spans="1:33" x14ac:dyDescent="0.2">
      <c r="A732" t="str">
        <f t="shared" si="209"/>
        <v/>
      </c>
      <c r="B732" s="38" t="str">
        <f t="shared" si="210"/>
        <v/>
      </c>
      <c r="C732" s="38" t="str">
        <f t="shared" si="211"/>
        <v/>
      </c>
      <c r="D732" s="38" t="str">
        <f t="shared" si="212"/>
        <v/>
      </c>
      <c r="E732" s="38" t="str">
        <f t="shared" si="213"/>
        <v/>
      </c>
      <c r="F732" s="38" t="str">
        <f t="shared" si="214"/>
        <v/>
      </c>
      <c r="G732" s="38" t="str">
        <f t="shared" si="224"/>
        <v/>
      </c>
      <c r="H732" s="38" t="str">
        <f t="shared" si="225"/>
        <v/>
      </c>
      <c r="L732" t="str">
        <f t="shared" si="215"/>
        <v/>
      </c>
      <c r="M732" s="38" t="str">
        <f t="shared" si="216"/>
        <v/>
      </c>
      <c r="N732" s="38" t="str">
        <f t="shared" si="217"/>
        <v/>
      </c>
      <c r="O732" s="38" t="str">
        <f t="shared" si="218"/>
        <v/>
      </c>
      <c r="P732" s="38" t="str">
        <f t="shared" si="219"/>
        <v/>
      </c>
      <c r="Q732" s="38" t="str">
        <f t="shared" si="220"/>
        <v/>
      </c>
      <c r="R732" s="38" t="str">
        <f t="shared" si="221"/>
        <v/>
      </c>
      <c r="S732" s="38" t="str">
        <f t="shared" si="222"/>
        <v/>
      </c>
      <c r="T732" s="38" t="str">
        <f t="shared" si="223"/>
        <v/>
      </c>
      <c r="AF732" t="str">
        <f t="shared" si="208"/>
        <v/>
      </c>
      <c r="AG732" s="38" t="str">
        <f t="shared" si="207"/>
        <v/>
      </c>
    </row>
    <row r="733" spans="1:33" x14ac:dyDescent="0.2">
      <c r="A733" t="str">
        <f t="shared" si="209"/>
        <v/>
      </c>
      <c r="B733" s="38" t="str">
        <f t="shared" si="210"/>
        <v/>
      </c>
      <c r="C733" s="38" t="str">
        <f t="shared" si="211"/>
        <v/>
      </c>
      <c r="D733" s="38" t="str">
        <f t="shared" si="212"/>
        <v/>
      </c>
      <c r="E733" s="38" t="str">
        <f t="shared" si="213"/>
        <v/>
      </c>
      <c r="F733" s="38" t="str">
        <f t="shared" si="214"/>
        <v/>
      </c>
      <c r="G733" s="38" t="str">
        <f t="shared" si="224"/>
        <v/>
      </c>
      <c r="H733" s="38" t="str">
        <f t="shared" si="225"/>
        <v/>
      </c>
      <c r="L733" t="str">
        <f t="shared" si="215"/>
        <v/>
      </c>
      <c r="M733" s="38" t="str">
        <f t="shared" si="216"/>
        <v/>
      </c>
      <c r="N733" s="38" t="str">
        <f t="shared" si="217"/>
        <v/>
      </c>
      <c r="O733" s="38" t="str">
        <f t="shared" si="218"/>
        <v/>
      </c>
      <c r="P733" s="38" t="str">
        <f t="shared" si="219"/>
        <v/>
      </c>
      <c r="Q733" s="38" t="str">
        <f t="shared" si="220"/>
        <v/>
      </c>
      <c r="R733" s="38" t="str">
        <f t="shared" si="221"/>
        <v/>
      </c>
      <c r="S733" s="38" t="str">
        <f t="shared" si="222"/>
        <v/>
      </c>
      <c r="T733" s="38" t="str">
        <f t="shared" si="223"/>
        <v/>
      </c>
      <c r="AF733" t="str">
        <f t="shared" si="208"/>
        <v/>
      </c>
      <c r="AG733" s="38" t="str">
        <f t="shared" si="207"/>
        <v/>
      </c>
    </row>
    <row r="734" spans="1:33" x14ac:dyDescent="0.2">
      <c r="A734" t="str">
        <f t="shared" si="209"/>
        <v/>
      </c>
      <c r="B734" s="38" t="str">
        <f t="shared" si="210"/>
        <v/>
      </c>
      <c r="C734" s="38" t="str">
        <f t="shared" si="211"/>
        <v/>
      </c>
      <c r="D734" s="38" t="str">
        <f t="shared" si="212"/>
        <v/>
      </c>
      <c r="E734" s="38" t="str">
        <f t="shared" si="213"/>
        <v/>
      </c>
      <c r="F734" s="38" t="str">
        <f t="shared" si="214"/>
        <v/>
      </c>
      <c r="G734" s="38" t="str">
        <f t="shared" si="224"/>
        <v/>
      </c>
      <c r="H734" s="38" t="str">
        <f t="shared" si="225"/>
        <v/>
      </c>
      <c r="L734" t="str">
        <f t="shared" si="215"/>
        <v/>
      </c>
      <c r="M734" s="38" t="str">
        <f t="shared" si="216"/>
        <v/>
      </c>
      <c r="N734" s="38" t="str">
        <f t="shared" si="217"/>
        <v/>
      </c>
      <c r="O734" s="38" t="str">
        <f t="shared" si="218"/>
        <v/>
      </c>
      <c r="P734" s="38" t="str">
        <f t="shared" si="219"/>
        <v/>
      </c>
      <c r="Q734" s="38" t="str">
        <f t="shared" si="220"/>
        <v/>
      </c>
      <c r="R734" s="38" t="str">
        <f t="shared" si="221"/>
        <v/>
      </c>
      <c r="S734" s="38" t="str">
        <f t="shared" si="222"/>
        <v/>
      </c>
      <c r="T734" s="38" t="str">
        <f t="shared" si="223"/>
        <v/>
      </c>
      <c r="AF734" t="str">
        <f t="shared" si="208"/>
        <v/>
      </c>
      <c r="AG734" s="38" t="str">
        <f t="shared" si="207"/>
        <v/>
      </c>
    </row>
    <row r="735" spans="1:33" x14ac:dyDescent="0.2">
      <c r="A735" t="str">
        <f t="shared" si="209"/>
        <v/>
      </c>
      <c r="B735" s="38" t="str">
        <f t="shared" si="210"/>
        <v/>
      </c>
      <c r="C735" s="38" t="str">
        <f t="shared" si="211"/>
        <v/>
      </c>
      <c r="D735" s="38" t="str">
        <f t="shared" si="212"/>
        <v/>
      </c>
      <c r="E735" s="38" t="str">
        <f t="shared" si="213"/>
        <v/>
      </c>
      <c r="F735" s="38" t="str">
        <f t="shared" si="214"/>
        <v/>
      </c>
      <c r="G735" s="38" t="str">
        <f t="shared" si="224"/>
        <v/>
      </c>
      <c r="H735" s="38" t="str">
        <f t="shared" si="225"/>
        <v/>
      </c>
      <c r="L735" t="str">
        <f t="shared" si="215"/>
        <v/>
      </c>
      <c r="M735" s="38" t="str">
        <f t="shared" si="216"/>
        <v/>
      </c>
      <c r="N735" s="38" t="str">
        <f t="shared" si="217"/>
        <v/>
      </c>
      <c r="O735" s="38" t="str">
        <f t="shared" si="218"/>
        <v/>
      </c>
      <c r="P735" s="38" t="str">
        <f t="shared" si="219"/>
        <v/>
      </c>
      <c r="Q735" s="38" t="str">
        <f t="shared" si="220"/>
        <v/>
      </c>
      <c r="R735" s="38" t="str">
        <f t="shared" si="221"/>
        <v/>
      </c>
      <c r="S735" s="38" t="str">
        <f t="shared" si="222"/>
        <v/>
      </c>
      <c r="T735" s="38" t="str">
        <f t="shared" si="223"/>
        <v/>
      </c>
      <c r="AF735" t="str">
        <f t="shared" si="208"/>
        <v/>
      </c>
      <c r="AG735" s="38" t="str">
        <f t="shared" si="207"/>
        <v/>
      </c>
    </row>
    <row r="736" spans="1:33" x14ac:dyDescent="0.2">
      <c r="A736" t="str">
        <f t="shared" si="209"/>
        <v/>
      </c>
      <c r="B736" s="38" t="str">
        <f t="shared" si="210"/>
        <v/>
      </c>
      <c r="C736" s="38" t="str">
        <f t="shared" si="211"/>
        <v/>
      </c>
      <c r="D736" s="38" t="str">
        <f t="shared" si="212"/>
        <v/>
      </c>
      <c r="E736" s="38" t="str">
        <f t="shared" si="213"/>
        <v/>
      </c>
      <c r="F736" s="38" t="str">
        <f t="shared" si="214"/>
        <v/>
      </c>
      <c r="G736" s="38" t="str">
        <f t="shared" si="224"/>
        <v/>
      </c>
      <c r="H736" s="38" t="str">
        <f t="shared" si="225"/>
        <v/>
      </c>
      <c r="L736" t="str">
        <f t="shared" si="215"/>
        <v/>
      </c>
      <c r="M736" s="38" t="str">
        <f t="shared" si="216"/>
        <v/>
      </c>
      <c r="N736" s="38" t="str">
        <f t="shared" si="217"/>
        <v/>
      </c>
      <c r="O736" s="38" t="str">
        <f t="shared" si="218"/>
        <v/>
      </c>
      <c r="P736" s="38" t="str">
        <f t="shared" si="219"/>
        <v/>
      </c>
      <c r="Q736" s="38" t="str">
        <f t="shared" si="220"/>
        <v/>
      </c>
      <c r="R736" s="38" t="str">
        <f t="shared" si="221"/>
        <v/>
      </c>
      <c r="S736" s="38" t="str">
        <f t="shared" si="222"/>
        <v/>
      </c>
      <c r="T736" s="38" t="str">
        <f t="shared" si="223"/>
        <v/>
      </c>
      <c r="AF736" t="str">
        <f t="shared" si="208"/>
        <v/>
      </c>
      <c r="AG736" s="38" t="str">
        <f t="shared" si="207"/>
        <v/>
      </c>
    </row>
    <row r="737" spans="1:33" x14ac:dyDescent="0.2">
      <c r="A737" t="str">
        <f t="shared" si="209"/>
        <v/>
      </c>
      <c r="B737" s="38" t="str">
        <f t="shared" si="210"/>
        <v/>
      </c>
      <c r="C737" s="38" t="str">
        <f t="shared" si="211"/>
        <v/>
      </c>
      <c r="D737" s="38" t="str">
        <f t="shared" si="212"/>
        <v/>
      </c>
      <c r="E737" s="38" t="str">
        <f t="shared" si="213"/>
        <v/>
      </c>
      <c r="F737" s="38" t="str">
        <f t="shared" si="214"/>
        <v/>
      </c>
      <c r="G737" s="38" t="str">
        <f t="shared" si="224"/>
        <v/>
      </c>
      <c r="H737" s="38" t="str">
        <f t="shared" si="225"/>
        <v/>
      </c>
      <c r="L737" t="str">
        <f t="shared" si="215"/>
        <v/>
      </c>
      <c r="M737" s="38" t="str">
        <f t="shared" si="216"/>
        <v/>
      </c>
      <c r="N737" s="38" t="str">
        <f t="shared" si="217"/>
        <v/>
      </c>
      <c r="O737" s="38" t="str">
        <f t="shared" si="218"/>
        <v/>
      </c>
      <c r="P737" s="38" t="str">
        <f t="shared" si="219"/>
        <v/>
      </c>
      <c r="Q737" s="38" t="str">
        <f t="shared" si="220"/>
        <v/>
      </c>
      <c r="R737" s="38" t="str">
        <f t="shared" si="221"/>
        <v/>
      </c>
      <c r="S737" s="38" t="str">
        <f t="shared" si="222"/>
        <v/>
      </c>
      <c r="T737" s="38" t="str">
        <f t="shared" si="223"/>
        <v/>
      </c>
      <c r="AF737" t="str">
        <f t="shared" si="208"/>
        <v/>
      </c>
      <c r="AG737" s="38" t="str">
        <f t="shared" si="207"/>
        <v/>
      </c>
    </row>
    <row r="738" spans="1:33" x14ac:dyDescent="0.2">
      <c r="A738" t="str">
        <f t="shared" si="209"/>
        <v/>
      </c>
      <c r="B738" s="38" t="str">
        <f t="shared" si="210"/>
        <v/>
      </c>
      <c r="C738" s="38" t="str">
        <f t="shared" si="211"/>
        <v/>
      </c>
      <c r="D738" s="38" t="str">
        <f t="shared" si="212"/>
        <v/>
      </c>
      <c r="E738" s="38" t="str">
        <f t="shared" si="213"/>
        <v/>
      </c>
      <c r="F738" s="38" t="str">
        <f t="shared" si="214"/>
        <v/>
      </c>
      <c r="G738" s="38" t="str">
        <f t="shared" si="224"/>
        <v/>
      </c>
      <c r="H738" s="38" t="str">
        <f t="shared" si="225"/>
        <v/>
      </c>
      <c r="L738" t="str">
        <f t="shared" si="215"/>
        <v/>
      </c>
      <c r="M738" s="38" t="str">
        <f t="shared" si="216"/>
        <v/>
      </c>
      <c r="N738" s="38" t="str">
        <f t="shared" si="217"/>
        <v/>
      </c>
      <c r="O738" s="38" t="str">
        <f t="shared" si="218"/>
        <v/>
      </c>
      <c r="P738" s="38" t="str">
        <f t="shared" si="219"/>
        <v/>
      </c>
      <c r="Q738" s="38" t="str">
        <f t="shared" si="220"/>
        <v/>
      </c>
      <c r="R738" s="38" t="str">
        <f t="shared" si="221"/>
        <v/>
      </c>
      <c r="S738" s="38" t="str">
        <f t="shared" si="222"/>
        <v/>
      </c>
      <c r="T738" s="38" t="str">
        <f t="shared" si="223"/>
        <v/>
      </c>
      <c r="AF738" t="str">
        <f t="shared" si="208"/>
        <v/>
      </c>
      <c r="AG738" s="38" t="str">
        <f t="shared" si="207"/>
        <v/>
      </c>
    </row>
    <row r="739" spans="1:33" x14ac:dyDescent="0.2">
      <c r="A739" t="str">
        <f t="shared" si="209"/>
        <v/>
      </c>
      <c r="B739" s="38" t="str">
        <f t="shared" si="210"/>
        <v/>
      </c>
      <c r="C739" s="38" t="str">
        <f t="shared" si="211"/>
        <v/>
      </c>
      <c r="D739" s="38" t="str">
        <f t="shared" si="212"/>
        <v/>
      </c>
      <c r="E739" s="38" t="str">
        <f t="shared" si="213"/>
        <v/>
      </c>
      <c r="F739" s="38" t="str">
        <f t="shared" si="214"/>
        <v/>
      </c>
      <c r="G739" s="38" t="str">
        <f t="shared" si="224"/>
        <v/>
      </c>
      <c r="H739" s="38" t="str">
        <f t="shared" si="225"/>
        <v/>
      </c>
      <c r="L739" t="str">
        <f t="shared" si="215"/>
        <v/>
      </c>
      <c r="M739" s="38" t="str">
        <f t="shared" si="216"/>
        <v/>
      </c>
      <c r="N739" s="38" t="str">
        <f t="shared" si="217"/>
        <v/>
      </c>
      <c r="O739" s="38" t="str">
        <f t="shared" si="218"/>
        <v/>
      </c>
      <c r="P739" s="38" t="str">
        <f t="shared" si="219"/>
        <v/>
      </c>
      <c r="Q739" s="38" t="str">
        <f t="shared" si="220"/>
        <v/>
      </c>
      <c r="R739" s="38" t="str">
        <f t="shared" si="221"/>
        <v/>
      </c>
      <c r="S739" s="38" t="str">
        <f t="shared" si="222"/>
        <v/>
      </c>
      <c r="T739" s="38" t="str">
        <f t="shared" si="223"/>
        <v/>
      </c>
      <c r="AF739" t="str">
        <f t="shared" si="208"/>
        <v/>
      </c>
      <c r="AG739" s="38" t="str">
        <f t="shared" si="207"/>
        <v/>
      </c>
    </row>
    <row r="740" spans="1:33" x14ac:dyDescent="0.2">
      <c r="A740" t="str">
        <f t="shared" si="209"/>
        <v/>
      </c>
      <c r="B740" s="38" t="str">
        <f t="shared" si="210"/>
        <v/>
      </c>
      <c r="C740" s="38" t="str">
        <f t="shared" si="211"/>
        <v/>
      </c>
      <c r="D740" s="38" t="str">
        <f t="shared" si="212"/>
        <v/>
      </c>
      <c r="E740" s="38" t="str">
        <f t="shared" si="213"/>
        <v/>
      </c>
      <c r="F740" s="38" t="str">
        <f t="shared" si="214"/>
        <v/>
      </c>
      <c r="G740" s="38" t="str">
        <f t="shared" si="224"/>
        <v/>
      </c>
      <c r="H740" s="38" t="str">
        <f t="shared" si="225"/>
        <v/>
      </c>
      <c r="L740" t="str">
        <f t="shared" si="215"/>
        <v/>
      </c>
      <c r="M740" s="38" t="str">
        <f t="shared" si="216"/>
        <v/>
      </c>
      <c r="N740" s="38" t="str">
        <f t="shared" si="217"/>
        <v/>
      </c>
      <c r="O740" s="38" t="str">
        <f t="shared" si="218"/>
        <v/>
      </c>
      <c r="P740" s="38" t="str">
        <f t="shared" si="219"/>
        <v/>
      </c>
      <c r="Q740" s="38" t="str">
        <f t="shared" si="220"/>
        <v/>
      </c>
      <c r="R740" s="38" t="str">
        <f t="shared" si="221"/>
        <v/>
      </c>
      <c r="S740" s="38" t="str">
        <f t="shared" si="222"/>
        <v/>
      </c>
      <c r="T740" s="38" t="str">
        <f t="shared" si="223"/>
        <v/>
      </c>
      <c r="AF740" t="str">
        <f t="shared" si="208"/>
        <v/>
      </c>
      <c r="AG740" s="38" t="str">
        <f t="shared" si="207"/>
        <v/>
      </c>
    </row>
    <row r="741" spans="1:33" x14ac:dyDescent="0.2">
      <c r="A741" t="str">
        <f t="shared" si="209"/>
        <v/>
      </c>
      <c r="B741" s="38" t="str">
        <f t="shared" si="210"/>
        <v/>
      </c>
      <c r="C741" s="38" t="str">
        <f t="shared" si="211"/>
        <v/>
      </c>
      <c r="D741" s="38" t="str">
        <f t="shared" si="212"/>
        <v/>
      </c>
      <c r="E741" s="38" t="str">
        <f t="shared" si="213"/>
        <v/>
      </c>
      <c r="F741" s="38" t="str">
        <f t="shared" si="214"/>
        <v/>
      </c>
      <c r="G741" s="38" t="str">
        <f t="shared" si="224"/>
        <v/>
      </c>
      <c r="H741" s="38" t="str">
        <f t="shared" si="225"/>
        <v/>
      </c>
      <c r="L741" t="str">
        <f t="shared" si="215"/>
        <v/>
      </c>
      <c r="M741" s="38" t="str">
        <f t="shared" si="216"/>
        <v/>
      </c>
      <c r="N741" s="38" t="str">
        <f t="shared" si="217"/>
        <v/>
      </c>
      <c r="O741" s="38" t="str">
        <f t="shared" si="218"/>
        <v/>
      </c>
      <c r="P741" s="38" t="str">
        <f t="shared" si="219"/>
        <v/>
      </c>
      <c r="Q741" s="38" t="str">
        <f t="shared" si="220"/>
        <v/>
      </c>
      <c r="R741" s="38" t="str">
        <f t="shared" si="221"/>
        <v/>
      </c>
      <c r="S741" s="38" t="str">
        <f t="shared" si="222"/>
        <v/>
      </c>
      <c r="T741" s="38" t="str">
        <f t="shared" si="223"/>
        <v/>
      </c>
      <c r="AF741" t="str">
        <f t="shared" si="208"/>
        <v/>
      </c>
    </row>
    <row r="742" spans="1:33" x14ac:dyDescent="0.2">
      <c r="A742" t="str">
        <f t="shared" si="209"/>
        <v/>
      </c>
      <c r="B742" s="38" t="str">
        <f t="shared" si="210"/>
        <v/>
      </c>
      <c r="C742" s="38" t="str">
        <f t="shared" si="211"/>
        <v/>
      </c>
      <c r="D742" s="38" t="str">
        <f t="shared" si="212"/>
        <v/>
      </c>
      <c r="E742" s="38" t="str">
        <f t="shared" si="213"/>
        <v/>
      </c>
      <c r="F742" s="38" t="str">
        <f t="shared" si="214"/>
        <v/>
      </c>
      <c r="G742" s="38" t="str">
        <f t="shared" si="224"/>
        <v/>
      </c>
      <c r="H742" s="38" t="str">
        <f t="shared" si="225"/>
        <v/>
      </c>
      <c r="L742" t="str">
        <f t="shared" si="215"/>
        <v/>
      </c>
      <c r="M742" s="38" t="str">
        <f t="shared" si="216"/>
        <v/>
      </c>
      <c r="N742" s="38" t="str">
        <f t="shared" si="217"/>
        <v/>
      </c>
      <c r="O742" s="38" t="str">
        <f t="shared" si="218"/>
        <v/>
      </c>
      <c r="P742" s="38" t="str">
        <f t="shared" si="219"/>
        <v/>
      </c>
      <c r="Q742" s="38" t="str">
        <f t="shared" si="220"/>
        <v/>
      </c>
      <c r="R742" s="38" t="str">
        <f t="shared" si="221"/>
        <v/>
      </c>
      <c r="S742" s="38" t="str">
        <f t="shared" si="222"/>
        <v/>
      </c>
      <c r="T742" s="38" t="str">
        <f t="shared" si="223"/>
        <v/>
      </c>
      <c r="AF742" t="str">
        <f t="shared" si="208"/>
        <v/>
      </c>
    </row>
    <row r="743" spans="1:33" x14ac:dyDescent="0.2">
      <c r="A743" t="str">
        <f t="shared" si="209"/>
        <v/>
      </c>
      <c r="B743" s="38" t="str">
        <f t="shared" si="210"/>
        <v/>
      </c>
      <c r="C743" s="38" t="str">
        <f t="shared" si="211"/>
        <v/>
      </c>
      <c r="D743" s="38" t="str">
        <f t="shared" si="212"/>
        <v/>
      </c>
      <c r="E743" s="38" t="str">
        <f t="shared" si="213"/>
        <v/>
      </c>
      <c r="F743" s="38" t="str">
        <f t="shared" si="214"/>
        <v/>
      </c>
      <c r="G743" s="38" t="str">
        <f t="shared" si="224"/>
        <v/>
      </c>
      <c r="H743" s="38" t="str">
        <f t="shared" si="225"/>
        <v/>
      </c>
      <c r="L743" t="str">
        <f t="shared" si="215"/>
        <v/>
      </c>
      <c r="M743" s="38" t="str">
        <f t="shared" si="216"/>
        <v/>
      </c>
      <c r="N743" s="38" t="str">
        <f t="shared" si="217"/>
        <v/>
      </c>
      <c r="O743" s="38" t="str">
        <f t="shared" si="218"/>
        <v/>
      </c>
      <c r="P743" s="38" t="str">
        <f t="shared" si="219"/>
        <v/>
      </c>
      <c r="Q743" s="38" t="str">
        <f t="shared" si="220"/>
        <v/>
      </c>
      <c r="R743" s="38" t="str">
        <f t="shared" si="221"/>
        <v/>
      </c>
      <c r="S743" s="38" t="str">
        <f t="shared" si="222"/>
        <v/>
      </c>
      <c r="T743" s="38" t="str">
        <f t="shared" si="223"/>
        <v/>
      </c>
      <c r="AF743" t="str">
        <f t="shared" si="208"/>
        <v/>
      </c>
    </row>
    <row r="744" spans="1:33" x14ac:dyDescent="0.2">
      <c r="A744" t="str">
        <f t="shared" si="209"/>
        <v/>
      </c>
      <c r="B744" s="38" t="str">
        <f t="shared" si="210"/>
        <v/>
      </c>
      <c r="C744" s="38" t="str">
        <f t="shared" si="211"/>
        <v/>
      </c>
      <c r="D744" s="38" t="str">
        <f t="shared" si="212"/>
        <v/>
      </c>
      <c r="E744" s="38" t="str">
        <f t="shared" si="213"/>
        <v/>
      </c>
      <c r="F744" s="38" t="str">
        <f t="shared" si="214"/>
        <v/>
      </c>
      <c r="G744" s="38" t="str">
        <f t="shared" si="224"/>
        <v/>
      </c>
      <c r="H744" s="38" t="str">
        <f t="shared" si="225"/>
        <v/>
      </c>
      <c r="L744" t="str">
        <f t="shared" si="215"/>
        <v/>
      </c>
      <c r="M744" s="38" t="str">
        <f t="shared" si="216"/>
        <v/>
      </c>
      <c r="N744" s="38" t="str">
        <f t="shared" si="217"/>
        <v/>
      </c>
      <c r="O744" s="38" t="str">
        <f t="shared" si="218"/>
        <v/>
      </c>
      <c r="P744" s="38" t="str">
        <f t="shared" si="219"/>
        <v/>
      </c>
      <c r="Q744" s="38" t="str">
        <f t="shared" si="220"/>
        <v/>
      </c>
      <c r="R744" s="38" t="str">
        <f t="shared" si="221"/>
        <v/>
      </c>
      <c r="S744" s="38" t="str">
        <f t="shared" si="222"/>
        <v/>
      </c>
      <c r="T744" s="38" t="str">
        <f t="shared" si="223"/>
        <v/>
      </c>
      <c r="AF744" t="str">
        <f t="shared" si="208"/>
        <v/>
      </c>
    </row>
    <row r="745" spans="1:33" x14ac:dyDescent="0.2">
      <c r="A745" t="str">
        <f t="shared" si="209"/>
        <v/>
      </c>
      <c r="B745" s="38" t="str">
        <f t="shared" si="210"/>
        <v/>
      </c>
      <c r="C745" s="38" t="str">
        <f t="shared" si="211"/>
        <v/>
      </c>
      <c r="D745" s="38" t="str">
        <f t="shared" si="212"/>
        <v/>
      </c>
      <c r="E745" s="38" t="str">
        <f t="shared" si="213"/>
        <v/>
      </c>
      <c r="F745" s="38" t="str">
        <f t="shared" si="214"/>
        <v/>
      </c>
      <c r="G745" s="38" t="str">
        <f t="shared" si="224"/>
        <v/>
      </c>
      <c r="H745" s="38" t="str">
        <f t="shared" si="225"/>
        <v/>
      </c>
      <c r="L745" t="str">
        <f t="shared" si="215"/>
        <v/>
      </c>
      <c r="M745" s="38" t="str">
        <f t="shared" si="216"/>
        <v/>
      </c>
      <c r="N745" s="38" t="str">
        <f t="shared" si="217"/>
        <v/>
      </c>
      <c r="O745" s="38" t="str">
        <f t="shared" si="218"/>
        <v/>
      </c>
      <c r="P745" s="38" t="str">
        <f t="shared" si="219"/>
        <v/>
      </c>
      <c r="Q745" s="38" t="str">
        <f t="shared" si="220"/>
        <v/>
      </c>
      <c r="R745" s="38" t="str">
        <f t="shared" si="221"/>
        <v/>
      </c>
      <c r="S745" s="38" t="str">
        <f t="shared" si="222"/>
        <v/>
      </c>
      <c r="T745" s="38" t="str">
        <f t="shared" si="223"/>
        <v/>
      </c>
      <c r="AF745" t="str">
        <f t="shared" si="208"/>
        <v/>
      </c>
    </row>
    <row r="746" spans="1:33" x14ac:dyDescent="0.2">
      <c r="A746" t="str">
        <f t="shared" si="209"/>
        <v/>
      </c>
      <c r="B746" s="38" t="str">
        <f t="shared" si="210"/>
        <v/>
      </c>
      <c r="C746" s="38" t="str">
        <f t="shared" si="211"/>
        <v/>
      </c>
      <c r="D746" s="38" t="str">
        <f t="shared" si="212"/>
        <v/>
      </c>
      <c r="E746" s="38" t="str">
        <f t="shared" si="213"/>
        <v/>
      </c>
      <c r="F746" s="38" t="str">
        <f t="shared" si="214"/>
        <v/>
      </c>
      <c r="G746" s="38" t="str">
        <f t="shared" si="224"/>
        <v/>
      </c>
      <c r="H746" s="38" t="str">
        <f t="shared" si="225"/>
        <v/>
      </c>
      <c r="L746" t="str">
        <f t="shared" si="215"/>
        <v/>
      </c>
      <c r="M746" s="38" t="str">
        <f t="shared" si="216"/>
        <v/>
      </c>
      <c r="N746" s="38" t="str">
        <f t="shared" si="217"/>
        <v/>
      </c>
      <c r="O746" s="38" t="str">
        <f t="shared" si="218"/>
        <v/>
      </c>
      <c r="P746" s="38" t="str">
        <f t="shared" si="219"/>
        <v/>
      </c>
      <c r="Q746" s="38" t="str">
        <f t="shared" si="220"/>
        <v/>
      </c>
      <c r="R746" s="38" t="str">
        <f t="shared" si="221"/>
        <v/>
      </c>
      <c r="S746" s="38" t="str">
        <f t="shared" si="222"/>
        <v/>
      </c>
      <c r="T746" s="38" t="str">
        <f t="shared" si="223"/>
        <v/>
      </c>
      <c r="AF746" t="str">
        <f t="shared" si="208"/>
        <v/>
      </c>
    </row>
    <row r="747" spans="1:33" x14ac:dyDescent="0.2">
      <c r="A747" t="str">
        <f t="shared" si="209"/>
        <v/>
      </c>
      <c r="B747" s="38" t="str">
        <f t="shared" si="210"/>
        <v/>
      </c>
      <c r="C747" s="38" t="str">
        <f t="shared" si="211"/>
        <v/>
      </c>
      <c r="D747" s="38" t="str">
        <f t="shared" si="212"/>
        <v/>
      </c>
      <c r="E747" s="38" t="str">
        <f t="shared" si="213"/>
        <v/>
      </c>
      <c r="F747" s="38" t="str">
        <f t="shared" si="214"/>
        <v/>
      </c>
      <c r="G747" s="38" t="str">
        <f t="shared" si="224"/>
        <v/>
      </c>
      <c r="H747" s="38" t="str">
        <f t="shared" si="225"/>
        <v/>
      </c>
      <c r="L747" t="str">
        <f t="shared" si="215"/>
        <v/>
      </c>
      <c r="M747" s="38" t="str">
        <f t="shared" si="216"/>
        <v/>
      </c>
      <c r="N747" s="38" t="str">
        <f t="shared" si="217"/>
        <v/>
      </c>
      <c r="O747" s="38" t="str">
        <f t="shared" si="218"/>
        <v/>
      </c>
      <c r="P747" s="38" t="str">
        <f t="shared" si="219"/>
        <v/>
      </c>
      <c r="Q747" s="38" t="str">
        <f t="shared" si="220"/>
        <v/>
      </c>
      <c r="R747" s="38" t="str">
        <f t="shared" si="221"/>
        <v/>
      </c>
      <c r="S747" s="38" t="str">
        <f t="shared" si="222"/>
        <v/>
      </c>
      <c r="T747" s="38" t="str">
        <f t="shared" si="223"/>
        <v/>
      </c>
      <c r="AF747" t="str">
        <f t="shared" si="208"/>
        <v/>
      </c>
    </row>
    <row r="748" spans="1:33" x14ac:dyDescent="0.2">
      <c r="A748" t="str">
        <f t="shared" si="209"/>
        <v/>
      </c>
      <c r="B748" s="38" t="str">
        <f t="shared" si="210"/>
        <v/>
      </c>
      <c r="C748" s="38" t="str">
        <f t="shared" si="211"/>
        <v/>
      </c>
      <c r="D748" s="38" t="str">
        <f t="shared" si="212"/>
        <v/>
      </c>
      <c r="E748" s="38" t="str">
        <f t="shared" si="213"/>
        <v/>
      </c>
      <c r="F748" s="38" t="str">
        <f t="shared" si="214"/>
        <v/>
      </c>
      <c r="G748" s="38" t="str">
        <f t="shared" si="224"/>
        <v/>
      </c>
      <c r="H748" s="38" t="str">
        <f t="shared" si="225"/>
        <v/>
      </c>
      <c r="L748" t="str">
        <f t="shared" si="215"/>
        <v/>
      </c>
      <c r="M748" s="38" t="str">
        <f t="shared" si="216"/>
        <v/>
      </c>
      <c r="N748" s="38" t="str">
        <f t="shared" si="217"/>
        <v/>
      </c>
      <c r="O748" s="38" t="str">
        <f t="shared" si="218"/>
        <v/>
      </c>
      <c r="P748" s="38" t="str">
        <f t="shared" si="219"/>
        <v/>
      </c>
      <c r="Q748" s="38" t="str">
        <f t="shared" si="220"/>
        <v/>
      </c>
      <c r="R748" s="38" t="str">
        <f t="shared" si="221"/>
        <v/>
      </c>
      <c r="S748" s="38" t="str">
        <f t="shared" si="222"/>
        <v/>
      </c>
      <c r="T748" s="38" t="str">
        <f t="shared" si="223"/>
        <v/>
      </c>
      <c r="AF748" t="str">
        <f t="shared" si="208"/>
        <v/>
      </c>
    </row>
    <row r="749" spans="1:33" x14ac:dyDescent="0.2">
      <c r="A749" t="str">
        <f t="shared" si="209"/>
        <v/>
      </c>
      <c r="B749" s="38" t="str">
        <f t="shared" si="210"/>
        <v/>
      </c>
      <c r="C749" s="38" t="str">
        <f t="shared" si="211"/>
        <v/>
      </c>
      <c r="D749" s="38" t="str">
        <f t="shared" si="212"/>
        <v/>
      </c>
      <c r="E749" s="38" t="str">
        <f t="shared" si="213"/>
        <v/>
      </c>
      <c r="F749" s="38" t="str">
        <f t="shared" si="214"/>
        <v/>
      </c>
      <c r="G749" s="38" t="str">
        <f t="shared" si="224"/>
        <v/>
      </c>
      <c r="H749" s="38" t="str">
        <f t="shared" si="225"/>
        <v/>
      </c>
      <c r="L749" t="str">
        <f t="shared" si="215"/>
        <v/>
      </c>
      <c r="M749" s="38" t="str">
        <f t="shared" si="216"/>
        <v/>
      </c>
      <c r="N749" s="38" t="str">
        <f t="shared" si="217"/>
        <v/>
      </c>
      <c r="O749" s="38" t="str">
        <f t="shared" si="218"/>
        <v/>
      </c>
      <c r="P749" s="38" t="str">
        <f t="shared" si="219"/>
        <v/>
      </c>
      <c r="Q749" s="38" t="str">
        <f t="shared" si="220"/>
        <v/>
      </c>
      <c r="R749" s="38" t="str">
        <f t="shared" si="221"/>
        <v/>
      </c>
      <c r="S749" s="38" t="str">
        <f t="shared" si="222"/>
        <v/>
      </c>
      <c r="T749" s="38" t="str">
        <f t="shared" si="223"/>
        <v/>
      </c>
      <c r="AF749" t="str">
        <f t="shared" si="208"/>
        <v/>
      </c>
    </row>
    <row r="750" spans="1:33" x14ac:dyDescent="0.2">
      <c r="A750" t="str">
        <f t="shared" si="209"/>
        <v/>
      </c>
      <c r="B750" s="38" t="str">
        <f t="shared" si="210"/>
        <v/>
      </c>
      <c r="C750" s="38" t="str">
        <f t="shared" si="211"/>
        <v/>
      </c>
      <c r="D750" s="38" t="str">
        <f t="shared" si="212"/>
        <v/>
      </c>
      <c r="E750" s="38" t="str">
        <f t="shared" si="213"/>
        <v/>
      </c>
      <c r="F750" s="38" t="str">
        <f t="shared" si="214"/>
        <v/>
      </c>
      <c r="G750" s="38" t="str">
        <f t="shared" si="224"/>
        <v/>
      </c>
      <c r="H750" s="38" t="str">
        <f t="shared" si="225"/>
        <v/>
      </c>
      <c r="L750" t="str">
        <f t="shared" si="215"/>
        <v/>
      </c>
      <c r="M750" s="38" t="str">
        <f t="shared" si="216"/>
        <v/>
      </c>
      <c r="N750" s="38" t="str">
        <f t="shared" si="217"/>
        <v/>
      </c>
      <c r="O750" s="38" t="str">
        <f t="shared" si="218"/>
        <v/>
      </c>
      <c r="P750" s="38" t="str">
        <f t="shared" si="219"/>
        <v/>
      </c>
      <c r="Q750" s="38" t="str">
        <f t="shared" si="220"/>
        <v/>
      </c>
      <c r="R750" s="38" t="str">
        <f t="shared" si="221"/>
        <v/>
      </c>
      <c r="S750" s="38" t="str">
        <f t="shared" si="222"/>
        <v/>
      </c>
      <c r="T750" s="38" t="str">
        <f t="shared" si="223"/>
        <v/>
      </c>
      <c r="AF750" t="str">
        <f t="shared" si="208"/>
        <v/>
      </c>
    </row>
    <row r="751" spans="1:33" x14ac:dyDescent="0.2">
      <c r="A751" t="str">
        <f t="shared" si="209"/>
        <v/>
      </c>
      <c r="B751" s="38" t="str">
        <f t="shared" si="210"/>
        <v/>
      </c>
      <c r="C751" s="38" t="str">
        <f t="shared" si="211"/>
        <v/>
      </c>
      <c r="D751" s="38" t="str">
        <f t="shared" si="212"/>
        <v/>
      </c>
      <c r="E751" s="38" t="str">
        <f t="shared" si="213"/>
        <v/>
      </c>
      <c r="F751" s="38" t="str">
        <f t="shared" si="214"/>
        <v/>
      </c>
      <c r="G751" s="38" t="str">
        <f t="shared" si="224"/>
        <v/>
      </c>
      <c r="H751" s="38" t="str">
        <f t="shared" si="225"/>
        <v/>
      </c>
      <c r="L751" t="str">
        <f t="shared" si="215"/>
        <v/>
      </c>
      <c r="M751" s="38" t="str">
        <f t="shared" si="216"/>
        <v/>
      </c>
      <c r="N751" s="38" t="str">
        <f t="shared" si="217"/>
        <v/>
      </c>
      <c r="O751" s="38" t="str">
        <f t="shared" si="218"/>
        <v/>
      </c>
      <c r="P751" s="38" t="str">
        <f t="shared" si="219"/>
        <v/>
      </c>
      <c r="Q751" s="38" t="str">
        <f t="shared" si="220"/>
        <v/>
      </c>
      <c r="R751" s="38" t="str">
        <f t="shared" si="221"/>
        <v/>
      </c>
      <c r="S751" s="38" t="str">
        <f t="shared" si="222"/>
        <v/>
      </c>
      <c r="T751" s="38" t="str">
        <f t="shared" si="223"/>
        <v/>
      </c>
      <c r="AF751" t="str">
        <f t="shared" si="208"/>
        <v/>
      </c>
    </row>
    <row r="752" spans="1:33" x14ac:dyDescent="0.2">
      <c r="A752" t="str">
        <f t="shared" si="209"/>
        <v/>
      </c>
      <c r="B752" s="38" t="str">
        <f t="shared" si="210"/>
        <v/>
      </c>
      <c r="C752" s="38" t="str">
        <f t="shared" si="211"/>
        <v/>
      </c>
      <c r="D752" s="38" t="str">
        <f t="shared" si="212"/>
        <v/>
      </c>
      <c r="E752" s="38" t="str">
        <f t="shared" si="213"/>
        <v/>
      </c>
      <c r="F752" s="38" t="str">
        <f t="shared" si="214"/>
        <v/>
      </c>
      <c r="G752" s="38" t="str">
        <f t="shared" si="224"/>
        <v/>
      </c>
      <c r="H752" s="38" t="str">
        <f t="shared" si="225"/>
        <v/>
      </c>
      <c r="L752" t="str">
        <f t="shared" si="215"/>
        <v/>
      </c>
      <c r="M752" s="38" t="str">
        <f t="shared" si="216"/>
        <v/>
      </c>
      <c r="N752" s="38" t="str">
        <f t="shared" si="217"/>
        <v/>
      </c>
      <c r="O752" s="38" t="str">
        <f t="shared" si="218"/>
        <v/>
      </c>
      <c r="P752" s="38" t="str">
        <f t="shared" si="219"/>
        <v/>
      </c>
      <c r="Q752" s="38" t="str">
        <f t="shared" si="220"/>
        <v/>
      </c>
      <c r="R752" s="38" t="str">
        <f t="shared" si="221"/>
        <v/>
      </c>
      <c r="S752" s="38" t="str">
        <f t="shared" si="222"/>
        <v/>
      </c>
      <c r="T752" s="38" t="str">
        <f t="shared" si="223"/>
        <v/>
      </c>
      <c r="AF752" t="str">
        <f t="shared" si="208"/>
        <v/>
      </c>
    </row>
    <row r="753" spans="1:32" x14ac:dyDescent="0.2">
      <c r="A753" t="str">
        <f t="shared" si="209"/>
        <v/>
      </c>
      <c r="B753" s="38" t="str">
        <f t="shared" si="210"/>
        <v/>
      </c>
      <c r="C753" s="38" t="str">
        <f t="shared" si="211"/>
        <v/>
      </c>
      <c r="D753" s="38" t="str">
        <f t="shared" si="212"/>
        <v/>
      </c>
      <c r="E753" s="38" t="str">
        <f t="shared" si="213"/>
        <v/>
      </c>
      <c r="F753" s="38" t="str">
        <f t="shared" si="214"/>
        <v/>
      </c>
      <c r="G753" s="38" t="str">
        <f t="shared" si="224"/>
        <v/>
      </c>
      <c r="H753" s="38" t="str">
        <f t="shared" si="225"/>
        <v/>
      </c>
      <c r="L753" t="str">
        <f t="shared" si="215"/>
        <v/>
      </c>
      <c r="M753" s="38" t="str">
        <f t="shared" si="216"/>
        <v/>
      </c>
      <c r="N753" s="38" t="str">
        <f t="shared" si="217"/>
        <v/>
      </c>
      <c r="O753" s="38" t="str">
        <f t="shared" si="218"/>
        <v/>
      </c>
      <c r="P753" s="38" t="str">
        <f t="shared" si="219"/>
        <v/>
      </c>
      <c r="Q753" s="38" t="str">
        <f t="shared" si="220"/>
        <v/>
      </c>
      <c r="R753" s="38" t="str">
        <f t="shared" si="221"/>
        <v/>
      </c>
      <c r="S753" s="38" t="str">
        <f t="shared" si="222"/>
        <v/>
      </c>
      <c r="T753" s="38" t="str">
        <f t="shared" si="223"/>
        <v/>
      </c>
      <c r="AF753" t="str">
        <f t="shared" si="208"/>
        <v/>
      </c>
    </row>
    <row r="754" spans="1:32" x14ac:dyDescent="0.2">
      <c r="A754" t="str">
        <f t="shared" si="209"/>
        <v/>
      </c>
      <c r="B754" s="38" t="str">
        <f t="shared" si="210"/>
        <v/>
      </c>
      <c r="C754" s="38" t="str">
        <f t="shared" si="211"/>
        <v/>
      </c>
      <c r="D754" s="38" t="str">
        <f t="shared" si="212"/>
        <v/>
      </c>
      <c r="E754" s="38" t="str">
        <f t="shared" si="213"/>
        <v/>
      </c>
      <c r="F754" s="38" t="str">
        <f t="shared" si="214"/>
        <v/>
      </c>
      <c r="G754" s="38" t="str">
        <f t="shared" si="224"/>
        <v/>
      </c>
      <c r="H754" s="38" t="str">
        <f t="shared" si="225"/>
        <v/>
      </c>
      <c r="L754" t="str">
        <f t="shared" si="215"/>
        <v/>
      </c>
      <c r="M754" s="38" t="str">
        <f t="shared" si="216"/>
        <v/>
      </c>
      <c r="N754" s="38" t="str">
        <f t="shared" si="217"/>
        <v/>
      </c>
      <c r="O754" s="38" t="str">
        <f t="shared" si="218"/>
        <v/>
      </c>
      <c r="P754" s="38" t="str">
        <f t="shared" si="219"/>
        <v/>
      </c>
      <c r="Q754" s="38" t="str">
        <f t="shared" si="220"/>
        <v/>
      </c>
      <c r="R754" s="38" t="str">
        <f t="shared" si="221"/>
        <v/>
      </c>
      <c r="S754" s="38" t="str">
        <f t="shared" si="222"/>
        <v/>
      </c>
      <c r="T754" s="38" t="str">
        <f t="shared" si="223"/>
        <v/>
      </c>
      <c r="AF754" t="str">
        <f t="shared" si="208"/>
        <v/>
      </c>
    </row>
    <row r="755" spans="1:32" x14ac:dyDescent="0.2">
      <c r="A755" t="str">
        <f t="shared" si="209"/>
        <v/>
      </c>
      <c r="B755" s="38" t="str">
        <f t="shared" si="210"/>
        <v/>
      </c>
      <c r="C755" s="38" t="str">
        <f t="shared" si="211"/>
        <v/>
      </c>
      <c r="D755" s="38" t="str">
        <f t="shared" si="212"/>
        <v/>
      </c>
      <c r="E755" s="38" t="str">
        <f t="shared" si="213"/>
        <v/>
      </c>
      <c r="F755" s="38" t="str">
        <f t="shared" si="214"/>
        <v/>
      </c>
      <c r="G755" s="38" t="str">
        <f t="shared" si="224"/>
        <v/>
      </c>
      <c r="H755" s="38" t="str">
        <f t="shared" si="225"/>
        <v/>
      </c>
      <c r="L755" t="str">
        <f t="shared" si="215"/>
        <v/>
      </c>
      <c r="M755" s="38" t="str">
        <f t="shared" si="216"/>
        <v/>
      </c>
      <c r="N755" s="38" t="str">
        <f t="shared" si="217"/>
        <v/>
      </c>
      <c r="O755" s="38" t="str">
        <f t="shared" si="218"/>
        <v/>
      </c>
      <c r="P755" s="38" t="str">
        <f t="shared" si="219"/>
        <v/>
      </c>
      <c r="Q755" s="38" t="str">
        <f t="shared" si="220"/>
        <v/>
      </c>
      <c r="R755" s="38" t="str">
        <f t="shared" si="221"/>
        <v/>
      </c>
      <c r="S755" s="38" t="str">
        <f t="shared" si="222"/>
        <v/>
      </c>
      <c r="T755" s="38" t="str">
        <f t="shared" si="223"/>
        <v/>
      </c>
      <c r="AF755" t="str">
        <f t="shared" si="208"/>
        <v/>
      </c>
    </row>
    <row r="756" spans="1:32" x14ac:dyDescent="0.2">
      <c r="A756" t="str">
        <f t="shared" si="209"/>
        <v/>
      </c>
      <c r="B756" s="38" t="str">
        <f t="shared" si="210"/>
        <v/>
      </c>
      <c r="C756" s="38" t="str">
        <f t="shared" si="211"/>
        <v/>
      </c>
      <c r="D756" s="38" t="str">
        <f t="shared" si="212"/>
        <v/>
      </c>
      <c r="E756" s="38" t="str">
        <f t="shared" si="213"/>
        <v/>
      </c>
      <c r="F756" s="38" t="str">
        <f t="shared" si="214"/>
        <v/>
      </c>
      <c r="G756" s="38" t="str">
        <f t="shared" si="224"/>
        <v/>
      </c>
      <c r="H756" s="38" t="str">
        <f t="shared" si="225"/>
        <v/>
      </c>
      <c r="L756" t="str">
        <f t="shared" si="215"/>
        <v/>
      </c>
      <c r="M756" s="38" t="str">
        <f t="shared" si="216"/>
        <v/>
      </c>
      <c r="N756" s="38" t="str">
        <f t="shared" si="217"/>
        <v/>
      </c>
      <c r="O756" s="38" t="str">
        <f t="shared" si="218"/>
        <v/>
      </c>
      <c r="P756" s="38" t="str">
        <f t="shared" si="219"/>
        <v/>
      </c>
      <c r="Q756" s="38" t="str">
        <f t="shared" si="220"/>
        <v/>
      </c>
      <c r="R756" s="38" t="str">
        <f t="shared" si="221"/>
        <v/>
      </c>
      <c r="S756" s="38" t="str">
        <f t="shared" si="222"/>
        <v/>
      </c>
      <c r="T756" s="38" t="str">
        <f t="shared" si="223"/>
        <v/>
      </c>
      <c r="AF756" t="str">
        <f t="shared" si="208"/>
        <v/>
      </c>
    </row>
    <row r="757" spans="1:32" x14ac:dyDescent="0.2">
      <c r="A757" t="str">
        <f t="shared" si="209"/>
        <v/>
      </c>
      <c r="B757" s="38" t="str">
        <f t="shared" si="210"/>
        <v/>
      </c>
      <c r="C757" s="38" t="str">
        <f t="shared" si="211"/>
        <v/>
      </c>
      <c r="D757" s="38" t="str">
        <f t="shared" si="212"/>
        <v/>
      </c>
      <c r="E757" s="38" t="str">
        <f t="shared" si="213"/>
        <v/>
      </c>
      <c r="F757" s="38" t="str">
        <f t="shared" si="214"/>
        <v/>
      </c>
      <c r="G757" s="38" t="str">
        <f t="shared" si="224"/>
        <v/>
      </c>
      <c r="H757" s="38" t="str">
        <f t="shared" si="225"/>
        <v/>
      </c>
      <c r="L757" t="str">
        <f t="shared" si="215"/>
        <v/>
      </c>
      <c r="M757" s="38" t="str">
        <f t="shared" si="216"/>
        <v/>
      </c>
      <c r="N757" s="38" t="str">
        <f t="shared" si="217"/>
        <v/>
      </c>
      <c r="O757" s="38" t="str">
        <f t="shared" si="218"/>
        <v/>
      </c>
      <c r="P757" s="38" t="str">
        <f t="shared" si="219"/>
        <v/>
      </c>
      <c r="Q757" s="38" t="str">
        <f t="shared" si="220"/>
        <v/>
      </c>
      <c r="R757" s="38" t="str">
        <f t="shared" si="221"/>
        <v/>
      </c>
      <c r="S757" s="38" t="str">
        <f t="shared" si="222"/>
        <v/>
      </c>
      <c r="T757" s="38" t="str">
        <f t="shared" si="223"/>
        <v/>
      </c>
      <c r="AF757" t="str">
        <f t="shared" si="208"/>
        <v/>
      </c>
    </row>
    <row r="758" spans="1:32" x14ac:dyDescent="0.2">
      <c r="A758" t="str">
        <f t="shared" si="209"/>
        <v/>
      </c>
      <c r="B758" s="38" t="str">
        <f t="shared" si="210"/>
        <v/>
      </c>
      <c r="C758" s="38" t="str">
        <f t="shared" si="211"/>
        <v/>
      </c>
      <c r="D758" s="38" t="str">
        <f t="shared" si="212"/>
        <v/>
      </c>
      <c r="E758" s="38" t="str">
        <f t="shared" si="213"/>
        <v/>
      </c>
      <c r="F758" s="38" t="str">
        <f t="shared" si="214"/>
        <v/>
      </c>
      <c r="G758" s="38" t="str">
        <f t="shared" si="224"/>
        <v/>
      </c>
      <c r="H758" s="38" t="str">
        <f t="shared" si="225"/>
        <v/>
      </c>
      <c r="L758" t="str">
        <f t="shared" si="215"/>
        <v/>
      </c>
      <c r="M758" s="38" t="str">
        <f t="shared" si="216"/>
        <v/>
      </c>
      <c r="N758" s="38" t="str">
        <f t="shared" si="217"/>
        <v/>
      </c>
      <c r="O758" s="38" t="str">
        <f t="shared" si="218"/>
        <v/>
      </c>
      <c r="P758" s="38" t="str">
        <f t="shared" si="219"/>
        <v/>
      </c>
      <c r="Q758" s="38" t="str">
        <f t="shared" si="220"/>
        <v/>
      </c>
      <c r="R758" s="38" t="str">
        <f t="shared" si="221"/>
        <v/>
      </c>
      <c r="S758" s="38" t="str">
        <f t="shared" si="222"/>
        <v/>
      </c>
      <c r="T758" s="38" t="str">
        <f t="shared" si="223"/>
        <v/>
      </c>
      <c r="AF758" t="str">
        <f t="shared" si="208"/>
        <v/>
      </c>
    </row>
    <row r="759" spans="1:32" x14ac:dyDescent="0.2">
      <c r="A759" t="str">
        <f t="shared" si="209"/>
        <v/>
      </c>
      <c r="B759" s="38" t="str">
        <f t="shared" si="210"/>
        <v/>
      </c>
      <c r="C759" s="38" t="str">
        <f t="shared" si="211"/>
        <v/>
      </c>
      <c r="D759" s="38" t="str">
        <f t="shared" si="212"/>
        <v/>
      </c>
      <c r="E759" s="38" t="str">
        <f t="shared" si="213"/>
        <v/>
      </c>
      <c r="F759" s="38" t="str">
        <f t="shared" si="214"/>
        <v/>
      </c>
      <c r="G759" s="38" t="str">
        <f t="shared" si="224"/>
        <v/>
      </c>
      <c r="H759" s="38" t="str">
        <f t="shared" si="225"/>
        <v/>
      </c>
      <c r="L759" t="str">
        <f t="shared" si="215"/>
        <v/>
      </c>
      <c r="M759" s="38" t="str">
        <f t="shared" si="216"/>
        <v/>
      </c>
      <c r="N759" s="38" t="str">
        <f t="shared" si="217"/>
        <v/>
      </c>
      <c r="O759" s="38" t="str">
        <f t="shared" si="218"/>
        <v/>
      </c>
      <c r="P759" s="38" t="str">
        <f t="shared" si="219"/>
        <v/>
      </c>
      <c r="Q759" s="38" t="str">
        <f t="shared" si="220"/>
        <v/>
      </c>
      <c r="R759" s="38" t="str">
        <f t="shared" si="221"/>
        <v/>
      </c>
      <c r="S759" s="38" t="str">
        <f t="shared" si="222"/>
        <v/>
      </c>
      <c r="T759" s="38" t="str">
        <f t="shared" si="223"/>
        <v/>
      </c>
      <c r="AF759" t="str">
        <f t="shared" si="208"/>
        <v/>
      </c>
    </row>
    <row r="760" spans="1:32" x14ac:dyDescent="0.2">
      <c r="A760" t="str">
        <f t="shared" si="209"/>
        <v/>
      </c>
      <c r="B760" s="38" t="str">
        <f t="shared" si="210"/>
        <v/>
      </c>
      <c r="C760" s="38" t="str">
        <f t="shared" si="211"/>
        <v/>
      </c>
      <c r="D760" s="38" t="str">
        <f t="shared" si="212"/>
        <v/>
      </c>
      <c r="E760" s="38" t="str">
        <f t="shared" si="213"/>
        <v/>
      </c>
      <c r="F760" s="38" t="str">
        <f t="shared" si="214"/>
        <v/>
      </c>
      <c r="G760" s="38" t="str">
        <f t="shared" si="224"/>
        <v/>
      </c>
      <c r="H760" s="38" t="str">
        <f t="shared" si="225"/>
        <v/>
      </c>
      <c r="L760" t="str">
        <f t="shared" si="215"/>
        <v/>
      </c>
      <c r="M760" s="38" t="str">
        <f t="shared" si="216"/>
        <v/>
      </c>
      <c r="N760" s="38" t="str">
        <f t="shared" si="217"/>
        <v/>
      </c>
      <c r="O760" s="38" t="str">
        <f t="shared" si="218"/>
        <v/>
      </c>
      <c r="P760" s="38" t="str">
        <f t="shared" si="219"/>
        <v/>
      </c>
      <c r="Q760" s="38" t="str">
        <f t="shared" si="220"/>
        <v/>
      </c>
      <c r="R760" s="38" t="str">
        <f t="shared" si="221"/>
        <v/>
      </c>
      <c r="S760" s="38" t="str">
        <f t="shared" si="222"/>
        <v/>
      </c>
      <c r="T760" s="38" t="str">
        <f t="shared" si="223"/>
        <v/>
      </c>
      <c r="AF760" t="str">
        <f t="shared" si="208"/>
        <v/>
      </c>
    </row>
    <row r="761" spans="1:32" x14ac:dyDescent="0.2">
      <c r="A761" t="str">
        <f t="shared" si="209"/>
        <v/>
      </c>
      <c r="B761" s="38" t="str">
        <f t="shared" si="210"/>
        <v/>
      </c>
      <c r="C761" s="38" t="str">
        <f t="shared" si="211"/>
        <v/>
      </c>
      <c r="D761" s="38" t="str">
        <f t="shared" si="212"/>
        <v/>
      </c>
      <c r="E761" s="38" t="str">
        <f t="shared" si="213"/>
        <v/>
      </c>
      <c r="F761" s="38" t="str">
        <f t="shared" si="214"/>
        <v/>
      </c>
      <c r="G761" s="38" t="str">
        <f t="shared" si="224"/>
        <v/>
      </c>
      <c r="H761" s="38" t="str">
        <f t="shared" si="225"/>
        <v/>
      </c>
      <c r="L761" t="str">
        <f t="shared" si="215"/>
        <v/>
      </c>
      <c r="M761" s="38" t="str">
        <f t="shared" si="216"/>
        <v/>
      </c>
      <c r="N761" s="38" t="str">
        <f t="shared" si="217"/>
        <v/>
      </c>
      <c r="O761" s="38" t="str">
        <f t="shared" si="218"/>
        <v/>
      </c>
      <c r="P761" s="38" t="str">
        <f t="shared" si="219"/>
        <v/>
      </c>
      <c r="Q761" s="38" t="str">
        <f t="shared" si="220"/>
        <v/>
      </c>
      <c r="R761" s="38" t="str">
        <f t="shared" si="221"/>
        <v/>
      </c>
      <c r="S761" s="38" t="str">
        <f t="shared" si="222"/>
        <v/>
      </c>
      <c r="T761" s="38" t="str">
        <f t="shared" si="223"/>
        <v/>
      </c>
      <c r="AF761" t="str">
        <f t="shared" si="208"/>
        <v/>
      </c>
    </row>
    <row r="762" spans="1:32" x14ac:dyDescent="0.2">
      <c r="A762" t="str">
        <f t="shared" si="209"/>
        <v/>
      </c>
      <c r="B762" s="38" t="str">
        <f t="shared" si="210"/>
        <v/>
      </c>
      <c r="C762" s="38" t="str">
        <f t="shared" si="211"/>
        <v/>
      </c>
      <c r="D762" s="38" t="str">
        <f t="shared" si="212"/>
        <v/>
      </c>
      <c r="E762" s="38" t="str">
        <f t="shared" si="213"/>
        <v/>
      </c>
      <c r="F762" s="38" t="str">
        <f t="shared" si="214"/>
        <v/>
      </c>
      <c r="G762" s="38" t="str">
        <f t="shared" si="224"/>
        <v/>
      </c>
      <c r="H762" s="38" t="str">
        <f t="shared" si="225"/>
        <v/>
      </c>
      <c r="L762" t="str">
        <f t="shared" si="215"/>
        <v/>
      </c>
      <c r="M762" s="38" t="str">
        <f t="shared" si="216"/>
        <v/>
      </c>
      <c r="N762" s="38" t="str">
        <f t="shared" si="217"/>
        <v/>
      </c>
      <c r="O762" s="38" t="str">
        <f t="shared" si="218"/>
        <v/>
      </c>
      <c r="P762" s="38" t="str">
        <f t="shared" si="219"/>
        <v/>
      </c>
      <c r="Q762" s="38" t="str">
        <f t="shared" si="220"/>
        <v/>
      </c>
      <c r="R762" s="38" t="str">
        <f t="shared" si="221"/>
        <v/>
      </c>
      <c r="S762" s="38" t="str">
        <f t="shared" si="222"/>
        <v/>
      </c>
      <c r="T762" s="38" t="str">
        <f t="shared" si="223"/>
        <v/>
      </c>
      <c r="AF762" t="str">
        <f t="shared" si="208"/>
        <v/>
      </c>
    </row>
    <row r="763" spans="1:32" x14ac:dyDescent="0.2">
      <c r="A763" t="str">
        <f t="shared" si="209"/>
        <v/>
      </c>
      <c r="B763" s="38" t="str">
        <f t="shared" si="210"/>
        <v/>
      </c>
      <c r="C763" s="38" t="str">
        <f t="shared" si="211"/>
        <v/>
      </c>
      <c r="D763" s="38" t="str">
        <f t="shared" si="212"/>
        <v/>
      </c>
      <c r="E763" s="38" t="str">
        <f t="shared" si="213"/>
        <v/>
      </c>
      <c r="F763" s="38" t="str">
        <f t="shared" si="214"/>
        <v/>
      </c>
      <c r="G763" s="38" t="str">
        <f t="shared" si="224"/>
        <v/>
      </c>
      <c r="H763" s="38" t="str">
        <f t="shared" si="225"/>
        <v/>
      </c>
      <c r="L763" t="str">
        <f t="shared" si="215"/>
        <v/>
      </c>
      <c r="M763" s="38" t="str">
        <f t="shared" si="216"/>
        <v/>
      </c>
      <c r="N763" s="38" t="str">
        <f t="shared" si="217"/>
        <v/>
      </c>
      <c r="O763" s="38" t="str">
        <f t="shared" si="218"/>
        <v/>
      </c>
      <c r="P763" s="38" t="str">
        <f t="shared" si="219"/>
        <v/>
      </c>
      <c r="Q763" s="38" t="str">
        <f t="shared" si="220"/>
        <v/>
      </c>
      <c r="R763" s="38" t="str">
        <f t="shared" si="221"/>
        <v/>
      </c>
      <c r="S763" s="38" t="str">
        <f t="shared" si="222"/>
        <v/>
      </c>
      <c r="T763" s="38" t="str">
        <f t="shared" si="223"/>
        <v/>
      </c>
      <c r="AF763" t="str">
        <f t="shared" si="208"/>
        <v/>
      </c>
    </row>
    <row r="764" spans="1:32" x14ac:dyDescent="0.2">
      <c r="A764" t="str">
        <f t="shared" si="209"/>
        <v/>
      </c>
      <c r="B764" s="38" t="str">
        <f t="shared" si="210"/>
        <v/>
      </c>
      <c r="C764" s="38" t="str">
        <f t="shared" si="211"/>
        <v/>
      </c>
      <c r="D764" s="38" t="str">
        <f t="shared" si="212"/>
        <v/>
      </c>
      <c r="E764" s="38" t="str">
        <f t="shared" si="213"/>
        <v/>
      </c>
      <c r="F764" s="38" t="str">
        <f t="shared" si="214"/>
        <v/>
      </c>
      <c r="G764" s="38" t="str">
        <f t="shared" si="224"/>
        <v/>
      </c>
      <c r="H764" s="38" t="str">
        <f t="shared" si="225"/>
        <v/>
      </c>
      <c r="L764" t="str">
        <f t="shared" si="215"/>
        <v/>
      </c>
      <c r="M764" s="38" t="str">
        <f t="shared" si="216"/>
        <v/>
      </c>
      <c r="N764" s="38" t="str">
        <f t="shared" si="217"/>
        <v/>
      </c>
      <c r="O764" s="38" t="str">
        <f t="shared" si="218"/>
        <v/>
      </c>
      <c r="P764" s="38" t="str">
        <f t="shared" si="219"/>
        <v/>
      </c>
      <c r="Q764" s="38" t="str">
        <f t="shared" si="220"/>
        <v/>
      </c>
      <c r="R764" s="38" t="str">
        <f t="shared" si="221"/>
        <v/>
      </c>
      <c r="S764" s="38" t="str">
        <f t="shared" si="222"/>
        <v/>
      </c>
      <c r="T764" s="38" t="str">
        <f t="shared" si="223"/>
        <v/>
      </c>
      <c r="AF764" t="str">
        <f t="shared" si="208"/>
        <v/>
      </c>
    </row>
    <row r="765" spans="1:32" x14ac:dyDescent="0.2">
      <c r="A765" t="str">
        <f t="shared" si="209"/>
        <v/>
      </c>
      <c r="B765" s="38" t="str">
        <f t="shared" si="210"/>
        <v/>
      </c>
      <c r="C765" s="38" t="str">
        <f t="shared" si="211"/>
        <v/>
      </c>
      <c r="D765" s="38" t="str">
        <f t="shared" si="212"/>
        <v/>
      </c>
      <c r="E765" s="38" t="str">
        <f t="shared" si="213"/>
        <v/>
      </c>
      <c r="F765" s="38" t="str">
        <f t="shared" si="214"/>
        <v/>
      </c>
      <c r="G765" s="38" t="str">
        <f t="shared" si="224"/>
        <v/>
      </c>
      <c r="H765" s="38" t="str">
        <f t="shared" si="225"/>
        <v/>
      </c>
      <c r="L765" t="str">
        <f t="shared" si="215"/>
        <v/>
      </c>
      <c r="M765" s="38" t="str">
        <f t="shared" si="216"/>
        <v/>
      </c>
      <c r="N765" s="38" t="str">
        <f t="shared" si="217"/>
        <v/>
      </c>
      <c r="O765" s="38" t="str">
        <f t="shared" si="218"/>
        <v/>
      </c>
      <c r="P765" s="38" t="str">
        <f t="shared" si="219"/>
        <v/>
      </c>
      <c r="Q765" s="38" t="str">
        <f t="shared" si="220"/>
        <v/>
      </c>
      <c r="R765" s="38" t="str">
        <f t="shared" si="221"/>
        <v/>
      </c>
      <c r="S765" s="38" t="str">
        <f t="shared" si="222"/>
        <v/>
      </c>
      <c r="T765" s="38" t="str">
        <f t="shared" si="223"/>
        <v/>
      </c>
      <c r="AF765" t="str">
        <f t="shared" si="208"/>
        <v/>
      </c>
    </row>
    <row r="766" spans="1:32" x14ac:dyDescent="0.2">
      <c r="A766" t="str">
        <f t="shared" si="209"/>
        <v/>
      </c>
      <c r="B766" s="38" t="str">
        <f t="shared" si="210"/>
        <v/>
      </c>
      <c r="C766" s="38" t="str">
        <f t="shared" si="211"/>
        <v/>
      </c>
      <c r="D766" s="38" t="str">
        <f t="shared" si="212"/>
        <v/>
      </c>
      <c r="E766" s="38" t="str">
        <f t="shared" si="213"/>
        <v/>
      </c>
      <c r="F766" s="38" t="str">
        <f t="shared" si="214"/>
        <v/>
      </c>
      <c r="G766" s="38" t="str">
        <f t="shared" si="224"/>
        <v/>
      </c>
      <c r="H766" s="38" t="str">
        <f t="shared" si="225"/>
        <v/>
      </c>
      <c r="L766" t="str">
        <f t="shared" si="215"/>
        <v/>
      </c>
      <c r="M766" s="38" t="str">
        <f t="shared" si="216"/>
        <v/>
      </c>
      <c r="N766" s="38" t="str">
        <f t="shared" si="217"/>
        <v/>
      </c>
      <c r="O766" s="38" t="str">
        <f t="shared" si="218"/>
        <v/>
      </c>
      <c r="P766" s="38" t="str">
        <f t="shared" si="219"/>
        <v/>
      </c>
      <c r="Q766" s="38" t="str">
        <f t="shared" si="220"/>
        <v/>
      </c>
      <c r="R766" s="38" t="str">
        <f t="shared" si="221"/>
        <v/>
      </c>
      <c r="S766" s="38" t="str">
        <f t="shared" si="222"/>
        <v/>
      </c>
      <c r="T766" s="38" t="str">
        <f t="shared" si="223"/>
        <v/>
      </c>
      <c r="AF766" t="str">
        <f t="shared" si="208"/>
        <v/>
      </c>
    </row>
    <row r="767" spans="1:32" x14ac:dyDescent="0.2">
      <c r="A767" t="str">
        <f t="shared" si="209"/>
        <v/>
      </c>
      <c r="B767" s="38" t="str">
        <f t="shared" si="210"/>
        <v/>
      </c>
      <c r="C767" s="38" t="str">
        <f t="shared" si="211"/>
        <v/>
      </c>
      <c r="D767" s="38" t="str">
        <f t="shared" si="212"/>
        <v/>
      </c>
      <c r="E767" s="38" t="str">
        <f t="shared" si="213"/>
        <v/>
      </c>
      <c r="F767" s="38" t="str">
        <f t="shared" si="214"/>
        <v/>
      </c>
      <c r="G767" s="38" t="str">
        <f t="shared" si="224"/>
        <v/>
      </c>
      <c r="H767" s="38" t="str">
        <f t="shared" si="225"/>
        <v/>
      </c>
      <c r="L767" t="str">
        <f t="shared" si="215"/>
        <v/>
      </c>
      <c r="M767" s="38" t="str">
        <f t="shared" si="216"/>
        <v/>
      </c>
      <c r="N767" s="38" t="str">
        <f t="shared" si="217"/>
        <v/>
      </c>
      <c r="O767" s="38" t="str">
        <f t="shared" si="218"/>
        <v/>
      </c>
      <c r="P767" s="38" t="str">
        <f t="shared" si="219"/>
        <v/>
      </c>
      <c r="Q767" s="38" t="str">
        <f t="shared" si="220"/>
        <v/>
      </c>
      <c r="R767" s="38" t="str">
        <f t="shared" si="221"/>
        <v/>
      </c>
      <c r="S767" s="38" t="str">
        <f t="shared" si="222"/>
        <v/>
      </c>
      <c r="T767" s="38" t="str">
        <f t="shared" si="223"/>
        <v/>
      </c>
      <c r="AF767" t="str">
        <f t="shared" si="208"/>
        <v/>
      </c>
    </row>
    <row r="768" spans="1:32" x14ac:dyDescent="0.2">
      <c r="A768" t="str">
        <f t="shared" si="209"/>
        <v/>
      </c>
      <c r="B768" s="38" t="str">
        <f t="shared" si="210"/>
        <v/>
      </c>
      <c r="C768" s="38" t="str">
        <f t="shared" si="211"/>
        <v/>
      </c>
      <c r="D768" s="38" t="str">
        <f t="shared" si="212"/>
        <v/>
      </c>
      <c r="E768" s="38" t="str">
        <f t="shared" si="213"/>
        <v/>
      </c>
      <c r="F768" s="38" t="str">
        <f t="shared" si="214"/>
        <v/>
      </c>
      <c r="G768" s="38" t="str">
        <f t="shared" si="224"/>
        <v/>
      </c>
      <c r="H768" s="38" t="str">
        <f t="shared" si="225"/>
        <v/>
      </c>
      <c r="L768" t="str">
        <f t="shared" si="215"/>
        <v/>
      </c>
      <c r="M768" s="38" t="str">
        <f t="shared" si="216"/>
        <v/>
      </c>
      <c r="N768" s="38" t="str">
        <f t="shared" si="217"/>
        <v/>
      </c>
      <c r="O768" s="38" t="str">
        <f t="shared" si="218"/>
        <v/>
      </c>
      <c r="P768" s="38" t="str">
        <f t="shared" si="219"/>
        <v/>
      </c>
      <c r="Q768" s="38" t="str">
        <f t="shared" si="220"/>
        <v/>
      </c>
      <c r="R768" s="38" t="str">
        <f t="shared" si="221"/>
        <v/>
      </c>
      <c r="S768" s="38" t="str">
        <f t="shared" si="222"/>
        <v/>
      </c>
      <c r="T768" s="38" t="str">
        <f t="shared" si="223"/>
        <v/>
      </c>
      <c r="AF768" t="str">
        <f t="shared" si="208"/>
        <v/>
      </c>
    </row>
    <row r="769" spans="1:32" x14ac:dyDescent="0.2">
      <c r="A769" t="str">
        <f t="shared" si="209"/>
        <v/>
      </c>
      <c r="B769" s="38" t="str">
        <f t="shared" si="210"/>
        <v/>
      </c>
      <c r="C769" s="38" t="str">
        <f t="shared" si="211"/>
        <v/>
      </c>
      <c r="D769" s="38" t="str">
        <f t="shared" si="212"/>
        <v/>
      </c>
      <c r="E769" s="38" t="str">
        <f t="shared" si="213"/>
        <v/>
      </c>
      <c r="F769" s="38" t="str">
        <f t="shared" si="214"/>
        <v/>
      </c>
      <c r="G769" s="38" t="str">
        <f t="shared" si="224"/>
        <v/>
      </c>
      <c r="H769" s="38" t="str">
        <f t="shared" si="225"/>
        <v/>
      </c>
      <c r="L769" t="str">
        <f t="shared" si="215"/>
        <v/>
      </c>
      <c r="M769" s="38" t="str">
        <f t="shared" si="216"/>
        <v/>
      </c>
      <c r="N769" s="38" t="str">
        <f t="shared" si="217"/>
        <v/>
      </c>
      <c r="O769" s="38" t="str">
        <f t="shared" si="218"/>
        <v/>
      </c>
      <c r="P769" s="38" t="str">
        <f t="shared" si="219"/>
        <v/>
      </c>
      <c r="Q769" s="38" t="str">
        <f t="shared" si="220"/>
        <v/>
      </c>
      <c r="R769" s="38" t="str">
        <f t="shared" si="221"/>
        <v/>
      </c>
      <c r="S769" s="38" t="str">
        <f t="shared" si="222"/>
        <v/>
      </c>
      <c r="T769" s="38" t="str">
        <f t="shared" si="223"/>
        <v/>
      </c>
      <c r="AF769" t="str">
        <f t="shared" si="208"/>
        <v/>
      </c>
    </row>
    <row r="770" spans="1:32" x14ac:dyDescent="0.2">
      <c r="A770" t="str">
        <f t="shared" si="209"/>
        <v/>
      </c>
      <c r="B770" s="38" t="str">
        <f t="shared" si="210"/>
        <v/>
      </c>
      <c r="C770" s="38" t="str">
        <f t="shared" si="211"/>
        <v/>
      </c>
      <c r="D770" s="38" t="str">
        <f t="shared" si="212"/>
        <v/>
      </c>
      <c r="E770" s="38" t="str">
        <f t="shared" si="213"/>
        <v/>
      </c>
      <c r="F770" s="38" t="str">
        <f t="shared" si="214"/>
        <v/>
      </c>
      <c r="G770" s="38" t="str">
        <f t="shared" si="224"/>
        <v/>
      </c>
      <c r="H770" s="38" t="str">
        <f t="shared" si="225"/>
        <v/>
      </c>
      <c r="AF770" t="str">
        <f t="shared" si="208"/>
        <v/>
      </c>
    </row>
    <row r="771" spans="1:32" x14ac:dyDescent="0.2">
      <c r="A771" t="str">
        <f t="shared" si="209"/>
        <v/>
      </c>
      <c r="B771" s="38" t="str">
        <f t="shared" si="210"/>
        <v/>
      </c>
      <c r="C771" s="38" t="str">
        <f t="shared" si="211"/>
        <v/>
      </c>
      <c r="D771" s="38" t="str">
        <f t="shared" si="212"/>
        <v/>
      </c>
      <c r="E771" s="38" t="str">
        <f t="shared" si="213"/>
        <v/>
      </c>
      <c r="F771" s="38" t="str">
        <f t="shared" si="214"/>
        <v/>
      </c>
      <c r="G771" s="38" t="str">
        <f t="shared" si="224"/>
        <v/>
      </c>
      <c r="H771" s="38" t="str">
        <f t="shared" si="225"/>
        <v/>
      </c>
      <c r="AF771" t="str">
        <f t="shared" si="208"/>
        <v/>
      </c>
    </row>
    <row r="772" spans="1:32" x14ac:dyDescent="0.2">
      <c r="A772" t="str">
        <f t="shared" si="209"/>
        <v/>
      </c>
      <c r="B772" s="38" t="str">
        <f t="shared" si="210"/>
        <v/>
      </c>
      <c r="C772" s="38" t="str">
        <f t="shared" si="211"/>
        <v/>
      </c>
      <c r="D772" s="38" t="str">
        <f t="shared" si="212"/>
        <v/>
      </c>
      <c r="E772" s="38" t="str">
        <f t="shared" si="213"/>
        <v/>
      </c>
      <c r="F772" s="38" t="str">
        <f t="shared" si="214"/>
        <v/>
      </c>
      <c r="G772" s="38" t="str">
        <f t="shared" si="224"/>
        <v/>
      </c>
      <c r="H772" s="38" t="str">
        <f t="shared" si="225"/>
        <v/>
      </c>
      <c r="AF772" t="str">
        <f t="shared" si="208"/>
        <v/>
      </c>
    </row>
    <row r="773" spans="1:32" x14ac:dyDescent="0.2">
      <c r="A773" t="str">
        <f t="shared" si="209"/>
        <v/>
      </c>
      <c r="B773" s="38" t="str">
        <f t="shared" si="210"/>
        <v/>
      </c>
      <c r="C773" s="38" t="str">
        <f t="shared" si="211"/>
        <v/>
      </c>
      <c r="D773" s="38" t="str">
        <f t="shared" si="212"/>
        <v/>
      </c>
      <c r="E773" s="38" t="str">
        <f t="shared" si="213"/>
        <v/>
      </c>
      <c r="F773" s="38" t="str">
        <f t="shared" si="214"/>
        <v/>
      </c>
      <c r="G773" s="38" t="str">
        <f t="shared" si="224"/>
        <v/>
      </c>
      <c r="H773" s="38" t="str">
        <f t="shared" si="225"/>
        <v/>
      </c>
      <c r="AF773" t="str">
        <f t="shared" si="208"/>
        <v/>
      </c>
    </row>
    <row r="774" spans="1:32" x14ac:dyDescent="0.2">
      <c r="A774" t="str">
        <f t="shared" si="209"/>
        <v/>
      </c>
      <c r="B774" s="38" t="str">
        <f t="shared" si="210"/>
        <v/>
      </c>
      <c r="C774" s="38" t="str">
        <f t="shared" si="211"/>
        <v/>
      </c>
      <c r="D774" s="38" t="str">
        <f t="shared" si="212"/>
        <v/>
      </c>
      <c r="E774" s="38" t="str">
        <f t="shared" si="213"/>
        <v/>
      </c>
      <c r="F774" s="38" t="str">
        <f t="shared" si="214"/>
        <v/>
      </c>
      <c r="G774" s="38" t="str">
        <f t="shared" si="224"/>
        <v/>
      </c>
      <c r="H774" s="38" t="str">
        <f t="shared" si="225"/>
        <v/>
      </c>
      <c r="AF774" t="str">
        <f t="shared" si="208"/>
        <v/>
      </c>
    </row>
    <row r="775" spans="1:32" x14ac:dyDescent="0.2">
      <c r="A775" t="str">
        <f t="shared" si="209"/>
        <v/>
      </c>
      <c r="B775" s="38" t="str">
        <f t="shared" si="210"/>
        <v/>
      </c>
      <c r="C775" s="38" t="str">
        <f t="shared" si="211"/>
        <v/>
      </c>
      <c r="D775" s="38" t="str">
        <f t="shared" si="212"/>
        <v/>
      </c>
      <c r="E775" s="38" t="str">
        <f t="shared" si="213"/>
        <v/>
      </c>
      <c r="F775" s="38" t="str">
        <f t="shared" si="214"/>
        <v/>
      </c>
      <c r="G775" s="38" t="str">
        <f t="shared" si="224"/>
        <v/>
      </c>
      <c r="H775" s="38" t="str">
        <f t="shared" si="225"/>
        <v/>
      </c>
      <c r="AF775" t="str">
        <f t="shared" si="208"/>
        <v/>
      </c>
    </row>
    <row r="776" spans="1:32" x14ac:dyDescent="0.2">
      <c r="A776" t="str">
        <f t="shared" si="209"/>
        <v/>
      </c>
      <c r="B776" s="38" t="str">
        <f t="shared" si="210"/>
        <v/>
      </c>
      <c r="C776" s="38" t="str">
        <f t="shared" si="211"/>
        <v/>
      </c>
      <c r="D776" s="38" t="str">
        <f t="shared" si="212"/>
        <v/>
      </c>
      <c r="E776" s="38" t="str">
        <f t="shared" si="213"/>
        <v/>
      </c>
      <c r="F776" s="38" t="str">
        <f t="shared" si="214"/>
        <v/>
      </c>
      <c r="G776" s="38" t="str">
        <f t="shared" si="224"/>
        <v/>
      </c>
      <c r="H776" s="38" t="str">
        <f t="shared" si="225"/>
        <v/>
      </c>
      <c r="AF776" t="str">
        <f t="shared" si="208"/>
        <v/>
      </c>
    </row>
    <row r="777" spans="1:32" x14ac:dyDescent="0.2">
      <c r="A777" t="str">
        <f t="shared" si="209"/>
        <v/>
      </c>
      <c r="B777" s="38" t="str">
        <f t="shared" si="210"/>
        <v/>
      </c>
      <c r="C777" s="38" t="str">
        <f t="shared" si="211"/>
        <v/>
      </c>
      <c r="D777" s="38" t="str">
        <f t="shared" si="212"/>
        <v/>
      </c>
      <c r="E777" s="38" t="str">
        <f t="shared" si="213"/>
        <v/>
      </c>
      <c r="F777" s="38" t="str">
        <f t="shared" si="214"/>
        <v/>
      </c>
      <c r="G777" s="38" t="str">
        <f t="shared" si="224"/>
        <v/>
      </c>
      <c r="H777" s="38" t="str">
        <f t="shared" si="225"/>
        <v/>
      </c>
      <c r="AF777" t="str">
        <f t="shared" si="208"/>
        <v/>
      </c>
    </row>
    <row r="778" spans="1:32" x14ac:dyDescent="0.2">
      <c r="A778" t="str">
        <f t="shared" si="209"/>
        <v/>
      </c>
      <c r="B778" s="38" t="str">
        <f t="shared" si="210"/>
        <v/>
      </c>
      <c r="C778" s="38" t="str">
        <f t="shared" si="211"/>
        <v/>
      </c>
      <c r="D778" s="38" t="str">
        <f t="shared" si="212"/>
        <v/>
      </c>
      <c r="E778" s="38" t="str">
        <f t="shared" si="213"/>
        <v/>
      </c>
      <c r="F778" s="38" t="str">
        <f t="shared" si="214"/>
        <v/>
      </c>
      <c r="G778" s="38" t="str">
        <f t="shared" si="224"/>
        <v/>
      </c>
      <c r="H778" s="38" t="str">
        <f t="shared" si="225"/>
        <v/>
      </c>
      <c r="AF778" t="str">
        <f t="shared" si="208"/>
        <v/>
      </c>
    </row>
    <row r="779" spans="1:32" x14ac:dyDescent="0.2">
      <c r="A779" t="str">
        <f t="shared" si="209"/>
        <v/>
      </c>
      <c r="B779" s="38" t="str">
        <f t="shared" si="210"/>
        <v/>
      </c>
      <c r="C779" s="38" t="str">
        <f t="shared" si="211"/>
        <v/>
      </c>
      <c r="D779" s="38" t="str">
        <f t="shared" si="212"/>
        <v/>
      </c>
      <c r="E779" s="38" t="str">
        <f t="shared" si="213"/>
        <v/>
      </c>
      <c r="F779" s="38" t="str">
        <f t="shared" si="214"/>
        <v/>
      </c>
      <c r="G779" s="38" t="str">
        <f t="shared" si="224"/>
        <v/>
      </c>
      <c r="H779" s="38" t="str">
        <f t="shared" si="225"/>
        <v/>
      </c>
      <c r="AF779" t="str">
        <f t="shared" si="208"/>
        <v/>
      </c>
    </row>
    <row r="780" spans="1:32" x14ac:dyDescent="0.2">
      <c r="A780" t="str">
        <f t="shared" si="209"/>
        <v/>
      </c>
      <c r="B780" s="38" t="str">
        <f t="shared" si="210"/>
        <v/>
      </c>
      <c r="C780" s="38" t="str">
        <f t="shared" si="211"/>
        <v/>
      </c>
      <c r="D780" s="38" t="str">
        <f t="shared" si="212"/>
        <v/>
      </c>
      <c r="E780" s="38" t="str">
        <f t="shared" si="213"/>
        <v/>
      </c>
      <c r="F780" s="38" t="str">
        <f t="shared" si="214"/>
        <v/>
      </c>
      <c r="G780" s="38" t="str">
        <f t="shared" si="224"/>
        <v/>
      </c>
      <c r="H780" s="38" t="str">
        <f t="shared" si="225"/>
        <v/>
      </c>
      <c r="AF780" t="str">
        <f t="shared" si="208"/>
        <v/>
      </c>
    </row>
    <row r="781" spans="1:32" x14ac:dyDescent="0.2">
      <c r="A781" t="str">
        <f t="shared" si="209"/>
        <v/>
      </c>
      <c r="B781" s="38" t="str">
        <f t="shared" si="210"/>
        <v/>
      </c>
      <c r="C781" s="38" t="str">
        <f t="shared" si="211"/>
        <v/>
      </c>
      <c r="D781" s="38" t="str">
        <f t="shared" si="212"/>
        <v/>
      </c>
      <c r="E781" s="38" t="str">
        <f t="shared" si="213"/>
        <v/>
      </c>
      <c r="F781" s="38" t="str">
        <f t="shared" si="214"/>
        <v/>
      </c>
      <c r="G781" s="38" t="str">
        <f t="shared" si="224"/>
        <v/>
      </c>
      <c r="H781" s="38" t="str">
        <f t="shared" si="225"/>
        <v/>
      </c>
      <c r="AF781" t="str">
        <f t="shared" si="208"/>
        <v/>
      </c>
    </row>
    <row r="782" spans="1:32" x14ac:dyDescent="0.2">
      <c r="A782" t="str">
        <f t="shared" si="209"/>
        <v/>
      </c>
      <c r="B782" s="38" t="str">
        <f t="shared" si="210"/>
        <v/>
      </c>
      <c r="C782" s="38" t="str">
        <f t="shared" si="211"/>
        <v/>
      </c>
      <c r="D782" s="38" t="str">
        <f t="shared" si="212"/>
        <v/>
      </c>
      <c r="E782" s="38" t="str">
        <f t="shared" si="213"/>
        <v/>
      </c>
      <c r="F782" s="38" t="str">
        <f t="shared" si="214"/>
        <v/>
      </c>
      <c r="G782" s="38" t="str">
        <f t="shared" si="224"/>
        <v/>
      </c>
      <c r="H782" s="38" t="str">
        <f t="shared" si="225"/>
        <v/>
      </c>
      <c r="AF782" t="str">
        <f t="shared" si="208"/>
        <v/>
      </c>
    </row>
    <row r="783" spans="1:32" x14ac:dyDescent="0.2">
      <c r="A783" t="str">
        <f t="shared" si="209"/>
        <v/>
      </c>
      <c r="B783" s="38" t="str">
        <f t="shared" si="210"/>
        <v/>
      </c>
      <c r="C783" s="38" t="str">
        <f t="shared" si="211"/>
        <v/>
      </c>
      <c r="D783" s="38" t="str">
        <f t="shared" si="212"/>
        <v/>
      </c>
      <c r="E783" s="38" t="str">
        <f t="shared" si="213"/>
        <v/>
      </c>
      <c r="F783" s="38" t="str">
        <f t="shared" si="214"/>
        <v/>
      </c>
      <c r="G783" s="38" t="str">
        <f t="shared" si="224"/>
        <v/>
      </c>
      <c r="H783" s="38" t="str">
        <f t="shared" si="225"/>
        <v/>
      </c>
      <c r="AF783" t="str">
        <f t="shared" si="208"/>
        <v/>
      </c>
    </row>
    <row r="784" spans="1:32" x14ac:dyDescent="0.2">
      <c r="A784" t="str">
        <f t="shared" si="209"/>
        <v/>
      </c>
      <c r="B784" s="38" t="str">
        <f t="shared" si="210"/>
        <v/>
      </c>
      <c r="C784" s="38" t="str">
        <f t="shared" si="211"/>
        <v/>
      </c>
      <c r="D784" s="38" t="str">
        <f t="shared" si="212"/>
        <v/>
      </c>
      <c r="E784" s="38" t="str">
        <f t="shared" si="213"/>
        <v/>
      </c>
      <c r="F784" s="38" t="str">
        <f t="shared" si="214"/>
        <v/>
      </c>
      <c r="G784" s="38" t="str">
        <f t="shared" si="224"/>
        <v/>
      </c>
      <c r="H784" s="38" t="str">
        <f t="shared" si="225"/>
        <v/>
      </c>
      <c r="AF784" t="str">
        <f t="shared" si="208"/>
        <v/>
      </c>
    </row>
    <row r="785" spans="1:32" x14ac:dyDescent="0.2">
      <c r="A785" t="str">
        <f t="shared" si="209"/>
        <v/>
      </c>
      <c r="B785" s="38" t="str">
        <f t="shared" si="210"/>
        <v/>
      </c>
      <c r="C785" s="38" t="str">
        <f t="shared" si="211"/>
        <v/>
      </c>
      <c r="D785" s="38" t="str">
        <f t="shared" si="212"/>
        <v/>
      </c>
      <c r="E785" s="38" t="str">
        <f t="shared" si="213"/>
        <v/>
      </c>
      <c r="F785" s="38" t="str">
        <f t="shared" si="214"/>
        <v/>
      </c>
      <c r="G785" s="38" t="str">
        <f t="shared" si="224"/>
        <v/>
      </c>
      <c r="H785" s="38" t="str">
        <f t="shared" si="225"/>
        <v/>
      </c>
      <c r="AF785" t="str">
        <f t="shared" si="208"/>
        <v/>
      </c>
    </row>
    <row r="786" spans="1:32" x14ac:dyDescent="0.2">
      <c r="A786" t="str">
        <f t="shared" si="209"/>
        <v/>
      </c>
      <c r="B786" s="38" t="str">
        <f t="shared" si="210"/>
        <v/>
      </c>
      <c r="C786" s="38" t="str">
        <f t="shared" si="211"/>
        <v/>
      </c>
      <c r="D786" s="38" t="str">
        <f t="shared" si="212"/>
        <v/>
      </c>
      <c r="E786" s="38" t="str">
        <f t="shared" si="213"/>
        <v/>
      </c>
      <c r="F786" s="38" t="str">
        <f t="shared" si="214"/>
        <v/>
      </c>
      <c r="G786" s="38" t="str">
        <f t="shared" si="224"/>
        <v/>
      </c>
      <c r="H786" s="38" t="str">
        <f t="shared" si="225"/>
        <v/>
      </c>
      <c r="AF786" t="str">
        <f t="shared" si="208"/>
        <v/>
      </c>
    </row>
    <row r="787" spans="1:32" x14ac:dyDescent="0.2">
      <c r="A787" t="str">
        <f t="shared" si="209"/>
        <v/>
      </c>
      <c r="B787" s="38" t="str">
        <f t="shared" si="210"/>
        <v/>
      </c>
      <c r="C787" s="38" t="str">
        <f t="shared" si="211"/>
        <v/>
      </c>
      <c r="D787" s="38" t="str">
        <f t="shared" si="212"/>
        <v/>
      </c>
      <c r="E787" s="38" t="str">
        <f t="shared" si="213"/>
        <v/>
      </c>
      <c r="F787" s="38" t="str">
        <f t="shared" si="214"/>
        <v/>
      </c>
      <c r="G787" s="38" t="str">
        <f t="shared" si="224"/>
        <v/>
      </c>
      <c r="H787" s="38" t="str">
        <f t="shared" si="225"/>
        <v/>
      </c>
      <c r="AF787" t="str">
        <f t="shared" si="208"/>
        <v/>
      </c>
    </row>
    <row r="788" spans="1:32" x14ac:dyDescent="0.2">
      <c r="A788" t="str">
        <f t="shared" si="209"/>
        <v/>
      </c>
      <c r="B788" s="38" t="str">
        <f t="shared" si="210"/>
        <v/>
      </c>
      <c r="C788" s="38" t="str">
        <f t="shared" si="211"/>
        <v/>
      </c>
      <c r="D788" s="38" t="str">
        <f t="shared" si="212"/>
        <v/>
      </c>
      <c r="E788" s="38" t="str">
        <f t="shared" si="213"/>
        <v/>
      </c>
      <c r="F788" s="38" t="str">
        <f t="shared" si="214"/>
        <v/>
      </c>
      <c r="G788" s="38" t="str">
        <f t="shared" si="224"/>
        <v/>
      </c>
      <c r="H788" s="38" t="str">
        <f t="shared" si="225"/>
        <v/>
      </c>
      <c r="AF788" t="str">
        <f t="shared" si="208"/>
        <v/>
      </c>
    </row>
    <row r="789" spans="1:32" x14ac:dyDescent="0.2">
      <c r="A789" t="str">
        <f t="shared" si="209"/>
        <v/>
      </c>
      <c r="B789" s="38" t="str">
        <f t="shared" si="210"/>
        <v/>
      </c>
      <c r="C789" s="38" t="str">
        <f t="shared" si="211"/>
        <v/>
      </c>
      <c r="D789" s="38" t="str">
        <f t="shared" si="212"/>
        <v/>
      </c>
      <c r="E789" s="38" t="str">
        <f t="shared" si="213"/>
        <v/>
      </c>
      <c r="F789" s="38" t="str">
        <f t="shared" si="214"/>
        <v/>
      </c>
      <c r="G789" s="38" t="str">
        <f t="shared" si="224"/>
        <v/>
      </c>
      <c r="H789" s="38" t="str">
        <f t="shared" si="225"/>
        <v/>
      </c>
      <c r="AF789" t="str">
        <f t="shared" si="208"/>
        <v/>
      </c>
    </row>
    <row r="790" spans="1:32" x14ac:dyDescent="0.2">
      <c r="A790" t="str">
        <f t="shared" si="209"/>
        <v/>
      </c>
      <c r="B790" s="38" t="str">
        <f t="shared" si="210"/>
        <v/>
      </c>
      <c r="C790" s="38" t="str">
        <f t="shared" si="211"/>
        <v/>
      </c>
      <c r="D790" s="38" t="str">
        <f t="shared" si="212"/>
        <v/>
      </c>
      <c r="E790" s="38" t="str">
        <f t="shared" si="213"/>
        <v/>
      </c>
      <c r="F790" s="38" t="str">
        <f t="shared" si="214"/>
        <v/>
      </c>
      <c r="G790" s="38" t="str">
        <f t="shared" si="224"/>
        <v/>
      </c>
      <c r="H790" s="38" t="str">
        <f t="shared" si="225"/>
        <v/>
      </c>
      <c r="AF790" t="str">
        <f t="shared" si="208"/>
        <v/>
      </c>
    </row>
    <row r="791" spans="1:32" x14ac:dyDescent="0.2">
      <c r="A791" t="str">
        <f t="shared" si="209"/>
        <v/>
      </c>
      <c r="B791" s="38" t="str">
        <f t="shared" si="210"/>
        <v/>
      </c>
      <c r="C791" s="38" t="str">
        <f t="shared" si="211"/>
        <v/>
      </c>
      <c r="D791" s="38" t="str">
        <f t="shared" si="212"/>
        <v/>
      </c>
      <c r="E791" s="38" t="str">
        <f t="shared" si="213"/>
        <v/>
      </c>
      <c r="F791" s="38" t="str">
        <f t="shared" si="214"/>
        <v/>
      </c>
      <c r="G791" s="38" t="str">
        <f t="shared" si="224"/>
        <v/>
      </c>
      <c r="H791" s="38" t="str">
        <f t="shared" si="225"/>
        <v/>
      </c>
      <c r="AF791" t="str">
        <f t="shared" ref="AF791:AF829" si="226">IF(AF790&lt;($B$6*$B$7),AF790+1,"")</f>
        <v/>
      </c>
    </row>
    <row r="792" spans="1:32" x14ac:dyDescent="0.2">
      <c r="A792" t="str">
        <f t="shared" ref="A792:A855" si="227">IF(A791&lt;($B$6*$B$7),A791+1,"")</f>
        <v/>
      </c>
      <c r="B792" s="38" t="str">
        <f t="shared" ref="B792:B855" si="228">IF(A792="","",F791)</f>
        <v/>
      </c>
      <c r="C792" s="38" t="str">
        <f t="shared" ref="C792:C855" si="229">IF(A792="","",(B792*$B$8))</f>
        <v/>
      </c>
      <c r="D792" s="38" t="str">
        <f t="shared" ref="D792:D855" si="230">IF(A792="","", $B$5)</f>
        <v/>
      </c>
      <c r="E792" s="38" t="str">
        <f t="shared" ref="E792:E855" si="231">IF(D792="","",(D792-C792))</f>
        <v/>
      </c>
      <c r="F792" s="38" t="str">
        <f t="shared" ref="F792:F855" si="232">IF(A792="","", B792-E792)</f>
        <v/>
      </c>
      <c r="G792" s="38" t="str">
        <f t="shared" si="224"/>
        <v/>
      </c>
      <c r="H792" s="38" t="str">
        <f t="shared" si="225"/>
        <v/>
      </c>
      <c r="AF792" t="str">
        <f t="shared" si="226"/>
        <v/>
      </c>
    </row>
    <row r="793" spans="1:32" x14ac:dyDescent="0.2">
      <c r="A793" t="str">
        <f t="shared" si="227"/>
        <v/>
      </c>
      <c r="B793" s="38" t="str">
        <f t="shared" si="228"/>
        <v/>
      </c>
      <c r="C793" s="38" t="str">
        <f t="shared" si="229"/>
        <v/>
      </c>
      <c r="D793" s="38" t="str">
        <f t="shared" si="230"/>
        <v/>
      </c>
      <c r="E793" s="38" t="str">
        <f t="shared" si="231"/>
        <v/>
      </c>
      <c r="F793" s="38" t="str">
        <f t="shared" si="232"/>
        <v/>
      </c>
      <c r="G793" s="38" t="str">
        <f t="shared" si="224"/>
        <v/>
      </c>
      <c r="H793" s="38" t="str">
        <f t="shared" si="225"/>
        <v/>
      </c>
      <c r="AF793" t="str">
        <f t="shared" si="226"/>
        <v/>
      </c>
    </row>
    <row r="794" spans="1:32" x14ac:dyDescent="0.2">
      <c r="A794" t="str">
        <f t="shared" si="227"/>
        <v/>
      </c>
      <c r="B794" s="38" t="str">
        <f t="shared" si="228"/>
        <v/>
      </c>
      <c r="C794" s="38" t="str">
        <f t="shared" si="229"/>
        <v/>
      </c>
      <c r="D794" s="38" t="str">
        <f t="shared" si="230"/>
        <v/>
      </c>
      <c r="E794" s="38" t="str">
        <f t="shared" si="231"/>
        <v/>
      </c>
      <c r="F794" s="38" t="str">
        <f t="shared" si="232"/>
        <v/>
      </c>
      <c r="G794" s="38" t="str">
        <f t="shared" ref="G794:G857" si="233">IF(A794="","", (G793+C794))</f>
        <v/>
      </c>
      <c r="H794" s="38" t="str">
        <f t="shared" ref="H794:H857" si="234">IF(A794="","",(H793+E794))</f>
        <v/>
      </c>
      <c r="AF794" t="str">
        <f t="shared" si="226"/>
        <v/>
      </c>
    </row>
    <row r="795" spans="1:32" x14ac:dyDescent="0.2">
      <c r="A795" t="str">
        <f t="shared" si="227"/>
        <v/>
      </c>
      <c r="B795" s="38" t="str">
        <f t="shared" si="228"/>
        <v/>
      </c>
      <c r="C795" s="38" t="str">
        <f t="shared" si="229"/>
        <v/>
      </c>
      <c r="D795" s="38" t="str">
        <f t="shared" si="230"/>
        <v/>
      </c>
      <c r="E795" s="38" t="str">
        <f t="shared" si="231"/>
        <v/>
      </c>
      <c r="F795" s="38" t="str">
        <f t="shared" si="232"/>
        <v/>
      </c>
      <c r="G795" s="38" t="str">
        <f t="shared" si="233"/>
        <v/>
      </c>
      <c r="H795" s="38" t="str">
        <f t="shared" si="234"/>
        <v/>
      </c>
      <c r="AF795" t="str">
        <f t="shared" si="226"/>
        <v/>
      </c>
    </row>
    <row r="796" spans="1:32" x14ac:dyDescent="0.2">
      <c r="A796" t="str">
        <f t="shared" si="227"/>
        <v/>
      </c>
      <c r="B796" s="38" t="str">
        <f t="shared" si="228"/>
        <v/>
      </c>
      <c r="C796" s="38" t="str">
        <f t="shared" si="229"/>
        <v/>
      </c>
      <c r="D796" s="38" t="str">
        <f t="shared" si="230"/>
        <v/>
      </c>
      <c r="E796" s="38" t="str">
        <f t="shared" si="231"/>
        <v/>
      </c>
      <c r="F796" s="38" t="str">
        <f t="shared" si="232"/>
        <v/>
      </c>
      <c r="G796" s="38" t="str">
        <f t="shared" si="233"/>
        <v/>
      </c>
      <c r="H796" s="38" t="str">
        <f t="shared" si="234"/>
        <v/>
      </c>
      <c r="AF796" t="str">
        <f t="shared" si="226"/>
        <v/>
      </c>
    </row>
    <row r="797" spans="1:32" x14ac:dyDescent="0.2">
      <c r="A797" t="str">
        <f t="shared" si="227"/>
        <v/>
      </c>
      <c r="B797" s="38" t="str">
        <f t="shared" si="228"/>
        <v/>
      </c>
      <c r="C797" s="38" t="str">
        <f t="shared" si="229"/>
        <v/>
      </c>
      <c r="D797" s="38" t="str">
        <f t="shared" si="230"/>
        <v/>
      </c>
      <c r="E797" s="38" t="str">
        <f t="shared" si="231"/>
        <v/>
      </c>
      <c r="F797" s="38" t="str">
        <f t="shared" si="232"/>
        <v/>
      </c>
      <c r="G797" s="38" t="str">
        <f t="shared" si="233"/>
        <v/>
      </c>
      <c r="H797" s="38" t="str">
        <f t="shared" si="234"/>
        <v/>
      </c>
      <c r="AF797" t="str">
        <f t="shared" si="226"/>
        <v/>
      </c>
    </row>
    <row r="798" spans="1:32" x14ac:dyDescent="0.2">
      <c r="A798" t="str">
        <f t="shared" si="227"/>
        <v/>
      </c>
      <c r="B798" s="38" t="str">
        <f t="shared" si="228"/>
        <v/>
      </c>
      <c r="C798" s="38" t="str">
        <f t="shared" si="229"/>
        <v/>
      </c>
      <c r="D798" s="38" t="str">
        <f t="shared" si="230"/>
        <v/>
      </c>
      <c r="E798" s="38" t="str">
        <f t="shared" si="231"/>
        <v/>
      </c>
      <c r="F798" s="38" t="str">
        <f t="shared" si="232"/>
        <v/>
      </c>
      <c r="G798" s="38" t="str">
        <f t="shared" si="233"/>
        <v/>
      </c>
      <c r="H798" s="38" t="str">
        <f t="shared" si="234"/>
        <v/>
      </c>
      <c r="AF798" t="str">
        <f t="shared" si="226"/>
        <v/>
      </c>
    </row>
    <row r="799" spans="1:32" x14ac:dyDescent="0.2">
      <c r="A799" t="str">
        <f t="shared" si="227"/>
        <v/>
      </c>
      <c r="B799" s="38" t="str">
        <f t="shared" si="228"/>
        <v/>
      </c>
      <c r="C799" s="38" t="str">
        <f t="shared" si="229"/>
        <v/>
      </c>
      <c r="D799" s="38" t="str">
        <f t="shared" si="230"/>
        <v/>
      </c>
      <c r="E799" s="38" t="str">
        <f t="shared" si="231"/>
        <v/>
      </c>
      <c r="F799" s="38" t="str">
        <f t="shared" si="232"/>
        <v/>
      </c>
      <c r="G799" s="38" t="str">
        <f t="shared" si="233"/>
        <v/>
      </c>
      <c r="H799" s="38" t="str">
        <f t="shared" si="234"/>
        <v/>
      </c>
      <c r="AF799" t="str">
        <f t="shared" si="226"/>
        <v/>
      </c>
    </row>
    <row r="800" spans="1:32" x14ac:dyDescent="0.2">
      <c r="A800" t="str">
        <f t="shared" si="227"/>
        <v/>
      </c>
      <c r="B800" s="38" t="str">
        <f t="shared" si="228"/>
        <v/>
      </c>
      <c r="C800" s="38" t="str">
        <f t="shared" si="229"/>
        <v/>
      </c>
      <c r="D800" s="38" t="str">
        <f t="shared" si="230"/>
        <v/>
      </c>
      <c r="E800" s="38" t="str">
        <f t="shared" si="231"/>
        <v/>
      </c>
      <c r="F800" s="38" t="str">
        <f t="shared" si="232"/>
        <v/>
      </c>
      <c r="G800" s="38" t="str">
        <f t="shared" si="233"/>
        <v/>
      </c>
      <c r="H800" s="38" t="str">
        <f t="shared" si="234"/>
        <v/>
      </c>
      <c r="AF800" t="str">
        <f t="shared" si="226"/>
        <v/>
      </c>
    </row>
    <row r="801" spans="1:32" x14ac:dyDescent="0.2">
      <c r="A801" t="str">
        <f t="shared" si="227"/>
        <v/>
      </c>
      <c r="B801" s="38" t="str">
        <f t="shared" si="228"/>
        <v/>
      </c>
      <c r="C801" s="38" t="str">
        <f t="shared" si="229"/>
        <v/>
      </c>
      <c r="D801" s="38" t="str">
        <f t="shared" si="230"/>
        <v/>
      </c>
      <c r="E801" s="38" t="str">
        <f t="shared" si="231"/>
        <v/>
      </c>
      <c r="F801" s="38" t="str">
        <f t="shared" si="232"/>
        <v/>
      </c>
      <c r="G801" s="38" t="str">
        <f t="shared" si="233"/>
        <v/>
      </c>
      <c r="H801" s="38" t="str">
        <f t="shared" si="234"/>
        <v/>
      </c>
      <c r="AF801" t="str">
        <f t="shared" si="226"/>
        <v/>
      </c>
    </row>
    <row r="802" spans="1:32" x14ac:dyDescent="0.2">
      <c r="A802" t="str">
        <f t="shared" si="227"/>
        <v/>
      </c>
      <c r="B802" s="38" t="str">
        <f t="shared" si="228"/>
        <v/>
      </c>
      <c r="C802" s="38" t="str">
        <f t="shared" si="229"/>
        <v/>
      </c>
      <c r="D802" s="38" t="str">
        <f t="shared" si="230"/>
        <v/>
      </c>
      <c r="E802" s="38" t="str">
        <f t="shared" si="231"/>
        <v/>
      </c>
      <c r="F802" s="38" t="str">
        <f t="shared" si="232"/>
        <v/>
      </c>
      <c r="G802" s="38" t="str">
        <f t="shared" si="233"/>
        <v/>
      </c>
      <c r="H802" s="38" t="str">
        <f t="shared" si="234"/>
        <v/>
      </c>
      <c r="AF802" t="str">
        <f t="shared" si="226"/>
        <v/>
      </c>
    </row>
    <row r="803" spans="1:32" x14ac:dyDescent="0.2">
      <c r="A803" t="str">
        <f t="shared" si="227"/>
        <v/>
      </c>
      <c r="B803" s="38" t="str">
        <f t="shared" si="228"/>
        <v/>
      </c>
      <c r="C803" s="38" t="str">
        <f t="shared" si="229"/>
        <v/>
      </c>
      <c r="D803" s="38" t="str">
        <f t="shared" si="230"/>
        <v/>
      </c>
      <c r="E803" s="38" t="str">
        <f t="shared" si="231"/>
        <v/>
      </c>
      <c r="F803" s="38" t="str">
        <f t="shared" si="232"/>
        <v/>
      </c>
      <c r="G803" s="38" t="str">
        <f t="shared" si="233"/>
        <v/>
      </c>
      <c r="H803" s="38" t="str">
        <f t="shared" si="234"/>
        <v/>
      </c>
      <c r="AF803" t="str">
        <f t="shared" si="226"/>
        <v/>
      </c>
    </row>
    <row r="804" spans="1:32" x14ac:dyDescent="0.2">
      <c r="A804" t="str">
        <f t="shared" si="227"/>
        <v/>
      </c>
      <c r="B804" s="38" t="str">
        <f t="shared" si="228"/>
        <v/>
      </c>
      <c r="C804" s="38" t="str">
        <f t="shared" si="229"/>
        <v/>
      </c>
      <c r="D804" s="38" t="str">
        <f t="shared" si="230"/>
        <v/>
      </c>
      <c r="E804" s="38" t="str">
        <f t="shared" si="231"/>
        <v/>
      </c>
      <c r="F804" s="38" t="str">
        <f t="shared" si="232"/>
        <v/>
      </c>
      <c r="G804" s="38" t="str">
        <f t="shared" si="233"/>
        <v/>
      </c>
      <c r="H804" s="38" t="str">
        <f t="shared" si="234"/>
        <v/>
      </c>
      <c r="AF804" t="str">
        <f t="shared" si="226"/>
        <v/>
      </c>
    </row>
    <row r="805" spans="1:32" x14ac:dyDescent="0.2">
      <c r="A805" t="str">
        <f t="shared" si="227"/>
        <v/>
      </c>
      <c r="B805" s="38" t="str">
        <f t="shared" si="228"/>
        <v/>
      </c>
      <c r="C805" s="38" t="str">
        <f t="shared" si="229"/>
        <v/>
      </c>
      <c r="D805" s="38" t="str">
        <f t="shared" si="230"/>
        <v/>
      </c>
      <c r="E805" s="38" t="str">
        <f t="shared" si="231"/>
        <v/>
      </c>
      <c r="F805" s="38" t="str">
        <f t="shared" si="232"/>
        <v/>
      </c>
      <c r="G805" s="38" t="str">
        <f t="shared" si="233"/>
        <v/>
      </c>
      <c r="H805" s="38" t="str">
        <f t="shared" si="234"/>
        <v/>
      </c>
      <c r="AF805" t="str">
        <f t="shared" si="226"/>
        <v/>
      </c>
    </row>
    <row r="806" spans="1:32" x14ac:dyDescent="0.2">
      <c r="A806" t="str">
        <f t="shared" si="227"/>
        <v/>
      </c>
      <c r="B806" s="38" t="str">
        <f t="shared" si="228"/>
        <v/>
      </c>
      <c r="C806" s="38" t="str">
        <f t="shared" si="229"/>
        <v/>
      </c>
      <c r="D806" s="38" t="str">
        <f t="shared" si="230"/>
        <v/>
      </c>
      <c r="E806" s="38" t="str">
        <f t="shared" si="231"/>
        <v/>
      </c>
      <c r="F806" s="38" t="str">
        <f t="shared" si="232"/>
        <v/>
      </c>
      <c r="G806" s="38" t="str">
        <f t="shared" si="233"/>
        <v/>
      </c>
      <c r="H806" s="38" t="str">
        <f t="shared" si="234"/>
        <v/>
      </c>
      <c r="AF806" t="str">
        <f t="shared" si="226"/>
        <v/>
      </c>
    </row>
    <row r="807" spans="1:32" x14ac:dyDescent="0.2">
      <c r="A807" t="str">
        <f t="shared" si="227"/>
        <v/>
      </c>
      <c r="B807" s="38" t="str">
        <f t="shared" si="228"/>
        <v/>
      </c>
      <c r="C807" s="38" t="str">
        <f t="shared" si="229"/>
        <v/>
      </c>
      <c r="D807" s="38" t="str">
        <f t="shared" si="230"/>
        <v/>
      </c>
      <c r="E807" s="38" t="str">
        <f t="shared" si="231"/>
        <v/>
      </c>
      <c r="F807" s="38" t="str">
        <f t="shared" si="232"/>
        <v/>
      </c>
      <c r="G807" s="38" t="str">
        <f t="shared" si="233"/>
        <v/>
      </c>
      <c r="H807" s="38" t="str">
        <f t="shared" si="234"/>
        <v/>
      </c>
      <c r="AF807" t="str">
        <f t="shared" si="226"/>
        <v/>
      </c>
    </row>
    <row r="808" spans="1:32" x14ac:dyDescent="0.2">
      <c r="A808" t="str">
        <f t="shared" si="227"/>
        <v/>
      </c>
      <c r="B808" s="38" t="str">
        <f t="shared" si="228"/>
        <v/>
      </c>
      <c r="C808" s="38" t="str">
        <f t="shared" si="229"/>
        <v/>
      </c>
      <c r="D808" s="38" t="str">
        <f t="shared" si="230"/>
        <v/>
      </c>
      <c r="E808" s="38" t="str">
        <f t="shared" si="231"/>
        <v/>
      </c>
      <c r="F808" s="38" t="str">
        <f t="shared" si="232"/>
        <v/>
      </c>
      <c r="G808" s="38" t="str">
        <f t="shared" si="233"/>
        <v/>
      </c>
      <c r="H808" s="38" t="str">
        <f t="shared" si="234"/>
        <v/>
      </c>
      <c r="AF808" t="str">
        <f t="shared" si="226"/>
        <v/>
      </c>
    </row>
    <row r="809" spans="1:32" x14ac:dyDescent="0.2">
      <c r="A809" t="str">
        <f t="shared" si="227"/>
        <v/>
      </c>
      <c r="B809" s="38" t="str">
        <f t="shared" si="228"/>
        <v/>
      </c>
      <c r="C809" s="38" t="str">
        <f t="shared" si="229"/>
        <v/>
      </c>
      <c r="D809" s="38" t="str">
        <f t="shared" si="230"/>
        <v/>
      </c>
      <c r="E809" s="38" t="str">
        <f t="shared" si="231"/>
        <v/>
      </c>
      <c r="F809" s="38" t="str">
        <f t="shared" si="232"/>
        <v/>
      </c>
      <c r="G809" s="38" t="str">
        <f t="shared" si="233"/>
        <v/>
      </c>
      <c r="H809" s="38" t="str">
        <f t="shared" si="234"/>
        <v/>
      </c>
      <c r="AF809" t="str">
        <f t="shared" si="226"/>
        <v/>
      </c>
    </row>
    <row r="810" spans="1:32" x14ac:dyDescent="0.2">
      <c r="A810" t="str">
        <f t="shared" si="227"/>
        <v/>
      </c>
      <c r="B810" s="38" t="str">
        <f t="shared" si="228"/>
        <v/>
      </c>
      <c r="C810" s="38" t="str">
        <f t="shared" si="229"/>
        <v/>
      </c>
      <c r="D810" s="38" t="str">
        <f t="shared" si="230"/>
        <v/>
      </c>
      <c r="E810" s="38" t="str">
        <f t="shared" si="231"/>
        <v/>
      </c>
      <c r="F810" s="38" t="str">
        <f t="shared" si="232"/>
        <v/>
      </c>
      <c r="G810" s="38" t="str">
        <f t="shared" si="233"/>
        <v/>
      </c>
      <c r="H810" s="38" t="str">
        <f t="shared" si="234"/>
        <v/>
      </c>
      <c r="AF810" t="str">
        <f t="shared" si="226"/>
        <v/>
      </c>
    </row>
    <row r="811" spans="1:32" x14ac:dyDescent="0.2">
      <c r="A811" t="str">
        <f t="shared" si="227"/>
        <v/>
      </c>
      <c r="B811" s="38" t="str">
        <f t="shared" si="228"/>
        <v/>
      </c>
      <c r="C811" s="38" t="str">
        <f t="shared" si="229"/>
        <v/>
      </c>
      <c r="D811" s="38" t="str">
        <f t="shared" si="230"/>
        <v/>
      </c>
      <c r="E811" s="38" t="str">
        <f t="shared" si="231"/>
        <v/>
      </c>
      <c r="F811" s="38" t="str">
        <f t="shared" si="232"/>
        <v/>
      </c>
      <c r="G811" s="38" t="str">
        <f t="shared" si="233"/>
        <v/>
      </c>
      <c r="H811" s="38" t="str">
        <f t="shared" si="234"/>
        <v/>
      </c>
      <c r="AF811" t="str">
        <f t="shared" si="226"/>
        <v/>
      </c>
    </row>
    <row r="812" spans="1:32" x14ac:dyDescent="0.2">
      <c r="A812" t="str">
        <f t="shared" si="227"/>
        <v/>
      </c>
      <c r="B812" s="38" t="str">
        <f t="shared" si="228"/>
        <v/>
      </c>
      <c r="C812" s="38" t="str">
        <f t="shared" si="229"/>
        <v/>
      </c>
      <c r="D812" s="38" t="str">
        <f t="shared" si="230"/>
        <v/>
      </c>
      <c r="E812" s="38" t="str">
        <f t="shared" si="231"/>
        <v/>
      </c>
      <c r="F812" s="38" t="str">
        <f t="shared" si="232"/>
        <v/>
      </c>
      <c r="G812" s="38" t="str">
        <f t="shared" si="233"/>
        <v/>
      </c>
      <c r="H812" s="38" t="str">
        <f t="shared" si="234"/>
        <v/>
      </c>
      <c r="AF812" t="str">
        <f t="shared" si="226"/>
        <v/>
      </c>
    </row>
    <row r="813" spans="1:32" x14ac:dyDescent="0.2">
      <c r="A813" t="str">
        <f t="shared" si="227"/>
        <v/>
      </c>
      <c r="B813" s="38" t="str">
        <f t="shared" si="228"/>
        <v/>
      </c>
      <c r="C813" s="38" t="str">
        <f t="shared" si="229"/>
        <v/>
      </c>
      <c r="D813" s="38" t="str">
        <f t="shared" si="230"/>
        <v/>
      </c>
      <c r="E813" s="38" t="str">
        <f t="shared" si="231"/>
        <v/>
      </c>
      <c r="F813" s="38" t="str">
        <f t="shared" si="232"/>
        <v/>
      </c>
      <c r="G813" s="38" t="str">
        <f t="shared" si="233"/>
        <v/>
      </c>
      <c r="H813" s="38" t="str">
        <f t="shared" si="234"/>
        <v/>
      </c>
      <c r="AF813" t="str">
        <f t="shared" si="226"/>
        <v/>
      </c>
    </row>
    <row r="814" spans="1:32" x14ac:dyDescent="0.2">
      <c r="A814" t="str">
        <f t="shared" si="227"/>
        <v/>
      </c>
      <c r="B814" s="38" t="str">
        <f t="shared" si="228"/>
        <v/>
      </c>
      <c r="C814" s="38" t="str">
        <f t="shared" si="229"/>
        <v/>
      </c>
      <c r="D814" s="38" t="str">
        <f t="shared" si="230"/>
        <v/>
      </c>
      <c r="E814" s="38" t="str">
        <f t="shared" si="231"/>
        <v/>
      </c>
      <c r="F814" s="38" t="str">
        <f t="shared" si="232"/>
        <v/>
      </c>
      <c r="G814" s="38" t="str">
        <f t="shared" si="233"/>
        <v/>
      </c>
      <c r="H814" s="38" t="str">
        <f t="shared" si="234"/>
        <v/>
      </c>
      <c r="AF814" t="str">
        <f t="shared" si="226"/>
        <v/>
      </c>
    </row>
    <row r="815" spans="1:32" x14ac:dyDescent="0.2">
      <c r="A815" t="str">
        <f t="shared" si="227"/>
        <v/>
      </c>
      <c r="B815" s="38" t="str">
        <f t="shared" si="228"/>
        <v/>
      </c>
      <c r="C815" s="38" t="str">
        <f t="shared" si="229"/>
        <v/>
      </c>
      <c r="D815" s="38" t="str">
        <f t="shared" si="230"/>
        <v/>
      </c>
      <c r="E815" s="38" t="str">
        <f t="shared" si="231"/>
        <v/>
      </c>
      <c r="F815" s="38" t="str">
        <f t="shared" si="232"/>
        <v/>
      </c>
      <c r="G815" s="38" t="str">
        <f t="shared" si="233"/>
        <v/>
      </c>
      <c r="H815" s="38" t="str">
        <f t="shared" si="234"/>
        <v/>
      </c>
      <c r="AF815" t="str">
        <f t="shared" si="226"/>
        <v/>
      </c>
    </row>
    <row r="816" spans="1:32" x14ac:dyDescent="0.2">
      <c r="A816" t="str">
        <f t="shared" si="227"/>
        <v/>
      </c>
      <c r="B816" s="38" t="str">
        <f t="shared" si="228"/>
        <v/>
      </c>
      <c r="C816" s="38" t="str">
        <f t="shared" si="229"/>
        <v/>
      </c>
      <c r="D816" s="38" t="str">
        <f t="shared" si="230"/>
        <v/>
      </c>
      <c r="E816" s="38" t="str">
        <f t="shared" si="231"/>
        <v/>
      </c>
      <c r="F816" s="38" t="str">
        <f t="shared" si="232"/>
        <v/>
      </c>
      <c r="G816" s="38" t="str">
        <f t="shared" si="233"/>
        <v/>
      </c>
      <c r="H816" s="38" t="str">
        <f t="shared" si="234"/>
        <v/>
      </c>
      <c r="AF816" t="str">
        <f t="shared" si="226"/>
        <v/>
      </c>
    </row>
    <row r="817" spans="1:32" x14ac:dyDescent="0.2">
      <c r="A817" t="str">
        <f t="shared" si="227"/>
        <v/>
      </c>
      <c r="B817" s="38" t="str">
        <f t="shared" si="228"/>
        <v/>
      </c>
      <c r="C817" s="38" t="str">
        <f t="shared" si="229"/>
        <v/>
      </c>
      <c r="D817" s="38" t="str">
        <f t="shared" si="230"/>
        <v/>
      </c>
      <c r="E817" s="38" t="str">
        <f t="shared" si="231"/>
        <v/>
      </c>
      <c r="F817" s="38" t="str">
        <f t="shared" si="232"/>
        <v/>
      </c>
      <c r="G817" s="38" t="str">
        <f t="shared" si="233"/>
        <v/>
      </c>
      <c r="H817" s="38" t="str">
        <f t="shared" si="234"/>
        <v/>
      </c>
      <c r="AF817" t="str">
        <f t="shared" si="226"/>
        <v/>
      </c>
    </row>
    <row r="818" spans="1:32" x14ac:dyDescent="0.2">
      <c r="A818" t="str">
        <f t="shared" si="227"/>
        <v/>
      </c>
      <c r="B818" s="38" t="str">
        <f t="shared" si="228"/>
        <v/>
      </c>
      <c r="C818" s="38" t="str">
        <f t="shared" si="229"/>
        <v/>
      </c>
      <c r="D818" s="38" t="str">
        <f t="shared" si="230"/>
        <v/>
      </c>
      <c r="E818" s="38" t="str">
        <f t="shared" si="231"/>
        <v/>
      </c>
      <c r="F818" s="38" t="str">
        <f t="shared" si="232"/>
        <v/>
      </c>
      <c r="G818" s="38" t="str">
        <f t="shared" si="233"/>
        <v/>
      </c>
      <c r="H818" s="38" t="str">
        <f t="shared" si="234"/>
        <v/>
      </c>
      <c r="AF818" t="str">
        <f t="shared" si="226"/>
        <v/>
      </c>
    </row>
    <row r="819" spans="1:32" x14ac:dyDescent="0.2">
      <c r="A819" t="str">
        <f t="shared" si="227"/>
        <v/>
      </c>
      <c r="B819" s="38" t="str">
        <f t="shared" si="228"/>
        <v/>
      </c>
      <c r="C819" s="38" t="str">
        <f t="shared" si="229"/>
        <v/>
      </c>
      <c r="D819" s="38" t="str">
        <f t="shared" si="230"/>
        <v/>
      </c>
      <c r="E819" s="38" t="str">
        <f t="shared" si="231"/>
        <v/>
      </c>
      <c r="F819" s="38" t="str">
        <f t="shared" si="232"/>
        <v/>
      </c>
      <c r="G819" s="38" t="str">
        <f t="shared" si="233"/>
        <v/>
      </c>
      <c r="H819" s="38" t="str">
        <f t="shared" si="234"/>
        <v/>
      </c>
      <c r="AF819" t="str">
        <f t="shared" si="226"/>
        <v/>
      </c>
    </row>
    <row r="820" spans="1:32" x14ac:dyDescent="0.2">
      <c r="A820" t="str">
        <f t="shared" si="227"/>
        <v/>
      </c>
      <c r="B820" s="38" t="str">
        <f t="shared" si="228"/>
        <v/>
      </c>
      <c r="C820" s="38" t="str">
        <f t="shared" si="229"/>
        <v/>
      </c>
      <c r="D820" s="38" t="str">
        <f t="shared" si="230"/>
        <v/>
      </c>
      <c r="E820" s="38" t="str">
        <f t="shared" si="231"/>
        <v/>
      </c>
      <c r="F820" s="38" t="str">
        <f t="shared" si="232"/>
        <v/>
      </c>
      <c r="G820" s="38" t="str">
        <f t="shared" si="233"/>
        <v/>
      </c>
      <c r="H820" s="38" t="str">
        <f t="shared" si="234"/>
        <v/>
      </c>
      <c r="AF820" t="str">
        <f t="shared" si="226"/>
        <v/>
      </c>
    </row>
    <row r="821" spans="1:32" x14ac:dyDescent="0.2">
      <c r="A821" t="str">
        <f t="shared" si="227"/>
        <v/>
      </c>
      <c r="B821" s="38" t="str">
        <f t="shared" si="228"/>
        <v/>
      </c>
      <c r="C821" s="38" t="str">
        <f t="shared" si="229"/>
        <v/>
      </c>
      <c r="D821" s="38" t="str">
        <f t="shared" si="230"/>
        <v/>
      </c>
      <c r="E821" s="38" t="str">
        <f t="shared" si="231"/>
        <v/>
      </c>
      <c r="F821" s="38" t="str">
        <f t="shared" si="232"/>
        <v/>
      </c>
      <c r="G821" s="38" t="str">
        <f t="shared" si="233"/>
        <v/>
      </c>
      <c r="H821" s="38" t="str">
        <f t="shared" si="234"/>
        <v/>
      </c>
      <c r="AF821" t="str">
        <f t="shared" si="226"/>
        <v/>
      </c>
    </row>
    <row r="822" spans="1:32" x14ac:dyDescent="0.2">
      <c r="A822" t="str">
        <f t="shared" si="227"/>
        <v/>
      </c>
      <c r="B822" s="38" t="str">
        <f t="shared" si="228"/>
        <v/>
      </c>
      <c r="C822" s="38" t="str">
        <f t="shared" si="229"/>
        <v/>
      </c>
      <c r="D822" s="38" t="str">
        <f t="shared" si="230"/>
        <v/>
      </c>
      <c r="E822" s="38" t="str">
        <f t="shared" si="231"/>
        <v/>
      </c>
      <c r="F822" s="38" t="str">
        <f t="shared" si="232"/>
        <v/>
      </c>
      <c r="G822" s="38" t="str">
        <f t="shared" si="233"/>
        <v/>
      </c>
      <c r="H822" s="38" t="str">
        <f t="shared" si="234"/>
        <v/>
      </c>
      <c r="AF822" t="str">
        <f t="shared" si="226"/>
        <v/>
      </c>
    </row>
    <row r="823" spans="1:32" x14ac:dyDescent="0.2">
      <c r="A823" t="str">
        <f t="shared" si="227"/>
        <v/>
      </c>
      <c r="B823" s="38" t="str">
        <f t="shared" si="228"/>
        <v/>
      </c>
      <c r="C823" s="38" t="str">
        <f t="shared" si="229"/>
        <v/>
      </c>
      <c r="D823" s="38" t="str">
        <f t="shared" si="230"/>
        <v/>
      </c>
      <c r="E823" s="38" t="str">
        <f t="shared" si="231"/>
        <v/>
      </c>
      <c r="F823" s="38" t="str">
        <f t="shared" si="232"/>
        <v/>
      </c>
      <c r="G823" s="38" t="str">
        <f t="shared" si="233"/>
        <v/>
      </c>
      <c r="H823" s="38" t="str">
        <f t="shared" si="234"/>
        <v/>
      </c>
      <c r="AF823" t="str">
        <f t="shared" si="226"/>
        <v/>
      </c>
    </row>
    <row r="824" spans="1:32" x14ac:dyDescent="0.2">
      <c r="A824" t="str">
        <f t="shared" si="227"/>
        <v/>
      </c>
      <c r="B824" s="38" t="str">
        <f t="shared" si="228"/>
        <v/>
      </c>
      <c r="C824" s="38" t="str">
        <f t="shared" si="229"/>
        <v/>
      </c>
      <c r="D824" s="38" t="str">
        <f t="shared" si="230"/>
        <v/>
      </c>
      <c r="E824" s="38" t="str">
        <f t="shared" si="231"/>
        <v/>
      </c>
      <c r="F824" s="38" t="str">
        <f t="shared" si="232"/>
        <v/>
      </c>
      <c r="G824" s="38" t="str">
        <f t="shared" si="233"/>
        <v/>
      </c>
      <c r="H824" s="38" t="str">
        <f t="shared" si="234"/>
        <v/>
      </c>
      <c r="AF824" t="str">
        <f t="shared" si="226"/>
        <v/>
      </c>
    </row>
    <row r="825" spans="1:32" x14ac:dyDescent="0.2">
      <c r="A825" t="str">
        <f t="shared" si="227"/>
        <v/>
      </c>
      <c r="B825" s="38" t="str">
        <f t="shared" si="228"/>
        <v/>
      </c>
      <c r="C825" s="38" t="str">
        <f t="shared" si="229"/>
        <v/>
      </c>
      <c r="D825" s="38" t="str">
        <f t="shared" si="230"/>
        <v/>
      </c>
      <c r="E825" s="38" t="str">
        <f t="shared" si="231"/>
        <v/>
      </c>
      <c r="F825" s="38" t="str">
        <f t="shared" si="232"/>
        <v/>
      </c>
      <c r="G825" s="38" t="str">
        <f t="shared" si="233"/>
        <v/>
      </c>
      <c r="H825" s="38" t="str">
        <f t="shared" si="234"/>
        <v/>
      </c>
      <c r="AF825" t="str">
        <f t="shared" si="226"/>
        <v/>
      </c>
    </row>
    <row r="826" spans="1:32" x14ac:dyDescent="0.2">
      <c r="A826" t="str">
        <f t="shared" si="227"/>
        <v/>
      </c>
      <c r="B826" s="38" t="str">
        <f t="shared" si="228"/>
        <v/>
      </c>
      <c r="C826" s="38" t="str">
        <f t="shared" si="229"/>
        <v/>
      </c>
      <c r="D826" s="38" t="str">
        <f t="shared" si="230"/>
        <v/>
      </c>
      <c r="E826" s="38" t="str">
        <f t="shared" si="231"/>
        <v/>
      </c>
      <c r="F826" s="38" t="str">
        <f t="shared" si="232"/>
        <v/>
      </c>
      <c r="G826" s="38" t="str">
        <f t="shared" si="233"/>
        <v/>
      </c>
      <c r="H826" s="38" t="str">
        <f t="shared" si="234"/>
        <v/>
      </c>
      <c r="AF826" t="str">
        <f t="shared" si="226"/>
        <v/>
      </c>
    </row>
    <row r="827" spans="1:32" x14ac:dyDescent="0.2">
      <c r="A827" t="str">
        <f t="shared" si="227"/>
        <v/>
      </c>
      <c r="B827" s="38" t="str">
        <f t="shared" si="228"/>
        <v/>
      </c>
      <c r="C827" s="38" t="str">
        <f t="shared" si="229"/>
        <v/>
      </c>
      <c r="D827" s="38" t="str">
        <f t="shared" si="230"/>
        <v/>
      </c>
      <c r="E827" s="38" t="str">
        <f t="shared" si="231"/>
        <v/>
      </c>
      <c r="F827" s="38" t="str">
        <f t="shared" si="232"/>
        <v/>
      </c>
      <c r="G827" s="38" t="str">
        <f t="shared" si="233"/>
        <v/>
      </c>
      <c r="H827" s="38" t="str">
        <f t="shared" si="234"/>
        <v/>
      </c>
      <c r="AF827" t="str">
        <f t="shared" si="226"/>
        <v/>
      </c>
    </row>
    <row r="828" spans="1:32" x14ac:dyDescent="0.2">
      <c r="A828" t="str">
        <f t="shared" si="227"/>
        <v/>
      </c>
      <c r="B828" s="38" t="str">
        <f t="shared" si="228"/>
        <v/>
      </c>
      <c r="C828" s="38" t="str">
        <f t="shared" si="229"/>
        <v/>
      </c>
      <c r="D828" s="38" t="str">
        <f t="shared" si="230"/>
        <v/>
      </c>
      <c r="E828" s="38" t="str">
        <f t="shared" si="231"/>
        <v/>
      </c>
      <c r="F828" s="38" t="str">
        <f t="shared" si="232"/>
        <v/>
      </c>
      <c r="G828" s="38" t="str">
        <f t="shared" si="233"/>
        <v/>
      </c>
      <c r="H828" s="38" t="str">
        <f t="shared" si="234"/>
        <v/>
      </c>
      <c r="AF828" t="str">
        <f t="shared" si="226"/>
        <v/>
      </c>
    </row>
    <row r="829" spans="1:32" x14ac:dyDescent="0.2">
      <c r="A829" t="str">
        <f t="shared" si="227"/>
        <v/>
      </c>
      <c r="B829" s="38" t="str">
        <f t="shared" si="228"/>
        <v/>
      </c>
      <c r="C829" s="38" t="str">
        <f t="shared" si="229"/>
        <v/>
      </c>
      <c r="D829" s="38" t="str">
        <f t="shared" si="230"/>
        <v/>
      </c>
      <c r="E829" s="38" t="str">
        <f t="shared" si="231"/>
        <v/>
      </c>
      <c r="F829" s="38" t="str">
        <f t="shared" si="232"/>
        <v/>
      </c>
      <c r="G829" s="38" t="str">
        <f t="shared" si="233"/>
        <v/>
      </c>
      <c r="H829" s="38" t="str">
        <f t="shared" si="234"/>
        <v/>
      </c>
      <c r="AF829" t="str">
        <f t="shared" si="226"/>
        <v/>
      </c>
    </row>
    <row r="830" spans="1:32" x14ac:dyDescent="0.2">
      <c r="A830" t="str">
        <f t="shared" si="227"/>
        <v/>
      </c>
      <c r="B830" s="38" t="str">
        <f t="shared" si="228"/>
        <v/>
      </c>
      <c r="C830" s="38" t="str">
        <f t="shared" si="229"/>
        <v/>
      </c>
      <c r="D830" s="38" t="str">
        <f t="shared" si="230"/>
        <v/>
      </c>
      <c r="E830" s="38" t="str">
        <f t="shared" si="231"/>
        <v/>
      </c>
      <c r="F830" s="38" t="str">
        <f t="shared" si="232"/>
        <v/>
      </c>
      <c r="G830" s="38" t="str">
        <f t="shared" si="233"/>
        <v/>
      </c>
      <c r="H830" s="38" t="str">
        <f t="shared" si="234"/>
        <v/>
      </c>
    </row>
    <row r="831" spans="1:32" x14ac:dyDescent="0.2">
      <c r="A831" t="str">
        <f t="shared" si="227"/>
        <v/>
      </c>
      <c r="B831" s="38" t="str">
        <f t="shared" si="228"/>
        <v/>
      </c>
      <c r="C831" s="38" t="str">
        <f t="shared" si="229"/>
        <v/>
      </c>
      <c r="D831" s="38" t="str">
        <f t="shared" si="230"/>
        <v/>
      </c>
      <c r="E831" s="38" t="str">
        <f t="shared" si="231"/>
        <v/>
      </c>
      <c r="F831" s="38" t="str">
        <f t="shared" si="232"/>
        <v/>
      </c>
      <c r="G831" s="38" t="str">
        <f t="shared" si="233"/>
        <v/>
      </c>
      <c r="H831" s="38" t="str">
        <f t="shared" si="234"/>
        <v/>
      </c>
    </row>
    <row r="832" spans="1:32" x14ac:dyDescent="0.2">
      <c r="A832" t="str">
        <f t="shared" si="227"/>
        <v/>
      </c>
      <c r="B832" s="38" t="str">
        <f t="shared" si="228"/>
        <v/>
      </c>
      <c r="C832" s="38" t="str">
        <f t="shared" si="229"/>
        <v/>
      </c>
      <c r="D832" s="38" t="str">
        <f t="shared" si="230"/>
        <v/>
      </c>
      <c r="E832" s="38" t="str">
        <f t="shared" si="231"/>
        <v/>
      </c>
      <c r="F832" s="38" t="str">
        <f t="shared" si="232"/>
        <v/>
      </c>
      <c r="G832" s="38" t="str">
        <f t="shared" si="233"/>
        <v/>
      </c>
      <c r="H832" s="38" t="str">
        <f t="shared" si="234"/>
        <v/>
      </c>
    </row>
    <row r="833" spans="1:8" x14ac:dyDescent="0.2">
      <c r="A833" t="str">
        <f t="shared" si="227"/>
        <v/>
      </c>
      <c r="B833" s="38" t="str">
        <f t="shared" si="228"/>
        <v/>
      </c>
      <c r="C833" s="38" t="str">
        <f t="shared" si="229"/>
        <v/>
      </c>
      <c r="D833" s="38" t="str">
        <f t="shared" si="230"/>
        <v/>
      </c>
      <c r="E833" s="38" t="str">
        <f t="shared" si="231"/>
        <v/>
      </c>
      <c r="F833" s="38" t="str">
        <f t="shared" si="232"/>
        <v/>
      </c>
      <c r="G833" s="38" t="str">
        <f t="shared" si="233"/>
        <v/>
      </c>
      <c r="H833" s="38" t="str">
        <f t="shared" si="234"/>
        <v/>
      </c>
    </row>
    <row r="834" spans="1:8" x14ac:dyDescent="0.2">
      <c r="A834" t="str">
        <f t="shared" si="227"/>
        <v/>
      </c>
      <c r="B834" s="38" t="str">
        <f t="shared" si="228"/>
        <v/>
      </c>
      <c r="C834" s="38" t="str">
        <f t="shared" si="229"/>
        <v/>
      </c>
      <c r="D834" s="38" t="str">
        <f t="shared" si="230"/>
        <v/>
      </c>
      <c r="E834" s="38" t="str">
        <f t="shared" si="231"/>
        <v/>
      </c>
      <c r="F834" s="38" t="str">
        <f t="shared" si="232"/>
        <v/>
      </c>
      <c r="G834" s="38" t="str">
        <f t="shared" si="233"/>
        <v/>
      </c>
      <c r="H834" s="38" t="str">
        <f t="shared" si="234"/>
        <v/>
      </c>
    </row>
    <row r="835" spans="1:8" x14ac:dyDescent="0.2">
      <c r="A835" t="str">
        <f t="shared" si="227"/>
        <v/>
      </c>
      <c r="B835" s="38" t="str">
        <f t="shared" si="228"/>
        <v/>
      </c>
      <c r="C835" s="38" t="str">
        <f t="shared" si="229"/>
        <v/>
      </c>
      <c r="D835" s="38" t="str">
        <f t="shared" si="230"/>
        <v/>
      </c>
      <c r="E835" s="38" t="str">
        <f t="shared" si="231"/>
        <v/>
      </c>
      <c r="F835" s="38" t="str">
        <f t="shared" si="232"/>
        <v/>
      </c>
      <c r="G835" s="38" t="str">
        <f t="shared" si="233"/>
        <v/>
      </c>
      <c r="H835" s="38" t="str">
        <f t="shared" si="234"/>
        <v/>
      </c>
    </row>
    <row r="836" spans="1:8" x14ac:dyDescent="0.2">
      <c r="A836" t="str">
        <f t="shared" si="227"/>
        <v/>
      </c>
      <c r="B836" s="38" t="str">
        <f t="shared" si="228"/>
        <v/>
      </c>
      <c r="C836" s="38" t="str">
        <f t="shared" si="229"/>
        <v/>
      </c>
      <c r="D836" s="38" t="str">
        <f t="shared" si="230"/>
        <v/>
      </c>
      <c r="E836" s="38" t="str">
        <f t="shared" si="231"/>
        <v/>
      </c>
      <c r="F836" s="38" t="str">
        <f t="shared" si="232"/>
        <v/>
      </c>
      <c r="G836" s="38" t="str">
        <f t="shared" si="233"/>
        <v/>
      </c>
      <c r="H836" s="38" t="str">
        <f t="shared" si="234"/>
        <v/>
      </c>
    </row>
    <row r="837" spans="1:8" x14ac:dyDescent="0.2">
      <c r="A837" t="str">
        <f t="shared" si="227"/>
        <v/>
      </c>
      <c r="B837" s="38" t="str">
        <f t="shared" si="228"/>
        <v/>
      </c>
      <c r="C837" s="38" t="str">
        <f t="shared" si="229"/>
        <v/>
      </c>
      <c r="D837" s="38" t="str">
        <f t="shared" si="230"/>
        <v/>
      </c>
      <c r="E837" s="38" t="str">
        <f t="shared" si="231"/>
        <v/>
      </c>
      <c r="F837" s="38" t="str">
        <f t="shared" si="232"/>
        <v/>
      </c>
      <c r="G837" s="38" t="str">
        <f t="shared" si="233"/>
        <v/>
      </c>
      <c r="H837" s="38" t="str">
        <f t="shared" si="234"/>
        <v/>
      </c>
    </row>
    <row r="838" spans="1:8" x14ac:dyDescent="0.2">
      <c r="A838" t="str">
        <f t="shared" si="227"/>
        <v/>
      </c>
      <c r="B838" s="38" t="str">
        <f t="shared" si="228"/>
        <v/>
      </c>
      <c r="C838" s="38" t="str">
        <f t="shared" si="229"/>
        <v/>
      </c>
      <c r="D838" s="38" t="str">
        <f t="shared" si="230"/>
        <v/>
      </c>
      <c r="E838" s="38" t="str">
        <f t="shared" si="231"/>
        <v/>
      </c>
      <c r="F838" s="38" t="str">
        <f t="shared" si="232"/>
        <v/>
      </c>
      <c r="G838" s="38" t="str">
        <f t="shared" si="233"/>
        <v/>
      </c>
      <c r="H838" s="38" t="str">
        <f t="shared" si="234"/>
        <v/>
      </c>
    </row>
    <row r="839" spans="1:8" x14ac:dyDescent="0.2">
      <c r="A839" t="str">
        <f t="shared" si="227"/>
        <v/>
      </c>
      <c r="B839" s="38" t="str">
        <f t="shared" si="228"/>
        <v/>
      </c>
      <c r="C839" s="38" t="str">
        <f t="shared" si="229"/>
        <v/>
      </c>
      <c r="D839" s="38" t="str">
        <f t="shared" si="230"/>
        <v/>
      </c>
      <c r="E839" s="38" t="str">
        <f t="shared" si="231"/>
        <v/>
      </c>
      <c r="F839" s="38" t="str">
        <f t="shared" si="232"/>
        <v/>
      </c>
      <c r="G839" s="38" t="str">
        <f t="shared" si="233"/>
        <v/>
      </c>
      <c r="H839" s="38" t="str">
        <f t="shared" si="234"/>
        <v/>
      </c>
    </row>
    <row r="840" spans="1:8" x14ac:dyDescent="0.2">
      <c r="A840" t="str">
        <f t="shared" si="227"/>
        <v/>
      </c>
      <c r="B840" s="38" t="str">
        <f t="shared" si="228"/>
        <v/>
      </c>
      <c r="C840" s="38" t="str">
        <f t="shared" si="229"/>
        <v/>
      </c>
      <c r="D840" s="38" t="str">
        <f t="shared" si="230"/>
        <v/>
      </c>
      <c r="E840" s="38" t="str">
        <f t="shared" si="231"/>
        <v/>
      </c>
      <c r="F840" s="38" t="str">
        <f t="shared" si="232"/>
        <v/>
      </c>
      <c r="G840" s="38" t="str">
        <f t="shared" si="233"/>
        <v/>
      </c>
      <c r="H840" s="38" t="str">
        <f t="shared" si="234"/>
        <v/>
      </c>
    </row>
    <row r="841" spans="1:8" x14ac:dyDescent="0.2">
      <c r="A841" t="str">
        <f t="shared" si="227"/>
        <v/>
      </c>
      <c r="B841" s="38" t="str">
        <f t="shared" si="228"/>
        <v/>
      </c>
      <c r="C841" s="38" t="str">
        <f t="shared" si="229"/>
        <v/>
      </c>
      <c r="D841" s="38" t="str">
        <f t="shared" si="230"/>
        <v/>
      </c>
      <c r="E841" s="38" t="str">
        <f t="shared" si="231"/>
        <v/>
      </c>
      <c r="F841" s="38" t="str">
        <f t="shared" si="232"/>
        <v/>
      </c>
      <c r="G841" s="38" t="str">
        <f t="shared" si="233"/>
        <v/>
      </c>
      <c r="H841" s="38" t="str">
        <f t="shared" si="234"/>
        <v/>
      </c>
    </row>
    <row r="842" spans="1:8" x14ac:dyDescent="0.2">
      <c r="A842" t="str">
        <f t="shared" si="227"/>
        <v/>
      </c>
      <c r="B842" s="38" t="str">
        <f t="shared" si="228"/>
        <v/>
      </c>
      <c r="C842" s="38" t="str">
        <f t="shared" si="229"/>
        <v/>
      </c>
      <c r="D842" s="38" t="str">
        <f t="shared" si="230"/>
        <v/>
      </c>
      <c r="E842" s="38" t="str">
        <f t="shared" si="231"/>
        <v/>
      </c>
      <c r="F842" s="38" t="str">
        <f t="shared" si="232"/>
        <v/>
      </c>
      <c r="G842" s="38" t="str">
        <f t="shared" si="233"/>
        <v/>
      </c>
      <c r="H842" s="38" t="str">
        <f t="shared" si="234"/>
        <v/>
      </c>
    </row>
    <row r="843" spans="1:8" x14ac:dyDescent="0.2">
      <c r="A843" t="str">
        <f t="shared" si="227"/>
        <v/>
      </c>
      <c r="B843" s="38" t="str">
        <f t="shared" si="228"/>
        <v/>
      </c>
      <c r="C843" s="38" t="str">
        <f t="shared" si="229"/>
        <v/>
      </c>
      <c r="D843" s="38" t="str">
        <f t="shared" si="230"/>
        <v/>
      </c>
      <c r="E843" s="38" t="str">
        <f t="shared" si="231"/>
        <v/>
      </c>
      <c r="F843" s="38" t="str">
        <f t="shared" si="232"/>
        <v/>
      </c>
      <c r="G843" s="38" t="str">
        <f t="shared" si="233"/>
        <v/>
      </c>
      <c r="H843" s="38" t="str">
        <f t="shared" si="234"/>
        <v/>
      </c>
    </row>
    <row r="844" spans="1:8" x14ac:dyDescent="0.2">
      <c r="A844" t="str">
        <f t="shared" si="227"/>
        <v/>
      </c>
      <c r="B844" s="38" t="str">
        <f t="shared" si="228"/>
        <v/>
      </c>
      <c r="C844" s="38" t="str">
        <f t="shared" si="229"/>
        <v/>
      </c>
      <c r="D844" s="38" t="str">
        <f t="shared" si="230"/>
        <v/>
      </c>
      <c r="E844" s="38" t="str">
        <f t="shared" si="231"/>
        <v/>
      </c>
      <c r="F844" s="38" t="str">
        <f t="shared" si="232"/>
        <v/>
      </c>
      <c r="G844" s="38" t="str">
        <f t="shared" si="233"/>
        <v/>
      </c>
      <c r="H844" s="38" t="str">
        <f t="shared" si="234"/>
        <v/>
      </c>
    </row>
    <row r="845" spans="1:8" x14ac:dyDescent="0.2">
      <c r="A845" t="str">
        <f t="shared" si="227"/>
        <v/>
      </c>
      <c r="B845" s="38" t="str">
        <f t="shared" si="228"/>
        <v/>
      </c>
      <c r="C845" s="38" t="str">
        <f t="shared" si="229"/>
        <v/>
      </c>
      <c r="D845" s="38" t="str">
        <f t="shared" si="230"/>
        <v/>
      </c>
      <c r="E845" s="38" t="str">
        <f t="shared" si="231"/>
        <v/>
      </c>
      <c r="F845" s="38" t="str">
        <f t="shared" si="232"/>
        <v/>
      </c>
      <c r="G845" s="38" t="str">
        <f t="shared" si="233"/>
        <v/>
      </c>
      <c r="H845" s="38" t="str">
        <f t="shared" si="234"/>
        <v/>
      </c>
    </row>
    <row r="846" spans="1:8" x14ac:dyDescent="0.2">
      <c r="A846" t="str">
        <f t="shared" si="227"/>
        <v/>
      </c>
      <c r="B846" s="38" t="str">
        <f t="shared" si="228"/>
        <v/>
      </c>
      <c r="C846" s="38" t="str">
        <f t="shared" si="229"/>
        <v/>
      </c>
      <c r="D846" s="38" t="str">
        <f t="shared" si="230"/>
        <v/>
      </c>
      <c r="E846" s="38" t="str">
        <f t="shared" si="231"/>
        <v/>
      </c>
      <c r="F846" s="38" t="str">
        <f t="shared" si="232"/>
        <v/>
      </c>
      <c r="G846" s="38" t="str">
        <f t="shared" si="233"/>
        <v/>
      </c>
      <c r="H846" s="38" t="str">
        <f t="shared" si="234"/>
        <v/>
      </c>
    </row>
    <row r="847" spans="1:8" x14ac:dyDescent="0.2">
      <c r="A847" t="str">
        <f t="shared" si="227"/>
        <v/>
      </c>
      <c r="B847" s="38" t="str">
        <f t="shared" si="228"/>
        <v/>
      </c>
      <c r="C847" s="38" t="str">
        <f t="shared" si="229"/>
        <v/>
      </c>
      <c r="D847" s="38" t="str">
        <f t="shared" si="230"/>
        <v/>
      </c>
      <c r="E847" s="38" t="str">
        <f t="shared" si="231"/>
        <v/>
      </c>
      <c r="F847" s="38" t="str">
        <f t="shared" si="232"/>
        <v/>
      </c>
      <c r="G847" s="38" t="str">
        <f t="shared" si="233"/>
        <v/>
      </c>
      <c r="H847" s="38" t="str">
        <f t="shared" si="234"/>
        <v/>
      </c>
    </row>
    <row r="848" spans="1:8" x14ac:dyDescent="0.2">
      <c r="A848" t="str">
        <f t="shared" si="227"/>
        <v/>
      </c>
      <c r="B848" s="38" t="str">
        <f t="shared" si="228"/>
        <v/>
      </c>
      <c r="C848" s="38" t="str">
        <f t="shared" si="229"/>
        <v/>
      </c>
      <c r="D848" s="38" t="str">
        <f t="shared" si="230"/>
        <v/>
      </c>
      <c r="E848" s="38" t="str">
        <f t="shared" si="231"/>
        <v/>
      </c>
      <c r="F848" s="38" t="str">
        <f t="shared" si="232"/>
        <v/>
      </c>
      <c r="G848" s="38" t="str">
        <f t="shared" si="233"/>
        <v/>
      </c>
      <c r="H848" s="38" t="str">
        <f t="shared" si="234"/>
        <v/>
      </c>
    </row>
    <row r="849" spans="1:8" x14ac:dyDescent="0.2">
      <c r="A849" t="str">
        <f t="shared" si="227"/>
        <v/>
      </c>
      <c r="B849" s="38" t="str">
        <f t="shared" si="228"/>
        <v/>
      </c>
      <c r="C849" s="38" t="str">
        <f t="shared" si="229"/>
        <v/>
      </c>
      <c r="D849" s="38" t="str">
        <f t="shared" si="230"/>
        <v/>
      </c>
      <c r="E849" s="38" t="str">
        <f t="shared" si="231"/>
        <v/>
      </c>
      <c r="F849" s="38" t="str">
        <f t="shared" si="232"/>
        <v/>
      </c>
      <c r="G849" s="38" t="str">
        <f t="shared" si="233"/>
        <v/>
      </c>
      <c r="H849" s="38" t="str">
        <f t="shared" si="234"/>
        <v/>
      </c>
    </row>
    <row r="850" spans="1:8" x14ac:dyDescent="0.2">
      <c r="A850" t="str">
        <f t="shared" si="227"/>
        <v/>
      </c>
      <c r="B850" s="38" t="str">
        <f t="shared" si="228"/>
        <v/>
      </c>
      <c r="C850" s="38" t="str">
        <f t="shared" si="229"/>
        <v/>
      </c>
      <c r="D850" s="38" t="str">
        <f t="shared" si="230"/>
        <v/>
      </c>
      <c r="E850" s="38" t="str">
        <f t="shared" si="231"/>
        <v/>
      </c>
      <c r="F850" s="38" t="str">
        <f t="shared" si="232"/>
        <v/>
      </c>
      <c r="G850" s="38" t="str">
        <f t="shared" si="233"/>
        <v/>
      </c>
      <c r="H850" s="38" t="str">
        <f t="shared" si="234"/>
        <v/>
      </c>
    </row>
    <row r="851" spans="1:8" x14ac:dyDescent="0.2">
      <c r="A851" t="str">
        <f t="shared" si="227"/>
        <v/>
      </c>
      <c r="B851" s="38" t="str">
        <f t="shared" si="228"/>
        <v/>
      </c>
      <c r="C851" s="38" t="str">
        <f t="shared" si="229"/>
        <v/>
      </c>
      <c r="D851" s="38" t="str">
        <f t="shared" si="230"/>
        <v/>
      </c>
      <c r="E851" s="38" t="str">
        <f t="shared" si="231"/>
        <v/>
      </c>
      <c r="F851" s="38" t="str">
        <f t="shared" si="232"/>
        <v/>
      </c>
      <c r="G851" s="38" t="str">
        <f t="shared" si="233"/>
        <v/>
      </c>
      <c r="H851" s="38" t="str">
        <f t="shared" si="234"/>
        <v/>
      </c>
    </row>
    <row r="852" spans="1:8" x14ac:dyDescent="0.2">
      <c r="A852" t="str">
        <f t="shared" si="227"/>
        <v/>
      </c>
      <c r="B852" s="38" t="str">
        <f t="shared" si="228"/>
        <v/>
      </c>
      <c r="C852" s="38" t="str">
        <f t="shared" si="229"/>
        <v/>
      </c>
      <c r="D852" s="38" t="str">
        <f t="shared" si="230"/>
        <v/>
      </c>
      <c r="E852" s="38" t="str">
        <f t="shared" si="231"/>
        <v/>
      </c>
      <c r="F852" s="38" t="str">
        <f t="shared" si="232"/>
        <v/>
      </c>
      <c r="G852" s="38" t="str">
        <f t="shared" si="233"/>
        <v/>
      </c>
      <c r="H852" s="38" t="str">
        <f t="shared" si="234"/>
        <v/>
      </c>
    </row>
    <row r="853" spans="1:8" x14ac:dyDescent="0.2">
      <c r="A853" t="str">
        <f t="shared" si="227"/>
        <v/>
      </c>
      <c r="B853" s="38" t="str">
        <f t="shared" si="228"/>
        <v/>
      </c>
      <c r="C853" s="38" t="str">
        <f t="shared" si="229"/>
        <v/>
      </c>
      <c r="D853" s="38" t="str">
        <f t="shared" si="230"/>
        <v/>
      </c>
      <c r="E853" s="38" t="str">
        <f t="shared" si="231"/>
        <v/>
      </c>
      <c r="F853" s="38" t="str">
        <f t="shared" si="232"/>
        <v/>
      </c>
      <c r="G853" s="38" t="str">
        <f t="shared" si="233"/>
        <v/>
      </c>
      <c r="H853" s="38" t="str">
        <f t="shared" si="234"/>
        <v/>
      </c>
    </row>
    <row r="854" spans="1:8" x14ac:dyDescent="0.2">
      <c r="A854" t="str">
        <f t="shared" si="227"/>
        <v/>
      </c>
      <c r="B854" s="38" t="str">
        <f t="shared" si="228"/>
        <v/>
      </c>
      <c r="C854" s="38" t="str">
        <f t="shared" si="229"/>
        <v/>
      </c>
      <c r="D854" s="38" t="str">
        <f t="shared" si="230"/>
        <v/>
      </c>
      <c r="E854" s="38" t="str">
        <f t="shared" si="231"/>
        <v/>
      </c>
      <c r="F854" s="38" t="str">
        <f t="shared" si="232"/>
        <v/>
      </c>
      <c r="G854" s="38" t="str">
        <f t="shared" si="233"/>
        <v/>
      </c>
      <c r="H854" s="38" t="str">
        <f t="shared" si="234"/>
        <v/>
      </c>
    </row>
    <row r="855" spans="1:8" x14ac:dyDescent="0.2">
      <c r="A855" t="str">
        <f t="shared" si="227"/>
        <v/>
      </c>
      <c r="B855" s="38" t="str">
        <f t="shared" si="228"/>
        <v/>
      </c>
      <c r="C855" s="38" t="str">
        <f t="shared" si="229"/>
        <v/>
      </c>
      <c r="D855" s="38" t="str">
        <f t="shared" si="230"/>
        <v/>
      </c>
      <c r="E855" s="38" t="str">
        <f t="shared" si="231"/>
        <v/>
      </c>
      <c r="F855" s="38" t="str">
        <f t="shared" si="232"/>
        <v/>
      </c>
      <c r="G855" s="38" t="str">
        <f t="shared" si="233"/>
        <v/>
      </c>
      <c r="H855" s="38" t="str">
        <f t="shared" si="234"/>
        <v/>
      </c>
    </row>
    <row r="856" spans="1:8" x14ac:dyDescent="0.2">
      <c r="A856" t="str">
        <f t="shared" ref="A856:A919" si="235">IF(A855&lt;($B$6*$B$7),A855+1,"")</f>
        <v/>
      </c>
      <c r="B856" s="38" t="str">
        <f t="shared" ref="B856:B888" si="236">IF(A856="","",F855)</f>
        <v/>
      </c>
      <c r="C856" s="38" t="str">
        <f t="shared" ref="C856:C919" si="237">IF(A856="","",(B856*$B$8))</f>
        <v/>
      </c>
      <c r="D856" s="38" t="str">
        <f t="shared" ref="D856:D919" si="238">IF(A856="","", $B$5)</f>
        <v/>
      </c>
      <c r="E856" s="38" t="str">
        <f t="shared" ref="E856:E919" si="239">IF(D856="","",(D856-C856))</f>
        <v/>
      </c>
      <c r="F856" s="38" t="str">
        <f t="shared" ref="F856:F919" si="240">IF(A856="","", B856-E856)</f>
        <v/>
      </c>
      <c r="G856" s="38" t="str">
        <f t="shared" si="233"/>
        <v/>
      </c>
      <c r="H856" s="38" t="str">
        <f t="shared" si="234"/>
        <v/>
      </c>
    </row>
    <row r="857" spans="1:8" x14ac:dyDescent="0.2">
      <c r="A857" t="str">
        <f t="shared" si="235"/>
        <v/>
      </c>
      <c r="B857" s="38" t="str">
        <f t="shared" si="236"/>
        <v/>
      </c>
      <c r="C857" s="38" t="str">
        <f t="shared" si="237"/>
        <v/>
      </c>
      <c r="D857" s="38" t="str">
        <f t="shared" si="238"/>
        <v/>
      </c>
      <c r="E857" s="38" t="str">
        <f t="shared" si="239"/>
        <v/>
      </c>
      <c r="F857" s="38" t="str">
        <f t="shared" si="240"/>
        <v/>
      </c>
      <c r="G857" s="38" t="str">
        <f t="shared" si="233"/>
        <v/>
      </c>
      <c r="H857" s="38" t="str">
        <f t="shared" si="234"/>
        <v/>
      </c>
    </row>
    <row r="858" spans="1:8" x14ac:dyDescent="0.2">
      <c r="A858" t="str">
        <f t="shared" si="235"/>
        <v/>
      </c>
      <c r="B858" s="38" t="str">
        <f t="shared" si="236"/>
        <v/>
      </c>
      <c r="C858" s="38" t="str">
        <f t="shared" si="237"/>
        <v/>
      </c>
      <c r="D858" s="38" t="str">
        <f t="shared" si="238"/>
        <v/>
      </c>
      <c r="E858" s="38" t="str">
        <f t="shared" si="239"/>
        <v/>
      </c>
      <c r="F858" s="38" t="str">
        <f t="shared" si="240"/>
        <v/>
      </c>
      <c r="G858" s="38" t="str">
        <f t="shared" ref="G858:G921" si="241">IF(A858="","", (G857+C858))</f>
        <v/>
      </c>
      <c r="H858" s="38" t="str">
        <f t="shared" ref="H858:H921" si="242">IF(A858="","",(H857+E858))</f>
        <v/>
      </c>
    </row>
    <row r="859" spans="1:8" x14ac:dyDescent="0.2">
      <c r="A859" t="str">
        <f t="shared" si="235"/>
        <v/>
      </c>
      <c r="B859" s="38" t="str">
        <f t="shared" si="236"/>
        <v/>
      </c>
      <c r="C859" s="38" t="str">
        <f t="shared" si="237"/>
        <v/>
      </c>
      <c r="D859" s="38" t="str">
        <f t="shared" si="238"/>
        <v/>
      </c>
      <c r="E859" s="38" t="str">
        <f t="shared" si="239"/>
        <v/>
      </c>
      <c r="F859" s="38" t="str">
        <f t="shared" si="240"/>
        <v/>
      </c>
      <c r="G859" s="38" t="str">
        <f t="shared" si="241"/>
        <v/>
      </c>
      <c r="H859" s="38" t="str">
        <f t="shared" si="242"/>
        <v/>
      </c>
    </row>
    <row r="860" spans="1:8" x14ac:dyDescent="0.2">
      <c r="A860" t="str">
        <f t="shared" si="235"/>
        <v/>
      </c>
      <c r="B860" s="38" t="str">
        <f t="shared" si="236"/>
        <v/>
      </c>
      <c r="C860" s="38" t="str">
        <f t="shared" si="237"/>
        <v/>
      </c>
      <c r="D860" s="38" t="str">
        <f t="shared" si="238"/>
        <v/>
      </c>
      <c r="E860" s="38" t="str">
        <f t="shared" si="239"/>
        <v/>
      </c>
      <c r="F860" s="38" t="str">
        <f t="shared" si="240"/>
        <v/>
      </c>
      <c r="G860" s="38" t="str">
        <f t="shared" si="241"/>
        <v/>
      </c>
      <c r="H860" s="38" t="str">
        <f t="shared" si="242"/>
        <v/>
      </c>
    </row>
    <row r="861" spans="1:8" x14ac:dyDescent="0.2">
      <c r="A861" t="str">
        <f t="shared" si="235"/>
        <v/>
      </c>
      <c r="B861" s="38" t="str">
        <f t="shared" si="236"/>
        <v/>
      </c>
      <c r="C861" s="38" t="str">
        <f t="shared" si="237"/>
        <v/>
      </c>
      <c r="D861" s="38" t="str">
        <f t="shared" si="238"/>
        <v/>
      </c>
      <c r="E861" s="38" t="str">
        <f t="shared" si="239"/>
        <v/>
      </c>
      <c r="F861" s="38" t="str">
        <f t="shared" si="240"/>
        <v/>
      </c>
      <c r="G861" s="38" t="str">
        <f t="shared" si="241"/>
        <v/>
      </c>
      <c r="H861" s="38" t="str">
        <f t="shared" si="242"/>
        <v/>
      </c>
    </row>
    <row r="862" spans="1:8" x14ac:dyDescent="0.2">
      <c r="A862" t="str">
        <f t="shared" si="235"/>
        <v/>
      </c>
      <c r="B862" s="38" t="str">
        <f t="shared" si="236"/>
        <v/>
      </c>
      <c r="C862" s="38" t="str">
        <f t="shared" si="237"/>
        <v/>
      </c>
      <c r="D862" s="38" t="str">
        <f t="shared" si="238"/>
        <v/>
      </c>
      <c r="E862" s="38" t="str">
        <f t="shared" si="239"/>
        <v/>
      </c>
      <c r="F862" s="38" t="str">
        <f t="shared" si="240"/>
        <v/>
      </c>
      <c r="G862" s="38" t="str">
        <f t="shared" si="241"/>
        <v/>
      </c>
      <c r="H862" s="38" t="str">
        <f t="shared" si="242"/>
        <v/>
      </c>
    </row>
    <row r="863" spans="1:8" x14ac:dyDescent="0.2">
      <c r="A863" t="str">
        <f t="shared" si="235"/>
        <v/>
      </c>
      <c r="B863" s="38" t="str">
        <f t="shared" si="236"/>
        <v/>
      </c>
      <c r="C863" s="38" t="str">
        <f t="shared" si="237"/>
        <v/>
      </c>
      <c r="D863" s="38" t="str">
        <f t="shared" si="238"/>
        <v/>
      </c>
      <c r="E863" s="38" t="str">
        <f t="shared" si="239"/>
        <v/>
      </c>
      <c r="F863" s="38" t="str">
        <f t="shared" si="240"/>
        <v/>
      </c>
      <c r="G863" s="38" t="str">
        <f t="shared" si="241"/>
        <v/>
      </c>
      <c r="H863" s="38" t="str">
        <f t="shared" si="242"/>
        <v/>
      </c>
    </row>
    <row r="864" spans="1:8" x14ac:dyDescent="0.2">
      <c r="A864" t="str">
        <f t="shared" si="235"/>
        <v/>
      </c>
      <c r="B864" s="38" t="str">
        <f t="shared" si="236"/>
        <v/>
      </c>
      <c r="C864" s="38" t="str">
        <f t="shared" si="237"/>
        <v/>
      </c>
      <c r="D864" s="38" t="str">
        <f t="shared" si="238"/>
        <v/>
      </c>
      <c r="E864" s="38" t="str">
        <f t="shared" si="239"/>
        <v/>
      </c>
      <c r="F864" s="38" t="str">
        <f t="shared" si="240"/>
        <v/>
      </c>
      <c r="G864" s="38" t="str">
        <f t="shared" si="241"/>
        <v/>
      </c>
      <c r="H864" s="38" t="str">
        <f t="shared" si="242"/>
        <v/>
      </c>
    </row>
    <row r="865" spans="1:8" x14ac:dyDescent="0.2">
      <c r="A865" t="str">
        <f t="shared" si="235"/>
        <v/>
      </c>
      <c r="B865" s="38" t="str">
        <f t="shared" si="236"/>
        <v/>
      </c>
      <c r="C865" s="38" t="str">
        <f t="shared" si="237"/>
        <v/>
      </c>
      <c r="D865" s="38" t="str">
        <f t="shared" si="238"/>
        <v/>
      </c>
      <c r="E865" s="38" t="str">
        <f t="shared" si="239"/>
        <v/>
      </c>
      <c r="F865" s="38" t="str">
        <f t="shared" si="240"/>
        <v/>
      </c>
      <c r="G865" s="38" t="str">
        <f t="shared" si="241"/>
        <v/>
      </c>
      <c r="H865" s="38" t="str">
        <f t="shared" si="242"/>
        <v/>
      </c>
    </row>
    <row r="866" spans="1:8" x14ac:dyDescent="0.2">
      <c r="A866" t="str">
        <f t="shared" si="235"/>
        <v/>
      </c>
      <c r="B866" s="38" t="str">
        <f t="shared" si="236"/>
        <v/>
      </c>
      <c r="C866" s="38" t="str">
        <f t="shared" si="237"/>
        <v/>
      </c>
      <c r="D866" s="38" t="str">
        <f t="shared" si="238"/>
        <v/>
      </c>
      <c r="E866" s="38" t="str">
        <f t="shared" si="239"/>
        <v/>
      </c>
      <c r="F866" s="38" t="str">
        <f t="shared" si="240"/>
        <v/>
      </c>
      <c r="G866" s="38" t="str">
        <f t="shared" si="241"/>
        <v/>
      </c>
      <c r="H866" s="38" t="str">
        <f t="shared" si="242"/>
        <v/>
      </c>
    </row>
    <row r="867" spans="1:8" x14ac:dyDescent="0.2">
      <c r="A867" t="str">
        <f t="shared" si="235"/>
        <v/>
      </c>
      <c r="B867" s="38" t="str">
        <f t="shared" si="236"/>
        <v/>
      </c>
      <c r="C867" s="38" t="str">
        <f t="shared" si="237"/>
        <v/>
      </c>
      <c r="D867" s="38" t="str">
        <f t="shared" si="238"/>
        <v/>
      </c>
      <c r="E867" s="38" t="str">
        <f t="shared" si="239"/>
        <v/>
      </c>
      <c r="F867" s="38" t="str">
        <f t="shared" si="240"/>
        <v/>
      </c>
      <c r="G867" s="38" t="str">
        <f t="shared" si="241"/>
        <v/>
      </c>
      <c r="H867" s="38" t="str">
        <f t="shared" si="242"/>
        <v/>
      </c>
    </row>
    <row r="868" spans="1:8" x14ac:dyDescent="0.2">
      <c r="A868" t="str">
        <f t="shared" si="235"/>
        <v/>
      </c>
      <c r="B868" s="38" t="str">
        <f t="shared" si="236"/>
        <v/>
      </c>
      <c r="C868" s="38" t="str">
        <f t="shared" si="237"/>
        <v/>
      </c>
      <c r="D868" s="38" t="str">
        <f t="shared" si="238"/>
        <v/>
      </c>
      <c r="E868" s="38" t="str">
        <f t="shared" si="239"/>
        <v/>
      </c>
      <c r="F868" s="38" t="str">
        <f t="shared" si="240"/>
        <v/>
      </c>
      <c r="G868" s="38" t="str">
        <f t="shared" si="241"/>
        <v/>
      </c>
      <c r="H868" s="38" t="str">
        <f t="shared" si="242"/>
        <v/>
      </c>
    </row>
    <row r="869" spans="1:8" x14ac:dyDescent="0.2">
      <c r="A869" t="str">
        <f t="shared" si="235"/>
        <v/>
      </c>
      <c r="B869" s="38" t="str">
        <f t="shared" si="236"/>
        <v/>
      </c>
      <c r="C869" s="38" t="str">
        <f t="shared" si="237"/>
        <v/>
      </c>
      <c r="D869" s="38" t="str">
        <f t="shared" si="238"/>
        <v/>
      </c>
      <c r="E869" s="38" t="str">
        <f t="shared" si="239"/>
        <v/>
      </c>
      <c r="F869" s="38" t="str">
        <f t="shared" si="240"/>
        <v/>
      </c>
      <c r="G869" s="38" t="str">
        <f t="shared" si="241"/>
        <v/>
      </c>
      <c r="H869" s="38" t="str">
        <f t="shared" si="242"/>
        <v/>
      </c>
    </row>
    <row r="870" spans="1:8" x14ac:dyDescent="0.2">
      <c r="A870" t="str">
        <f t="shared" si="235"/>
        <v/>
      </c>
      <c r="B870" s="38" t="str">
        <f t="shared" si="236"/>
        <v/>
      </c>
      <c r="C870" s="38" t="str">
        <f t="shared" si="237"/>
        <v/>
      </c>
      <c r="D870" s="38" t="str">
        <f t="shared" si="238"/>
        <v/>
      </c>
      <c r="E870" s="38" t="str">
        <f t="shared" si="239"/>
        <v/>
      </c>
      <c r="F870" s="38" t="str">
        <f t="shared" si="240"/>
        <v/>
      </c>
      <c r="G870" s="38" t="str">
        <f t="shared" si="241"/>
        <v/>
      </c>
      <c r="H870" s="38" t="str">
        <f t="shared" si="242"/>
        <v/>
      </c>
    </row>
    <row r="871" spans="1:8" x14ac:dyDescent="0.2">
      <c r="A871" t="str">
        <f t="shared" si="235"/>
        <v/>
      </c>
      <c r="B871" s="38" t="str">
        <f t="shared" si="236"/>
        <v/>
      </c>
      <c r="C871" s="38" t="str">
        <f t="shared" si="237"/>
        <v/>
      </c>
      <c r="D871" s="38" t="str">
        <f t="shared" si="238"/>
        <v/>
      </c>
      <c r="E871" s="38" t="str">
        <f t="shared" si="239"/>
        <v/>
      </c>
      <c r="F871" s="38" t="str">
        <f t="shared" si="240"/>
        <v/>
      </c>
      <c r="G871" s="38" t="str">
        <f t="shared" si="241"/>
        <v/>
      </c>
      <c r="H871" s="38" t="str">
        <f t="shared" si="242"/>
        <v/>
      </c>
    </row>
    <row r="872" spans="1:8" x14ac:dyDescent="0.2">
      <c r="A872" t="str">
        <f t="shared" si="235"/>
        <v/>
      </c>
      <c r="B872" s="38" t="str">
        <f t="shared" si="236"/>
        <v/>
      </c>
      <c r="C872" s="38" t="str">
        <f t="shared" si="237"/>
        <v/>
      </c>
      <c r="D872" s="38" t="str">
        <f t="shared" si="238"/>
        <v/>
      </c>
      <c r="E872" s="38" t="str">
        <f t="shared" si="239"/>
        <v/>
      </c>
      <c r="F872" s="38" t="str">
        <f t="shared" si="240"/>
        <v/>
      </c>
      <c r="G872" s="38" t="str">
        <f t="shared" si="241"/>
        <v/>
      </c>
      <c r="H872" s="38" t="str">
        <f t="shared" si="242"/>
        <v/>
      </c>
    </row>
    <row r="873" spans="1:8" x14ac:dyDescent="0.2">
      <c r="A873" t="str">
        <f t="shared" si="235"/>
        <v/>
      </c>
      <c r="B873" s="38" t="str">
        <f t="shared" si="236"/>
        <v/>
      </c>
      <c r="C873" s="38" t="str">
        <f t="shared" si="237"/>
        <v/>
      </c>
      <c r="D873" s="38" t="str">
        <f t="shared" si="238"/>
        <v/>
      </c>
      <c r="E873" s="38" t="str">
        <f t="shared" si="239"/>
        <v/>
      </c>
      <c r="F873" s="38" t="str">
        <f t="shared" si="240"/>
        <v/>
      </c>
      <c r="G873" s="38" t="str">
        <f t="shared" si="241"/>
        <v/>
      </c>
      <c r="H873" s="38" t="str">
        <f t="shared" si="242"/>
        <v/>
      </c>
    </row>
    <row r="874" spans="1:8" x14ac:dyDescent="0.2">
      <c r="A874" t="str">
        <f t="shared" si="235"/>
        <v/>
      </c>
      <c r="B874" s="38" t="str">
        <f t="shared" si="236"/>
        <v/>
      </c>
      <c r="C874" s="38" t="str">
        <f t="shared" si="237"/>
        <v/>
      </c>
      <c r="D874" s="38" t="str">
        <f t="shared" si="238"/>
        <v/>
      </c>
      <c r="E874" s="38" t="str">
        <f t="shared" si="239"/>
        <v/>
      </c>
      <c r="F874" s="38" t="str">
        <f t="shared" si="240"/>
        <v/>
      </c>
      <c r="G874" s="38" t="str">
        <f t="shared" si="241"/>
        <v/>
      </c>
      <c r="H874" s="38" t="str">
        <f t="shared" si="242"/>
        <v/>
      </c>
    </row>
    <row r="875" spans="1:8" x14ac:dyDescent="0.2">
      <c r="A875" t="str">
        <f t="shared" si="235"/>
        <v/>
      </c>
      <c r="B875" s="38" t="str">
        <f t="shared" si="236"/>
        <v/>
      </c>
      <c r="C875" s="38" t="str">
        <f t="shared" si="237"/>
        <v/>
      </c>
      <c r="D875" s="38" t="str">
        <f t="shared" si="238"/>
        <v/>
      </c>
      <c r="E875" s="38" t="str">
        <f t="shared" si="239"/>
        <v/>
      </c>
      <c r="F875" s="38" t="str">
        <f t="shared" si="240"/>
        <v/>
      </c>
      <c r="G875" s="38" t="str">
        <f t="shared" si="241"/>
        <v/>
      </c>
      <c r="H875" s="38" t="str">
        <f t="shared" si="242"/>
        <v/>
      </c>
    </row>
    <row r="876" spans="1:8" x14ac:dyDescent="0.2">
      <c r="A876" t="str">
        <f t="shared" si="235"/>
        <v/>
      </c>
      <c r="B876" s="38" t="str">
        <f t="shared" si="236"/>
        <v/>
      </c>
      <c r="C876" s="38" t="str">
        <f t="shared" si="237"/>
        <v/>
      </c>
      <c r="D876" s="38" t="str">
        <f t="shared" si="238"/>
        <v/>
      </c>
      <c r="E876" s="38" t="str">
        <f t="shared" si="239"/>
        <v/>
      </c>
      <c r="F876" s="38" t="str">
        <f t="shared" si="240"/>
        <v/>
      </c>
      <c r="G876" s="38" t="str">
        <f t="shared" si="241"/>
        <v/>
      </c>
      <c r="H876" s="38" t="str">
        <f t="shared" si="242"/>
        <v/>
      </c>
    </row>
    <row r="877" spans="1:8" x14ac:dyDescent="0.2">
      <c r="A877" t="str">
        <f t="shared" si="235"/>
        <v/>
      </c>
      <c r="B877" s="38" t="str">
        <f t="shared" si="236"/>
        <v/>
      </c>
      <c r="C877" s="38" t="str">
        <f t="shared" si="237"/>
        <v/>
      </c>
      <c r="D877" s="38" t="str">
        <f t="shared" si="238"/>
        <v/>
      </c>
      <c r="E877" s="38" t="str">
        <f t="shared" si="239"/>
        <v/>
      </c>
      <c r="F877" s="38" t="str">
        <f t="shared" si="240"/>
        <v/>
      </c>
      <c r="G877" s="38" t="str">
        <f t="shared" si="241"/>
        <v/>
      </c>
      <c r="H877" s="38" t="str">
        <f t="shared" si="242"/>
        <v/>
      </c>
    </row>
    <row r="878" spans="1:8" x14ac:dyDescent="0.2">
      <c r="A878" t="str">
        <f t="shared" si="235"/>
        <v/>
      </c>
      <c r="B878" s="38" t="str">
        <f t="shared" si="236"/>
        <v/>
      </c>
      <c r="C878" s="38" t="str">
        <f t="shared" si="237"/>
        <v/>
      </c>
      <c r="D878" s="38" t="str">
        <f t="shared" si="238"/>
        <v/>
      </c>
      <c r="E878" s="38" t="str">
        <f t="shared" si="239"/>
        <v/>
      </c>
      <c r="F878" s="38" t="str">
        <f t="shared" si="240"/>
        <v/>
      </c>
      <c r="G878" s="38" t="str">
        <f t="shared" si="241"/>
        <v/>
      </c>
      <c r="H878" s="38" t="str">
        <f t="shared" si="242"/>
        <v/>
      </c>
    </row>
    <row r="879" spans="1:8" x14ac:dyDescent="0.2">
      <c r="A879" t="str">
        <f t="shared" si="235"/>
        <v/>
      </c>
      <c r="B879" s="38" t="str">
        <f t="shared" si="236"/>
        <v/>
      </c>
      <c r="C879" s="38" t="str">
        <f t="shared" si="237"/>
        <v/>
      </c>
      <c r="D879" s="38" t="str">
        <f t="shared" si="238"/>
        <v/>
      </c>
      <c r="E879" s="38" t="str">
        <f t="shared" si="239"/>
        <v/>
      </c>
      <c r="F879" s="38" t="str">
        <f t="shared" si="240"/>
        <v/>
      </c>
      <c r="G879" s="38" t="str">
        <f t="shared" si="241"/>
        <v/>
      </c>
      <c r="H879" s="38" t="str">
        <f t="shared" si="242"/>
        <v/>
      </c>
    </row>
    <row r="880" spans="1:8" x14ac:dyDescent="0.2">
      <c r="A880" t="str">
        <f t="shared" si="235"/>
        <v/>
      </c>
      <c r="B880" s="38" t="str">
        <f t="shared" si="236"/>
        <v/>
      </c>
      <c r="C880" s="38" t="str">
        <f t="shared" si="237"/>
        <v/>
      </c>
      <c r="D880" s="38" t="str">
        <f t="shared" si="238"/>
        <v/>
      </c>
      <c r="E880" s="38" t="str">
        <f t="shared" si="239"/>
        <v/>
      </c>
      <c r="F880" s="38" t="str">
        <f t="shared" si="240"/>
        <v/>
      </c>
      <c r="G880" s="38" t="str">
        <f t="shared" si="241"/>
        <v/>
      </c>
      <c r="H880" s="38" t="str">
        <f t="shared" si="242"/>
        <v/>
      </c>
    </row>
    <row r="881" spans="1:8" x14ac:dyDescent="0.2">
      <c r="A881" t="str">
        <f t="shared" si="235"/>
        <v/>
      </c>
      <c r="B881" s="38" t="str">
        <f t="shared" si="236"/>
        <v/>
      </c>
      <c r="C881" s="38" t="str">
        <f t="shared" si="237"/>
        <v/>
      </c>
      <c r="D881" s="38" t="str">
        <f t="shared" si="238"/>
        <v/>
      </c>
      <c r="E881" s="38" t="str">
        <f t="shared" si="239"/>
        <v/>
      </c>
      <c r="F881" s="38" t="str">
        <f t="shared" si="240"/>
        <v/>
      </c>
      <c r="G881" s="38" t="str">
        <f t="shared" si="241"/>
        <v/>
      </c>
      <c r="H881" s="38" t="str">
        <f t="shared" si="242"/>
        <v/>
      </c>
    </row>
    <row r="882" spans="1:8" x14ac:dyDescent="0.2">
      <c r="A882" t="str">
        <f t="shared" si="235"/>
        <v/>
      </c>
      <c r="B882" s="38" t="str">
        <f t="shared" si="236"/>
        <v/>
      </c>
      <c r="C882" s="38" t="str">
        <f t="shared" si="237"/>
        <v/>
      </c>
      <c r="D882" s="38" t="str">
        <f t="shared" si="238"/>
        <v/>
      </c>
      <c r="E882" s="38" t="str">
        <f t="shared" si="239"/>
        <v/>
      </c>
      <c r="F882" s="38" t="str">
        <f t="shared" si="240"/>
        <v/>
      </c>
      <c r="G882" s="38" t="str">
        <f t="shared" si="241"/>
        <v/>
      </c>
      <c r="H882" s="38" t="str">
        <f t="shared" si="242"/>
        <v/>
      </c>
    </row>
    <row r="883" spans="1:8" x14ac:dyDescent="0.2">
      <c r="A883" t="str">
        <f t="shared" si="235"/>
        <v/>
      </c>
      <c r="B883" s="38" t="str">
        <f t="shared" si="236"/>
        <v/>
      </c>
      <c r="C883" s="38" t="str">
        <f t="shared" si="237"/>
        <v/>
      </c>
      <c r="D883" s="38" t="str">
        <f t="shared" si="238"/>
        <v/>
      </c>
      <c r="E883" s="38" t="str">
        <f t="shared" si="239"/>
        <v/>
      </c>
      <c r="F883" s="38" t="str">
        <f t="shared" si="240"/>
        <v/>
      </c>
      <c r="G883" s="38" t="str">
        <f t="shared" si="241"/>
        <v/>
      </c>
      <c r="H883" s="38" t="str">
        <f t="shared" si="242"/>
        <v/>
      </c>
    </row>
    <row r="884" spans="1:8" x14ac:dyDescent="0.2">
      <c r="A884" t="str">
        <f t="shared" si="235"/>
        <v/>
      </c>
      <c r="B884" s="38" t="str">
        <f t="shared" si="236"/>
        <v/>
      </c>
      <c r="C884" s="38" t="str">
        <f t="shared" si="237"/>
        <v/>
      </c>
      <c r="D884" s="38" t="str">
        <f t="shared" si="238"/>
        <v/>
      </c>
      <c r="E884" s="38" t="str">
        <f t="shared" si="239"/>
        <v/>
      </c>
      <c r="F884" s="38" t="str">
        <f t="shared" si="240"/>
        <v/>
      </c>
      <c r="G884" s="38" t="str">
        <f t="shared" si="241"/>
        <v/>
      </c>
      <c r="H884" s="38" t="str">
        <f t="shared" si="242"/>
        <v/>
      </c>
    </row>
    <row r="885" spans="1:8" x14ac:dyDescent="0.2">
      <c r="A885" t="str">
        <f t="shared" si="235"/>
        <v/>
      </c>
      <c r="B885" s="38" t="str">
        <f t="shared" si="236"/>
        <v/>
      </c>
      <c r="C885" s="38" t="str">
        <f t="shared" si="237"/>
        <v/>
      </c>
      <c r="D885" s="38" t="str">
        <f t="shared" si="238"/>
        <v/>
      </c>
      <c r="E885" s="38" t="str">
        <f t="shared" si="239"/>
        <v/>
      </c>
      <c r="F885" s="38" t="str">
        <f t="shared" si="240"/>
        <v/>
      </c>
      <c r="G885" s="38" t="str">
        <f t="shared" si="241"/>
        <v/>
      </c>
      <c r="H885" s="38" t="str">
        <f t="shared" si="242"/>
        <v/>
      </c>
    </row>
    <row r="886" spans="1:8" x14ac:dyDescent="0.2">
      <c r="A886" t="str">
        <f t="shared" si="235"/>
        <v/>
      </c>
      <c r="B886" s="38" t="str">
        <f t="shared" si="236"/>
        <v/>
      </c>
      <c r="C886" s="38" t="str">
        <f t="shared" si="237"/>
        <v/>
      </c>
      <c r="D886" s="38" t="str">
        <f t="shared" si="238"/>
        <v/>
      </c>
      <c r="E886" s="38" t="str">
        <f t="shared" si="239"/>
        <v/>
      </c>
      <c r="F886" s="38" t="str">
        <f t="shared" si="240"/>
        <v/>
      </c>
      <c r="G886" s="38" t="str">
        <f t="shared" si="241"/>
        <v/>
      </c>
      <c r="H886" s="38" t="str">
        <f t="shared" si="242"/>
        <v/>
      </c>
    </row>
    <row r="887" spans="1:8" x14ac:dyDescent="0.2">
      <c r="A887" t="str">
        <f t="shared" si="235"/>
        <v/>
      </c>
      <c r="B887" s="38" t="str">
        <f t="shared" si="236"/>
        <v/>
      </c>
      <c r="C887" s="38" t="str">
        <f t="shared" si="237"/>
        <v/>
      </c>
      <c r="D887" s="38" t="str">
        <f t="shared" si="238"/>
        <v/>
      </c>
      <c r="E887" s="38" t="str">
        <f t="shared" si="239"/>
        <v/>
      </c>
      <c r="F887" s="38" t="str">
        <f t="shared" si="240"/>
        <v/>
      </c>
      <c r="G887" s="38" t="str">
        <f t="shared" si="241"/>
        <v/>
      </c>
      <c r="H887" s="38" t="str">
        <f t="shared" si="242"/>
        <v/>
      </c>
    </row>
    <row r="888" spans="1:8" x14ac:dyDescent="0.2">
      <c r="A888" t="str">
        <f t="shared" si="235"/>
        <v/>
      </c>
      <c r="B888" s="38" t="str">
        <f t="shared" si="236"/>
        <v/>
      </c>
      <c r="C888" s="38" t="str">
        <f t="shared" si="237"/>
        <v/>
      </c>
      <c r="D888" s="38" t="str">
        <f t="shared" si="238"/>
        <v/>
      </c>
      <c r="E888" s="38" t="str">
        <f t="shared" si="239"/>
        <v/>
      </c>
      <c r="F888" s="38" t="str">
        <f t="shared" si="240"/>
        <v/>
      </c>
      <c r="G888" s="38" t="str">
        <f t="shared" si="241"/>
        <v/>
      </c>
      <c r="H888" s="38" t="str">
        <f t="shared" si="242"/>
        <v/>
      </c>
    </row>
    <row r="889" spans="1:8" x14ac:dyDescent="0.2">
      <c r="A889" t="str">
        <f t="shared" si="235"/>
        <v/>
      </c>
      <c r="B889" s="38"/>
      <c r="C889" s="38" t="str">
        <f t="shared" si="237"/>
        <v/>
      </c>
      <c r="D889" s="38" t="str">
        <f t="shared" si="238"/>
        <v/>
      </c>
      <c r="E889" s="38" t="str">
        <f t="shared" si="239"/>
        <v/>
      </c>
      <c r="F889" s="38" t="str">
        <f t="shared" si="240"/>
        <v/>
      </c>
      <c r="G889" s="38" t="str">
        <f t="shared" si="241"/>
        <v/>
      </c>
      <c r="H889" s="38" t="str">
        <f t="shared" si="242"/>
        <v/>
      </c>
    </row>
    <row r="890" spans="1:8" x14ac:dyDescent="0.2">
      <c r="A890" t="str">
        <f t="shared" si="235"/>
        <v/>
      </c>
      <c r="B890" s="38"/>
      <c r="C890" s="38" t="str">
        <f t="shared" si="237"/>
        <v/>
      </c>
      <c r="D890" s="38" t="str">
        <f t="shared" si="238"/>
        <v/>
      </c>
      <c r="E890" s="38" t="str">
        <f t="shared" si="239"/>
        <v/>
      </c>
      <c r="F890" s="38" t="str">
        <f t="shared" si="240"/>
        <v/>
      </c>
      <c r="G890" s="38" t="str">
        <f t="shared" si="241"/>
        <v/>
      </c>
      <c r="H890" s="38" t="str">
        <f t="shared" si="242"/>
        <v/>
      </c>
    </row>
    <row r="891" spans="1:8" x14ac:dyDescent="0.2">
      <c r="A891" t="str">
        <f t="shared" si="235"/>
        <v/>
      </c>
      <c r="B891" s="38"/>
      <c r="C891" s="38" t="str">
        <f t="shared" si="237"/>
        <v/>
      </c>
      <c r="D891" s="38" t="str">
        <f t="shared" si="238"/>
        <v/>
      </c>
      <c r="E891" s="38" t="str">
        <f t="shared" si="239"/>
        <v/>
      </c>
      <c r="F891" s="38" t="str">
        <f t="shared" si="240"/>
        <v/>
      </c>
      <c r="G891" s="38" t="str">
        <f t="shared" si="241"/>
        <v/>
      </c>
      <c r="H891" s="38" t="str">
        <f t="shared" si="242"/>
        <v/>
      </c>
    </row>
    <row r="892" spans="1:8" x14ac:dyDescent="0.2">
      <c r="A892" t="str">
        <f t="shared" si="235"/>
        <v/>
      </c>
      <c r="B892" s="38"/>
      <c r="C892" s="38" t="str">
        <f t="shared" si="237"/>
        <v/>
      </c>
      <c r="D892" s="38" t="str">
        <f t="shared" si="238"/>
        <v/>
      </c>
      <c r="E892" s="38" t="str">
        <f t="shared" si="239"/>
        <v/>
      </c>
      <c r="F892" s="38" t="str">
        <f t="shared" si="240"/>
        <v/>
      </c>
      <c r="G892" s="38" t="str">
        <f t="shared" si="241"/>
        <v/>
      </c>
      <c r="H892" s="38" t="str">
        <f t="shared" si="242"/>
        <v/>
      </c>
    </row>
    <row r="893" spans="1:8" x14ac:dyDescent="0.2">
      <c r="A893" t="str">
        <f t="shared" si="235"/>
        <v/>
      </c>
      <c r="B893" s="38"/>
      <c r="C893" s="38" t="str">
        <f t="shared" si="237"/>
        <v/>
      </c>
      <c r="D893" s="38" t="str">
        <f t="shared" si="238"/>
        <v/>
      </c>
      <c r="E893" s="38" t="str">
        <f t="shared" si="239"/>
        <v/>
      </c>
      <c r="F893" s="38" t="str">
        <f t="shared" si="240"/>
        <v/>
      </c>
      <c r="G893" s="38" t="str">
        <f t="shared" si="241"/>
        <v/>
      </c>
      <c r="H893" s="38" t="str">
        <f t="shared" si="242"/>
        <v/>
      </c>
    </row>
    <row r="894" spans="1:8" x14ac:dyDescent="0.2">
      <c r="A894" t="str">
        <f t="shared" si="235"/>
        <v/>
      </c>
      <c r="B894" s="38"/>
      <c r="C894" s="38" t="str">
        <f t="shared" si="237"/>
        <v/>
      </c>
      <c r="D894" s="38" t="str">
        <f t="shared" si="238"/>
        <v/>
      </c>
      <c r="E894" s="38" t="str">
        <f t="shared" si="239"/>
        <v/>
      </c>
      <c r="F894" s="38" t="str">
        <f t="shared" si="240"/>
        <v/>
      </c>
      <c r="G894" s="38" t="str">
        <f t="shared" si="241"/>
        <v/>
      </c>
      <c r="H894" s="38" t="str">
        <f t="shared" si="242"/>
        <v/>
      </c>
    </row>
    <row r="895" spans="1:8" x14ac:dyDescent="0.2">
      <c r="A895" t="str">
        <f t="shared" si="235"/>
        <v/>
      </c>
      <c r="B895" s="38"/>
      <c r="C895" s="38" t="str">
        <f t="shared" si="237"/>
        <v/>
      </c>
      <c r="D895" s="38" t="str">
        <f t="shared" si="238"/>
        <v/>
      </c>
      <c r="E895" s="38" t="str">
        <f t="shared" si="239"/>
        <v/>
      </c>
      <c r="F895" s="38" t="str">
        <f t="shared" si="240"/>
        <v/>
      </c>
      <c r="G895" s="38" t="str">
        <f t="shared" si="241"/>
        <v/>
      </c>
      <c r="H895" s="38" t="str">
        <f t="shared" si="242"/>
        <v/>
      </c>
    </row>
    <row r="896" spans="1:8" x14ac:dyDescent="0.2">
      <c r="A896" t="str">
        <f t="shared" si="235"/>
        <v/>
      </c>
      <c r="B896" s="38"/>
      <c r="C896" s="38" t="str">
        <f t="shared" si="237"/>
        <v/>
      </c>
      <c r="D896" s="38" t="str">
        <f t="shared" si="238"/>
        <v/>
      </c>
      <c r="E896" s="38" t="str">
        <f t="shared" si="239"/>
        <v/>
      </c>
      <c r="F896" s="38" t="str">
        <f t="shared" si="240"/>
        <v/>
      </c>
      <c r="G896" s="38" t="str">
        <f t="shared" si="241"/>
        <v/>
      </c>
      <c r="H896" s="38" t="str">
        <f t="shared" si="242"/>
        <v/>
      </c>
    </row>
    <row r="897" spans="1:8" x14ac:dyDescent="0.2">
      <c r="A897" t="str">
        <f t="shared" si="235"/>
        <v/>
      </c>
      <c r="B897" s="38"/>
      <c r="C897" s="38" t="str">
        <f t="shared" si="237"/>
        <v/>
      </c>
      <c r="D897" s="38" t="str">
        <f t="shared" si="238"/>
        <v/>
      </c>
      <c r="E897" s="38" t="str">
        <f t="shared" si="239"/>
        <v/>
      </c>
      <c r="F897" s="38" t="str">
        <f t="shared" si="240"/>
        <v/>
      </c>
      <c r="G897" s="38" t="str">
        <f t="shared" si="241"/>
        <v/>
      </c>
      <c r="H897" s="38" t="str">
        <f t="shared" si="242"/>
        <v/>
      </c>
    </row>
    <row r="898" spans="1:8" x14ac:dyDescent="0.2">
      <c r="A898" t="str">
        <f t="shared" si="235"/>
        <v/>
      </c>
      <c r="B898" s="38"/>
      <c r="C898" s="38" t="str">
        <f t="shared" si="237"/>
        <v/>
      </c>
      <c r="D898" s="38" t="str">
        <f t="shared" si="238"/>
        <v/>
      </c>
      <c r="E898" s="38" t="str">
        <f t="shared" si="239"/>
        <v/>
      </c>
      <c r="F898" s="38" t="str">
        <f t="shared" si="240"/>
        <v/>
      </c>
      <c r="G898" s="38" t="str">
        <f t="shared" si="241"/>
        <v/>
      </c>
      <c r="H898" s="38" t="str">
        <f t="shared" si="242"/>
        <v/>
      </c>
    </row>
    <row r="899" spans="1:8" x14ac:dyDescent="0.2">
      <c r="A899" t="str">
        <f t="shared" si="235"/>
        <v/>
      </c>
      <c r="B899" s="38"/>
      <c r="C899" s="38" t="str">
        <f t="shared" si="237"/>
        <v/>
      </c>
      <c r="D899" s="38" t="str">
        <f t="shared" si="238"/>
        <v/>
      </c>
      <c r="E899" s="38" t="str">
        <f t="shared" si="239"/>
        <v/>
      </c>
      <c r="F899" s="38" t="str">
        <f t="shared" si="240"/>
        <v/>
      </c>
      <c r="G899" s="38" t="str">
        <f t="shared" si="241"/>
        <v/>
      </c>
      <c r="H899" s="38" t="str">
        <f t="shared" si="242"/>
        <v/>
      </c>
    </row>
    <row r="900" spans="1:8" x14ac:dyDescent="0.2">
      <c r="A900" t="str">
        <f t="shared" si="235"/>
        <v/>
      </c>
      <c r="B900" s="38"/>
      <c r="C900" s="38" t="str">
        <f t="shared" si="237"/>
        <v/>
      </c>
      <c r="D900" s="38" t="str">
        <f t="shared" si="238"/>
        <v/>
      </c>
      <c r="E900" s="38" t="str">
        <f t="shared" si="239"/>
        <v/>
      </c>
      <c r="F900" s="38" t="str">
        <f t="shared" si="240"/>
        <v/>
      </c>
      <c r="G900" s="38" t="str">
        <f t="shared" si="241"/>
        <v/>
      </c>
      <c r="H900" s="38" t="str">
        <f t="shared" si="242"/>
        <v/>
      </c>
    </row>
    <row r="901" spans="1:8" x14ac:dyDescent="0.2">
      <c r="A901" t="str">
        <f t="shared" si="235"/>
        <v/>
      </c>
      <c r="B901" s="38"/>
      <c r="C901" s="38" t="str">
        <f t="shared" si="237"/>
        <v/>
      </c>
      <c r="D901" s="38" t="str">
        <f t="shared" si="238"/>
        <v/>
      </c>
      <c r="E901" s="38" t="str">
        <f t="shared" si="239"/>
        <v/>
      </c>
      <c r="F901" s="38" t="str">
        <f t="shared" si="240"/>
        <v/>
      </c>
      <c r="G901" s="38" t="str">
        <f t="shared" si="241"/>
        <v/>
      </c>
      <c r="H901" s="38" t="str">
        <f t="shared" si="242"/>
        <v/>
      </c>
    </row>
    <row r="902" spans="1:8" x14ac:dyDescent="0.2">
      <c r="A902" t="str">
        <f t="shared" si="235"/>
        <v/>
      </c>
      <c r="B902" s="38"/>
      <c r="C902" s="38" t="str">
        <f t="shared" si="237"/>
        <v/>
      </c>
      <c r="D902" s="38" t="str">
        <f t="shared" si="238"/>
        <v/>
      </c>
      <c r="E902" s="38" t="str">
        <f t="shared" si="239"/>
        <v/>
      </c>
      <c r="F902" s="38" t="str">
        <f t="shared" si="240"/>
        <v/>
      </c>
      <c r="G902" s="38" t="str">
        <f t="shared" si="241"/>
        <v/>
      </c>
      <c r="H902" s="38" t="str">
        <f t="shared" si="242"/>
        <v/>
      </c>
    </row>
    <row r="903" spans="1:8" x14ac:dyDescent="0.2">
      <c r="A903" t="str">
        <f t="shared" si="235"/>
        <v/>
      </c>
      <c r="B903" s="38"/>
      <c r="C903" s="38" t="str">
        <f t="shared" si="237"/>
        <v/>
      </c>
      <c r="D903" s="38" t="str">
        <f t="shared" si="238"/>
        <v/>
      </c>
      <c r="E903" s="38" t="str">
        <f t="shared" si="239"/>
        <v/>
      </c>
      <c r="F903" s="38" t="str">
        <f t="shared" si="240"/>
        <v/>
      </c>
      <c r="G903" s="38" t="str">
        <f t="shared" si="241"/>
        <v/>
      </c>
      <c r="H903" s="38" t="str">
        <f t="shared" si="242"/>
        <v/>
      </c>
    </row>
    <row r="904" spans="1:8" x14ac:dyDescent="0.2">
      <c r="A904" t="str">
        <f t="shared" si="235"/>
        <v/>
      </c>
      <c r="B904" s="38"/>
      <c r="C904" s="38" t="str">
        <f t="shared" si="237"/>
        <v/>
      </c>
      <c r="D904" s="38" t="str">
        <f t="shared" si="238"/>
        <v/>
      </c>
      <c r="E904" s="38" t="str">
        <f t="shared" si="239"/>
        <v/>
      </c>
      <c r="F904" s="38" t="str">
        <f t="shared" si="240"/>
        <v/>
      </c>
      <c r="G904" s="38" t="str">
        <f t="shared" si="241"/>
        <v/>
      </c>
      <c r="H904" s="38" t="str">
        <f t="shared" si="242"/>
        <v/>
      </c>
    </row>
    <row r="905" spans="1:8" x14ac:dyDescent="0.2">
      <c r="A905" t="str">
        <f t="shared" si="235"/>
        <v/>
      </c>
      <c r="B905" s="38"/>
      <c r="C905" s="38" t="str">
        <f t="shared" si="237"/>
        <v/>
      </c>
      <c r="D905" s="38" t="str">
        <f t="shared" si="238"/>
        <v/>
      </c>
      <c r="E905" s="38" t="str">
        <f t="shared" si="239"/>
        <v/>
      </c>
      <c r="F905" s="38" t="str">
        <f t="shared" si="240"/>
        <v/>
      </c>
      <c r="G905" s="38" t="str">
        <f t="shared" si="241"/>
        <v/>
      </c>
      <c r="H905" s="38" t="str">
        <f t="shared" si="242"/>
        <v/>
      </c>
    </row>
    <row r="906" spans="1:8" x14ac:dyDescent="0.2">
      <c r="A906" t="str">
        <f t="shared" si="235"/>
        <v/>
      </c>
      <c r="B906" s="38"/>
      <c r="C906" s="38" t="str">
        <f t="shared" si="237"/>
        <v/>
      </c>
      <c r="D906" s="38" t="str">
        <f t="shared" si="238"/>
        <v/>
      </c>
      <c r="E906" s="38" t="str">
        <f t="shared" si="239"/>
        <v/>
      </c>
      <c r="F906" s="38" t="str">
        <f t="shared" si="240"/>
        <v/>
      </c>
      <c r="G906" s="38" t="str">
        <f t="shared" si="241"/>
        <v/>
      </c>
      <c r="H906" s="38" t="str">
        <f t="shared" si="242"/>
        <v/>
      </c>
    </row>
    <row r="907" spans="1:8" x14ac:dyDescent="0.2">
      <c r="A907" t="str">
        <f t="shared" si="235"/>
        <v/>
      </c>
      <c r="B907" s="38"/>
      <c r="C907" s="38" t="str">
        <f t="shared" si="237"/>
        <v/>
      </c>
      <c r="D907" s="38" t="str">
        <f t="shared" si="238"/>
        <v/>
      </c>
      <c r="E907" s="38" t="str">
        <f t="shared" si="239"/>
        <v/>
      </c>
      <c r="F907" s="38" t="str">
        <f t="shared" si="240"/>
        <v/>
      </c>
      <c r="G907" s="38" t="str">
        <f t="shared" si="241"/>
        <v/>
      </c>
      <c r="H907" s="38" t="str">
        <f t="shared" si="242"/>
        <v/>
      </c>
    </row>
    <row r="908" spans="1:8" x14ac:dyDescent="0.2">
      <c r="A908" t="str">
        <f t="shared" si="235"/>
        <v/>
      </c>
      <c r="B908" s="38"/>
      <c r="C908" s="38" t="str">
        <f t="shared" si="237"/>
        <v/>
      </c>
      <c r="D908" s="38" t="str">
        <f t="shared" si="238"/>
        <v/>
      </c>
      <c r="E908" s="38" t="str">
        <f t="shared" si="239"/>
        <v/>
      </c>
      <c r="F908" s="38" t="str">
        <f t="shared" si="240"/>
        <v/>
      </c>
      <c r="G908" s="38" t="str">
        <f t="shared" si="241"/>
        <v/>
      </c>
      <c r="H908" s="38" t="str">
        <f t="shared" si="242"/>
        <v/>
      </c>
    </row>
    <row r="909" spans="1:8" x14ac:dyDescent="0.2">
      <c r="A909" t="str">
        <f t="shared" si="235"/>
        <v/>
      </c>
      <c r="B909" s="38"/>
      <c r="C909" s="38" t="str">
        <f t="shared" si="237"/>
        <v/>
      </c>
      <c r="D909" s="38" t="str">
        <f t="shared" si="238"/>
        <v/>
      </c>
      <c r="E909" s="38" t="str">
        <f t="shared" si="239"/>
        <v/>
      </c>
      <c r="F909" s="38" t="str">
        <f t="shared" si="240"/>
        <v/>
      </c>
      <c r="G909" s="38" t="str">
        <f t="shared" si="241"/>
        <v/>
      </c>
      <c r="H909" s="38" t="str">
        <f t="shared" si="242"/>
        <v/>
      </c>
    </row>
    <row r="910" spans="1:8" x14ac:dyDescent="0.2">
      <c r="A910" t="str">
        <f t="shared" si="235"/>
        <v/>
      </c>
      <c r="B910" s="38"/>
      <c r="C910" s="38" t="str">
        <f t="shared" si="237"/>
        <v/>
      </c>
      <c r="D910" s="38" t="str">
        <f t="shared" si="238"/>
        <v/>
      </c>
      <c r="E910" s="38" t="str">
        <f t="shared" si="239"/>
        <v/>
      </c>
      <c r="F910" s="38" t="str">
        <f t="shared" si="240"/>
        <v/>
      </c>
      <c r="G910" s="38" t="str">
        <f t="shared" si="241"/>
        <v/>
      </c>
      <c r="H910" s="38" t="str">
        <f t="shared" si="242"/>
        <v/>
      </c>
    </row>
    <row r="911" spans="1:8" x14ac:dyDescent="0.2">
      <c r="A911" t="str">
        <f t="shared" si="235"/>
        <v/>
      </c>
      <c r="B911" s="38"/>
      <c r="C911" s="38" t="str">
        <f t="shared" si="237"/>
        <v/>
      </c>
      <c r="D911" s="38" t="str">
        <f t="shared" si="238"/>
        <v/>
      </c>
      <c r="E911" s="38" t="str">
        <f t="shared" si="239"/>
        <v/>
      </c>
      <c r="F911" s="38" t="str">
        <f t="shared" si="240"/>
        <v/>
      </c>
      <c r="G911" s="38" t="str">
        <f t="shared" si="241"/>
        <v/>
      </c>
      <c r="H911" s="38" t="str">
        <f t="shared" si="242"/>
        <v/>
      </c>
    </row>
    <row r="912" spans="1:8" x14ac:dyDescent="0.2">
      <c r="A912" t="str">
        <f t="shared" si="235"/>
        <v/>
      </c>
      <c r="B912" s="38"/>
      <c r="C912" s="38" t="str">
        <f t="shared" si="237"/>
        <v/>
      </c>
      <c r="D912" s="38" t="str">
        <f t="shared" si="238"/>
        <v/>
      </c>
      <c r="E912" s="38" t="str">
        <f t="shared" si="239"/>
        <v/>
      </c>
      <c r="F912" s="38" t="str">
        <f t="shared" si="240"/>
        <v/>
      </c>
      <c r="G912" s="38" t="str">
        <f t="shared" si="241"/>
        <v/>
      </c>
      <c r="H912" s="38" t="str">
        <f t="shared" si="242"/>
        <v/>
      </c>
    </row>
    <row r="913" spans="1:8" x14ac:dyDescent="0.2">
      <c r="A913" t="str">
        <f t="shared" si="235"/>
        <v/>
      </c>
      <c r="B913" s="38"/>
      <c r="C913" s="38" t="str">
        <f t="shared" si="237"/>
        <v/>
      </c>
      <c r="D913" s="38" t="str">
        <f t="shared" si="238"/>
        <v/>
      </c>
      <c r="E913" s="38" t="str">
        <f t="shared" si="239"/>
        <v/>
      </c>
      <c r="F913" s="38" t="str">
        <f t="shared" si="240"/>
        <v/>
      </c>
      <c r="G913" s="38" t="str">
        <f t="shared" si="241"/>
        <v/>
      </c>
      <c r="H913" s="38" t="str">
        <f t="shared" si="242"/>
        <v/>
      </c>
    </row>
    <row r="914" spans="1:8" x14ac:dyDescent="0.2">
      <c r="A914" t="str">
        <f t="shared" si="235"/>
        <v/>
      </c>
      <c r="B914" s="38"/>
      <c r="C914" s="38" t="str">
        <f t="shared" si="237"/>
        <v/>
      </c>
      <c r="D914" s="38" t="str">
        <f t="shared" si="238"/>
        <v/>
      </c>
      <c r="E914" s="38" t="str">
        <f t="shared" si="239"/>
        <v/>
      </c>
      <c r="F914" s="38" t="str">
        <f t="shared" si="240"/>
        <v/>
      </c>
      <c r="G914" s="38" t="str">
        <f t="shared" si="241"/>
        <v/>
      </c>
      <c r="H914" s="38" t="str">
        <f t="shared" si="242"/>
        <v/>
      </c>
    </row>
    <row r="915" spans="1:8" x14ac:dyDescent="0.2">
      <c r="A915" t="str">
        <f t="shared" si="235"/>
        <v/>
      </c>
      <c r="B915" s="38"/>
      <c r="C915" s="38" t="str">
        <f t="shared" si="237"/>
        <v/>
      </c>
      <c r="D915" s="38" t="str">
        <f t="shared" si="238"/>
        <v/>
      </c>
      <c r="E915" s="38" t="str">
        <f t="shared" si="239"/>
        <v/>
      </c>
      <c r="F915" s="38" t="str">
        <f t="shared" si="240"/>
        <v/>
      </c>
      <c r="G915" s="38" t="str">
        <f t="shared" si="241"/>
        <v/>
      </c>
      <c r="H915" s="38" t="str">
        <f t="shared" si="242"/>
        <v/>
      </c>
    </row>
    <row r="916" spans="1:8" x14ac:dyDescent="0.2">
      <c r="A916" t="str">
        <f t="shared" si="235"/>
        <v/>
      </c>
      <c r="B916" s="38"/>
      <c r="C916" s="38" t="str">
        <f t="shared" si="237"/>
        <v/>
      </c>
      <c r="D916" s="38" t="str">
        <f t="shared" si="238"/>
        <v/>
      </c>
      <c r="E916" s="38" t="str">
        <f t="shared" si="239"/>
        <v/>
      </c>
      <c r="F916" s="38" t="str">
        <f t="shared" si="240"/>
        <v/>
      </c>
      <c r="G916" s="38" t="str">
        <f t="shared" si="241"/>
        <v/>
      </c>
      <c r="H916" s="38" t="str">
        <f t="shared" si="242"/>
        <v/>
      </c>
    </row>
    <row r="917" spans="1:8" x14ac:dyDescent="0.2">
      <c r="A917" t="str">
        <f t="shared" si="235"/>
        <v/>
      </c>
      <c r="B917" s="38"/>
      <c r="C917" s="38" t="str">
        <f t="shared" si="237"/>
        <v/>
      </c>
      <c r="D917" s="38" t="str">
        <f t="shared" si="238"/>
        <v/>
      </c>
      <c r="E917" s="38" t="str">
        <f t="shared" si="239"/>
        <v/>
      </c>
      <c r="F917" s="38" t="str">
        <f t="shared" si="240"/>
        <v/>
      </c>
      <c r="G917" s="38" t="str">
        <f t="shared" si="241"/>
        <v/>
      </c>
      <c r="H917" s="38" t="str">
        <f t="shared" si="242"/>
        <v/>
      </c>
    </row>
    <row r="918" spans="1:8" x14ac:dyDescent="0.2">
      <c r="A918" t="str">
        <f t="shared" si="235"/>
        <v/>
      </c>
      <c r="B918" s="38"/>
      <c r="C918" s="38" t="str">
        <f t="shared" si="237"/>
        <v/>
      </c>
      <c r="D918" s="38" t="str">
        <f t="shared" si="238"/>
        <v/>
      </c>
      <c r="E918" s="38" t="str">
        <f t="shared" si="239"/>
        <v/>
      </c>
      <c r="F918" s="38" t="str">
        <f t="shared" si="240"/>
        <v/>
      </c>
      <c r="G918" s="38" t="str">
        <f t="shared" si="241"/>
        <v/>
      </c>
      <c r="H918" s="38" t="str">
        <f t="shared" si="242"/>
        <v/>
      </c>
    </row>
    <row r="919" spans="1:8" x14ac:dyDescent="0.2">
      <c r="A919" t="str">
        <f t="shared" si="235"/>
        <v/>
      </c>
      <c r="B919" s="38"/>
      <c r="C919" s="38" t="str">
        <f t="shared" si="237"/>
        <v/>
      </c>
      <c r="D919" s="38" t="str">
        <f t="shared" si="238"/>
        <v/>
      </c>
      <c r="E919" s="38" t="str">
        <f t="shared" si="239"/>
        <v/>
      </c>
      <c r="F919" s="38" t="str">
        <f t="shared" si="240"/>
        <v/>
      </c>
      <c r="G919" s="38" t="str">
        <f t="shared" si="241"/>
        <v/>
      </c>
      <c r="H919" s="38" t="str">
        <f t="shared" si="242"/>
        <v/>
      </c>
    </row>
    <row r="920" spans="1:8" x14ac:dyDescent="0.2">
      <c r="A920" t="str">
        <f t="shared" ref="A920:A983" si="243">IF(A919&lt;($B$6*$B$7),A919+1,"")</f>
        <v/>
      </c>
      <c r="B920" s="38"/>
      <c r="C920" s="38" t="str">
        <f t="shared" ref="C920:C983" si="244">IF(A920="","",(B920*$B$8))</f>
        <v/>
      </c>
      <c r="D920" s="38" t="str">
        <f t="shared" ref="D920:D983" si="245">IF(A920="","", $B$5)</f>
        <v/>
      </c>
      <c r="E920" s="38" t="str">
        <f t="shared" ref="E920:E983" si="246">IF(D920="","",(D920-C920))</f>
        <v/>
      </c>
      <c r="F920" s="38" t="str">
        <f t="shared" ref="F920:F983" si="247">IF(A920="","", B920-E920)</f>
        <v/>
      </c>
      <c r="G920" s="38" t="str">
        <f t="shared" si="241"/>
        <v/>
      </c>
      <c r="H920" s="38" t="str">
        <f t="shared" si="242"/>
        <v/>
      </c>
    </row>
    <row r="921" spans="1:8" x14ac:dyDescent="0.2">
      <c r="A921" t="str">
        <f t="shared" si="243"/>
        <v/>
      </c>
      <c r="B921" s="38"/>
      <c r="C921" s="38" t="str">
        <f t="shared" si="244"/>
        <v/>
      </c>
      <c r="D921" s="38" t="str">
        <f t="shared" si="245"/>
        <v/>
      </c>
      <c r="E921" s="38" t="str">
        <f t="shared" si="246"/>
        <v/>
      </c>
      <c r="F921" s="38" t="str">
        <f t="shared" si="247"/>
        <v/>
      </c>
      <c r="G921" s="38" t="str">
        <f t="shared" si="241"/>
        <v/>
      </c>
      <c r="H921" s="38" t="str">
        <f t="shared" si="242"/>
        <v/>
      </c>
    </row>
    <row r="922" spans="1:8" x14ac:dyDescent="0.2">
      <c r="A922" t="str">
        <f t="shared" si="243"/>
        <v/>
      </c>
      <c r="B922" s="38"/>
      <c r="C922" s="38" t="str">
        <f t="shared" si="244"/>
        <v/>
      </c>
      <c r="D922" s="38" t="str">
        <f t="shared" si="245"/>
        <v/>
      </c>
      <c r="E922" s="38" t="str">
        <f t="shared" si="246"/>
        <v/>
      </c>
      <c r="F922" s="38" t="str">
        <f t="shared" si="247"/>
        <v/>
      </c>
      <c r="G922" s="38" t="str">
        <f t="shared" ref="G922:G985" si="248">IF(A922="","", (G921+C922))</f>
        <v/>
      </c>
      <c r="H922" s="38" t="str">
        <f t="shared" ref="H922:H985" si="249">IF(A922="","",(H921+E922))</f>
        <v/>
      </c>
    </row>
    <row r="923" spans="1:8" x14ac:dyDescent="0.2">
      <c r="A923" t="str">
        <f t="shared" si="243"/>
        <v/>
      </c>
      <c r="B923" s="38"/>
      <c r="C923" s="38" t="str">
        <f t="shared" si="244"/>
        <v/>
      </c>
      <c r="D923" s="38" t="str">
        <f t="shared" si="245"/>
        <v/>
      </c>
      <c r="E923" s="38" t="str">
        <f t="shared" si="246"/>
        <v/>
      </c>
      <c r="F923" s="38" t="str">
        <f t="shared" si="247"/>
        <v/>
      </c>
      <c r="G923" s="38" t="str">
        <f t="shared" si="248"/>
        <v/>
      </c>
      <c r="H923" s="38" t="str">
        <f t="shared" si="249"/>
        <v/>
      </c>
    </row>
    <row r="924" spans="1:8" x14ac:dyDescent="0.2">
      <c r="A924" t="str">
        <f t="shared" si="243"/>
        <v/>
      </c>
      <c r="B924" s="38"/>
      <c r="C924" s="38" t="str">
        <f t="shared" si="244"/>
        <v/>
      </c>
      <c r="D924" s="38" t="str">
        <f t="shared" si="245"/>
        <v/>
      </c>
      <c r="E924" s="38" t="str">
        <f t="shared" si="246"/>
        <v/>
      </c>
      <c r="F924" s="38" t="str">
        <f t="shared" si="247"/>
        <v/>
      </c>
      <c r="G924" s="38" t="str">
        <f t="shared" si="248"/>
        <v/>
      </c>
      <c r="H924" s="38" t="str">
        <f t="shared" si="249"/>
        <v/>
      </c>
    </row>
    <row r="925" spans="1:8" x14ac:dyDescent="0.2">
      <c r="A925" t="str">
        <f t="shared" si="243"/>
        <v/>
      </c>
      <c r="B925" s="38"/>
      <c r="C925" s="38" t="str">
        <f t="shared" si="244"/>
        <v/>
      </c>
      <c r="D925" s="38" t="str">
        <f t="shared" si="245"/>
        <v/>
      </c>
      <c r="E925" s="38" t="str">
        <f t="shared" si="246"/>
        <v/>
      </c>
      <c r="F925" s="38" t="str">
        <f t="shared" si="247"/>
        <v/>
      </c>
      <c r="G925" s="38" t="str">
        <f t="shared" si="248"/>
        <v/>
      </c>
      <c r="H925" s="38" t="str">
        <f t="shared" si="249"/>
        <v/>
      </c>
    </row>
    <row r="926" spans="1:8" x14ac:dyDescent="0.2">
      <c r="A926" t="str">
        <f t="shared" si="243"/>
        <v/>
      </c>
      <c r="B926" s="38"/>
      <c r="C926" s="38" t="str">
        <f t="shared" si="244"/>
        <v/>
      </c>
      <c r="D926" s="38" t="str">
        <f t="shared" si="245"/>
        <v/>
      </c>
      <c r="E926" s="38" t="str">
        <f t="shared" si="246"/>
        <v/>
      </c>
      <c r="F926" s="38" t="str">
        <f t="shared" si="247"/>
        <v/>
      </c>
      <c r="G926" s="38" t="str">
        <f t="shared" si="248"/>
        <v/>
      </c>
      <c r="H926" s="38" t="str">
        <f t="shared" si="249"/>
        <v/>
      </c>
    </row>
    <row r="927" spans="1:8" x14ac:dyDescent="0.2">
      <c r="A927" t="str">
        <f t="shared" si="243"/>
        <v/>
      </c>
      <c r="B927" s="38"/>
      <c r="C927" s="38" t="str">
        <f t="shared" si="244"/>
        <v/>
      </c>
      <c r="D927" s="38" t="str">
        <f t="shared" si="245"/>
        <v/>
      </c>
      <c r="E927" s="38" t="str">
        <f t="shared" si="246"/>
        <v/>
      </c>
      <c r="F927" s="38" t="str">
        <f t="shared" si="247"/>
        <v/>
      </c>
      <c r="G927" s="38" t="str">
        <f t="shared" si="248"/>
        <v/>
      </c>
      <c r="H927" s="38" t="str">
        <f t="shared" si="249"/>
        <v/>
      </c>
    </row>
    <row r="928" spans="1:8" x14ac:dyDescent="0.2">
      <c r="A928" t="str">
        <f t="shared" si="243"/>
        <v/>
      </c>
      <c r="B928" s="38"/>
      <c r="C928" s="38" t="str">
        <f t="shared" si="244"/>
        <v/>
      </c>
      <c r="D928" s="38" t="str">
        <f t="shared" si="245"/>
        <v/>
      </c>
      <c r="E928" s="38" t="str">
        <f t="shared" si="246"/>
        <v/>
      </c>
      <c r="F928" s="38" t="str">
        <f t="shared" si="247"/>
        <v/>
      </c>
      <c r="G928" s="38" t="str">
        <f t="shared" si="248"/>
        <v/>
      </c>
      <c r="H928" s="38" t="str">
        <f t="shared" si="249"/>
        <v/>
      </c>
    </row>
    <row r="929" spans="1:8" x14ac:dyDescent="0.2">
      <c r="A929" t="str">
        <f t="shared" si="243"/>
        <v/>
      </c>
      <c r="B929" s="38"/>
      <c r="C929" s="38" t="str">
        <f t="shared" si="244"/>
        <v/>
      </c>
      <c r="D929" s="38" t="str">
        <f t="shared" si="245"/>
        <v/>
      </c>
      <c r="E929" s="38" t="str">
        <f t="shared" si="246"/>
        <v/>
      </c>
      <c r="F929" s="38" t="str">
        <f t="shared" si="247"/>
        <v/>
      </c>
      <c r="G929" s="38" t="str">
        <f t="shared" si="248"/>
        <v/>
      </c>
      <c r="H929" s="38" t="str">
        <f t="shared" si="249"/>
        <v/>
      </c>
    </row>
    <row r="930" spans="1:8" x14ac:dyDescent="0.2">
      <c r="A930" t="str">
        <f t="shared" si="243"/>
        <v/>
      </c>
      <c r="B930" s="38"/>
      <c r="C930" s="38" t="str">
        <f t="shared" si="244"/>
        <v/>
      </c>
      <c r="D930" s="38" t="str">
        <f t="shared" si="245"/>
        <v/>
      </c>
      <c r="E930" s="38" t="str">
        <f t="shared" si="246"/>
        <v/>
      </c>
      <c r="F930" s="38" t="str">
        <f t="shared" si="247"/>
        <v/>
      </c>
      <c r="G930" s="38" t="str">
        <f t="shared" si="248"/>
        <v/>
      </c>
      <c r="H930" s="38" t="str">
        <f t="shared" si="249"/>
        <v/>
      </c>
    </row>
    <row r="931" spans="1:8" x14ac:dyDescent="0.2">
      <c r="A931" t="str">
        <f t="shared" si="243"/>
        <v/>
      </c>
      <c r="B931" s="38"/>
      <c r="C931" s="38" t="str">
        <f t="shared" si="244"/>
        <v/>
      </c>
      <c r="D931" s="38" t="str">
        <f t="shared" si="245"/>
        <v/>
      </c>
      <c r="E931" s="38" t="str">
        <f t="shared" si="246"/>
        <v/>
      </c>
      <c r="F931" s="38" t="str">
        <f t="shared" si="247"/>
        <v/>
      </c>
      <c r="G931" s="38" t="str">
        <f t="shared" si="248"/>
        <v/>
      </c>
      <c r="H931" s="38" t="str">
        <f t="shared" si="249"/>
        <v/>
      </c>
    </row>
    <row r="932" spans="1:8" x14ac:dyDescent="0.2">
      <c r="A932" t="str">
        <f t="shared" si="243"/>
        <v/>
      </c>
      <c r="B932" s="38"/>
      <c r="C932" s="38" t="str">
        <f t="shared" si="244"/>
        <v/>
      </c>
      <c r="D932" s="38" t="str">
        <f t="shared" si="245"/>
        <v/>
      </c>
      <c r="E932" s="38" t="str">
        <f t="shared" si="246"/>
        <v/>
      </c>
      <c r="F932" s="38" t="str">
        <f t="shared" si="247"/>
        <v/>
      </c>
      <c r="G932" s="38" t="str">
        <f t="shared" si="248"/>
        <v/>
      </c>
      <c r="H932" s="38" t="str">
        <f t="shared" si="249"/>
        <v/>
      </c>
    </row>
    <row r="933" spans="1:8" x14ac:dyDescent="0.2">
      <c r="A933" t="str">
        <f t="shared" si="243"/>
        <v/>
      </c>
      <c r="B933" s="38"/>
      <c r="C933" s="38" t="str">
        <f t="shared" si="244"/>
        <v/>
      </c>
      <c r="D933" s="38" t="str">
        <f t="shared" si="245"/>
        <v/>
      </c>
      <c r="E933" s="38" t="str">
        <f t="shared" si="246"/>
        <v/>
      </c>
      <c r="F933" s="38" t="str">
        <f t="shared" si="247"/>
        <v/>
      </c>
      <c r="G933" s="38" t="str">
        <f t="shared" si="248"/>
        <v/>
      </c>
      <c r="H933" s="38" t="str">
        <f t="shared" si="249"/>
        <v/>
      </c>
    </row>
    <row r="934" spans="1:8" x14ac:dyDescent="0.2">
      <c r="A934" t="str">
        <f t="shared" si="243"/>
        <v/>
      </c>
      <c r="B934" s="38"/>
      <c r="C934" s="38" t="str">
        <f t="shared" si="244"/>
        <v/>
      </c>
      <c r="D934" s="38" t="str">
        <f t="shared" si="245"/>
        <v/>
      </c>
      <c r="E934" s="38" t="str">
        <f t="shared" si="246"/>
        <v/>
      </c>
      <c r="F934" s="38" t="str">
        <f t="shared" si="247"/>
        <v/>
      </c>
      <c r="G934" s="38" t="str">
        <f t="shared" si="248"/>
        <v/>
      </c>
      <c r="H934" s="38" t="str">
        <f t="shared" si="249"/>
        <v/>
      </c>
    </row>
    <row r="935" spans="1:8" x14ac:dyDescent="0.2">
      <c r="A935" t="str">
        <f t="shared" si="243"/>
        <v/>
      </c>
      <c r="B935" s="38"/>
      <c r="C935" s="38" t="str">
        <f t="shared" si="244"/>
        <v/>
      </c>
      <c r="D935" s="38" t="str">
        <f t="shared" si="245"/>
        <v/>
      </c>
      <c r="E935" s="38" t="str">
        <f t="shared" si="246"/>
        <v/>
      </c>
      <c r="F935" s="38" t="str">
        <f t="shared" si="247"/>
        <v/>
      </c>
      <c r="G935" s="38" t="str">
        <f t="shared" si="248"/>
        <v/>
      </c>
      <c r="H935" s="38" t="str">
        <f t="shared" si="249"/>
        <v/>
      </c>
    </row>
    <row r="936" spans="1:8" x14ac:dyDescent="0.2">
      <c r="A936" t="str">
        <f t="shared" si="243"/>
        <v/>
      </c>
      <c r="B936" s="38"/>
      <c r="C936" s="38" t="str">
        <f t="shared" si="244"/>
        <v/>
      </c>
      <c r="D936" s="38" t="str">
        <f t="shared" si="245"/>
        <v/>
      </c>
      <c r="E936" s="38" t="str">
        <f t="shared" si="246"/>
        <v/>
      </c>
      <c r="F936" s="38" t="str">
        <f t="shared" si="247"/>
        <v/>
      </c>
      <c r="G936" s="38" t="str">
        <f t="shared" si="248"/>
        <v/>
      </c>
      <c r="H936" s="38" t="str">
        <f t="shared" si="249"/>
        <v/>
      </c>
    </row>
    <row r="937" spans="1:8" x14ac:dyDescent="0.2">
      <c r="A937" t="str">
        <f t="shared" si="243"/>
        <v/>
      </c>
      <c r="B937" s="38"/>
      <c r="C937" s="38" t="str">
        <f t="shared" si="244"/>
        <v/>
      </c>
      <c r="D937" s="38" t="str">
        <f t="shared" si="245"/>
        <v/>
      </c>
      <c r="E937" s="38" t="str">
        <f t="shared" si="246"/>
        <v/>
      </c>
      <c r="F937" s="38" t="str">
        <f t="shared" si="247"/>
        <v/>
      </c>
      <c r="G937" s="38" t="str">
        <f t="shared" si="248"/>
        <v/>
      </c>
      <c r="H937" s="38" t="str">
        <f t="shared" si="249"/>
        <v/>
      </c>
    </row>
    <row r="938" spans="1:8" x14ac:dyDescent="0.2">
      <c r="A938" t="str">
        <f t="shared" si="243"/>
        <v/>
      </c>
      <c r="B938" s="38"/>
      <c r="C938" s="38" t="str">
        <f t="shared" si="244"/>
        <v/>
      </c>
      <c r="D938" s="38" t="str">
        <f t="shared" si="245"/>
        <v/>
      </c>
      <c r="E938" s="38" t="str">
        <f t="shared" si="246"/>
        <v/>
      </c>
      <c r="F938" s="38" t="str">
        <f t="shared" si="247"/>
        <v/>
      </c>
      <c r="G938" s="38" t="str">
        <f t="shared" si="248"/>
        <v/>
      </c>
      <c r="H938" s="38" t="str">
        <f t="shared" si="249"/>
        <v/>
      </c>
    </row>
    <row r="939" spans="1:8" x14ac:dyDescent="0.2">
      <c r="A939" t="str">
        <f t="shared" si="243"/>
        <v/>
      </c>
      <c r="B939" s="38"/>
      <c r="C939" s="38" t="str">
        <f t="shared" si="244"/>
        <v/>
      </c>
      <c r="D939" s="38" t="str">
        <f t="shared" si="245"/>
        <v/>
      </c>
      <c r="E939" s="38" t="str">
        <f t="shared" si="246"/>
        <v/>
      </c>
      <c r="F939" s="38" t="str">
        <f t="shared" si="247"/>
        <v/>
      </c>
      <c r="G939" s="38" t="str">
        <f t="shared" si="248"/>
        <v/>
      </c>
      <c r="H939" s="38" t="str">
        <f t="shared" si="249"/>
        <v/>
      </c>
    </row>
    <row r="940" spans="1:8" x14ac:dyDescent="0.2">
      <c r="A940" t="str">
        <f t="shared" si="243"/>
        <v/>
      </c>
      <c r="B940" s="38"/>
      <c r="C940" s="38" t="str">
        <f t="shared" si="244"/>
        <v/>
      </c>
      <c r="D940" s="38" t="str">
        <f t="shared" si="245"/>
        <v/>
      </c>
      <c r="E940" s="38" t="str">
        <f t="shared" si="246"/>
        <v/>
      </c>
      <c r="F940" s="38" t="str">
        <f t="shared" si="247"/>
        <v/>
      </c>
      <c r="G940" s="38" t="str">
        <f t="shared" si="248"/>
        <v/>
      </c>
      <c r="H940" s="38" t="str">
        <f t="shared" si="249"/>
        <v/>
      </c>
    </row>
    <row r="941" spans="1:8" x14ac:dyDescent="0.2">
      <c r="A941" t="str">
        <f t="shared" si="243"/>
        <v/>
      </c>
      <c r="B941" s="38"/>
      <c r="C941" s="38" t="str">
        <f t="shared" si="244"/>
        <v/>
      </c>
      <c r="D941" s="38" t="str">
        <f t="shared" si="245"/>
        <v/>
      </c>
      <c r="E941" s="38" t="str">
        <f t="shared" si="246"/>
        <v/>
      </c>
      <c r="F941" s="38" t="str">
        <f t="shared" si="247"/>
        <v/>
      </c>
      <c r="G941" s="38" t="str">
        <f t="shared" si="248"/>
        <v/>
      </c>
      <c r="H941" s="38" t="str">
        <f t="shared" si="249"/>
        <v/>
      </c>
    </row>
    <row r="942" spans="1:8" x14ac:dyDescent="0.2">
      <c r="A942" t="str">
        <f t="shared" si="243"/>
        <v/>
      </c>
      <c r="B942" s="38"/>
      <c r="C942" s="38" t="str">
        <f t="shared" si="244"/>
        <v/>
      </c>
      <c r="D942" s="38" t="str">
        <f t="shared" si="245"/>
        <v/>
      </c>
      <c r="E942" s="38" t="str">
        <f t="shared" si="246"/>
        <v/>
      </c>
      <c r="F942" s="38" t="str">
        <f t="shared" si="247"/>
        <v/>
      </c>
      <c r="G942" s="38" t="str">
        <f t="shared" si="248"/>
        <v/>
      </c>
      <c r="H942" s="38" t="str">
        <f t="shared" si="249"/>
        <v/>
      </c>
    </row>
    <row r="943" spans="1:8" x14ac:dyDescent="0.2">
      <c r="A943" t="str">
        <f t="shared" si="243"/>
        <v/>
      </c>
      <c r="B943" s="38"/>
      <c r="C943" s="38" t="str">
        <f t="shared" si="244"/>
        <v/>
      </c>
      <c r="D943" s="38" t="str">
        <f t="shared" si="245"/>
        <v/>
      </c>
      <c r="E943" s="38" t="str">
        <f t="shared" si="246"/>
        <v/>
      </c>
      <c r="F943" s="38" t="str">
        <f t="shared" si="247"/>
        <v/>
      </c>
      <c r="G943" s="38" t="str">
        <f t="shared" si="248"/>
        <v/>
      </c>
      <c r="H943" s="38" t="str">
        <f t="shared" si="249"/>
        <v/>
      </c>
    </row>
    <row r="944" spans="1:8" x14ac:dyDescent="0.2">
      <c r="A944" t="str">
        <f t="shared" si="243"/>
        <v/>
      </c>
      <c r="B944" s="38"/>
      <c r="C944" s="38" t="str">
        <f t="shared" si="244"/>
        <v/>
      </c>
      <c r="D944" s="38" t="str">
        <f t="shared" si="245"/>
        <v/>
      </c>
      <c r="E944" s="38" t="str">
        <f t="shared" si="246"/>
        <v/>
      </c>
      <c r="F944" s="38" t="str">
        <f t="shared" si="247"/>
        <v/>
      </c>
      <c r="G944" s="38" t="str">
        <f t="shared" si="248"/>
        <v/>
      </c>
      <c r="H944" s="38" t="str">
        <f t="shared" si="249"/>
        <v/>
      </c>
    </row>
    <row r="945" spans="1:8" x14ac:dyDescent="0.2">
      <c r="A945" t="str">
        <f t="shared" si="243"/>
        <v/>
      </c>
      <c r="B945" s="38"/>
      <c r="C945" s="38" t="str">
        <f t="shared" si="244"/>
        <v/>
      </c>
      <c r="D945" s="38" t="str">
        <f t="shared" si="245"/>
        <v/>
      </c>
      <c r="E945" s="38" t="str">
        <f t="shared" si="246"/>
        <v/>
      </c>
      <c r="F945" s="38" t="str">
        <f t="shared" si="247"/>
        <v/>
      </c>
      <c r="G945" s="38" t="str">
        <f t="shared" si="248"/>
        <v/>
      </c>
      <c r="H945" s="38" t="str">
        <f t="shared" si="249"/>
        <v/>
      </c>
    </row>
    <row r="946" spans="1:8" x14ac:dyDescent="0.2">
      <c r="A946" t="str">
        <f t="shared" si="243"/>
        <v/>
      </c>
      <c r="B946" s="38"/>
      <c r="C946" s="38" t="str">
        <f t="shared" si="244"/>
        <v/>
      </c>
      <c r="D946" s="38" t="str">
        <f t="shared" si="245"/>
        <v/>
      </c>
      <c r="E946" s="38" t="str">
        <f t="shared" si="246"/>
        <v/>
      </c>
      <c r="F946" s="38" t="str">
        <f t="shared" si="247"/>
        <v/>
      </c>
      <c r="G946" s="38" t="str">
        <f t="shared" si="248"/>
        <v/>
      </c>
      <c r="H946" s="38" t="str">
        <f t="shared" si="249"/>
        <v/>
      </c>
    </row>
    <row r="947" spans="1:8" x14ac:dyDescent="0.2">
      <c r="A947" t="str">
        <f t="shared" si="243"/>
        <v/>
      </c>
      <c r="B947" s="38"/>
      <c r="C947" s="38" t="str">
        <f t="shared" si="244"/>
        <v/>
      </c>
      <c r="D947" s="38" t="str">
        <f t="shared" si="245"/>
        <v/>
      </c>
      <c r="E947" s="38" t="str">
        <f t="shared" si="246"/>
        <v/>
      </c>
      <c r="F947" s="38" t="str">
        <f t="shared" si="247"/>
        <v/>
      </c>
      <c r="G947" s="38" t="str">
        <f t="shared" si="248"/>
        <v/>
      </c>
      <c r="H947" s="38" t="str">
        <f t="shared" si="249"/>
        <v/>
      </c>
    </row>
    <row r="948" spans="1:8" x14ac:dyDescent="0.2">
      <c r="A948" t="str">
        <f t="shared" si="243"/>
        <v/>
      </c>
      <c r="B948" s="38"/>
      <c r="C948" s="38" t="str">
        <f t="shared" si="244"/>
        <v/>
      </c>
      <c r="D948" s="38" t="str">
        <f t="shared" si="245"/>
        <v/>
      </c>
      <c r="E948" s="38" t="str">
        <f t="shared" si="246"/>
        <v/>
      </c>
      <c r="F948" s="38" t="str">
        <f t="shared" si="247"/>
        <v/>
      </c>
      <c r="G948" s="38" t="str">
        <f t="shared" si="248"/>
        <v/>
      </c>
      <c r="H948" s="38" t="str">
        <f t="shared" si="249"/>
        <v/>
      </c>
    </row>
    <row r="949" spans="1:8" x14ac:dyDescent="0.2">
      <c r="A949" t="str">
        <f t="shared" si="243"/>
        <v/>
      </c>
      <c r="B949" s="38"/>
      <c r="C949" s="38" t="str">
        <f t="shared" si="244"/>
        <v/>
      </c>
      <c r="D949" s="38" t="str">
        <f t="shared" si="245"/>
        <v/>
      </c>
      <c r="E949" s="38" t="str">
        <f t="shared" si="246"/>
        <v/>
      </c>
      <c r="F949" s="38" t="str">
        <f t="shared" si="247"/>
        <v/>
      </c>
      <c r="G949" s="38" t="str">
        <f t="shared" si="248"/>
        <v/>
      </c>
      <c r="H949" s="38" t="str">
        <f t="shared" si="249"/>
        <v/>
      </c>
    </row>
    <row r="950" spans="1:8" x14ac:dyDescent="0.2">
      <c r="A950" t="str">
        <f t="shared" si="243"/>
        <v/>
      </c>
      <c r="B950" s="38"/>
      <c r="C950" s="38" t="str">
        <f t="shared" si="244"/>
        <v/>
      </c>
      <c r="D950" s="38" t="str">
        <f t="shared" si="245"/>
        <v/>
      </c>
      <c r="E950" s="38" t="str">
        <f t="shared" si="246"/>
        <v/>
      </c>
      <c r="F950" s="38" t="str">
        <f t="shared" si="247"/>
        <v/>
      </c>
      <c r="G950" s="38" t="str">
        <f t="shared" si="248"/>
        <v/>
      </c>
      <c r="H950" s="38" t="str">
        <f t="shared" si="249"/>
        <v/>
      </c>
    </row>
    <row r="951" spans="1:8" x14ac:dyDescent="0.2">
      <c r="A951" t="str">
        <f t="shared" si="243"/>
        <v/>
      </c>
      <c r="B951" s="38"/>
      <c r="C951" s="38" t="str">
        <f t="shared" si="244"/>
        <v/>
      </c>
      <c r="D951" s="38" t="str">
        <f t="shared" si="245"/>
        <v/>
      </c>
      <c r="E951" s="38" t="str">
        <f t="shared" si="246"/>
        <v/>
      </c>
      <c r="F951" s="38" t="str">
        <f t="shared" si="247"/>
        <v/>
      </c>
      <c r="G951" s="38" t="str">
        <f t="shared" si="248"/>
        <v/>
      </c>
      <c r="H951" s="38" t="str">
        <f t="shared" si="249"/>
        <v/>
      </c>
    </row>
    <row r="952" spans="1:8" x14ac:dyDescent="0.2">
      <c r="A952" t="str">
        <f t="shared" si="243"/>
        <v/>
      </c>
      <c r="B952" s="38"/>
      <c r="C952" s="38" t="str">
        <f t="shared" si="244"/>
        <v/>
      </c>
      <c r="D952" s="38" t="str">
        <f t="shared" si="245"/>
        <v/>
      </c>
      <c r="E952" s="38" t="str">
        <f t="shared" si="246"/>
        <v/>
      </c>
      <c r="F952" s="38" t="str">
        <f t="shared" si="247"/>
        <v/>
      </c>
      <c r="G952" s="38" t="str">
        <f t="shared" si="248"/>
        <v/>
      </c>
      <c r="H952" s="38" t="str">
        <f t="shared" si="249"/>
        <v/>
      </c>
    </row>
    <row r="953" spans="1:8" x14ac:dyDescent="0.2">
      <c r="A953" t="str">
        <f t="shared" si="243"/>
        <v/>
      </c>
      <c r="B953" s="38"/>
      <c r="C953" s="38" t="str">
        <f t="shared" si="244"/>
        <v/>
      </c>
      <c r="D953" s="38" t="str">
        <f t="shared" si="245"/>
        <v/>
      </c>
      <c r="E953" s="38" t="str">
        <f t="shared" si="246"/>
        <v/>
      </c>
      <c r="F953" s="38" t="str">
        <f t="shared" si="247"/>
        <v/>
      </c>
      <c r="G953" s="38" t="str">
        <f t="shared" si="248"/>
        <v/>
      </c>
      <c r="H953" s="38" t="str">
        <f t="shared" si="249"/>
        <v/>
      </c>
    </row>
    <row r="954" spans="1:8" x14ac:dyDescent="0.2">
      <c r="A954" t="str">
        <f t="shared" si="243"/>
        <v/>
      </c>
      <c r="B954" s="38"/>
      <c r="C954" s="38" t="str">
        <f t="shared" si="244"/>
        <v/>
      </c>
      <c r="D954" s="38" t="str">
        <f t="shared" si="245"/>
        <v/>
      </c>
      <c r="E954" s="38" t="str">
        <f t="shared" si="246"/>
        <v/>
      </c>
      <c r="F954" s="38" t="str">
        <f t="shared" si="247"/>
        <v/>
      </c>
      <c r="G954" s="38" t="str">
        <f t="shared" si="248"/>
        <v/>
      </c>
      <c r="H954" s="38" t="str">
        <f t="shared" si="249"/>
        <v/>
      </c>
    </row>
    <row r="955" spans="1:8" x14ac:dyDescent="0.2">
      <c r="A955" t="str">
        <f t="shared" si="243"/>
        <v/>
      </c>
      <c r="B955" s="38"/>
      <c r="C955" s="38" t="str">
        <f t="shared" si="244"/>
        <v/>
      </c>
      <c r="D955" s="38" t="str">
        <f t="shared" si="245"/>
        <v/>
      </c>
      <c r="E955" s="38" t="str">
        <f t="shared" si="246"/>
        <v/>
      </c>
      <c r="F955" s="38" t="str">
        <f t="shared" si="247"/>
        <v/>
      </c>
      <c r="G955" s="38" t="str">
        <f t="shared" si="248"/>
        <v/>
      </c>
      <c r="H955" s="38" t="str">
        <f t="shared" si="249"/>
        <v/>
      </c>
    </row>
    <row r="956" spans="1:8" x14ac:dyDescent="0.2">
      <c r="A956" t="str">
        <f t="shared" si="243"/>
        <v/>
      </c>
      <c r="B956" s="38"/>
      <c r="C956" s="38" t="str">
        <f t="shared" si="244"/>
        <v/>
      </c>
      <c r="D956" s="38" t="str">
        <f t="shared" si="245"/>
        <v/>
      </c>
      <c r="E956" s="38" t="str">
        <f t="shared" si="246"/>
        <v/>
      </c>
      <c r="F956" s="38" t="str">
        <f t="shared" si="247"/>
        <v/>
      </c>
      <c r="G956" s="38" t="str">
        <f t="shared" si="248"/>
        <v/>
      </c>
      <c r="H956" s="38" t="str">
        <f t="shared" si="249"/>
        <v/>
      </c>
    </row>
    <row r="957" spans="1:8" x14ac:dyDescent="0.2">
      <c r="A957" t="str">
        <f t="shared" si="243"/>
        <v/>
      </c>
      <c r="B957" s="38"/>
      <c r="C957" s="38" t="str">
        <f t="shared" si="244"/>
        <v/>
      </c>
      <c r="D957" s="38" t="str">
        <f t="shared" si="245"/>
        <v/>
      </c>
      <c r="E957" s="38" t="str">
        <f t="shared" si="246"/>
        <v/>
      </c>
      <c r="F957" s="38" t="str">
        <f t="shared" si="247"/>
        <v/>
      </c>
      <c r="G957" s="38" t="str">
        <f t="shared" si="248"/>
        <v/>
      </c>
      <c r="H957" s="38" t="str">
        <f t="shared" si="249"/>
        <v/>
      </c>
    </row>
    <row r="958" spans="1:8" x14ac:dyDescent="0.2">
      <c r="A958" t="str">
        <f t="shared" si="243"/>
        <v/>
      </c>
      <c r="B958" s="38"/>
      <c r="C958" s="38" t="str">
        <f t="shared" si="244"/>
        <v/>
      </c>
      <c r="D958" s="38" t="str">
        <f t="shared" si="245"/>
        <v/>
      </c>
      <c r="E958" s="38" t="str">
        <f t="shared" si="246"/>
        <v/>
      </c>
      <c r="F958" s="38" t="str">
        <f t="shared" si="247"/>
        <v/>
      </c>
      <c r="G958" s="38" t="str">
        <f t="shared" si="248"/>
        <v/>
      </c>
      <c r="H958" s="38" t="str">
        <f t="shared" si="249"/>
        <v/>
      </c>
    </row>
    <row r="959" spans="1:8" x14ac:dyDescent="0.2">
      <c r="A959" t="str">
        <f t="shared" si="243"/>
        <v/>
      </c>
      <c r="B959" s="38"/>
      <c r="C959" s="38" t="str">
        <f t="shared" si="244"/>
        <v/>
      </c>
      <c r="D959" s="38" t="str">
        <f t="shared" si="245"/>
        <v/>
      </c>
      <c r="E959" s="38" t="str">
        <f t="shared" si="246"/>
        <v/>
      </c>
      <c r="F959" s="38" t="str">
        <f t="shared" si="247"/>
        <v/>
      </c>
      <c r="G959" s="38" t="str">
        <f t="shared" si="248"/>
        <v/>
      </c>
      <c r="H959" s="38" t="str">
        <f t="shared" si="249"/>
        <v/>
      </c>
    </row>
    <row r="960" spans="1:8" x14ac:dyDescent="0.2">
      <c r="A960" t="str">
        <f t="shared" si="243"/>
        <v/>
      </c>
      <c r="B960" s="38"/>
      <c r="C960" s="38" t="str">
        <f t="shared" si="244"/>
        <v/>
      </c>
      <c r="D960" s="38" t="str">
        <f t="shared" si="245"/>
        <v/>
      </c>
      <c r="E960" s="38" t="str">
        <f t="shared" si="246"/>
        <v/>
      </c>
      <c r="F960" s="38" t="str">
        <f t="shared" si="247"/>
        <v/>
      </c>
      <c r="G960" s="38" t="str">
        <f t="shared" si="248"/>
        <v/>
      </c>
      <c r="H960" s="38" t="str">
        <f t="shared" si="249"/>
        <v/>
      </c>
    </row>
    <row r="961" spans="1:8" x14ac:dyDescent="0.2">
      <c r="A961" t="str">
        <f t="shared" si="243"/>
        <v/>
      </c>
      <c r="B961" s="38"/>
      <c r="C961" s="38" t="str">
        <f t="shared" si="244"/>
        <v/>
      </c>
      <c r="D961" s="38" t="str">
        <f t="shared" si="245"/>
        <v/>
      </c>
      <c r="E961" s="38" t="str">
        <f t="shared" si="246"/>
        <v/>
      </c>
      <c r="F961" s="38" t="str">
        <f t="shared" si="247"/>
        <v/>
      </c>
      <c r="G961" s="38" t="str">
        <f t="shared" si="248"/>
        <v/>
      </c>
      <c r="H961" s="38" t="str">
        <f t="shared" si="249"/>
        <v/>
      </c>
    </row>
    <row r="962" spans="1:8" x14ac:dyDescent="0.2">
      <c r="A962" t="str">
        <f t="shared" si="243"/>
        <v/>
      </c>
      <c r="B962" s="38"/>
      <c r="C962" s="38" t="str">
        <f t="shared" si="244"/>
        <v/>
      </c>
      <c r="D962" s="38" t="str">
        <f t="shared" si="245"/>
        <v/>
      </c>
      <c r="E962" s="38" t="str">
        <f t="shared" si="246"/>
        <v/>
      </c>
      <c r="F962" s="38" t="str">
        <f t="shared" si="247"/>
        <v/>
      </c>
      <c r="G962" s="38" t="str">
        <f t="shared" si="248"/>
        <v/>
      </c>
      <c r="H962" s="38" t="str">
        <f t="shared" si="249"/>
        <v/>
      </c>
    </row>
    <row r="963" spans="1:8" x14ac:dyDescent="0.2">
      <c r="A963" t="str">
        <f t="shared" si="243"/>
        <v/>
      </c>
      <c r="B963" s="38"/>
      <c r="C963" s="38" t="str">
        <f t="shared" si="244"/>
        <v/>
      </c>
      <c r="D963" s="38" t="str">
        <f t="shared" si="245"/>
        <v/>
      </c>
      <c r="E963" s="38" t="str">
        <f t="shared" si="246"/>
        <v/>
      </c>
      <c r="F963" s="38" t="str">
        <f t="shared" si="247"/>
        <v/>
      </c>
      <c r="G963" s="38" t="str">
        <f t="shared" si="248"/>
        <v/>
      </c>
      <c r="H963" s="38" t="str">
        <f t="shared" si="249"/>
        <v/>
      </c>
    </row>
    <row r="964" spans="1:8" x14ac:dyDescent="0.2">
      <c r="A964" t="str">
        <f t="shared" si="243"/>
        <v/>
      </c>
      <c r="B964" s="38"/>
      <c r="C964" s="38" t="str">
        <f t="shared" si="244"/>
        <v/>
      </c>
      <c r="D964" s="38" t="str">
        <f t="shared" si="245"/>
        <v/>
      </c>
      <c r="E964" s="38" t="str">
        <f t="shared" si="246"/>
        <v/>
      </c>
      <c r="F964" s="38" t="str">
        <f t="shared" si="247"/>
        <v/>
      </c>
      <c r="G964" s="38" t="str">
        <f t="shared" si="248"/>
        <v/>
      </c>
      <c r="H964" s="38" t="str">
        <f t="shared" si="249"/>
        <v/>
      </c>
    </row>
    <row r="965" spans="1:8" x14ac:dyDescent="0.2">
      <c r="A965" t="str">
        <f t="shared" si="243"/>
        <v/>
      </c>
      <c r="B965" s="38"/>
      <c r="C965" s="38" t="str">
        <f t="shared" si="244"/>
        <v/>
      </c>
      <c r="D965" s="38" t="str">
        <f t="shared" si="245"/>
        <v/>
      </c>
      <c r="E965" s="38" t="str">
        <f t="shared" si="246"/>
        <v/>
      </c>
      <c r="F965" s="38" t="str">
        <f t="shared" si="247"/>
        <v/>
      </c>
      <c r="G965" s="38" t="str">
        <f t="shared" si="248"/>
        <v/>
      </c>
      <c r="H965" s="38" t="str">
        <f t="shared" si="249"/>
        <v/>
      </c>
    </row>
    <row r="966" spans="1:8" x14ac:dyDescent="0.2">
      <c r="A966" t="str">
        <f t="shared" si="243"/>
        <v/>
      </c>
      <c r="B966" s="38"/>
      <c r="C966" s="38" t="str">
        <f t="shared" si="244"/>
        <v/>
      </c>
      <c r="D966" s="38" t="str">
        <f t="shared" si="245"/>
        <v/>
      </c>
      <c r="E966" s="38" t="str">
        <f t="shared" si="246"/>
        <v/>
      </c>
      <c r="F966" s="38" t="str">
        <f t="shared" si="247"/>
        <v/>
      </c>
      <c r="G966" s="38" t="str">
        <f t="shared" si="248"/>
        <v/>
      </c>
      <c r="H966" s="38" t="str">
        <f t="shared" si="249"/>
        <v/>
      </c>
    </row>
    <row r="967" spans="1:8" x14ac:dyDescent="0.2">
      <c r="A967" t="str">
        <f t="shared" si="243"/>
        <v/>
      </c>
      <c r="B967" s="38"/>
      <c r="C967" s="38" t="str">
        <f t="shared" si="244"/>
        <v/>
      </c>
      <c r="D967" s="38" t="str">
        <f t="shared" si="245"/>
        <v/>
      </c>
      <c r="E967" s="38" t="str">
        <f t="shared" si="246"/>
        <v/>
      </c>
      <c r="F967" s="38" t="str">
        <f t="shared" si="247"/>
        <v/>
      </c>
      <c r="G967" s="38" t="str">
        <f t="shared" si="248"/>
        <v/>
      </c>
      <c r="H967" s="38" t="str">
        <f t="shared" si="249"/>
        <v/>
      </c>
    </row>
    <row r="968" spans="1:8" x14ac:dyDescent="0.2">
      <c r="A968" t="str">
        <f t="shared" si="243"/>
        <v/>
      </c>
      <c r="B968" s="38"/>
      <c r="C968" s="38" t="str">
        <f t="shared" si="244"/>
        <v/>
      </c>
      <c r="D968" s="38" t="str">
        <f t="shared" si="245"/>
        <v/>
      </c>
      <c r="E968" s="38" t="str">
        <f t="shared" si="246"/>
        <v/>
      </c>
      <c r="F968" s="38" t="str">
        <f t="shared" si="247"/>
        <v/>
      </c>
      <c r="G968" s="38" t="str">
        <f t="shared" si="248"/>
        <v/>
      </c>
      <c r="H968" s="38" t="str">
        <f t="shared" si="249"/>
        <v/>
      </c>
    </row>
    <row r="969" spans="1:8" x14ac:dyDescent="0.2">
      <c r="A969" t="str">
        <f t="shared" si="243"/>
        <v/>
      </c>
      <c r="B969" s="38"/>
      <c r="C969" s="38" t="str">
        <f t="shared" si="244"/>
        <v/>
      </c>
      <c r="D969" s="38" t="str">
        <f t="shared" si="245"/>
        <v/>
      </c>
      <c r="E969" s="38" t="str">
        <f t="shared" si="246"/>
        <v/>
      </c>
      <c r="F969" s="38" t="str">
        <f t="shared" si="247"/>
        <v/>
      </c>
      <c r="G969" s="38" t="str">
        <f t="shared" si="248"/>
        <v/>
      </c>
      <c r="H969" s="38" t="str">
        <f t="shared" si="249"/>
        <v/>
      </c>
    </row>
    <row r="970" spans="1:8" x14ac:dyDescent="0.2">
      <c r="A970" t="str">
        <f t="shared" si="243"/>
        <v/>
      </c>
      <c r="B970" s="38"/>
      <c r="C970" s="38" t="str">
        <f t="shared" si="244"/>
        <v/>
      </c>
      <c r="D970" s="38" t="str">
        <f t="shared" si="245"/>
        <v/>
      </c>
      <c r="E970" s="38" t="str">
        <f t="shared" si="246"/>
        <v/>
      </c>
      <c r="F970" s="38" t="str">
        <f t="shared" si="247"/>
        <v/>
      </c>
      <c r="G970" s="38" t="str">
        <f t="shared" si="248"/>
        <v/>
      </c>
      <c r="H970" s="38" t="str">
        <f t="shared" si="249"/>
        <v/>
      </c>
    </row>
    <row r="971" spans="1:8" x14ac:dyDescent="0.2">
      <c r="A971" t="str">
        <f t="shared" si="243"/>
        <v/>
      </c>
      <c r="B971" s="38"/>
      <c r="C971" s="38" t="str">
        <f t="shared" si="244"/>
        <v/>
      </c>
      <c r="D971" s="38" t="str">
        <f t="shared" si="245"/>
        <v/>
      </c>
      <c r="E971" s="38" t="str">
        <f t="shared" si="246"/>
        <v/>
      </c>
      <c r="F971" s="38" t="str">
        <f t="shared" si="247"/>
        <v/>
      </c>
      <c r="G971" s="38" t="str">
        <f t="shared" si="248"/>
        <v/>
      </c>
      <c r="H971" s="38" t="str">
        <f t="shared" si="249"/>
        <v/>
      </c>
    </row>
    <row r="972" spans="1:8" x14ac:dyDescent="0.2">
      <c r="A972" t="str">
        <f t="shared" si="243"/>
        <v/>
      </c>
      <c r="B972" s="38"/>
      <c r="C972" s="38" t="str">
        <f t="shared" si="244"/>
        <v/>
      </c>
      <c r="D972" s="38" t="str">
        <f t="shared" si="245"/>
        <v/>
      </c>
      <c r="E972" s="38" t="str">
        <f t="shared" si="246"/>
        <v/>
      </c>
      <c r="F972" s="38" t="str">
        <f t="shared" si="247"/>
        <v/>
      </c>
      <c r="G972" s="38" t="str">
        <f t="shared" si="248"/>
        <v/>
      </c>
      <c r="H972" s="38" t="str">
        <f t="shared" si="249"/>
        <v/>
      </c>
    </row>
    <row r="973" spans="1:8" x14ac:dyDescent="0.2">
      <c r="A973" t="str">
        <f t="shared" si="243"/>
        <v/>
      </c>
      <c r="B973" s="38"/>
      <c r="C973" s="38" t="str">
        <f t="shared" si="244"/>
        <v/>
      </c>
      <c r="D973" s="38" t="str">
        <f t="shared" si="245"/>
        <v/>
      </c>
      <c r="E973" s="38" t="str">
        <f t="shared" si="246"/>
        <v/>
      </c>
      <c r="F973" s="38" t="str">
        <f t="shared" si="247"/>
        <v/>
      </c>
      <c r="G973" s="38" t="str">
        <f t="shared" si="248"/>
        <v/>
      </c>
      <c r="H973" s="38" t="str">
        <f t="shared" si="249"/>
        <v/>
      </c>
    </row>
    <row r="974" spans="1:8" x14ac:dyDescent="0.2">
      <c r="A974" t="str">
        <f t="shared" si="243"/>
        <v/>
      </c>
      <c r="B974" s="38"/>
      <c r="C974" s="38" t="str">
        <f t="shared" si="244"/>
        <v/>
      </c>
      <c r="D974" s="38" t="str">
        <f t="shared" si="245"/>
        <v/>
      </c>
      <c r="E974" s="38" t="str">
        <f t="shared" si="246"/>
        <v/>
      </c>
      <c r="F974" s="38" t="str">
        <f t="shared" si="247"/>
        <v/>
      </c>
      <c r="G974" s="38" t="str">
        <f t="shared" si="248"/>
        <v/>
      </c>
      <c r="H974" s="38" t="str">
        <f t="shared" si="249"/>
        <v/>
      </c>
    </row>
    <row r="975" spans="1:8" x14ac:dyDescent="0.2">
      <c r="A975" t="str">
        <f t="shared" si="243"/>
        <v/>
      </c>
      <c r="B975" s="38"/>
      <c r="C975" s="38" t="str">
        <f t="shared" si="244"/>
        <v/>
      </c>
      <c r="D975" s="38" t="str">
        <f t="shared" si="245"/>
        <v/>
      </c>
      <c r="E975" s="38" t="str">
        <f t="shared" si="246"/>
        <v/>
      </c>
      <c r="F975" s="38" t="str">
        <f t="shared" si="247"/>
        <v/>
      </c>
      <c r="G975" s="38" t="str">
        <f t="shared" si="248"/>
        <v/>
      </c>
      <c r="H975" s="38" t="str">
        <f t="shared" si="249"/>
        <v/>
      </c>
    </row>
    <row r="976" spans="1:8" x14ac:dyDescent="0.2">
      <c r="A976" t="str">
        <f t="shared" si="243"/>
        <v/>
      </c>
      <c r="B976" s="38"/>
      <c r="C976" s="38" t="str">
        <f t="shared" si="244"/>
        <v/>
      </c>
      <c r="D976" s="38" t="str">
        <f t="shared" si="245"/>
        <v/>
      </c>
      <c r="E976" s="38" t="str">
        <f t="shared" si="246"/>
        <v/>
      </c>
      <c r="F976" s="38" t="str">
        <f t="shared" si="247"/>
        <v/>
      </c>
      <c r="G976" s="38" t="str">
        <f t="shared" si="248"/>
        <v/>
      </c>
      <c r="H976" s="38" t="str">
        <f t="shared" si="249"/>
        <v/>
      </c>
    </row>
    <row r="977" spans="1:8" x14ac:dyDescent="0.2">
      <c r="A977" t="str">
        <f t="shared" si="243"/>
        <v/>
      </c>
      <c r="B977" s="38"/>
      <c r="C977" s="38" t="str">
        <f t="shared" si="244"/>
        <v/>
      </c>
      <c r="D977" s="38" t="str">
        <f t="shared" si="245"/>
        <v/>
      </c>
      <c r="E977" s="38" t="str">
        <f t="shared" si="246"/>
        <v/>
      </c>
      <c r="F977" s="38" t="str">
        <f t="shared" si="247"/>
        <v/>
      </c>
      <c r="G977" s="38" t="str">
        <f t="shared" si="248"/>
        <v/>
      </c>
      <c r="H977" s="38" t="str">
        <f t="shared" si="249"/>
        <v/>
      </c>
    </row>
    <row r="978" spans="1:8" x14ac:dyDescent="0.2">
      <c r="A978" t="str">
        <f t="shared" si="243"/>
        <v/>
      </c>
      <c r="B978" s="38"/>
      <c r="C978" s="38" t="str">
        <f t="shared" si="244"/>
        <v/>
      </c>
      <c r="D978" s="38" t="str">
        <f t="shared" si="245"/>
        <v/>
      </c>
      <c r="E978" s="38" t="str">
        <f t="shared" si="246"/>
        <v/>
      </c>
      <c r="F978" s="38" t="str">
        <f t="shared" si="247"/>
        <v/>
      </c>
      <c r="G978" s="38" t="str">
        <f t="shared" si="248"/>
        <v/>
      </c>
      <c r="H978" s="38" t="str">
        <f t="shared" si="249"/>
        <v/>
      </c>
    </row>
    <row r="979" spans="1:8" x14ac:dyDescent="0.2">
      <c r="A979" t="str">
        <f t="shared" si="243"/>
        <v/>
      </c>
      <c r="B979" s="38"/>
      <c r="C979" s="38" t="str">
        <f t="shared" si="244"/>
        <v/>
      </c>
      <c r="D979" s="38" t="str">
        <f t="shared" si="245"/>
        <v/>
      </c>
      <c r="E979" s="38" t="str">
        <f t="shared" si="246"/>
        <v/>
      </c>
      <c r="F979" s="38" t="str">
        <f t="shared" si="247"/>
        <v/>
      </c>
      <c r="G979" s="38" t="str">
        <f t="shared" si="248"/>
        <v/>
      </c>
      <c r="H979" s="38" t="str">
        <f t="shared" si="249"/>
        <v/>
      </c>
    </row>
    <row r="980" spans="1:8" x14ac:dyDescent="0.2">
      <c r="A980" t="str">
        <f t="shared" si="243"/>
        <v/>
      </c>
      <c r="B980" s="38"/>
      <c r="C980" s="38" t="str">
        <f t="shared" si="244"/>
        <v/>
      </c>
      <c r="D980" s="38" t="str">
        <f t="shared" si="245"/>
        <v/>
      </c>
      <c r="E980" s="38" t="str">
        <f t="shared" si="246"/>
        <v/>
      </c>
      <c r="F980" s="38" t="str">
        <f t="shared" si="247"/>
        <v/>
      </c>
      <c r="G980" s="38" t="str">
        <f t="shared" si="248"/>
        <v/>
      </c>
      <c r="H980" s="38" t="str">
        <f t="shared" si="249"/>
        <v/>
      </c>
    </row>
    <row r="981" spans="1:8" x14ac:dyDescent="0.2">
      <c r="A981" t="str">
        <f t="shared" si="243"/>
        <v/>
      </c>
      <c r="B981" s="38"/>
      <c r="C981" s="38" t="str">
        <f t="shared" si="244"/>
        <v/>
      </c>
      <c r="D981" s="38" t="str">
        <f t="shared" si="245"/>
        <v/>
      </c>
      <c r="E981" s="38" t="str">
        <f t="shared" si="246"/>
        <v/>
      </c>
      <c r="F981" s="38" t="str">
        <f t="shared" si="247"/>
        <v/>
      </c>
      <c r="G981" s="38" t="str">
        <f t="shared" si="248"/>
        <v/>
      </c>
      <c r="H981" s="38" t="str">
        <f t="shared" si="249"/>
        <v/>
      </c>
    </row>
    <row r="982" spans="1:8" x14ac:dyDescent="0.2">
      <c r="A982" t="str">
        <f t="shared" si="243"/>
        <v/>
      </c>
      <c r="B982" s="38"/>
      <c r="C982" s="38" t="str">
        <f t="shared" si="244"/>
        <v/>
      </c>
      <c r="D982" s="38" t="str">
        <f t="shared" si="245"/>
        <v/>
      </c>
      <c r="E982" s="38" t="str">
        <f t="shared" si="246"/>
        <v/>
      </c>
      <c r="F982" s="38" t="str">
        <f t="shared" si="247"/>
        <v/>
      </c>
      <c r="G982" s="38" t="str">
        <f t="shared" si="248"/>
        <v/>
      </c>
      <c r="H982" s="38" t="str">
        <f t="shared" si="249"/>
        <v/>
      </c>
    </row>
    <row r="983" spans="1:8" x14ac:dyDescent="0.2">
      <c r="A983" t="str">
        <f t="shared" si="243"/>
        <v/>
      </c>
      <c r="B983" s="38"/>
      <c r="C983" s="38" t="str">
        <f t="shared" si="244"/>
        <v/>
      </c>
      <c r="D983" s="38" t="str">
        <f t="shared" si="245"/>
        <v/>
      </c>
      <c r="E983" s="38" t="str">
        <f t="shared" si="246"/>
        <v/>
      </c>
      <c r="F983" s="38" t="str">
        <f t="shared" si="247"/>
        <v/>
      </c>
      <c r="G983" s="38" t="str">
        <f t="shared" si="248"/>
        <v/>
      </c>
      <c r="H983" s="38" t="str">
        <f t="shared" si="249"/>
        <v/>
      </c>
    </row>
    <row r="984" spans="1:8" x14ac:dyDescent="0.2">
      <c r="A984" t="str">
        <f t="shared" ref="A984:A1047" si="250">IF(A983&lt;($B$6*$B$7),A983+1,"")</f>
        <v/>
      </c>
      <c r="B984" s="38"/>
      <c r="C984" s="38" t="str">
        <f t="shared" ref="C984:C1046" si="251">IF(A984="","",(B984*$B$8))</f>
        <v/>
      </c>
      <c r="D984" s="38" t="str">
        <f t="shared" ref="D984:D1044" si="252">IF(A984="","", $B$5)</f>
        <v/>
      </c>
      <c r="E984" s="38" t="str">
        <f t="shared" ref="E984:E1044" si="253">IF(D984="","",(D984-C984))</f>
        <v/>
      </c>
      <c r="F984" s="38" t="str">
        <f t="shared" ref="F984:F1044" si="254">IF(A984="","", B984-E984)</f>
        <v/>
      </c>
      <c r="G984" s="38" t="str">
        <f t="shared" si="248"/>
        <v/>
      </c>
      <c r="H984" s="38" t="str">
        <f t="shared" si="249"/>
        <v/>
      </c>
    </row>
    <row r="985" spans="1:8" x14ac:dyDescent="0.2">
      <c r="A985" t="str">
        <f t="shared" si="250"/>
        <v/>
      </c>
      <c r="B985" s="38"/>
      <c r="C985" s="38" t="str">
        <f t="shared" si="251"/>
        <v/>
      </c>
      <c r="D985" s="38" t="str">
        <f t="shared" si="252"/>
        <v/>
      </c>
      <c r="E985" s="38" t="str">
        <f t="shared" si="253"/>
        <v/>
      </c>
      <c r="F985" s="38" t="str">
        <f t="shared" si="254"/>
        <v/>
      </c>
      <c r="G985" s="38" t="str">
        <f t="shared" si="248"/>
        <v/>
      </c>
      <c r="H985" s="38" t="str">
        <f t="shared" si="249"/>
        <v/>
      </c>
    </row>
    <row r="986" spans="1:8" x14ac:dyDescent="0.2">
      <c r="A986" t="str">
        <f t="shared" si="250"/>
        <v/>
      </c>
      <c r="B986" s="38"/>
      <c r="C986" s="38" t="str">
        <f t="shared" si="251"/>
        <v/>
      </c>
      <c r="D986" s="38" t="str">
        <f t="shared" si="252"/>
        <v/>
      </c>
      <c r="E986" s="38" t="str">
        <f t="shared" si="253"/>
        <v/>
      </c>
      <c r="F986" s="38" t="str">
        <f t="shared" si="254"/>
        <v/>
      </c>
      <c r="G986" s="38" t="str">
        <f t="shared" ref="G986:G1044" si="255">IF(A986="","", (G985+C986))</f>
        <v/>
      </c>
      <c r="H986" s="38" t="str">
        <f t="shared" ref="H986:H1044" si="256">IF(A986="","",(H985+E986))</f>
        <v/>
      </c>
    </row>
    <row r="987" spans="1:8" x14ac:dyDescent="0.2">
      <c r="A987" t="str">
        <f t="shared" si="250"/>
        <v/>
      </c>
      <c r="B987" s="38"/>
      <c r="C987" s="38" t="str">
        <f t="shared" si="251"/>
        <v/>
      </c>
      <c r="D987" s="38" t="str">
        <f t="shared" si="252"/>
        <v/>
      </c>
      <c r="E987" s="38" t="str">
        <f t="shared" si="253"/>
        <v/>
      </c>
      <c r="F987" s="38" t="str">
        <f t="shared" si="254"/>
        <v/>
      </c>
      <c r="G987" s="38" t="str">
        <f t="shared" si="255"/>
        <v/>
      </c>
      <c r="H987" s="38" t="str">
        <f t="shared" si="256"/>
        <v/>
      </c>
    </row>
    <row r="988" spans="1:8" x14ac:dyDescent="0.2">
      <c r="A988" t="str">
        <f t="shared" si="250"/>
        <v/>
      </c>
      <c r="B988" s="38"/>
      <c r="C988" s="38" t="str">
        <f t="shared" si="251"/>
        <v/>
      </c>
      <c r="D988" s="38" t="str">
        <f t="shared" si="252"/>
        <v/>
      </c>
      <c r="E988" s="38" t="str">
        <f t="shared" si="253"/>
        <v/>
      </c>
      <c r="F988" s="38" t="str">
        <f t="shared" si="254"/>
        <v/>
      </c>
      <c r="G988" s="38" t="str">
        <f t="shared" si="255"/>
        <v/>
      </c>
      <c r="H988" s="38" t="str">
        <f t="shared" si="256"/>
        <v/>
      </c>
    </row>
    <row r="989" spans="1:8" x14ac:dyDescent="0.2">
      <c r="A989" t="str">
        <f t="shared" si="250"/>
        <v/>
      </c>
      <c r="B989" s="38"/>
      <c r="C989" s="38" t="str">
        <f t="shared" si="251"/>
        <v/>
      </c>
      <c r="D989" s="38" t="str">
        <f t="shared" si="252"/>
        <v/>
      </c>
      <c r="E989" s="38" t="str">
        <f t="shared" si="253"/>
        <v/>
      </c>
      <c r="F989" s="38" t="str">
        <f t="shared" si="254"/>
        <v/>
      </c>
      <c r="G989" s="38" t="str">
        <f t="shared" si="255"/>
        <v/>
      </c>
      <c r="H989" s="38" t="str">
        <f t="shared" si="256"/>
        <v/>
      </c>
    </row>
    <row r="990" spans="1:8" x14ac:dyDescent="0.2">
      <c r="A990" t="str">
        <f t="shared" si="250"/>
        <v/>
      </c>
      <c r="B990" s="38"/>
      <c r="C990" s="38" t="str">
        <f t="shared" si="251"/>
        <v/>
      </c>
      <c r="D990" s="38" t="str">
        <f t="shared" si="252"/>
        <v/>
      </c>
      <c r="E990" s="38" t="str">
        <f t="shared" si="253"/>
        <v/>
      </c>
      <c r="F990" s="38" t="str">
        <f t="shared" si="254"/>
        <v/>
      </c>
      <c r="G990" s="38" t="str">
        <f t="shared" si="255"/>
        <v/>
      </c>
      <c r="H990" s="38" t="str">
        <f t="shared" si="256"/>
        <v/>
      </c>
    </row>
    <row r="991" spans="1:8" x14ac:dyDescent="0.2">
      <c r="A991" t="str">
        <f t="shared" si="250"/>
        <v/>
      </c>
      <c r="B991" s="38"/>
      <c r="C991" s="38" t="str">
        <f t="shared" si="251"/>
        <v/>
      </c>
      <c r="D991" s="38" t="str">
        <f t="shared" si="252"/>
        <v/>
      </c>
      <c r="E991" s="38" t="str">
        <f t="shared" si="253"/>
        <v/>
      </c>
      <c r="F991" s="38" t="str">
        <f t="shared" si="254"/>
        <v/>
      </c>
      <c r="G991" s="38" t="str">
        <f t="shared" si="255"/>
        <v/>
      </c>
      <c r="H991" s="38" t="str">
        <f t="shared" si="256"/>
        <v/>
      </c>
    </row>
    <row r="992" spans="1:8" x14ac:dyDescent="0.2">
      <c r="A992" t="str">
        <f t="shared" si="250"/>
        <v/>
      </c>
      <c r="B992" s="38"/>
      <c r="C992" s="38" t="str">
        <f t="shared" si="251"/>
        <v/>
      </c>
      <c r="D992" s="38" t="str">
        <f t="shared" si="252"/>
        <v/>
      </c>
      <c r="E992" s="38" t="str">
        <f t="shared" si="253"/>
        <v/>
      </c>
      <c r="F992" s="38" t="str">
        <f t="shared" si="254"/>
        <v/>
      </c>
      <c r="G992" s="38" t="str">
        <f t="shared" si="255"/>
        <v/>
      </c>
      <c r="H992" s="38" t="str">
        <f t="shared" si="256"/>
        <v/>
      </c>
    </row>
    <row r="993" spans="1:8" x14ac:dyDescent="0.2">
      <c r="A993" t="str">
        <f t="shared" si="250"/>
        <v/>
      </c>
      <c r="B993" s="38"/>
      <c r="C993" s="38" t="str">
        <f t="shared" si="251"/>
        <v/>
      </c>
      <c r="D993" s="38" t="str">
        <f t="shared" si="252"/>
        <v/>
      </c>
      <c r="E993" s="38" t="str">
        <f t="shared" si="253"/>
        <v/>
      </c>
      <c r="F993" s="38" t="str">
        <f t="shared" si="254"/>
        <v/>
      </c>
      <c r="G993" s="38" t="str">
        <f t="shared" si="255"/>
        <v/>
      </c>
      <c r="H993" s="38" t="str">
        <f t="shared" si="256"/>
        <v/>
      </c>
    </row>
    <row r="994" spans="1:8" x14ac:dyDescent="0.2">
      <c r="A994" t="str">
        <f t="shared" si="250"/>
        <v/>
      </c>
      <c r="B994" s="38"/>
      <c r="C994" s="38" t="str">
        <f t="shared" si="251"/>
        <v/>
      </c>
      <c r="D994" s="38" t="str">
        <f t="shared" si="252"/>
        <v/>
      </c>
      <c r="E994" s="38" t="str">
        <f t="shared" si="253"/>
        <v/>
      </c>
      <c r="F994" s="38" t="str">
        <f t="shared" si="254"/>
        <v/>
      </c>
      <c r="G994" s="38" t="str">
        <f t="shared" si="255"/>
        <v/>
      </c>
      <c r="H994" s="38" t="str">
        <f t="shared" si="256"/>
        <v/>
      </c>
    </row>
    <row r="995" spans="1:8" x14ac:dyDescent="0.2">
      <c r="A995" t="str">
        <f t="shared" si="250"/>
        <v/>
      </c>
      <c r="B995" s="38"/>
      <c r="C995" s="38" t="str">
        <f t="shared" si="251"/>
        <v/>
      </c>
      <c r="D995" s="38" t="str">
        <f t="shared" si="252"/>
        <v/>
      </c>
      <c r="E995" s="38" t="str">
        <f t="shared" si="253"/>
        <v/>
      </c>
      <c r="F995" s="38" t="str">
        <f t="shared" si="254"/>
        <v/>
      </c>
      <c r="G995" s="38" t="str">
        <f t="shared" si="255"/>
        <v/>
      </c>
      <c r="H995" s="38" t="str">
        <f t="shared" si="256"/>
        <v/>
      </c>
    </row>
    <row r="996" spans="1:8" x14ac:dyDescent="0.2">
      <c r="A996" t="str">
        <f t="shared" si="250"/>
        <v/>
      </c>
      <c r="B996" s="38"/>
      <c r="C996" s="38" t="str">
        <f t="shared" si="251"/>
        <v/>
      </c>
      <c r="D996" s="38" t="str">
        <f t="shared" si="252"/>
        <v/>
      </c>
      <c r="E996" s="38" t="str">
        <f t="shared" si="253"/>
        <v/>
      </c>
      <c r="F996" s="38" t="str">
        <f t="shared" si="254"/>
        <v/>
      </c>
      <c r="G996" s="38" t="str">
        <f t="shared" si="255"/>
        <v/>
      </c>
      <c r="H996" s="38" t="str">
        <f t="shared" si="256"/>
        <v/>
      </c>
    </row>
    <row r="997" spans="1:8" x14ac:dyDescent="0.2">
      <c r="A997" t="str">
        <f t="shared" si="250"/>
        <v/>
      </c>
      <c r="B997" s="38"/>
      <c r="C997" s="38" t="str">
        <f t="shared" si="251"/>
        <v/>
      </c>
      <c r="D997" s="38" t="str">
        <f t="shared" si="252"/>
        <v/>
      </c>
      <c r="E997" s="38" t="str">
        <f t="shared" si="253"/>
        <v/>
      </c>
      <c r="F997" s="38" t="str">
        <f t="shared" si="254"/>
        <v/>
      </c>
      <c r="G997" s="38" t="str">
        <f t="shared" si="255"/>
        <v/>
      </c>
      <c r="H997" s="38" t="str">
        <f t="shared" si="256"/>
        <v/>
      </c>
    </row>
    <row r="998" spans="1:8" x14ac:dyDescent="0.2">
      <c r="A998" t="str">
        <f t="shared" si="250"/>
        <v/>
      </c>
      <c r="B998" s="38"/>
      <c r="C998" s="38" t="str">
        <f t="shared" si="251"/>
        <v/>
      </c>
      <c r="D998" s="38" t="str">
        <f t="shared" si="252"/>
        <v/>
      </c>
      <c r="E998" s="38" t="str">
        <f t="shared" si="253"/>
        <v/>
      </c>
      <c r="F998" s="38" t="str">
        <f t="shared" si="254"/>
        <v/>
      </c>
      <c r="G998" s="38" t="str">
        <f t="shared" si="255"/>
        <v/>
      </c>
      <c r="H998" s="38" t="str">
        <f t="shared" si="256"/>
        <v/>
      </c>
    </row>
    <row r="999" spans="1:8" x14ac:dyDescent="0.2">
      <c r="A999" t="str">
        <f t="shared" si="250"/>
        <v/>
      </c>
      <c r="B999" s="38"/>
      <c r="C999" s="38" t="str">
        <f t="shared" si="251"/>
        <v/>
      </c>
      <c r="D999" s="38" t="str">
        <f t="shared" si="252"/>
        <v/>
      </c>
      <c r="E999" s="38" t="str">
        <f t="shared" si="253"/>
        <v/>
      </c>
      <c r="F999" s="38" t="str">
        <f t="shared" si="254"/>
        <v/>
      </c>
      <c r="G999" s="38" t="str">
        <f t="shared" si="255"/>
        <v/>
      </c>
      <c r="H999" s="38" t="str">
        <f t="shared" si="256"/>
        <v/>
      </c>
    </row>
    <row r="1000" spans="1:8" x14ac:dyDescent="0.2">
      <c r="A1000" t="str">
        <f t="shared" si="250"/>
        <v/>
      </c>
      <c r="B1000" s="38"/>
      <c r="C1000" s="38" t="str">
        <f t="shared" si="251"/>
        <v/>
      </c>
      <c r="D1000" s="38" t="str">
        <f t="shared" si="252"/>
        <v/>
      </c>
      <c r="E1000" s="38" t="str">
        <f t="shared" si="253"/>
        <v/>
      </c>
      <c r="F1000" s="38" t="str">
        <f t="shared" si="254"/>
        <v/>
      </c>
      <c r="G1000" s="38" t="str">
        <f t="shared" si="255"/>
        <v/>
      </c>
      <c r="H1000" s="38" t="str">
        <f t="shared" si="256"/>
        <v/>
      </c>
    </row>
    <row r="1001" spans="1:8" x14ac:dyDescent="0.2">
      <c r="A1001" t="str">
        <f t="shared" si="250"/>
        <v/>
      </c>
      <c r="B1001" s="38"/>
      <c r="C1001" s="38" t="str">
        <f t="shared" si="251"/>
        <v/>
      </c>
      <c r="D1001" s="38" t="str">
        <f t="shared" si="252"/>
        <v/>
      </c>
      <c r="E1001" s="38" t="str">
        <f t="shared" si="253"/>
        <v/>
      </c>
      <c r="F1001" s="38" t="str">
        <f t="shared" si="254"/>
        <v/>
      </c>
      <c r="G1001" s="38" t="str">
        <f t="shared" si="255"/>
        <v/>
      </c>
      <c r="H1001" s="38" t="str">
        <f t="shared" si="256"/>
        <v/>
      </c>
    </row>
    <row r="1002" spans="1:8" x14ac:dyDescent="0.2">
      <c r="A1002" t="str">
        <f t="shared" si="250"/>
        <v/>
      </c>
      <c r="B1002" s="38"/>
      <c r="C1002" s="38" t="str">
        <f t="shared" si="251"/>
        <v/>
      </c>
      <c r="D1002" s="38" t="str">
        <f t="shared" si="252"/>
        <v/>
      </c>
      <c r="E1002" s="38" t="str">
        <f t="shared" si="253"/>
        <v/>
      </c>
      <c r="F1002" s="38" t="str">
        <f t="shared" si="254"/>
        <v/>
      </c>
      <c r="G1002" s="38" t="str">
        <f t="shared" si="255"/>
        <v/>
      </c>
      <c r="H1002" s="38" t="str">
        <f t="shared" si="256"/>
        <v/>
      </c>
    </row>
    <row r="1003" spans="1:8" x14ac:dyDescent="0.2">
      <c r="A1003" t="str">
        <f t="shared" si="250"/>
        <v/>
      </c>
      <c r="B1003" s="38"/>
      <c r="C1003" s="38" t="str">
        <f t="shared" si="251"/>
        <v/>
      </c>
      <c r="D1003" s="38" t="str">
        <f t="shared" si="252"/>
        <v/>
      </c>
      <c r="E1003" s="38" t="str">
        <f t="shared" si="253"/>
        <v/>
      </c>
      <c r="F1003" s="38" t="str">
        <f t="shared" si="254"/>
        <v/>
      </c>
      <c r="G1003" s="38" t="str">
        <f t="shared" si="255"/>
        <v/>
      </c>
      <c r="H1003" s="38" t="str">
        <f t="shared" si="256"/>
        <v/>
      </c>
    </row>
    <row r="1004" spans="1:8" x14ac:dyDescent="0.2">
      <c r="A1004" t="str">
        <f t="shared" si="250"/>
        <v/>
      </c>
      <c r="B1004" s="38"/>
      <c r="C1004" s="38" t="str">
        <f t="shared" si="251"/>
        <v/>
      </c>
      <c r="D1004" s="38" t="str">
        <f t="shared" si="252"/>
        <v/>
      </c>
      <c r="E1004" s="38" t="str">
        <f t="shared" si="253"/>
        <v/>
      </c>
      <c r="F1004" s="38" t="str">
        <f t="shared" si="254"/>
        <v/>
      </c>
      <c r="G1004" s="38" t="str">
        <f t="shared" si="255"/>
        <v/>
      </c>
      <c r="H1004" s="38" t="str">
        <f t="shared" si="256"/>
        <v/>
      </c>
    </row>
    <row r="1005" spans="1:8" x14ac:dyDescent="0.2">
      <c r="A1005" t="str">
        <f t="shared" si="250"/>
        <v/>
      </c>
      <c r="B1005" s="38"/>
      <c r="C1005" s="38" t="str">
        <f t="shared" si="251"/>
        <v/>
      </c>
      <c r="D1005" s="38" t="str">
        <f t="shared" si="252"/>
        <v/>
      </c>
      <c r="E1005" s="38" t="str">
        <f t="shared" si="253"/>
        <v/>
      </c>
      <c r="F1005" s="38" t="str">
        <f t="shared" si="254"/>
        <v/>
      </c>
      <c r="G1005" s="38" t="str">
        <f t="shared" si="255"/>
        <v/>
      </c>
      <c r="H1005" s="38" t="str">
        <f t="shared" si="256"/>
        <v/>
      </c>
    </row>
    <row r="1006" spans="1:8" x14ac:dyDescent="0.2">
      <c r="A1006" t="str">
        <f t="shared" si="250"/>
        <v/>
      </c>
      <c r="B1006" s="38"/>
      <c r="C1006" s="38" t="str">
        <f t="shared" si="251"/>
        <v/>
      </c>
      <c r="D1006" s="38" t="str">
        <f t="shared" si="252"/>
        <v/>
      </c>
      <c r="E1006" s="38" t="str">
        <f t="shared" si="253"/>
        <v/>
      </c>
      <c r="F1006" s="38" t="str">
        <f t="shared" si="254"/>
        <v/>
      </c>
      <c r="G1006" s="38" t="str">
        <f t="shared" si="255"/>
        <v/>
      </c>
      <c r="H1006" s="38" t="str">
        <f t="shared" si="256"/>
        <v/>
      </c>
    </row>
    <row r="1007" spans="1:8" x14ac:dyDescent="0.2">
      <c r="A1007" t="str">
        <f t="shared" si="250"/>
        <v/>
      </c>
      <c r="B1007" s="38"/>
      <c r="C1007" s="38" t="str">
        <f t="shared" si="251"/>
        <v/>
      </c>
      <c r="D1007" s="38" t="str">
        <f t="shared" si="252"/>
        <v/>
      </c>
      <c r="E1007" s="38" t="str">
        <f t="shared" si="253"/>
        <v/>
      </c>
      <c r="F1007" s="38" t="str">
        <f t="shared" si="254"/>
        <v/>
      </c>
      <c r="G1007" s="38" t="str">
        <f t="shared" si="255"/>
        <v/>
      </c>
      <c r="H1007" s="38" t="str">
        <f t="shared" si="256"/>
        <v/>
      </c>
    </row>
    <row r="1008" spans="1:8" x14ac:dyDescent="0.2">
      <c r="A1008" t="str">
        <f t="shared" si="250"/>
        <v/>
      </c>
      <c r="B1008" s="38"/>
      <c r="C1008" s="38" t="str">
        <f t="shared" si="251"/>
        <v/>
      </c>
      <c r="D1008" s="38" t="str">
        <f t="shared" si="252"/>
        <v/>
      </c>
      <c r="E1008" s="38" t="str">
        <f t="shared" si="253"/>
        <v/>
      </c>
      <c r="F1008" s="38" t="str">
        <f t="shared" si="254"/>
        <v/>
      </c>
      <c r="G1008" s="38" t="str">
        <f t="shared" si="255"/>
        <v/>
      </c>
      <c r="H1008" s="38" t="str">
        <f t="shared" si="256"/>
        <v/>
      </c>
    </row>
    <row r="1009" spans="1:8" x14ac:dyDescent="0.2">
      <c r="A1009" t="str">
        <f t="shared" si="250"/>
        <v/>
      </c>
      <c r="B1009" s="38"/>
      <c r="C1009" s="38" t="str">
        <f t="shared" si="251"/>
        <v/>
      </c>
      <c r="D1009" s="38" t="str">
        <f t="shared" si="252"/>
        <v/>
      </c>
      <c r="E1009" s="38" t="str">
        <f t="shared" si="253"/>
        <v/>
      </c>
      <c r="F1009" s="38" t="str">
        <f t="shared" si="254"/>
        <v/>
      </c>
      <c r="G1009" s="38" t="str">
        <f t="shared" si="255"/>
        <v/>
      </c>
      <c r="H1009" s="38" t="str">
        <f t="shared" si="256"/>
        <v/>
      </c>
    </row>
    <row r="1010" spans="1:8" x14ac:dyDescent="0.2">
      <c r="A1010" t="str">
        <f t="shared" si="250"/>
        <v/>
      </c>
      <c r="B1010" s="38"/>
      <c r="C1010" s="38" t="str">
        <f t="shared" si="251"/>
        <v/>
      </c>
      <c r="D1010" s="38" t="str">
        <f t="shared" si="252"/>
        <v/>
      </c>
      <c r="E1010" s="38" t="str">
        <f t="shared" si="253"/>
        <v/>
      </c>
      <c r="F1010" s="38" t="str">
        <f t="shared" si="254"/>
        <v/>
      </c>
      <c r="G1010" s="38" t="str">
        <f t="shared" si="255"/>
        <v/>
      </c>
      <c r="H1010" s="38" t="str">
        <f t="shared" si="256"/>
        <v/>
      </c>
    </row>
    <row r="1011" spans="1:8" x14ac:dyDescent="0.2">
      <c r="A1011" t="str">
        <f t="shared" si="250"/>
        <v/>
      </c>
      <c r="B1011" s="38"/>
      <c r="C1011" s="38" t="str">
        <f t="shared" si="251"/>
        <v/>
      </c>
      <c r="D1011" s="38" t="str">
        <f t="shared" si="252"/>
        <v/>
      </c>
      <c r="E1011" s="38" t="str">
        <f t="shared" si="253"/>
        <v/>
      </c>
      <c r="F1011" s="38" t="str">
        <f t="shared" si="254"/>
        <v/>
      </c>
      <c r="G1011" s="38" t="str">
        <f t="shared" si="255"/>
        <v/>
      </c>
      <c r="H1011" s="38" t="str">
        <f t="shared" si="256"/>
        <v/>
      </c>
    </row>
    <row r="1012" spans="1:8" x14ac:dyDescent="0.2">
      <c r="A1012" t="str">
        <f t="shared" si="250"/>
        <v/>
      </c>
      <c r="B1012" s="38"/>
      <c r="C1012" s="38" t="str">
        <f t="shared" si="251"/>
        <v/>
      </c>
      <c r="D1012" s="38" t="str">
        <f t="shared" si="252"/>
        <v/>
      </c>
      <c r="E1012" s="38" t="str">
        <f t="shared" si="253"/>
        <v/>
      </c>
      <c r="F1012" s="38" t="str">
        <f t="shared" si="254"/>
        <v/>
      </c>
      <c r="G1012" s="38" t="str">
        <f t="shared" si="255"/>
        <v/>
      </c>
      <c r="H1012" s="38" t="str">
        <f t="shared" si="256"/>
        <v/>
      </c>
    </row>
    <row r="1013" spans="1:8" x14ac:dyDescent="0.2">
      <c r="A1013" t="str">
        <f t="shared" si="250"/>
        <v/>
      </c>
      <c r="B1013" s="38"/>
      <c r="C1013" s="38" t="str">
        <f t="shared" si="251"/>
        <v/>
      </c>
      <c r="D1013" s="38" t="str">
        <f t="shared" si="252"/>
        <v/>
      </c>
      <c r="E1013" s="38" t="str">
        <f t="shared" si="253"/>
        <v/>
      </c>
      <c r="F1013" s="38" t="str">
        <f t="shared" si="254"/>
        <v/>
      </c>
      <c r="G1013" s="38" t="str">
        <f t="shared" si="255"/>
        <v/>
      </c>
      <c r="H1013" s="38" t="str">
        <f t="shared" si="256"/>
        <v/>
      </c>
    </row>
    <row r="1014" spans="1:8" x14ac:dyDescent="0.2">
      <c r="A1014" t="str">
        <f t="shared" si="250"/>
        <v/>
      </c>
      <c r="B1014" s="38"/>
      <c r="C1014" s="38" t="str">
        <f t="shared" si="251"/>
        <v/>
      </c>
      <c r="D1014" s="38" t="str">
        <f t="shared" si="252"/>
        <v/>
      </c>
      <c r="E1014" s="38" t="str">
        <f t="shared" si="253"/>
        <v/>
      </c>
      <c r="F1014" s="38" t="str">
        <f t="shared" si="254"/>
        <v/>
      </c>
      <c r="G1014" s="38" t="str">
        <f t="shared" si="255"/>
        <v/>
      </c>
      <c r="H1014" s="38" t="str">
        <f t="shared" si="256"/>
        <v/>
      </c>
    </row>
    <row r="1015" spans="1:8" x14ac:dyDescent="0.2">
      <c r="A1015" t="str">
        <f t="shared" si="250"/>
        <v/>
      </c>
      <c r="B1015" s="38"/>
      <c r="C1015" s="38" t="str">
        <f t="shared" si="251"/>
        <v/>
      </c>
      <c r="D1015" s="38" t="str">
        <f t="shared" si="252"/>
        <v/>
      </c>
      <c r="E1015" s="38" t="str">
        <f t="shared" si="253"/>
        <v/>
      </c>
      <c r="F1015" s="38" t="str">
        <f t="shared" si="254"/>
        <v/>
      </c>
      <c r="G1015" s="38" t="str">
        <f t="shared" si="255"/>
        <v/>
      </c>
      <c r="H1015" s="38" t="str">
        <f t="shared" si="256"/>
        <v/>
      </c>
    </row>
    <row r="1016" spans="1:8" x14ac:dyDescent="0.2">
      <c r="A1016" t="str">
        <f t="shared" si="250"/>
        <v/>
      </c>
      <c r="B1016" s="38"/>
      <c r="C1016" s="38" t="str">
        <f t="shared" si="251"/>
        <v/>
      </c>
      <c r="D1016" s="38" t="str">
        <f t="shared" si="252"/>
        <v/>
      </c>
      <c r="E1016" s="38" t="str">
        <f t="shared" si="253"/>
        <v/>
      </c>
      <c r="F1016" s="38" t="str">
        <f t="shared" si="254"/>
        <v/>
      </c>
      <c r="G1016" s="38" t="str">
        <f t="shared" si="255"/>
        <v/>
      </c>
      <c r="H1016" s="38" t="str">
        <f t="shared" si="256"/>
        <v/>
      </c>
    </row>
    <row r="1017" spans="1:8" x14ac:dyDescent="0.2">
      <c r="A1017" t="str">
        <f t="shared" si="250"/>
        <v/>
      </c>
      <c r="B1017" s="38"/>
      <c r="C1017" s="38" t="str">
        <f t="shared" si="251"/>
        <v/>
      </c>
      <c r="D1017" s="38" t="str">
        <f t="shared" si="252"/>
        <v/>
      </c>
      <c r="E1017" s="38" t="str">
        <f t="shared" si="253"/>
        <v/>
      </c>
      <c r="F1017" s="38" t="str">
        <f t="shared" si="254"/>
        <v/>
      </c>
      <c r="G1017" s="38" t="str">
        <f t="shared" si="255"/>
        <v/>
      </c>
      <c r="H1017" s="38" t="str">
        <f t="shared" si="256"/>
        <v/>
      </c>
    </row>
    <row r="1018" spans="1:8" x14ac:dyDescent="0.2">
      <c r="A1018" t="str">
        <f t="shared" si="250"/>
        <v/>
      </c>
      <c r="B1018" s="38"/>
      <c r="C1018" s="38" t="str">
        <f t="shared" si="251"/>
        <v/>
      </c>
      <c r="D1018" s="38" t="str">
        <f t="shared" si="252"/>
        <v/>
      </c>
      <c r="E1018" s="38" t="str">
        <f t="shared" si="253"/>
        <v/>
      </c>
      <c r="F1018" s="38" t="str">
        <f t="shared" si="254"/>
        <v/>
      </c>
      <c r="G1018" s="38" t="str">
        <f t="shared" si="255"/>
        <v/>
      </c>
      <c r="H1018" s="38" t="str">
        <f t="shared" si="256"/>
        <v/>
      </c>
    </row>
    <row r="1019" spans="1:8" x14ac:dyDescent="0.2">
      <c r="A1019" t="str">
        <f t="shared" si="250"/>
        <v/>
      </c>
      <c r="B1019" s="38"/>
      <c r="C1019" s="38" t="str">
        <f t="shared" si="251"/>
        <v/>
      </c>
      <c r="D1019" s="38" t="str">
        <f t="shared" si="252"/>
        <v/>
      </c>
      <c r="E1019" s="38" t="str">
        <f t="shared" si="253"/>
        <v/>
      </c>
      <c r="F1019" s="38" t="str">
        <f t="shared" si="254"/>
        <v/>
      </c>
      <c r="G1019" s="38" t="str">
        <f t="shared" si="255"/>
        <v/>
      </c>
      <c r="H1019" s="38" t="str">
        <f t="shared" si="256"/>
        <v/>
      </c>
    </row>
    <row r="1020" spans="1:8" x14ac:dyDescent="0.2">
      <c r="A1020" t="str">
        <f t="shared" si="250"/>
        <v/>
      </c>
      <c r="B1020" s="38"/>
      <c r="C1020" s="38" t="str">
        <f t="shared" si="251"/>
        <v/>
      </c>
      <c r="D1020" s="38" t="str">
        <f t="shared" si="252"/>
        <v/>
      </c>
      <c r="E1020" s="38" t="str">
        <f t="shared" si="253"/>
        <v/>
      </c>
      <c r="F1020" s="38" t="str">
        <f t="shared" si="254"/>
        <v/>
      </c>
      <c r="G1020" s="38" t="str">
        <f t="shared" si="255"/>
        <v/>
      </c>
      <c r="H1020" s="38" t="str">
        <f t="shared" si="256"/>
        <v/>
      </c>
    </row>
    <row r="1021" spans="1:8" x14ac:dyDescent="0.2">
      <c r="A1021" t="str">
        <f t="shared" si="250"/>
        <v/>
      </c>
      <c r="B1021" s="38"/>
      <c r="C1021" s="38" t="str">
        <f t="shared" si="251"/>
        <v/>
      </c>
      <c r="D1021" s="38" t="str">
        <f t="shared" si="252"/>
        <v/>
      </c>
      <c r="E1021" s="38" t="str">
        <f t="shared" si="253"/>
        <v/>
      </c>
      <c r="F1021" s="38" t="str">
        <f t="shared" si="254"/>
        <v/>
      </c>
      <c r="G1021" s="38" t="str">
        <f t="shared" si="255"/>
        <v/>
      </c>
      <c r="H1021" s="38" t="str">
        <f t="shared" si="256"/>
        <v/>
      </c>
    </row>
    <row r="1022" spans="1:8" x14ac:dyDescent="0.2">
      <c r="A1022" t="str">
        <f t="shared" si="250"/>
        <v/>
      </c>
      <c r="B1022" s="38"/>
      <c r="C1022" s="38" t="str">
        <f t="shared" si="251"/>
        <v/>
      </c>
      <c r="D1022" s="38" t="str">
        <f t="shared" si="252"/>
        <v/>
      </c>
      <c r="E1022" s="38" t="str">
        <f t="shared" si="253"/>
        <v/>
      </c>
      <c r="F1022" s="38" t="str">
        <f t="shared" si="254"/>
        <v/>
      </c>
      <c r="G1022" s="38" t="str">
        <f t="shared" si="255"/>
        <v/>
      </c>
      <c r="H1022" s="38" t="str">
        <f t="shared" si="256"/>
        <v/>
      </c>
    </row>
    <row r="1023" spans="1:8" x14ac:dyDescent="0.2">
      <c r="A1023" t="str">
        <f t="shared" si="250"/>
        <v/>
      </c>
      <c r="B1023" s="38"/>
      <c r="C1023" s="38" t="str">
        <f t="shared" si="251"/>
        <v/>
      </c>
      <c r="D1023" s="38" t="str">
        <f t="shared" si="252"/>
        <v/>
      </c>
      <c r="E1023" s="38" t="str">
        <f t="shared" si="253"/>
        <v/>
      </c>
      <c r="F1023" s="38" t="str">
        <f t="shared" si="254"/>
        <v/>
      </c>
      <c r="G1023" s="38" t="str">
        <f t="shared" si="255"/>
        <v/>
      </c>
      <c r="H1023" s="38" t="str">
        <f t="shared" si="256"/>
        <v/>
      </c>
    </row>
    <row r="1024" spans="1:8" x14ac:dyDescent="0.2">
      <c r="A1024" t="str">
        <f t="shared" si="250"/>
        <v/>
      </c>
      <c r="B1024" s="38"/>
      <c r="C1024" s="38" t="str">
        <f t="shared" si="251"/>
        <v/>
      </c>
      <c r="D1024" s="38" t="str">
        <f t="shared" si="252"/>
        <v/>
      </c>
      <c r="E1024" s="38" t="str">
        <f t="shared" si="253"/>
        <v/>
      </c>
      <c r="F1024" s="38" t="str">
        <f t="shared" si="254"/>
        <v/>
      </c>
      <c r="G1024" s="38" t="str">
        <f t="shared" si="255"/>
        <v/>
      </c>
      <c r="H1024" s="38" t="str">
        <f t="shared" si="256"/>
        <v/>
      </c>
    </row>
    <row r="1025" spans="1:8" x14ac:dyDescent="0.2">
      <c r="A1025" t="str">
        <f t="shared" si="250"/>
        <v/>
      </c>
      <c r="B1025" s="38"/>
      <c r="C1025" s="38" t="str">
        <f t="shared" si="251"/>
        <v/>
      </c>
      <c r="D1025" s="38" t="str">
        <f t="shared" si="252"/>
        <v/>
      </c>
      <c r="E1025" s="38" t="str">
        <f t="shared" si="253"/>
        <v/>
      </c>
      <c r="F1025" s="38" t="str">
        <f t="shared" si="254"/>
        <v/>
      </c>
      <c r="G1025" s="38" t="str">
        <f t="shared" si="255"/>
        <v/>
      </c>
      <c r="H1025" s="38" t="str">
        <f t="shared" si="256"/>
        <v/>
      </c>
    </row>
    <row r="1026" spans="1:8" x14ac:dyDescent="0.2">
      <c r="A1026" t="str">
        <f t="shared" si="250"/>
        <v/>
      </c>
      <c r="B1026" s="38"/>
      <c r="C1026" s="38" t="str">
        <f t="shared" si="251"/>
        <v/>
      </c>
      <c r="D1026" s="38" t="str">
        <f t="shared" si="252"/>
        <v/>
      </c>
      <c r="E1026" s="38" t="str">
        <f t="shared" si="253"/>
        <v/>
      </c>
      <c r="F1026" s="38" t="str">
        <f t="shared" si="254"/>
        <v/>
      </c>
      <c r="G1026" s="38" t="str">
        <f t="shared" si="255"/>
        <v/>
      </c>
      <c r="H1026" s="38" t="str">
        <f t="shared" si="256"/>
        <v/>
      </c>
    </row>
    <row r="1027" spans="1:8" x14ac:dyDescent="0.2">
      <c r="A1027" t="str">
        <f t="shared" si="250"/>
        <v/>
      </c>
      <c r="B1027" s="38"/>
      <c r="C1027" s="38" t="str">
        <f t="shared" si="251"/>
        <v/>
      </c>
      <c r="D1027" s="38" t="str">
        <f t="shared" si="252"/>
        <v/>
      </c>
      <c r="E1027" s="38" t="str">
        <f t="shared" si="253"/>
        <v/>
      </c>
      <c r="F1027" s="38" t="str">
        <f t="shared" si="254"/>
        <v/>
      </c>
      <c r="G1027" s="38" t="str">
        <f t="shared" si="255"/>
        <v/>
      </c>
      <c r="H1027" s="38" t="str">
        <f t="shared" si="256"/>
        <v/>
      </c>
    </row>
    <row r="1028" spans="1:8" x14ac:dyDescent="0.2">
      <c r="A1028" t="str">
        <f t="shared" si="250"/>
        <v/>
      </c>
      <c r="B1028" s="38"/>
      <c r="C1028" s="38" t="str">
        <f t="shared" si="251"/>
        <v/>
      </c>
      <c r="D1028" s="38" t="str">
        <f t="shared" si="252"/>
        <v/>
      </c>
      <c r="E1028" s="38" t="str">
        <f t="shared" si="253"/>
        <v/>
      </c>
      <c r="F1028" s="38" t="str">
        <f t="shared" si="254"/>
        <v/>
      </c>
      <c r="G1028" s="38" t="str">
        <f t="shared" si="255"/>
        <v/>
      </c>
      <c r="H1028" s="38" t="str">
        <f t="shared" si="256"/>
        <v/>
      </c>
    </row>
    <row r="1029" spans="1:8" x14ac:dyDescent="0.2">
      <c r="A1029" t="str">
        <f t="shared" si="250"/>
        <v/>
      </c>
      <c r="B1029" s="38"/>
      <c r="C1029" s="38" t="str">
        <f t="shared" si="251"/>
        <v/>
      </c>
      <c r="D1029" s="38" t="str">
        <f t="shared" si="252"/>
        <v/>
      </c>
      <c r="E1029" s="38" t="str">
        <f t="shared" si="253"/>
        <v/>
      </c>
      <c r="F1029" s="38" t="str">
        <f t="shared" si="254"/>
        <v/>
      </c>
      <c r="G1029" s="38" t="str">
        <f t="shared" si="255"/>
        <v/>
      </c>
      <c r="H1029" s="38" t="str">
        <f t="shared" si="256"/>
        <v/>
      </c>
    </row>
    <row r="1030" spans="1:8" x14ac:dyDescent="0.2">
      <c r="A1030" t="str">
        <f t="shared" si="250"/>
        <v/>
      </c>
      <c r="B1030" s="38"/>
      <c r="C1030" s="38" t="str">
        <f t="shared" si="251"/>
        <v/>
      </c>
      <c r="D1030" s="38" t="str">
        <f t="shared" si="252"/>
        <v/>
      </c>
      <c r="E1030" s="38" t="str">
        <f t="shared" si="253"/>
        <v/>
      </c>
      <c r="F1030" s="38" t="str">
        <f t="shared" si="254"/>
        <v/>
      </c>
      <c r="G1030" s="38" t="str">
        <f t="shared" si="255"/>
        <v/>
      </c>
      <c r="H1030" s="38" t="str">
        <f t="shared" si="256"/>
        <v/>
      </c>
    </row>
    <row r="1031" spans="1:8" x14ac:dyDescent="0.2">
      <c r="A1031" t="str">
        <f t="shared" si="250"/>
        <v/>
      </c>
      <c r="B1031" s="38"/>
      <c r="C1031" s="38" t="str">
        <f t="shared" si="251"/>
        <v/>
      </c>
      <c r="D1031" s="38" t="str">
        <f t="shared" si="252"/>
        <v/>
      </c>
      <c r="E1031" s="38" t="str">
        <f t="shared" si="253"/>
        <v/>
      </c>
      <c r="F1031" s="38" t="str">
        <f t="shared" si="254"/>
        <v/>
      </c>
      <c r="G1031" s="38" t="str">
        <f t="shared" si="255"/>
        <v/>
      </c>
      <c r="H1031" s="38" t="str">
        <f t="shared" si="256"/>
        <v/>
      </c>
    </row>
    <row r="1032" spans="1:8" x14ac:dyDescent="0.2">
      <c r="A1032" t="str">
        <f t="shared" si="250"/>
        <v/>
      </c>
      <c r="B1032" s="38"/>
      <c r="C1032" s="38" t="str">
        <f t="shared" si="251"/>
        <v/>
      </c>
      <c r="D1032" s="38" t="str">
        <f t="shared" si="252"/>
        <v/>
      </c>
      <c r="E1032" s="38" t="str">
        <f t="shared" si="253"/>
        <v/>
      </c>
      <c r="F1032" s="38" t="str">
        <f t="shared" si="254"/>
        <v/>
      </c>
      <c r="G1032" s="38" t="str">
        <f t="shared" si="255"/>
        <v/>
      </c>
      <c r="H1032" s="38" t="str">
        <f t="shared" si="256"/>
        <v/>
      </c>
    </row>
    <row r="1033" spans="1:8" x14ac:dyDescent="0.2">
      <c r="A1033" t="str">
        <f t="shared" si="250"/>
        <v/>
      </c>
      <c r="B1033" s="38"/>
      <c r="C1033" s="38" t="str">
        <f t="shared" si="251"/>
        <v/>
      </c>
      <c r="D1033" s="38" t="str">
        <f t="shared" si="252"/>
        <v/>
      </c>
      <c r="E1033" s="38" t="str">
        <f t="shared" si="253"/>
        <v/>
      </c>
      <c r="F1033" s="38" t="str">
        <f t="shared" si="254"/>
        <v/>
      </c>
      <c r="G1033" s="38" t="str">
        <f t="shared" si="255"/>
        <v/>
      </c>
      <c r="H1033" s="38" t="str">
        <f t="shared" si="256"/>
        <v/>
      </c>
    </row>
    <row r="1034" spans="1:8" x14ac:dyDescent="0.2">
      <c r="A1034" t="str">
        <f t="shared" si="250"/>
        <v/>
      </c>
      <c r="B1034" s="38"/>
      <c r="C1034" s="38" t="str">
        <f t="shared" si="251"/>
        <v/>
      </c>
      <c r="D1034" s="38" t="str">
        <f t="shared" si="252"/>
        <v/>
      </c>
      <c r="E1034" s="38" t="str">
        <f t="shared" si="253"/>
        <v/>
      </c>
      <c r="F1034" s="38" t="str">
        <f t="shared" si="254"/>
        <v/>
      </c>
      <c r="G1034" s="38" t="str">
        <f t="shared" si="255"/>
        <v/>
      </c>
      <c r="H1034" s="38" t="str">
        <f t="shared" si="256"/>
        <v/>
      </c>
    </row>
    <row r="1035" spans="1:8" x14ac:dyDescent="0.2">
      <c r="A1035" t="str">
        <f t="shared" si="250"/>
        <v/>
      </c>
      <c r="B1035" s="38"/>
      <c r="C1035" s="38" t="str">
        <f t="shared" si="251"/>
        <v/>
      </c>
      <c r="D1035" s="38" t="str">
        <f t="shared" si="252"/>
        <v/>
      </c>
      <c r="E1035" s="38" t="str">
        <f t="shared" si="253"/>
        <v/>
      </c>
      <c r="F1035" s="38" t="str">
        <f t="shared" si="254"/>
        <v/>
      </c>
      <c r="G1035" s="38" t="str">
        <f t="shared" si="255"/>
        <v/>
      </c>
      <c r="H1035" s="38" t="str">
        <f t="shared" si="256"/>
        <v/>
      </c>
    </row>
    <row r="1036" spans="1:8" x14ac:dyDescent="0.2">
      <c r="A1036" t="str">
        <f t="shared" si="250"/>
        <v/>
      </c>
      <c r="B1036" s="38"/>
      <c r="C1036" s="38" t="str">
        <f t="shared" si="251"/>
        <v/>
      </c>
      <c r="D1036" s="38" t="str">
        <f t="shared" si="252"/>
        <v/>
      </c>
      <c r="E1036" s="38" t="str">
        <f t="shared" si="253"/>
        <v/>
      </c>
      <c r="F1036" s="38" t="str">
        <f t="shared" si="254"/>
        <v/>
      </c>
      <c r="G1036" s="38" t="str">
        <f t="shared" si="255"/>
        <v/>
      </c>
      <c r="H1036" s="38" t="str">
        <f t="shared" si="256"/>
        <v/>
      </c>
    </row>
    <row r="1037" spans="1:8" x14ac:dyDescent="0.2">
      <c r="A1037" t="str">
        <f t="shared" si="250"/>
        <v/>
      </c>
      <c r="B1037" s="38"/>
      <c r="C1037" s="38" t="str">
        <f t="shared" si="251"/>
        <v/>
      </c>
      <c r="D1037" s="38" t="str">
        <f t="shared" si="252"/>
        <v/>
      </c>
      <c r="E1037" s="38" t="str">
        <f t="shared" si="253"/>
        <v/>
      </c>
      <c r="F1037" s="38" t="str">
        <f t="shared" si="254"/>
        <v/>
      </c>
      <c r="G1037" s="38" t="str">
        <f t="shared" si="255"/>
        <v/>
      </c>
      <c r="H1037" s="38" t="str">
        <f t="shared" si="256"/>
        <v/>
      </c>
    </row>
    <row r="1038" spans="1:8" x14ac:dyDescent="0.2">
      <c r="A1038" t="str">
        <f t="shared" si="250"/>
        <v/>
      </c>
      <c r="B1038" s="38"/>
      <c r="C1038" s="38" t="str">
        <f t="shared" si="251"/>
        <v/>
      </c>
      <c r="D1038" s="38" t="str">
        <f t="shared" si="252"/>
        <v/>
      </c>
      <c r="E1038" s="38" t="str">
        <f t="shared" si="253"/>
        <v/>
      </c>
      <c r="F1038" s="38" t="str">
        <f t="shared" si="254"/>
        <v/>
      </c>
      <c r="G1038" s="38" t="str">
        <f t="shared" si="255"/>
        <v/>
      </c>
      <c r="H1038" s="38" t="str">
        <f t="shared" si="256"/>
        <v/>
      </c>
    </row>
    <row r="1039" spans="1:8" x14ac:dyDescent="0.2">
      <c r="A1039" t="str">
        <f t="shared" si="250"/>
        <v/>
      </c>
      <c r="B1039" s="38"/>
      <c r="C1039" s="38" t="str">
        <f t="shared" si="251"/>
        <v/>
      </c>
      <c r="D1039" s="38" t="str">
        <f t="shared" si="252"/>
        <v/>
      </c>
      <c r="E1039" s="38" t="str">
        <f t="shared" si="253"/>
        <v/>
      </c>
      <c r="F1039" s="38" t="str">
        <f t="shared" si="254"/>
        <v/>
      </c>
      <c r="G1039" s="38" t="str">
        <f t="shared" si="255"/>
        <v/>
      </c>
      <c r="H1039" s="38" t="str">
        <f t="shared" si="256"/>
        <v/>
      </c>
    </row>
    <row r="1040" spans="1:8" x14ac:dyDescent="0.2">
      <c r="A1040" t="str">
        <f t="shared" si="250"/>
        <v/>
      </c>
      <c r="B1040" s="38"/>
      <c r="C1040" s="38" t="str">
        <f t="shared" si="251"/>
        <v/>
      </c>
      <c r="D1040" s="38" t="str">
        <f t="shared" si="252"/>
        <v/>
      </c>
      <c r="E1040" s="38" t="str">
        <f t="shared" si="253"/>
        <v/>
      </c>
      <c r="F1040" s="38" t="str">
        <f t="shared" si="254"/>
        <v/>
      </c>
      <c r="G1040" s="38" t="str">
        <f t="shared" si="255"/>
        <v/>
      </c>
      <c r="H1040" s="38" t="str">
        <f t="shared" si="256"/>
        <v/>
      </c>
    </row>
    <row r="1041" spans="1:8" x14ac:dyDescent="0.2">
      <c r="A1041" t="str">
        <f t="shared" si="250"/>
        <v/>
      </c>
      <c r="B1041" s="38"/>
      <c r="C1041" s="38" t="str">
        <f t="shared" si="251"/>
        <v/>
      </c>
      <c r="D1041" s="38" t="str">
        <f t="shared" si="252"/>
        <v/>
      </c>
      <c r="E1041" s="38" t="str">
        <f t="shared" si="253"/>
        <v/>
      </c>
      <c r="F1041" s="38" t="str">
        <f t="shared" si="254"/>
        <v/>
      </c>
      <c r="G1041" s="38" t="str">
        <f t="shared" si="255"/>
        <v/>
      </c>
      <c r="H1041" s="38" t="str">
        <f t="shared" si="256"/>
        <v/>
      </c>
    </row>
    <row r="1042" spans="1:8" x14ac:dyDescent="0.2">
      <c r="A1042" t="str">
        <f t="shared" si="250"/>
        <v/>
      </c>
      <c r="B1042" s="38"/>
      <c r="C1042" s="38" t="str">
        <f t="shared" si="251"/>
        <v/>
      </c>
      <c r="D1042" s="38" t="str">
        <f t="shared" si="252"/>
        <v/>
      </c>
      <c r="E1042" s="38" t="str">
        <f t="shared" si="253"/>
        <v/>
      </c>
      <c r="F1042" s="38" t="str">
        <f t="shared" si="254"/>
        <v/>
      </c>
      <c r="G1042" s="38" t="str">
        <f t="shared" si="255"/>
        <v/>
      </c>
      <c r="H1042" s="38" t="str">
        <f t="shared" si="256"/>
        <v/>
      </c>
    </row>
    <row r="1043" spans="1:8" x14ac:dyDescent="0.2">
      <c r="A1043" t="str">
        <f t="shared" si="250"/>
        <v/>
      </c>
      <c r="B1043" s="38"/>
      <c r="C1043" s="38" t="str">
        <f t="shared" si="251"/>
        <v/>
      </c>
      <c r="D1043" s="38" t="str">
        <f t="shared" si="252"/>
        <v/>
      </c>
      <c r="E1043" s="38" t="str">
        <f t="shared" si="253"/>
        <v/>
      </c>
      <c r="F1043" s="38" t="str">
        <f t="shared" si="254"/>
        <v/>
      </c>
      <c r="G1043" s="38" t="str">
        <f t="shared" si="255"/>
        <v/>
      </c>
      <c r="H1043" s="38" t="str">
        <f t="shared" si="256"/>
        <v/>
      </c>
    </row>
    <row r="1044" spans="1:8" x14ac:dyDescent="0.2">
      <c r="A1044" t="str">
        <f t="shared" si="250"/>
        <v/>
      </c>
      <c r="B1044" s="38"/>
      <c r="C1044" s="38" t="str">
        <f t="shared" si="251"/>
        <v/>
      </c>
      <c r="D1044" s="38" t="str">
        <f t="shared" si="252"/>
        <v/>
      </c>
      <c r="E1044" s="38" t="str">
        <f t="shared" si="253"/>
        <v/>
      </c>
      <c r="F1044" s="38" t="str">
        <f t="shared" si="254"/>
        <v/>
      </c>
      <c r="G1044" s="38" t="str">
        <f t="shared" si="255"/>
        <v/>
      </c>
      <c r="H1044" s="38" t="str">
        <f t="shared" si="256"/>
        <v/>
      </c>
    </row>
    <row r="1045" spans="1:8" x14ac:dyDescent="0.2">
      <c r="A1045" t="str">
        <f t="shared" si="250"/>
        <v/>
      </c>
      <c r="B1045" s="38"/>
      <c r="C1045" s="38" t="str">
        <f t="shared" si="251"/>
        <v/>
      </c>
      <c r="D1045" s="38"/>
      <c r="E1045" s="38"/>
      <c r="F1045" s="38"/>
      <c r="G1045" s="38"/>
      <c r="H1045" s="38"/>
    </row>
    <row r="1046" spans="1:8" x14ac:dyDescent="0.2">
      <c r="A1046" t="str">
        <f t="shared" si="250"/>
        <v/>
      </c>
      <c r="B1046" s="38"/>
      <c r="C1046" s="38" t="str">
        <f t="shared" si="251"/>
        <v/>
      </c>
      <c r="D1046" s="38"/>
      <c r="E1046" s="38"/>
      <c r="F1046" s="38"/>
      <c r="G1046" s="38"/>
      <c r="H1046" s="38"/>
    </row>
    <row r="1047" spans="1:8" x14ac:dyDescent="0.2">
      <c r="A1047" t="str">
        <f t="shared" si="250"/>
        <v/>
      </c>
      <c r="B1047" s="38"/>
      <c r="C1047" s="38"/>
      <c r="D1047" s="38"/>
      <c r="E1047" s="38"/>
      <c r="F1047" s="38"/>
      <c r="G1047" s="38"/>
      <c r="H1047" s="38"/>
    </row>
    <row r="1048" spans="1:8" x14ac:dyDescent="0.2">
      <c r="A1048" t="str">
        <f t="shared" ref="A1048:A1050" si="257">IF(A1047&lt;($B$6*$B$7),A1047+1,"")</f>
        <v/>
      </c>
      <c r="B1048" s="38"/>
      <c r="C1048" s="38"/>
      <c r="D1048" s="38"/>
      <c r="E1048" s="38"/>
      <c r="F1048" s="38"/>
      <c r="G1048" s="38"/>
      <c r="H1048" s="38"/>
    </row>
    <row r="1049" spans="1:8" x14ac:dyDescent="0.2">
      <c r="A1049" t="str">
        <f t="shared" si="257"/>
        <v/>
      </c>
      <c r="B1049" s="38"/>
      <c r="C1049" s="38"/>
      <c r="D1049" s="38"/>
      <c r="E1049" s="38"/>
      <c r="F1049" s="38"/>
      <c r="G1049" s="38"/>
      <c r="H1049" s="38"/>
    </row>
    <row r="1050" spans="1:8" x14ac:dyDescent="0.2">
      <c r="A1050" t="str">
        <f t="shared" si="257"/>
        <v/>
      </c>
      <c r="B1050" s="38"/>
      <c r="C1050" s="38"/>
      <c r="D1050" s="38"/>
      <c r="E1050" s="38"/>
      <c r="F1050" s="38"/>
      <c r="G1050" s="38"/>
      <c r="H1050" s="38"/>
    </row>
    <row r="1051" spans="1:8" x14ac:dyDescent="0.2">
      <c r="A1051" s="38"/>
      <c r="B1051" s="38"/>
      <c r="C1051" s="38"/>
      <c r="D1051" s="38"/>
      <c r="E1051" s="38"/>
      <c r="F1051" s="38"/>
      <c r="G1051" s="38"/>
      <c r="H1051" s="38"/>
    </row>
    <row r="1052" spans="1:8" x14ac:dyDescent="0.2">
      <c r="A1052" s="38"/>
      <c r="B1052" s="38"/>
      <c r="C1052" s="38"/>
      <c r="D1052" s="38"/>
      <c r="E1052" s="38"/>
      <c r="F1052" s="38"/>
      <c r="G1052" s="38"/>
      <c r="H1052" s="38"/>
    </row>
    <row r="1053" spans="1:8" x14ac:dyDescent="0.2">
      <c r="A1053" s="38"/>
      <c r="B1053" s="38"/>
      <c r="C1053" s="38"/>
      <c r="D1053" s="38"/>
      <c r="E1053" s="38"/>
      <c r="F1053" s="38"/>
      <c r="G1053" s="38"/>
      <c r="H1053" s="38"/>
    </row>
    <row r="1054" spans="1:8" x14ac:dyDescent="0.2">
      <c r="A1054" s="38"/>
      <c r="B1054" s="38"/>
      <c r="C1054" s="38"/>
      <c r="D1054" s="38"/>
      <c r="E1054" s="38"/>
      <c r="F1054" s="38"/>
      <c r="G1054" s="38"/>
      <c r="H1054" s="38"/>
    </row>
    <row r="1055" spans="1:8" x14ac:dyDescent="0.2">
      <c r="A1055" s="38"/>
      <c r="B1055" s="38"/>
      <c r="C1055" s="38"/>
      <c r="D1055" s="38"/>
      <c r="E1055" s="38"/>
      <c r="F1055" s="38"/>
      <c r="G1055" s="38"/>
      <c r="H1055" s="38"/>
    </row>
    <row r="1056" spans="1:8" x14ac:dyDescent="0.2">
      <c r="A1056" s="38"/>
      <c r="B1056" s="38"/>
      <c r="C1056" s="38"/>
      <c r="D1056" s="38"/>
      <c r="E1056" s="38"/>
      <c r="F1056" s="38"/>
      <c r="G1056" s="38"/>
      <c r="H1056" s="38"/>
    </row>
    <row r="1057" spans="1:8" x14ac:dyDescent="0.2">
      <c r="A1057" s="38"/>
      <c r="B1057" s="38"/>
      <c r="C1057" s="38"/>
      <c r="D1057" s="38"/>
      <c r="E1057" s="38"/>
      <c r="F1057" s="38"/>
      <c r="G1057" s="38"/>
      <c r="H1057" s="38"/>
    </row>
    <row r="1058" spans="1:8" x14ac:dyDescent="0.2">
      <c r="A1058" s="38"/>
      <c r="B1058" s="38"/>
      <c r="C1058" s="38"/>
      <c r="D1058" s="38"/>
      <c r="E1058" s="38"/>
      <c r="F1058" s="38"/>
      <c r="G1058" s="38"/>
      <c r="H1058" s="38"/>
    </row>
    <row r="1059" spans="1:8" x14ac:dyDescent="0.2">
      <c r="A1059" s="38"/>
      <c r="B1059" s="38"/>
      <c r="C1059" s="38"/>
      <c r="D1059" s="38"/>
      <c r="E1059" s="38"/>
      <c r="F1059" s="38"/>
      <c r="G1059" s="38"/>
      <c r="H1059" s="38"/>
    </row>
    <row r="1060" spans="1:8" x14ac:dyDescent="0.2">
      <c r="A1060" s="38"/>
      <c r="B1060" s="38"/>
      <c r="C1060" s="38"/>
      <c r="D1060" s="38"/>
      <c r="E1060" s="38"/>
      <c r="F1060" s="38"/>
      <c r="G1060" s="38"/>
      <c r="H1060" s="38"/>
    </row>
    <row r="1061" spans="1:8" x14ac:dyDescent="0.2">
      <c r="A1061" s="38"/>
      <c r="B1061" s="38"/>
      <c r="C1061" s="38"/>
      <c r="D1061" s="38"/>
      <c r="E1061" s="38"/>
      <c r="F1061" s="38"/>
      <c r="G1061" s="38"/>
      <c r="H1061" s="38"/>
    </row>
    <row r="1062" spans="1:8" x14ac:dyDescent="0.2">
      <c r="A1062" s="38"/>
      <c r="B1062" s="38"/>
      <c r="C1062" s="38"/>
      <c r="D1062" s="38"/>
      <c r="E1062" s="38"/>
      <c r="F1062" s="38"/>
      <c r="G1062" s="38"/>
      <c r="H1062" s="38"/>
    </row>
    <row r="1063" spans="1:8" x14ac:dyDescent="0.2">
      <c r="A1063" s="38"/>
      <c r="B1063" s="38"/>
      <c r="C1063" s="38"/>
      <c r="D1063" s="38"/>
      <c r="E1063" s="38"/>
      <c r="F1063" s="38"/>
      <c r="G1063" s="38"/>
      <c r="H1063" s="38"/>
    </row>
    <row r="1064" spans="1:8" x14ac:dyDescent="0.2">
      <c r="A1064" s="38"/>
      <c r="B1064" s="38"/>
      <c r="C1064" s="38"/>
      <c r="D1064" s="38"/>
      <c r="E1064" s="38"/>
      <c r="F1064" s="38"/>
      <c r="G1064" s="38"/>
      <c r="H1064" s="38"/>
    </row>
    <row r="1065" spans="1:8" x14ac:dyDescent="0.2">
      <c r="A1065" s="38"/>
      <c r="B1065" s="38"/>
      <c r="C1065" s="38"/>
      <c r="D1065" s="38"/>
      <c r="E1065" s="38"/>
      <c r="F1065" s="38"/>
      <c r="G1065" s="38"/>
      <c r="H1065" s="38"/>
    </row>
    <row r="1066" spans="1:8" x14ac:dyDescent="0.2">
      <c r="A1066" s="38"/>
      <c r="B1066" s="38"/>
      <c r="C1066" s="38"/>
      <c r="D1066" s="38"/>
      <c r="E1066" s="38"/>
      <c r="F1066" s="38"/>
      <c r="G1066" s="38"/>
      <c r="H1066" s="38"/>
    </row>
    <row r="1067" spans="1:8" x14ac:dyDescent="0.2">
      <c r="A1067" s="38"/>
      <c r="B1067" s="38"/>
      <c r="C1067" s="38"/>
      <c r="D1067" s="38"/>
      <c r="E1067" s="38"/>
      <c r="F1067" s="38"/>
      <c r="G1067" s="38"/>
      <c r="H1067" s="38"/>
    </row>
    <row r="1068" spans="1:8" x14ac:dyDescent="0.2">
      <c r="A1068" s="38"/>
      <c r="B1068" s="38"/>
      <c r="C1068" s="38"/>
      <c r="D1068" s="38"/>
      <c r="E1068" s="38"/>
      <c r="F1068" s="38"/>
      <c r="G1068" s="38"/>
      <c r="H1068" s="38"/>
    </row>
    <row r="1069" spans="1:8" x14ac:dyDescent="0.2">
      <c r="A1069" s="38"/>
      <c r="B1069" s="38"/>
      <c r="C1069" s="38"/>
      <c r="D1069" s="38"/>
      <c r="E1069" s="38"/>
      <c r="F1069" s="38"/>
      <c r="G1069" s="38"/>
      <c r="H1069" s="38"/>
    </row>
    <row r="1070" spans="1:8" x14ac:dyDescent="0.2">
      <c r="A1070" s="38"/>
      <c r="B1070" s="38"/>
      <c r="C1070" s="38"/>
      <c r="D1070" s="38"/>
      <c r="E1070" s="38"/>
      <c r="F1070" s="38"/>
      <c r="G1070" s="38"/>
      <c r="H1070" s="38"/>
    </row>
    <row r="1071" spans="1:8" x14ac:dyDescent="0.2">
      <c r="A1071" s="38"/>
      <c r="B1071" s="38"/>
      <c r="C1071" s="38"/>
      <c r="D1071" s="38"/>
      <c r="E1071" s="38"/>
      <c r="F1071" s="38"/>
      <c r="G1071" s="38"/>
      <c r="H1071" s="38"/>
    </row>
    <row r="1072" spans="1:8" x14ac:dyDescent="0.2">
      <c r="A1072" s="38"/>
      <c r="B1072" s="38"/>
      <c r="C1072" s="38"/>
      <c r="D1072" s="38"/>
      <c r="E1072" s="38"/>
      <c r="F1072" s="38"/>
      <c r="G1072" s="38"/>
      <c r="H1072" s="38"/>
    </row>
    <row r="1073" spans="1:8" x14ac:dyDescent="0.2">
      <c r="A1073" s="38"/>
      <c r="B1073" s="38"/>
      <c r="C1073" s="38"/>
      <c r="D1073" s="38"/>
      <c r="E1073" s="38"/>
      <c r="F1073" s="38"/>
      <c r="G1073" s="38"/>
      <c r="H1073" s="38"/>
    </row>
    <row r="1074" spans="1:8" x14ac:dyDescent="0.2">
      <c r="A1074" s="38"/>
      <c r="B1074" s="38"/>
      <c r="C1074" s="38"/>
      <c r="D1074" s="38"/>
      <c r="E1074" s="38"/>
      <c r="F1074" s="38"/>
      <c r="G1074" s="38"/>
      <c r="H1074" s="38"/>
    </row>
    <row r="1075" spans="1:8" x14ac:dyDescent="0.2">
      <c r="A1075" s="38"/>
      <c r="B1075" s="38"/>
      <c r="C1075" s="38"/>
      <c r="D1075" s="38"/>
      <c r="E1075" s="38"/>
      <c r="F1075" s="38"/>
      <c r="G1075" s="38"/>
      <c r="H1075" s="38"/>
    </row>
    <row r="1076" spans="1:8" x14ac:dyDescent="0.2">
      <c r="A1076" s="38"/>
      <c r="B1076" s="38"/>
      <c r="C1076" s="38"/>
      <c r="D1076" s="38"/>
      <c r="E1076" s="38"/>
      <c r="F1076" s="38"/>
      <c r="G1076" s="38"/>
      <c r="H1076" s="38"/>
    </row>
    <row r="1077" spans="1:8" x14ac:dyDescent="0.2">
      <c r="A1077" s="38"/>
      <c r="B1077" s="38"/>
      <c r="C1077" s="38"/>
      <c r="D1077" s="38"/>
      <c r="E1077" s="38"/>
      <c r="F1077" s="38"/>
      <c r="G1077" s="38"/>
      <c r="H1077" s="38"/>
    </row>
    <row r="1078" spans="1:8" x14ac:dyDescent="0.2">
      <c r="A1078" s="38"/>
      <c r="B1078" s="38"/>
      <c r="C1078" s="38"/>
      <c r="D1078" s="38"/>
      <c r="E1078" s="38"/>
      <c r="F1078" s="38"/>
      <c r="G1078" s="38"/>
      <c r="H1078" s="38"/>
    </row>
    <row r="1079" spans="1:8" x14ac:dyDescent="0.2">
      <c r="A1079" s="38"/>
      <c r="B1079" s="38"/>
      <c r="C1079" s="38"/>
      <c r="D1079" s="38"/>
      <c r="E1079" s="38"/>
      <c r="F1079" s="38"/>
      <c r="G1079" s="38"/>
      <c r="H1079" s="38"/>
    </row>
    <row r="1080" spans="1:8" x14ac:dyDescent="0.2">
      <c r="A1080" s="38"/>
      <c r="B1080" s="38"/>
      <c r="C1080" s="38"/>
      <c r="D1080" s="38"/>
      <c r="E1080" s="38"/>
      <c r="F1080" s="38"/>
      <c r="G1080" s="38"/>
      <c r="H1080" s="38"/>
    </row>
    <row r="1081" spans="1:8" x14ac:dyDescent="0.2">
      <c r="A1081" s="38"/>
      <c r="B1081" s="38"/>
      <c r="C1081" s="38"/>
      <c r="D1081" s="38"/>
      <c r="E1081" s="38"/>
      <c r="F1081" s="38"/>
      <c r="G1081" s="38"/>
      <c r="H1081" s="38"/>
    </row>
    <row r="1082" spans="1:8" x14ac:dyDescent="0.2">
      <c r="A1082" s="38"/>
      <c r="B1082" s="38"/>
      <c r="C1082" s="38"/>
      <c r="D1082" s="38"/>
      <c r="E1082" s="38"/>
      <c r="F1082" s="38"/>
      <c r="G1082" s="38"/>
      <c r="H1082" s="38"/>
    </row>
    <row r="1083" spans="1:8" x14ac:dyDescent="0.2">
      <c r="A1083" s="38"/>
      <c r="B1083" s="38"/>
      <c r="C1083" s="38"/>
      <c r="D1083" s="38"/>
      <c r="E1083" s="38"/>
      <c r="F1083" s="38"/>
      <c r="G1083" s="38"/>
      <c r="H1083" s="38"/>
    </row>
    <row r="1084" spans="1:8" x14ac:dyDescent="0.2">
      <c r="A1084" s="38"/>
      <c r="B1084" s="38"/>
      <c r="C1084" s="38"/>
      <c r="D1084" s="38"/>
      <c r="E1084" s="38"/>
      <c r="F1084" s="38"/>
      <c r="G1084" s="38"/>
      <c r="H1084" s="38"/>
    </row>
    <row r="1085" spans="1:8" x14ac:dyDescent="0.2">
      <c r="A1085" s="38"/>
      <c r="B1085" s="38"/>
      <c r="C1085" s="38"/>
      <c r="D1085" s="38"/>
      <c r="E1085" s="38"/>
      <c r="F1085" s="38"/>
      <c r="G1085" s="38"/>
      <c r="H1085" s="38"/>
    </row>
    <row r="1086" spans="1:8" x14ac:dyDescent="0.2">
      <c r="A1086" s="38"/>
      <c r="B1086" s="38"/>
      <c r="C1086" s="38"/>
      <c r="D1086" s="38"/>
      <c r="E1086" s="38"/>
      <c r="F1086" s="38"/>
      <c r="G1086" s="38"/>
      <c r="H1086" s="38"/>
    </row>
    <row r="1087" spans="1:8" x14ac:dyDescent="0.2">
      <c r="A1087" s="38"/>
      <c r="B1087" s="38"/>
      <c r="C1087" s="38"/>
      <c r="D1087" s="38"/>
      <c r="E1087" s="38"/>
      <c r="F1087" s="38"/>
      <c r="G1087" s="38"/>
      <c r="H1087" s="38"/>
    </row>
    <row r="1088" spans="1:8" x14ac:dyDescent="0.2">
      <c r="A1088" s="38"/>
      <c r="B1088" s="38"/>
      <c r="C1088" s="38"/>
      <c r="D1088" s="38"/>
      <c r="E1088" s="38"/>
      <c r="F1088" s="38"/>
      <c r="G1088" s="38"/>
      <c r="H1088" s="38"/>
    </row>
    <row r="1089" spans="1:8" x14ac:dyDescent="0.2">
      <c r="A1089" s="38"/>
      <c r="B1089" s="38"/>
      <c r="C1089" s="38"/>
      <c r="D1089" s="38"/>
      <c r="E1089" s="38"/>
      <c r="F1089" s="38"/>
      <c r="G1089" s="38"/>
      <c r="H1089" s="38"/>
    </row>
    <row r="1090" spans="1:8" x14ac:dyDescent="0.2">
      <c r="A1090" s="38"/>
      <c r="B1090" s="38"/>
      <c r="C1090" s="38"/>
      <c r="D1090" s="38"/>
      <c r="E1090" s="38"/>
      <c r="F1090" s="38"/>
      <c r="G1090" s="38"/>
      <c r="H1090" s="38"/>
    </row>
    <row r="1091" spans="1:8" x14ac:dyDescent="0.2">
      <c r="A1091" s="38"/>
      <c r="B1091" s="38"/>
      <c r="C1091" s="38"/>
      <c r="D1091" s="38"/>
      <c r="E1091" s="38"/>
      <c r="F1091" s="38"/>
      <c r="G1091" s="38"/>
      <c r="H1091" s="38"/>
    </row>
    <row r="1092" spans="1:8" x14ac:dyDescent="0.2">
      <c r="A1092" s="38"/>
      <c r="B1092" s="38"/>
      <c r="C1092" s="38"/>
      <c r="D1092" s="38"/>
      <c r="E1092" s="38"/>
      <c r="F1092" s="38"/>
      <c r="G1092" s="38"/>
      <c r="H1092" s="38"/>
    </row>
    <row r="1093" spans="1:8" x14ac:dyDescent="0.2">
      <c r="A1093" s="38"/>
      <c r="B1093" s="38"/>
      <c r="C1093" s="38"/>
      <c r="D1093" s="38"/>
      <c r="E1093" s="38"/>
      <c r="F1093" s="38"/>
      <c r="G1093" s="38"/>
      <c r="H1093" s="38"/>
    </row>
    <row r="1094" spans="1:8" x14ac:dyDescent="0.2">
      <c r="A1094" s="38"/>
      <c r="B1094" s="38"/>
      <c r="C1094" s="38"/>
      <c r="D1094" s="38"/>
      <c r="E1094" s="38"/>
      <c r="F1094" s="38"/>
      <c r="G1094" s="38"/>
      <c r="H1094" s="38"/>
    </row>
    <row r="1095" spans="1:8" x14ac:dyDescent="0.2">
      <c r="A1095" s="38"/>
      <c r="B1095" s="38"/>
      <c r="C1095" s="38"/>
      <c r="D1095" s="38"/>
      <c r="E1095" s="38"/>
      <c r="F1095" s="38"/>
      <c r="G1095" s="38"/>
      <c r="H1095" s="38"/>
    </row>
    <row r="1096" spans="1:8" x14ac:dyDescent="0.2">
      <c r="A1096" s="38"/>
      <c r="B1096" s="38"/>
      <c r="C1096" s="38"/>
      <c r="D1096" s="38"/>
      <c r="E1096" s="38"/>
      <c r="F1096" s="38"/>
      <c r="G1096" s="38"/>
      <c r="H1096" s="38"/>
    </row>
    <row r="1097" spans="1:8" x14ac:dyDescent="0.2">
      <c r="A1097" s="38"/>
      <c r="B1097" s="38"/>
      <c r="C1097" s="38"/>
      <c r="D1097" s="38"/>
      <c r="E1097" s="38"/>
      <c r="F1097" s="38"/>
      <c r="G1097" s="38"/>
      <c r="H1097" s="38"/>
    </row>
    <row r="1098" spans="1:8" x14ac:dyDescent="0.2">
      <c r="A1098" s="38"/>
      <c r="B1098" s="38"/>
      <c r="C1098" s="38"/>
      <c r="D1098" s="38"/>
      <c r="E1098" s="38"/>
      <c r="F1098" s="38"/>
      <c r="G1098" s="38"/>
      <c r="H1098" s="38"/>
    </row>
    <row r="1099" spans="1:8" x14ac:dyDescent="0.2">
      <c r="A1099" s="38"/>
      <c r="B1099" s="38"/>
      <c r="C1099" s="38"/>
      <c r="D1099" s="38"/>
      <c r="E1099" s="38"/>
      <c r="F1099" s="38"/>
      <c r="G1099" s="38"/>
      <c r="H1099" s="38"/>
    </row>
    <row r="1100" spans="1:8" x14ac:dyDescent="0.2">
      <c r="A1100" s="38"/>
      <c r="B1100" s="38"/>
      <c r="C1100" s="38"/>
      <c r="D1100" s="38"/>
      <c r="E1100" s="38"/>
      <c r="F1100" s="38"/>
      <c r="G1100" s="38"/>
      <c r="H1100" s="38"/>
    </row>
    <row r="1101" spans="1:8" x14ac:dyDescent="0.2">
      <c r="A1101" s="38"/>
      <c r="B1101" s="38"/>
      <c r="C1101" s="38"/>
      <c r="D1101" s="38"/>
      <c r="E1101" s="38"/>
      <c r="F1101" s="38"/>
      <c r="G1101" s="38"/>
      <c r="H1101" s="38"/>
    </row>
    <row r="1102" spans="1:8" x14ac:dyDescent="0.2">
      <c r="A1102" s="38"/>
      <c r="B1102" s="38"/>
      <c r="C1102" s="38"/>
      <c r="D1102" s="38"/>
      <c r="E1102" s="38"/>
      <c r="F1102" s="38"/>
      <c r="G1102" s="38"/>
      <c r="H1102" s="38"/>
    </row>
    <row r="1103" spans="1:8" x14ac:dyDescent="0.2">
      <c r="A1103" s="38"/>
      <c r="B1103" s="38"/>
      <c r="C1103" s="38"/>
      <c r="D1103" s="38"/>
      <c r="E1103" s="38"/>
      <c r="F1103" s="38"/>
      <c r="G1103" s="38"/>
      <c r="H1103" s="38"/>
    </row>
    <row r="1104" spans="1:8" x14ac:dyDescent="0.2">
      <c r="A1104" s="38"/>
      <c r="B1104" s="38"/>
      <c r="C1104" s="38"/>
      <c r="D1104" s="38"/>
      <c r="E1104" s="38"/>
      <c r="F1104" s="38"/>
      <c r="G1104" s="38"/>
      <c r="H1104" s="38"/>
    </row>
    <row r="1105" spans="1:8" x14ac:dyDescent="0.2">
      <c r="A1105" s="38"/>
      <c r="B1105" s="38"/>
      <c r="C1105" s="38"/>
      <c r="D1105" s="38"/>
      <c r="E1105" s="38"/>
      <c r="F1105" s="38"/>
      <c r="G1105" s="38"/>
      <c r="H1105" s="38"/>
    </row>
    <row r="1106" spans="1:8" x14ac:dyDescent="0.2">
      <c r="A1106" s="38"/>
      <c r="B1106" s="38"/>
      <c r="C1106" s="38"/>
      <c r="D1106" s="38"/>
      <c r="E1106" s="38"/>
      <c r="F1106" s="38"/>
      <c r="G1106" s="38"/>
      <c r="H1106" s="38"/>
    </row>
    <row r="1107" spans="1:8" x14ac:dyDescent="0.2">
      <c r="A1107" s="38"/>
      <c r="B1107" s="38"/>
      <c r="C1107" s="38"/>
      <c r="D1107" s="38"/>
      <c r="E1107" s="38"/>
      <c r="F1107" s="38"/>
      <c r="G1107" s="38"/>
      <c r="H1107" s="38"/>
    </row>
    <row r="1108" spans="1:8" x14ac:dyDescent="0.2">
      <c r="A1108" s="38"/>
      <c r="B1108" s="38"/>
      <c r="C1108" s="38"/>
      <c r="D1108" s="38"/>
      <c r="E1108" s="38"/>
      <c r="F1108" s="38"/>
      <c r="G1108" s="38"/>
      <c r="H1108" s="38"/>
    </row>
    <row r="1109" spans="1:8" x14ac:dyDescent="0.2">
      <c r="A1109" s="38"/>
      <c r="B1109" s="38"/>
      <c r="C1109" s="38"/>
      <c r="D1109" s="38"/>
      <c r="E1109" s="38"/>
      <c r="F1109" s="38"/>
      <c r="G1109" s="38"/>
      <c r="H1109" s="38"/>
    </row>
    <row r="1110" spans="1:8" x14ac:dyDescent="0.2">
      <c r="A1110" s="38"/>
      <c r="B1110" s="38"/>
      <c r="C1110" s="38"/>
      <c r="D1110" s="38"/>
      <c r="E1110" s="38"/>
      <c r="F1110" s="38"/>
      <c r="G1110" s="38"/>
      <c r="H1110" s="38"/>
    </row>
    <row r="1111" spans="1:8" x14ac:dyDescent="0.2">
      <c r="A1111" s="38"/>
      <c r="B1111" s="38"/>
      <c r="C1111" s="38"/>
      <c r="D1111" s="38"/>
      <c r="E1111" s="38"/>
      <c r="F1111" s="38"/>
      <c r="G1111" s="38"/>
      <c r="H1111" s="38"/>
    </row>
    <row r="1112" spans="1:8" x14ac:dyDescent="0.2">
      <c r="A1112" s="38"/>
      <c r="B1112" s="38"/>
      <c r="C1112" s="38"/>
      <c r="D1112" s="38"/>
      <c r="E1112" s="38"/>
      <c r="F1112" s="38"/>
      <c r="G1112" s="38"/>
      <c r="H1112" s="38"/>
    </row>
    <row r="1113" spans="1:8" x14ac:dyDescent="0.2">
      <c r="A1113" s="38"/>
      <c r="B1113" s="38"/>
      <c r="C1113" s="38"/>
      <c r="D1113" s="38"/>
      <c r="E1113" s="38"/>
      <c r="F1113" s="38"/>
      <c r="G1113" s="38"/>
      <c r="H1113" s="38"/>
    </row>
    <row r="1114" spans="1:8" x14ac:dyDescent="0.2">
      <c r="A1114" s="38"/>
      <c r="B1114" s="38"/>
      <c r="C1114" s="38"/>
      <c r="D1114" s="38"/>
      <c r="E1114" s="38"/>
      <c r="F1114" s="38"/>
      <c r="G1114" s="38"/>
      <c r="H1114" s="38"/>
    </row>
    <row r="1115" spans="1:8" x14ac:dyDescent="0.2">
      <c r="A1115" s="38"/>
      <c r="B1115" s="38"/>
      <c r="C1115" s="38"/>
      <c r="D1115" s="38"/>
      <c r="E1115" s="38"/>
      <c r="F1115" s="38"/>
      <c r="G1115" s="38"/>
      <c r="H1115" s="38"/>
    </row>
    <row r="1116" spans="1:8" x14ac:dyDescent="0.2">
      <c r="A1116" s="38"/>
      <c r="B1116" s="38"/>
      <c r="C1116" s="38"/>
      <c r="D1116" s="38"/>
      <c r="E1116" s="38"/>
      <c r="F1116" s="38"/>
      <c r="G1116" s="38"/>
      <c r="H1116" s="38"/>
    </row>
    <row r="1117" spans="1:8" x14ac:dyDescent="0.2">
      <c r="A1117" s="38"/>
      <c r="B1117" s="38"/>
      <c r="C1117" s="38"/>
      <c r="D1117" s="38"/>
      <c r="E1117" s="38"/>
      <c r="F1117" s="38"/>
      <c r="G1117" s="38"/>
      <c r="H1117" s="38"/>
    </row>
    <row r="1118" spans="1:8" x14ac:dyDescent="0.2">
      <c r="A1118" s="38"/>
      <c r="B1118" s="38"/>
      <c r="C1118" s="38"/>
      <c r="D1118" s="38"/>
      <c r="E1118" s="38"/>
      <c r="F1118" s="38"/>
      <c r="G1118" s="38"/>
      <c r="H1118" s="38"/>
    </row>
    <row r="1119" spans="1:8" x14ac:dyDescent="0.2">
      <c r="A1119" s="38"/>
      <c r="B1119" s="38"/>
      <c r="C1119" s="38"/>
      <c r="D1119" s="38"/>
      <c r="E1119" s="38"/>
      <c r="F1119" s="38"/>
      <c r="G1119" s="38"/>
      <c r="H1119" s="38"/>
    </row>
    <row r="1120" spans="1:8" x14ac:dyDescent="0.2">
      <c r="A1120" s="38"/>
      <c r="B1120" s="38"/>
      <c r="C1120" s="38"/>
      <c r="D1120" s="38"/>
      <c r="E1120" s="38"/>
      <c r="F1120" s="38"/>
      <c r="G1120" s="38"/>
      <c r="H1120" s="38"/>
    </row>
  </sheetData>
  <mergeCells count="8">
    <mergeCell ref="AF18:AG18"/>
    <mergeCell ref="AI18:AJ18"/>
    <mergeCell ref="A20:H20"/>
    <mergeCell ref="L20:T20"/>
    <mergeCell ref="A3:B3"/>
    <mergeCell ref="A1:K1"/>
    <mergeCell ref="E3:I3"/>
    <mergeCell ref="M1:R1"/>
  </mergeCells>
  <dataValidations count="2">
    <dataValidation type="list" allowBlank="1" showInputMessage="1" showErrorMessage="1" sqref="F4" xr:uid="{8CBF3DE5-1A96-437A-BF4C-A7D1ADFB8FF1}">
      <formula1>$AE$2:$AE$3</formula1>
    </dataValidation>
    <dataValidation type="list" allowBlank="1" showInputMessage="1" showErrorMessage="1" sqref="I4" xr:uid="{C36CCF97-CA1B-4F1F-96AB-7C25A3A28FC2}">
      <formula1>$AD$2:$AD$11</formula1>
    </dataValidation>
  </dataValidations>
  <pageMargins left="0.7" right="0.7" top="0.75" bottom="0.75" header="0.3" footer="0.3"/>
  <pageSetup paperSize="9" orientation="portrait" horizontalDpi="300" verticalDpi="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29C14-48CF-40D1-9DB4-59E25186226E}">
  <dimension ref="A1:T18"/>
  <sheetViews>
    <sheetView workbookViewId="0">
      <selection activeCell="E24" sqref="E24"/>
    </sheetView>
  </sheetViews>
  <sheetFormatPr baseColWidth="10" defaultColWidth="8.83203125" defaultRowHeight="15" x14ac:dyDescent="0.2"/>
  <cols>
    <col min="1" max="1" width="30.5" customWidth="1"/>
    <col min="2" max="2" width="17.5" customWidth="1"/>
    <col min="5" max="5" width="26.5" customWidth="1"/>
    <col min="6" max="7" width="16.33203125" customWidth="1"/>
    <col min="8" max="8" width="29.5" customWidth="1"/>
    <col min="9" max="9" width="29.6640625" customWidth="1"/>
    <col min="10" max="10" width="9.1640625" customWidth="1"/>
    <col min="19" max="19" width="31.1640625" customWidth="1"/>
  </cols>
  <sheetData>
    <row r="1" spans="1:20" ht="24" x14ac:dyDescent="0.2">
      <c r="A1" s="86" t="s">
        <v>160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3" spans="1:20" ht="16" thickBot="1" x14ac:dyDescent="0.25">
      <c r="A3" s="72" t="s">
        <v>15</v>
      </c>
      <c r="B3" s="72"/>
      <c r="E3" s="72" t="s">
        <v>107</v>
      </c>
      <c r="F3" s="72"/>
      <c r="G3" s="72"/>
      <c r="H3" s="72"/>
      <c r="I3" s="72"/>
      <c r="S3" t="s">
        <v>169</v>
      </c>
      <c r="T3" t="s">
        <v>90</v>
      </c>
    </row>
    <row r="4" spans="1:20" ht="16" thickBot="1" x14ac:dyDescent="0.25">
      <c r="A4" s="3" t="s">
        <v>161</v>
      </c>
      <c r="B4" s="38"/>
      <c r="E4" s="16" t="s">
        <v>106</v>
      </c>
      <c r="F4" s="43" t="s">
        <v>90</v>
      </c>
      <c r="H4" s="16" t="s">
        <v>172</v>
      </c>
      <c r="I4" s="43" t="s">
        <v>23</v>
      </c>
      <c r="S4" t="s">
        <v>80</v>
      </c>
      <c r="T4" t="s">
        <v>91</v>
      </c>
    </row>
    <row r="5" spans="1:20" x14ac:dyDescent="0.2">
      <c r="A5" s="3" t="s">
        <v>162</v>
      </c>
      <c r="B5" s="38"/>
      <c r="S5" t="s">
        <v>171</v>
      </c>
    </row>
    <row r="6" spans="1:20" x14ac:dyDescent="0.2">
      <c r="S6" t="s">
        <v>14</v>
      </c>
    </row>
    <row r="7" spans="1:20" ht="16" thickBot="1" x14ac:dyDescent="0.25">
      <c r="S7" t="s">
        <v>23</v>
      </c>
    </row>
    <row r="8" spans="1:20" ht="20" thickBot="1" x14ac:dyDescent="0.3">
      <c r="A8" t="s">
        <v>82</v>
      </c>
      <c r="B8" s="2"/>
      <c r="H8" s="41" t="s">
        <v>109</v>
      </c>
      <c r="I8" s="44">
        <f>IF(AND(F4=T3,I4=S3),'Investments back office'!I10,IF(AND(F4=T3,I4=S4),'Investments back office'!I11,IF(AND(F4=T3,I4=S5),'Investments back office'!I12,IF(AND(F4=T3,I4=S6),'Investments back office'!I13,IF(AND(F4=T3,I4=S7),'Investments back office'!I16,IF(AND(F4=T3,I4=S8),'Investments back office'!I17,IF(AND(F4=T3,I4=S9),'Investments back office'!I18,IF(AND(F4=T3,I4=S10),'Investments back office'!I19,IF(AND(F4=T4,I4=S3),'Investments back office'!J10,IF(AND(F4=T4,I4=S4),'Investments back office'!J11,IF(AND(F4=T4,I4=S5),'Investments back office'!J12,IF(AND(F4=T4,I4=S6),'Investments back office'!J13,IF(AND(F4=T4,I4=S7),'Investments back office'!J16,IF(AND(F4=T4,I4=S8),'Investments back office'!J17,IF(AND(F4=T4,I4=S9),'Investments back office'!J18,IF(AND(F4=T4,I4=S10),'Investments back office'!J19))))))))))))))))</f>
        <v>0</v>
      </c>
      <c r="S8" t="s">
        <v>157</v>
      </c>
    </row>
    <row r="9" spans="1:20" x14ac:dyDescent="0.2">
      <c r="A9" t="s">
        <v>104</v>
      </c>
      <c r="S9" t="s">
        <v>29</v>
      </c>
    </row>
    <row r="10" spans="1:20" ht="16" thickBot="1" x14ac:dyDescent="0.25">
      <c r="A10" t="s">
        <v>112</v>
      </c>
      <c r="S10" t="s">
        <v>170</v>
      </c>
    </row>
    <row r="11" spans="1:20" ht="16" thickBot="1" x14ac:dyDescent="0.25">
      <c r="A11" t="s">
        <v>103</v>
      </c>
      <c r="H11" s="16" t="s">
        <v>201</v>
      </c>
      <c r="I11" s="59" t="str">
        <f>IF(I4=I18,I8*(1+5%)^(-B9)," ")</f>
        <v xml:space="preserve"> </v>
      </c>
    </row>
    <row r="12" spans="1:20" x14ac:dyDescent="0.2">
      <c r="A12" t="s">
        <v>166</v>
      </c>
    </row>
    <row r="13" spans="1:20" x14ac:dyDescent="0.2">
      <c r="A13" t="s">
        <v>167</v>
      </c>
    </row>
    <row r="14" spans="1:20" x14ac:dyDescent="0.2">
      <c r="A14" t="s">
        <v>29</v>
      </c>
      <c r="E14" s="3" t="s">
        <v>77</v>
      </c>
    </row>
    <row r="15" spans="1:20" x14ac:dyDescent="0.2">
      <c r="E15" s="3"/>
    </row>
    <row r="16" spans="1:20" x14ac:dyDescent="0.2">
      <c r="E16" s="3" t="s">
        <v>197</v>
      </c>
    </row>
    <row r="18" spans="9:9" x14ac:dyDescent="0.2">
      <c r="I18" s="45" t="s">
        <v>29</v>
      </c>
    </row>
  </sheetData>
  <mergeCells count="3">
    <mergeCell ref="A1:K1"/>
    <mergeCell ref="A3:B3"/>
    <mergeCell ref="E3:I3"/>
  </mergeCells>
  <dataValidations count="2">
    <dataValidation type="list" allowBlank="1" showInputMessage="1" showErrorMessage="1" sqref="F4" xr:uid="{662C2A06-ECB4-45B1-9B7D-4CE5294CEB91}">
      <formula1>$T$3:$T$4</formula1>
    </dataValidation>
    <dataValidation type="list" allowBlank="1" showInputMessage="1" showErrorMessage="1" sqref="I4" xr:uid="{EB75593D-A71F-485F-B63D-C195943F317B}">
      <formula1>$S$3:$S$10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04462-84B4-493B-8B23-F55CFEB42F56}">
  <dimension ref="A1:Q973"/>
  <sheetViews>
    <sheetView zoomScaleNormal="100" workbookViewId="0">
      <selection activeCell="H9" sqref="H9"/>
    </sheetView>
  </sheetViews>
  <sheetFormatPr baseColWidth="10" defaultColWidth="8.83203125" defaultRowHeight="15" x14ac:dyDescent="0.2"/>
  <cols>
    <col min="1" max="1" width="41.83203125" customWidth="1"/>
    <col min="2" max="2" width="19.33203125" customWidth="1"/>
    <col min="3" max="3" width="11.33203125" customWidth="1"/>
    <col min="5" max="5" width="0" hidden="1" customWidth="1"/>
    <col min="6" max="6" width="20.6640625" customWidth="1"/>
    <col min="7" max="7" width="14.33203125" customWidth="1"/>
    <col min="8" max="8" width="36.83203125" customWidth="1"/>
    <col min="9" max="10" width="20.83203125" customWidth="1"/>
    <col min="11" max="11" width="14.6640625" customWidth="1"/>
    <col min="12" max="12" width="15.1640625" customWidth="1"/>
    <col min="14" max="14" width="15.5" hidden="1" customWidth="1"/>
    <col min="15" max="15" width="16.6640625" customWidth="1"/>
    <col min="16" max="16" width="14.6640625" customWidth="1"/>
  </cols>
  <sheetData>
    <row r="1" spans="1:11" x14ac:dyDescent="0.2">
      <c r="A1" s="71" t="s">
        <v>15</v>
      </c>
      <c r="B1" s="71"/>
    </row>
    <row r="2" spans="1:11" x14ac:dyDescent="0.2">
      <c r="A2" t="s">
        <v>161</v>
      </c>
      <c r="B2" s="38">
        <f>'Investment(Single + Annuity)'!B4</f>
        <v>0</v>
      </c>
    </row>
    <row r="3" spans="1:11" x14ac:dyDescent="0.2">
      <c r="A3" t="s">
        <v>162</v>
      </c>
      <c r="B3" s="38">
        <f>'Investment(Single + Annuity)'!B5</f>
        <v>0</v>
      </c>
    </row>
    <row r="4" spans="1:11" x14ac:dyDescent="0.2">
      <c r="A4" t="s">
        <v>2</v>
      </c>
      <c r="B4">
        <f>'Investment(Single + Annuity)'!B6</f>
        <v>0</v>
      </c>
    </row>
    <row r="6" spans="1:11" x14ac:dyDescent="0.2">
      <c r="A6" t="s">
        <v>101</v>
      </c>
      <c r="B6" s="28">
        <f>'Investment(Single + Annuity)'!B8</f>
        <v>0</v>
      </c>
    </row>
    <row r="7" spans="1:11" x14ac:dyDescent="0.2">
      <c r="A7" t="s">
        <v>104</v>
      </c>
      <c r="B7">
        <f>'Investment(Single + Annuity)'!B9</f>
        <v>0</v>
      </c>
    </row>
    <row r="8" spans="1:11" x14ac:dyDescent="0.2">
      <c r="A8" t="s">
        <v>105</v>
      </c>
      <c r="B8">
        <f>'Investment(Single + Annuity)'!B10</f>
        <v>0</v>
      </c>
    </row>
    <row r="9" spans="1:11" x14ac:dyDescent="0.2">
      <c r="A9" t="s">
        <v>103</v>
      </c>
      <c r="B9">
        <f>'Assignment4 (User Interface)'!B11</f>
        <v>1</v>
      </c>
      <c r="I9" s="39" t="s">
        <v>90</v>
      </c>
      <c r="J9" s="40" t="s">
        <v>91</v>
      </c>
    </row>
    <row r="10" spans="1:11" x14ac:dyDescent="0.2">
      <c r="A10" t="s">
        <v>163</v>
      </c>
      <c r="B10">
        <f>'Assignment4 (User Interface)'!B12</f>
        <v>1</v>
      </c>
      <c r="H10" t="s">
        <v>169</v>
      </c>
      <c r="I10" s="38" t="e">
        <f>(B12-(B3*(((1+B6)^(B7*B8)-1)/B6)))/((1+B6)^(B7*B8))</f>
        <v>#DIV/0!</v>
      </c>
      <c r="J10" s="38" t="e">
        <f>(B12-(B3*(1+B6)*(((1+B6)^(B7*B8)-1)/B6)))/((1+B6)^(B7*B8))</f>
        <v>#DIV/0!</v>
      </c>
      <c r="K10" s="38"/>
    </row>
    <row r="11" spans="1:11" x14ac:dyDescent="0.2">
      <c r="A11" t="s">
        <v>164</v>
      </c>
      <c r="B11">
        <f>'Assignment4 (User Interface)'!B13</f>
        <v>2</v>
      </c>
      <c r="H11" t="s">
        <v>80</v>
      </c>
      <c r="I11" s="38" t="e">
        <f>((B12 - (B2*(1+B6)^(B7*B8)))*B6)/(((1+B6)^(B7*B8))-1)</f>
        <v>#DIV/0!</v>
      </c>
      <c r="J11" s="38" t="e">
        <f>((B12 - (B2*(1+B6)^(B7*B8)))*B6)/((1+B6)*(((1+B6)^(B7*B8))-1))</f>
        <v>#DIV/0!</v>
      </c>
      <c r="K11" s="38"/>
    </row>
    <row r="12" spans="1:11" x14ac:dyDescent="0.2">
      <c r="A12" t="s">
        <v>29</v>
      </c>
      <c r="B12">
        <v>1002573.0697662666</v>
      </c>
      <c r="H12" t="s">
        <v>165</v>
      </c>
      <c r="I12" s="9" t="e">
        <f>((LN((B12*B6+B3)/(B2*B6+B3)))/(LN(1+B6)))*(1/B7)</f>
        <v>#DIV/0!</v>
      </c>
      <c r="J12" s="9" t="e">
        <f>((LN((B12 +( B3*(1+B6))/B6)/(B2 + (B3*(1+B6))/B6)))/(LN(1+B6)))*(1/B7)</f>
        <v>#DIV/0!</v>
      </c>
    </row>
    <row r="13" spans="1:11" x14ac:dyDescent="0.2">
      <c r="H13" t="s">
        <v>14</v>
      </c>
      <c r="I13" s="9" t="e">
        <f>((LN((B12*B6+B3)/(B2*B6+B3)))/(LN(1+B6)))*(1/B8)</f>
        <v>#DIV/0!</v>
      </c>
      <c r="J13" s="17" t="e">
        <f>((LN((B12 +( B3*(1+B6))/B6)/(B2 + (B3*(1+B6))/B6)))/(LN(1+B6)))*(1/B8)</f>
        <v>#DIV/0!</v>
      </c>
    </row>
    <row r="14" spans="1:11" x14ac:dyDescent="0.2">
      <c r="I14" s="38"/>
      <c r="J14" s="38"/>
    </row>
    <row r="15" spans="1:11" x14ac:dyDescent="0.2">
      <c r="I15" s="38"/>
      <c r="J15" s="38"/>
    </row>
    <row r="16" spans="1:11" x14ac:dyDescent="0.2">
      <c r="H16" t="s">
        <v>23</v>
      </c>
      <c r="I16" s="38">
        <f>I18*(1+B6)^(-B7*B8)</f>
        <v>0</v>
      </c>
      <c r="J16" s="38">
        <f>J18*(1+B6)^(-B7*B8)</f>
        <v>0</v>
      </c>
    </row>
    <row r="17" spans="1:17" x14ac:dyDescent="0.2">
      <c r="H17" t="s">
        <v>157</v>
      </c>
      <c r="I17" cm="1">
        <f t="array" ref="I17">LOOKUP(2, 1/(G22:G607&lt;&gt;""), G22:G607)</f>
        <v>0</v>
      </c>
      <c r="J17" cm="1">
        <f t="array" ref="J17">LOOKUP(2, 1/(P22:P607&lt;&gt;""), P22:P607)</f>
        <v>0</v>
      </c>
    </row>
    <row r="18" spans="1:17" x14ac:dyDescent="0.2">
      <c r="H18" t="s">
        <v>29</v>
      </c>
      <c r="I18" cm="1">
        <f t="array" ref="I18">LOOKUP(2, 1/(F22:F607&lt;&gt;""), F22:F607)</f>
        <v>0</v>
      </c>
      <c r="J18" cm="1">
        <f t="array" ref="J18">LOOKUP(2, 1/(O22:O607&lt;&gt;""), O22:O607)</f>
        <v>0</v>
      </c>
    </row>
    <row r="19" spans="1:17" x14ac:dyDescent="0.2">
      <c r="H19" t="s">
        <v>170</v>
      </c>
      <c r="I19" t="e">
        <f>((LN((B12*B6+B3)/(B2*B6+B3)))/(LN(1+B6)))</f>
        <v>#DIV/0!</v>
      </c>
      <c r="J19" t="e">
        <f>((LN((B12 +( B3*(1+B6))/B6)/(B2 + (B3*(1+B6))/B6)))/(LN(1+B6)))</f>
        <v>#DIV/0!</v>
      </c>
    </row>
    <row r="20" spans="1:17" ht="16" x14ac:dyDescent="0.2">
      <c r="A20" s="85" t="s">
        <v>92</v>
      </c>
      <c r="B20" s="85"/>
      <c r="C20" s="85"/>
      <c r="D20" s="85"/>
      <c r="E20" s="85"/>
      <c r="F20" s="85"/>
      <c r="G20" s="85"/>
      <c r="H20" s="85"/>
      <c r="I20" s="38"/>
      <c r="J20" s="77" t="s">
        <v>97</v>
      </c>
      <c r="K20" s="77"/>
      <c r="L20" s="77"/>
      <c r="M20" s="77"/>
      <c r="N20" s="77"/>
      <c r="O20" s="77"/>
      <c r="P20" s="77"/>
      <c r="Q20" s="77"/>
    </row>
    <row r="21" spans="1:17" x14ac:dyDescent="0.2">
      <c r="A21" s="3" t="s">
        <v>24</v>
      </c>
      <c r="B21" s="3" t="s">
        <v>93</v>
      </c>
      <c r="C21" s="3" t="s">
        <v>25</v>
      </c>
      <c r="D21" s="3" t="s">
        <v>80</v>
      </c>
      <c r="E21" s="3" t="s">
        <v>94</v>
      </c>
      <c r="F21" s="3" t="s">
        <v>111</v>
      </c>
      <c r="G21" s="3" t="s">
        <v>95</v>
      </c>
      <c r="H21" s="3"/>
      <c r="I21" s="38"/>
      <c r="J21" s="3" t="s">
        <v>24</v>
      </c>
      <c r="K21" s="3" t="s">
        <v>93</v>
      </c>
      <c r="L21" s="3" t="s">
        <v>25</v>
      </c>
      <c r="M21" s="3" t="s">
        <v>80</v>
      </c>
      <c r="N21" s="3" t="s">
        <v>94</v>
      </c>
      <c r="O21" s="3" t="s">
        <v>111</v>
      </c>
      <c r="P21" s="3" t="s">
        <v>95</v>
      </c>
      <c r="Q21" s="3"/>
    </row>
    <row r="22" spans="1:17" x14ac:dyDescent="0.2">
      <c r="A22">
        <v>1</v>
      </c>
      <c r="B22" s="38">
        <f>B2</f>
        <v>0</v>
      </c>
      <c r="C22" s="38">
        <f>$B$6*B22</f>
        <v>0</v>
      </c>
      <c r="D22" s="38">
        <f>$B$3</f>
        <v>0</v>
      </c>
      <c r="E22" s="38">
        <f>D22-C22</f>
        <v>0</v>
      </c>
      <c r="F22" s="38">
        <f>B22+C22+D22</f>
        <v>0</v>
      </c>
      <c r="G22" s="38">
        <f>C22</f>
        <v>0</v>
      </c>
      <c r="H22" s="38"/>
      <c r="J22">
        <v>1</v>
      </c>
      <c r="K22" s="38">
        <f>B2</f>
        <v>0</v>
      </c>
      <c r="L22" s="38">
        <f>$B$6 *( M22 + K22)</f>
        <v>0</v>
      </c>
      <c r="M22" s="38">
        <f>$B$3</f>
        <v>0</v>
      </c>
      <c r="N22" s="38">
        <f>M22-L22</f>
        <v>0</v>
      </c>
      <c r="O22" s="38">
        <f>K22+L22+M22</f>
        <v>0</v>
      </c>
      <c r="P22" s="38">
        <f>L22</f>
        <v>0</v>
      </c>
      <c r="Q22" s="38"/>
    </row>
    <row r="23" spans="1:17" x14ac:dyDescent="0.2">
      <c r="A23" t="str">
        <f>IF(A22&lt;($B$7*$B$8),A22+1,"")</f>
        <v/>
      </c>
      <c r="B23" s="38" t="str">
        <f t="shared" ref="B23:B86" si="0">IF(A23="","",F22)</f>
        <v/>
      </c>
      <c r="C23" s="38" t="str">
        <f>IF(A23="","",(B23*$B$6))</f>
        <v/>
      </c>
      <c r="D23" s="38" t="str">
        <f>IF(A23="","", $B$3)</f>
        <v/>
      </c>
      <c r="E23" s="38" t="str">
        <f>IF(D23="","",(D23-C23))</f>
        <v/>
      </c>
      <c r="F23" s="38" t="str">
        <f>IF(A23="","", B23+C23+D23)</f>
        <v/>
      </c>
      <c r="G23" s="38" t="str">
        <f t="shared" ref="G23:G86" si="1">IF(A23="","", (G22+C23))</f>
        <v/>
      </c>
      <c r="H23" s="38"/>
      <c r="J23" t="str">
        <f>IF(J22&lt;($B$7*$B$8),J22+1,"")</f>
        <v/>
      </c>
      <c r="K23" s="38" t="str">
        <f t="shared" ref="K23:K86" si="2">IF(J23="","",O22)</f>
        <v/>
      </c>
      <c r="L23" s="38" t="str">
        <f>IF(J23="","",((K23 + M23)*$B$6))</f>
        <v/>
      </c>
      <c r="M23" s="38" t="str">
        <f>IF(J23="","", $B$3)</f>
        <v/>
      </c>
      <c r="N23" s="38" t="str">
        <f>IF(M23="","",(M23-L23))</f>
        <v/>
      </c>
      <c r="O23" s="38" t="str">
        <f>IF(J23="","", K23+L23+M23)</f>
        <v/>
      </c>
      <c r="P23" s="38" t="str">
        <f t="shared" ref="P23:P86" si="3">IF(J23="","", (P22+L23))</f>
        <v/>
      </c>
      <c r="Q23" s="38"/>
    </row>
    <row r="24" spans="1:17" x14ac:dyDescent="0.2">
      <c r="A24" t="str">
        <f t="shared" ref="A24:A87" si="4">IF(A23&lt;($B$7*$B$8),A23+1,"")</f>
        <v/>
      </c>
      <c r="B24" s="38" t="str">
        <f t="shared" si="0"/>
        <v/>
      </c>
      <c r="C24" s="38" t="str">
        <f t="shared" ref="C24:C87" si="5">IF(A24="","",(B24*$B$6))</f>
        <v/>
      </c>
      <c r="D24" s="38" t="str">
        <f t="shared" ref="D24:D87" si="6">IF(A24="","", $B$3)</f>
        <v/>
      </c>
      <c r="E24" s="38" t="str">
        <f t="shared" ref="E24:E87" si="7">IF(D24="","",(D24-C24))</f>
        <v/>
      </c>
      <c r="F24" s="38" t="str">
        <f t="shared" ref="F24:F87" si="8">IF(A24="","", B24+C24+D24)</f>
        <v/>
      </c>
      <c r="G24" s="38" t="str">
        <f t="shared" si="1"/>
        <v/>
      </c>
      <c r="H24" s="38"/>
      <c r="J24" t="str">
        <f t="shared" ref="J24:J87" si="9">IF(J23&lt;($B$7*$B$8),J23+1,"")</f>
        <v/>
      </c>
      <c r="K24" s="38" t="str">
        <f t="shared" si="2"/>
        <v/>
      </c>
      <c r="L24" s="38" t="str">
        <f t="shared" ref="L24:L87" si="10">IF(J24="","",((K24 + M24)*$B$6))</f>
        <v/>
      </c>
      <c r="M24" s="38" t="str">
        <f t="shared" ref="M24:M87" si="11">IF(J24="","", $B$3)</f>
        <v/>
      </c>
      <c r="N24" s="38" t="str">
        <f t="shared" ref="N24:N87" si="12">IF(M24="","",(M24-L24))</f>
        <v/>
      </c>
      <c r="O24" s="38" t="str">
        <f t="shared" ref="O24:O87" si="13">IF(J24="","", K24+L24+M24)</f>
        <v/>
      </c>
      <c r="P24" s="38" t="str">
        <f t="shared" si="3"/>
        <v/>
      </c>
      <c r="Q24" s="38"/>
    </row>
    <row r="25" spans="1:17" x14ac:dyDescent="0.2">
      <c r="A25" t="str">
        <f t="shared" si="4"/>
        <v/>
      </c>
      <c r="B25" s="38" t="str">
        <f t="shared" si="0"/>
        <v/>
      </c>
      <c r="C25" s="38" t="str">
        <f t="shared" si="5"/>
        <v/>
      </c>
      <c r="D25" s="38" t="str">
        <f t="shared" si="6"/>
        <v/>
      </c>
      <c r="E25" s="38" t="str">
        <f t="shared" si="7"/>
        <v/>
      </c>
      <c r="F25" s="38" t="str">
        <f t="shared" si="8"/>
        <v/>
      </c>
      <c r="G25" s="38" t="str">
        <f t="shared" si="1"/>
        <v/>
      </c>
      <c r="H25" s="38"/>
      <c r="J25" t="str">
        <f t="shared" si="9"/>
        <v/>
      </c>
      <c r="K25" s="38" t="str">
        <f t="shared" si="2"/>
        <v/>
      </c>
      <c r="L25" s="38" t="str">
        <f t="shared" si="10"/>
        <v/>
      </c>
      <c r="M25" s="38" t="str">
        <f t="shared" si="11"/>
        <v/>
      </c>
      <c r="N25" s="38" t="str">
        <f t="shared" si="12"/>
        <v/>
      </c>
      <c r="O25" s="38" t="str">
        <f t="shared" si="13"/>
        <v/>
      </c>
      <c r="P25" s="38" t="str">
        <f t="shared" si="3"/>
        <v/>
      </c>
      <c r="Q25" s="38"/>
    </row>
    <row r="26" spans="1:17" x14ac:dyDescent="0.2">
      <c r="A26" t="str">
        <f t="shared" si="4"/>
        <v/>
      </c>
      <c r="B26" s="38" t="str">
        <f t="shared" si="0"/>
        <v/>
      </c>
      <c r="C26" s="38" t="str">
        <f t="shared" si="5"/>
        <v/>
      </c>
      <c r="D26" s="38" t="str">
        <f t="shared" si="6"/>
        <v/>
      </c>
      <c r="E26" s="38" t="str">
        <f t="shared" si="7"/>
        <v/>
      </c>
      <c r="F26" s="38" t="str">
        <f t="shared" si="8"/>
        <v/>
      </c>
      <c r="G26" s="38" t="str">
        <f t="shared" si="1"/>
        <v/>
      </c>
      <c r="H26" s="38"/>
      <c r="J26" t="str">
        <f t="shared" si="9"/>
        <v/>
      </c>
      <c r="K26" s="38" t="str">
        <f t="shared" si="2"/>
        <v/>
      </c>
      <c r="L26" s="38" t="str">
        <f t="shared" si="10"/>
        <v/>
      </c>
      <c r="M26" s="38" t="str">
        <f t="shared" si="11"/>
        <v/>
      </c>
      <c r="N26" s="38" t="str">
        <f t="shared" si="12"/>
        <v/>
      </c>
      <c r="O26" s="38" t="str">
        <f t="shared" si="13"/>
        <v/>
      </c>
      <c r="P26" s="38" t="str">
        <f t="shared" si="3"/>
        <v/>
      </c>
      <c r="Q26" s="38"/>
    </row>
    <row r="27" spans="1:17" x14ac:dyDescent="0.2">
      <c r="A27" t="str">
        <f t="shared" si="4"/>
        <v/>
      </c>
      <c r="B27" s="38" t="str">
        <f t="shared" si="0"/>
        <v/>
      </c>
      <c r="C27" s="38" t="str">
        <f t="shared" si="5"/>
        <v/>
      </c>
      <c r="D27" s="38" t="str">
        <f t="shared" si="6"/>
        <v/>
      </c>
      <c r="E27" s="38" t="str">
        <f t="shared" si="7"/>
        <v/>
      </c>
      <c r="F27" s="38" t="str">
        <f t="shared" si="8"/>
        <v/>
      </c>
      <c r="G27" s="38" t="str">
        <f t="shared" si="1"/>
        <v/>
      </c>
      <c r="H27" s="38"/>
      <c r="J27" t="str">
        <f t="shared" si="9"/>
        <v/>
      </c>
      <c r="K27" s="38" t="str">
        <f t="shared" si="2"/>
        <v/>
      </c>
      <c r="L27" s="38" t="str">
        <f t="shared" si="10"/>
        <v/>
      </c>
      <c r="M27" s="38" t="str">
        <f t="shared" si="11"/>
        <v/>
      </c>
      <c r="N27" s="38" t="str">
        <f t="shared" si="12"/>
        <v/>
      </c>
      <c r="O27" s="38" t="str">
        <f t="shared" si="13"/>
        <v/>
      </c>
      <c r="P27" s="38" t="str">
        <f t="shared" si="3"/>
        <v/>
      </c>
      <c r="Q27" s="38"/>
    </row>
    <row r="28" spans="1:17" x14ac:dyDescent="0.2">
      <c r="A28" t="str">
        <f t="shared" si="4"/>
        <v/>
      </c>
      <c r="B28" s="38" t="str">
        <f t="shared" si="0"/>
        <v/>
      </c>
      <c r="C28" s="38" t="str">
        <f t="shared" si="5"/>
        <v/>
      </c>
      <c r="D28" s="38" t="str">
        <f t="shared" si="6"/>
        <v/>
      </c>
      <c r="E28" s="38" t="str">
        <f t="shared" si="7"/>
        <v/>
      </c>
      <c r="F28" s="38" t="str">
        <f t="shared" si="8"/>
        <v/>
      </c>
      <c r="G28" s="38" t="str">
        <f t="shared" si="1"/>
        <v/>
      </c>
      <c r="H28" s="38"/>
      <c r="J28" t="str">
        <f t="shared" si="9"/>
        <v/>
      </c>
      <c r="K28" s="38" t="str">
        <f t="shared" si="2"/>
        <v/>
      </c>
      <c r="L28" s="38" t="str">
        <f t="shared" si="10"/>
        <v/>
      </c>
      <c r="M28" s="38" t="str">
        <f t="shared" si="11"/>
        <v/>
      </c>
      <c r="N28" s="38" t="str">
        <f t="shared" si="12"/>
        <v/>
      </c>
      <c r="O28" s="38" t="str">
        <f t="shared" si="13"/>
        <v/>
      </c>
      <c r="P28" s="38" t="str">
        <f t="shared" si="3"/>
        <v/>
      </c>
      <c r="Q28" s="38"/>
    </row>
    <row r="29" spans="1:17" x14ac:dyDescent="0.2">
      <c r="A29" t="str">
        <f t="shared" si="4"/>
        <v/>
      </c>
      <c r="B29" s="38" t="str">
        <f t="shared" si="0"/>
        <v/>
      </c>
      <c r="C29" s="38" t="str">
        <f t="shared" si="5"/>
        <v/>
      </c>
      <c r="D29" s="38" t="str">
        <f t="shared" si="6"/>
        <v/>
      </c>
      <c r="E29" s="38" t="str">
        <f t="shared" si="7"/>
        <v/>
      </c>
      <c r="F29" s="38" t="str">
        <f t="shared" si="8"/>
        <v/>
      </c>
      <c r="G29" s="38" t="str">
        <f t="shared" si="1"/>
        <v/>
      </c>
      <c r="H29" s="38"/>
      <c r="J29" t="str">
        <f t="shared" si="9"/>
        <v/>
      </c>
      <c r="K29" s="38" t="str">
        <f t="shared" si="2"/>
        <v/>
      </c>
      <c r="L29" s="38" t="str">
        <f t="shared" si="10"/>
        <v/>
      </c>
      <c r="M29" s="38" t="str">
        <f t="shared" si="11"/>
        <v/>
      </c>
      <c r="N29" s="38" t="str">
        <f t="shared" si="12"/>
        <v/>
      </c>
      <c r="O29" s="38" t="str">
        <f t="shared" si="13"/>
        <v/>
      </c>
      <c r="P29" s="38" t="str">
        <f t="shared" si="3"/>
        <v/>
      </c>
      <c r="Q29" s="38"/>
    </row>
    <row r="30" spans="1:17" x14ac:dyDescent="0.2">
      <c r="A30" t="str">
        <f t="shared" si="4"/>
        <v/>
      </c>
      <c r="B30" s="38" t="str">
        <f t="shared" si="0"/>
        <v/>
      </c>
      <c r="C30" s="38" t="str">
        <f t="shared" si="5"/>
        <v/>
      </c>
      <c r="D30" s="38" t="str">
        <f t="shared" si="6"/>
        <v/>
      </c>
      <c r="E30" s="38" t="str">
        <f t="shared" si="7"/>
        <v/>
      </c>
      <c r="F30" s="38" t="str">
        <f t="shared" si="8"/>
        <v/>
      </c>
      <c r="G30" s="38" t="str">
        <f t="shared" si="1"/>
        <v/>
      </c>
      <c r="H30" s="38"/>
      <c r="J30" t="str">
        <f t="shared" si="9"/>
        <v/>
      </c>
      <c r="K30" s="38" t="str">
        <f t="shared" si="2"/>
        <v/>
      </c>
      <c r="L30" s="38" t="str">
        <f t="shared" si="10"/>
        <v/>
      </c>
      <c r="M30" s="38" t="str">
        <f t="shared" si="11"/>
        <v/>
      </c>
      <c r="N30" s="38" t="str">
        <f t="shared" si="12"/>
        <v/>
      </c>
      <c r="O30" s="38" t="str">
        <f t="shared" si="13"/>
        <v/>
      </c>
      <c r="P30" s="38" t="str">
        <f t="shared" si="3"/>
        <v/>
      </c>
      <c r="Q30" s="38"/>
    </row>
    <row r="31" spans="1:17" x14ac:dyDescent="0.2">
      <c r="A31" t="str">
        <f t="shared" si="4"/>
        <v/>
      </c>
      <c r="B31" s="38" t="str">
        <f t="shared" si="0"/>
        <v/>
      </c>
      <c r="C31" s="38" t="str">
        <f t="shared" si="5"/>
        <v/>
      </c>
      <c r="D31" s="38" t="str">
        <f t="shared" si="6"/>
        <v/>
      </c>
      <c r="E31" s="38" t="str">
        <f t="shared" si="7"/>
        <v/>
      </c>
      <c r="F31" s="38" t="str">
        <f t="shared" si="8"/>
        <v/>
      </c>
      <c r="G31" s="38" t="str">
        <f t="shared" si="1"/>
        <v/>
      </c>
      <c r="H31" s="38"/>
      <c r="J31" t="str">
        <f t="shared" si="9"/>
        <v/>
      </c>
      <c r="K31" s="38" t="str">
        <f t="shared" si="2"/>
        <v/>
      </c>
      <c r="L31" s="38" t="str">
        <f t="shared" si="10"/>
        <v/>
      </c>
      <c r="M31" s="38" t="str">
        <f t="shared" si="11"/>
        <v/>
      </c>
      <c r="N31" s="38" t="str">
        <f t="shared" si="12"/>
        <v/>
      </c>
      <c r="O31" s="38" t="str">
        <f t="shared" si="13"/>
        <v/>
      </c>
      <c r="P31" s="38" t="str">
        <f t="shared" si="3"/>
        <v/>
      </c>
      <c r="Q31" s="38"/>
    </row>
    <row r="32" spans="1:17" x14ac:dyDescent="0.2">
      <c r="A32" t="str">
        <f t="shared" si="4"/>
        <v/>
      </c>
      <c r="B32" s="38" t="str">
        <f t="shared" si="0"/>
        <v/>
      </c>
      <c r="C32" s="38" t="str">
        <f t="shared" si="5"/>
        <v/>
      </c>
      <c r="D32" s="38" t="str">
        <f t="shared" si="6"/>
        <v/>
      </c>
      <c r="E32" s="38" t="str">
        <f t="shared" si="7"/>
        <v/>
      </c>
      <c r="F32" s="38" t="str">
        <f t="shared" si="8"/>
        <v/>
      </c>
      <c r="G32" s="38" t="str">
        <f t="shared" si="1"/>
        <v/>
      </c>
      <c r="H32" s="38"/>
      <c r="J32" t="str">
        <f t="shared" si="9"/>
        <v/>
      </c>
      <c r="K32" s="38" t="str">
        <f t="shared" si="2"/>
        <v/>
      </c>
      <c r="L32" s="38" t="str">
        <f t="shared" si="10"/>
        <v/>
      </c>
      <c r="M32" s="38" t="str">
        <f t="shared" si="11"/>
        <v/>
      </c>
      <c r="N32" s="38" t="str">
        <f t="shared" si="12"/>
        <v/>
      </c>
      <c r="O32" s="38" t="str">
        <f t="shared" si="13"/>
        <v/>
      </c>
      <c r="P32" s="38" t="str">
        <f t="shared" si="3"/>
        <v/>
      </c>
      <c r="Q32" s="38"/>
    </row>
    <row r="33" spans="1:17" x14ac:dyDescent="0.2">
      <c r="A33" t="str">
        <f t="shared" si="4"/>
        <v/>
      </c>
      <c r="B33" s="38" t="str">
        <f t="shared" si="0"/>
        <v/>
      </c>
      <c r="C33" s="38" t="str">
        <f t="shared" si="5"/>
        <v/>
      </c>
      <c r="D33" s="38" t="str">
        <f t="shared" si="6"/>
        <v/>
      </c>
      <c r="E33" s="38" t="str">
        <f t="shared" si="7"/>
        <v/>
      </c>
      <c r="F33" s="38" t="str">
        <f t="shared" si="8"/>
        <v/>
      </c>
      <c r="G33" s="38" t="str">
        <f t="shared" si="1"/>
        <v/>
      </c>
      <c r="H33" s="38"/>
      <c r="J33" t="str">
        <f t="shared" si="9"/>
        <v/>
      </c>
      <c r="K33" s="38" t="str">
        <f t="shared" si="2"/>
        <v/>
      </c>
      <c r="L33" s="38" t="str">
        <f t="shared" si="10"/>
        <v/>
      </c>
      <c r="M33" s="38" t="str">
        <f t="shared" si="11"/>
        <v/>
      </c>
      <c r="N33" s="38" t="str">
        <f t="shared" si="12"/>
        <v/>
      </c>
      <c r="O33" s="38" t="str">
        <f t="shared" si="13"/>
        <v/>
      </c>
      <c r="P33" s="38" t="str">
        <f t="shared" si="3"/>
        <v/>
      </c>
      <c r="Q33" s="38"/>
    </row>
    <row r="34" spans="1:17" x14ac:dyDescent="0.2">
      <c r="A34" t="str">
        <f t="shared" si="4"/>
        <v/>
      </c>
      <c r="B34" s="38" t="str">
        <f t="shared" si="0"/>
        <v/>
      </c>
      <c r="C34" s="38" t="str">
        <f t="shared" si="5"/>
        <v/>
      </c>
      <c r="D34" s="38" t="str">
        <f t="shared" si="6"/>
        <v/>
      </c>
      <c r="E34" s="38" t="str">
        <f t="shared" si="7"/>
        <v/>
      </c>
      <c r="F34" s="38" t="str">
        <f t="shared" si="8"/>
        <v/>
      </c>
      <c r="G34" s="38" t="str">
        <f t="shared" si="1"/>
        <v/>
      </c>
      <c r="H34" s="38"/>
      <c r="J34" t="str">
        <f t="shared" si="9"/>
        <v/>
      </c>
      <c r="K34" s="38" t="str">
        <f t="shared" si="2"/>
        <v/>
      </c>
      <c r="L34" s="38" t="str">
        <f t="shared" si="10"/>
        <v/>
      </c>
      <c r="M34" s="38" t="str">
        <f t="shared" si="11"/>
        <v/>
      </c>
      <c r="N34" s="38" t="str">
        <f t="shared" si="12"/>
        <v/>
      </c>
      <c r="O34" s="38" t="str">
        <f t="shared" si="13"/>
        <v/>
      </c>
      <c r="P34" s="38" t="str">
        <f t="shared" si="3"/>
        <v/>
      </c>
      <c r="Q34" s="38"/>
    </row>
    <row r="35" spans="1:17" x14ac:dyDescent="0.2">
      <c r="A35" t="str">
        <f t="shared" si="4"/>
        <v/>
      </c>
      <c r="B35" s="38" t="str">
        <f t="shared" si="0"/>
        <v/>
      </c>
      <c r="C35" s="38" t="str">
        <f t="shared" si="5"/>
        <v/>
      </c>
      <c r="D35" s="38" t="str">
        <f t="shared" si="6"/>
        <v/>
      </c>
      <c r="E35" s="38" t="str">
        <f t="shared" si="7"/>
        <v/>
      </c>
      <c r="F35" s="38" t="str">
        <f t="shared" si="8"/>
        <v/>
      </c>
      <c r="G35" s="38" t="str">
        <f t="shared" si="1"/>
        <v/>
      </c>
      <c r="H35" s="38"/>
      <c r="J35" t="str">
        <f t="shared" si="9"/>
        <v/>
      </c>
      <c r="K35" s="38" t="str">
        <f t="shared" si="2"/>
        <v/>
      </c>
      <c r="L35" s="38" t="str">
        <f t="shared" si="10"/>
        <v/>
      </c>
      <c r="M35" s="38" t="str">
        <f t="shared" si="11"/>
        <v/>
      </c>
      <c r="N35" s="38" t="str">
        <f t="shared" si="12"/>
        <v/>
      </c>
      <c r="O35" s="38" t="str">
        <f t="shared" si="13"/>
        <v/>
      </c>
      <c r="P35" s="38" t="str">
        <f t="shared" si="3"/>
        <v/>
      </c>
      <c r="Q35" s="38"/>
    </row>
    <row r="36" spans="1:17" x14ac:dyDescent="0.2">
      <c r="A36" t="str">
        <f t="shared" si="4"/>
        <v/>
      </c>
      <c r="B36" s="38" t="str">
        <f t="shared" si="0"/>
        <v/>
      </c>
      <c r="C36" s="38" t="str">
        <f t="shared" si="5"/>
        <v/>
      </c>
      <c r="D36" s="38" t="str">
        <f t="shared" si="6"/>
        <v/>
      </c>
      <c r="E36" s="38" t="str">
        <f t="shared" si="7"/>
        <v/>
      </c>
      <c r="F36" s="38" t="str">
        <f t="shared" si="8"/>
        <v/>
      </c>
      <c r="G36" s="38" t="str">
        <f t="shared" si="1"/>
        <v/>
      </c>
      <c r="H36" s="38"/>
      <c r="J36" t="str">
        <f t="shared" si="9"/>
        <v/>
      </c>
      <c r="K36" s="38" t="str">
        <f t="shared" si="2"/>
        <v/>
      </c>
      <c r="L36" s="38" t="str">
        <f t="shared" si="10"/>
        <v/>
      </c>
      <c r="M36" s="38" t="str">
        <f t="shared" si="11"/>
        <v/>
      </c>
      <c r="N36" s="38" t="str">
        <f t="shared" si="12"/>
        <v/>
      </c>
      <c r="O36" s="38" t="str">
        <f t="shared" si="13"/>
        <v/>
      </c>
      <c r="P36" s="38" t="str">
        <f t="shared" si="3"/>
        <v/>
      </c>
      <c r="Q36" s="38"/>
    </row>
    <row r="37" spans="1:17" x14ac:dyDescent="0.2">
      <c r="A37" t="str">
        <f t="shared" si="4"/>
        <v/>
      </c>
      <c r="B37" s="38" t="str">
        <f t="shared" si="0"/>
        <v/>
      </c>
      <c r="C37" s="38" t="str">
        <f t="shared" si="5"/>
        <v/>
      </c>
      <c r="D37" s="38" t="str">
        <f t="shared" si="6"/>
        <v/>
      </c>
      <c r="E37" s="38" t="str">
        <f t="shared" si="7"/>
        <v/>
      </c>
      <c r="F37" s="38" t="str">
        <f t="shared" si="8"/>
        <v/>
      </c>
      <c r="G37" s="38" t="str">
        <f t="shared" si="1"/>
        <v/>
      </c>
      <c r="H37" s="38"/>
      <c r="J37" t="str">
        <f t="shared" si="9"/>
        <v/>
      </c>
      <c r="K37" s="38" t="str">
        <f t="shared" si="2"/>
        <v/>
      </c>
      <c r="L37" s="38" t="str">
        <f t="shared" si="10"/>
        <v/>
      </c>
      <c r="M37" s="38" t="str">
        <f t="shared" si="11"/>
        <v/>
      </c>
      <c r="N37" s="38" t="str">
        <f t="shared" si="12"/>
        <v/>
      </c>
      <c r="O37" s="38" t="str">
        <f t="shared" si="13"/>
        <v/>
      </c>
      <c r="P37" s="38" t="str">
        <f t="shared" si="3"/>
        <v/>
      </c>
      <c r="Q37" s="38"/>
    </row>
    <row r="38" spans="1:17" x14ac:dyDescent="0.2">
      <c r="A38" t="str">
        <f t="shared" si="4"/>
        <v/>
      </c>
      <c r="B38" s="38" t="str">
        <f t="shared" si="0"/>
        <v/>
      </c>
      <c r="C38" s="38" t="str">
        <f t="shared" si="5"/>
        <v/>
      </c>
      <c r="D38" s="38" t="str">
        <f t="shared" si="6"/>
        <v/>
      </c>
      <c r="E38" s="38" t="str">
        <f t="shared" si="7"/>
        <v/>
      </c>
      <c r="F38" s="38" t="str">
        <f t="shared" si="8"/>
        <v/>
      </c>
      <c r="G38" s="38" t="str">
        <f t="shared" si="1"/>
        <v/>
      </c>
      <c r="H38" s="38"/>
      <c r="J38" t="str">
        <f t="shared" si="9"/>
        <v/>
      </c>
      <c r="K38" s="38" t="str">
        <f t="shared" si="2"/>
        <v/>
      </c>
      <c r="L38" s="38" t="str">
        <f t="shared" si="10"/>
        <v/>
      </c>
      <c r="M38" s="38" t="str">
        <f t="shared" si="11"/>
        <v/>
      </c>
      <c r="N38" s="38" t="str">
        <f t="shared" si="12"/>
        <v/>
      </c>
      <c r="O38" s="38" t="str">
        <f t="shared" si="13"/>
        <v/>
      </c>
      <c r="P38" s="38" t="str">
        <f t="shared" si="3"/>
        <v/>
      </c>
      <c r="Q38" s="38"/>
    </row>
    <row r="39" spans="1:17" x14ac:dyDescent="0.2">
      <c r="A39" t="str">
        <f t="shared" si="4"/>
        <v/>
      </c>
      <c r="B39" s="38" t="str">
        <f t="shared" si="0"/>
        <v/>
      </c>
      <c r="C39" s="38" t="str">
        <f t="shared" si="5"/>
        <v/>
      </c>
      <c r="D39" s="38" t="str">
        <f t="shared" si="6"/>
        <v/>
      </c>
      <c r="E39" s="38" t="str">
        <f t="shared" si="7"/>
        <v/>
      </c>
      <c r="F39" s="38" t="str">
        <f t="shared" si="8"/>
        <v/>
      </c>
      <c r="G39" s="38" t="str">
        <f t="shared" si="1"/>
        <v/>
      </c>
      <c r="H39" s="38"/>
      <c r="J39" t="str">
        <f t="shared" si="9"/>
        <v/>
      </c>
      <c r="K39" s="38" t="str">
        <f t="shared" si="2"/>
        <v/>
      </c>
      <c r="L39" s="38" t="str">
        <f t="shared" si="10"/>
        <v/>
      </c>
      <c r="M39" s="38" t="str">
        <f t="shared" si="11"/>
        <v/>
      </c>
      <c r="N39" s="38" t="str">
        <f t="shared" si="12"/>
        <v/>
      </c>
      <c r="O39" s="38" t="str">
        <f t="shared" si="13"/>
        <v/>
      </c>
      <c r="P39" s="38" t="str">
        <f t="shared" si="3"/>
        <v/>
      </c>
      <c r="Q39" s="38"/>
    </row>
    <row r="40" spans="1:17" x14ac:dyDescent="0.2">
      <c r="A40" t="str">
        <f t="shared" si="4"/>
        <v/>
      </c>
      <c r="B40" s="38" t="str">
        <f t="shared" si="0"/>
        <v/>
      </c>
      <c r="C40" s="38" t="str">
        <f t="shared" si="5"/>
        <v/>
      </c>
      <c r="D40" s="38" t="str">
        <f t="shared" si="6"/>
        <v/>
      </c>
      <c r="E40" s="38" t="str">
        <f t="shared" si="7"/>
        <v/>
      </c>
      <c r="F40" s="38" t="str">
        <f t="shared" si="8"/>
        <v/>
      </c>
      <c r="G40" s="38" t="str">
        <f t="shared" si="1"/>
        <v/>
      </c>
      <c r="H40" s="38"/>
      <c r="J40" t="str">
        <f t="shared" si="9"/>
        <v/>
      </c>
      <c r="K40" s="38" t="str">
        <f t="shared" si="2"/>
        <v/>
      </c>
      <c r="L40" s="38" t="str">
        <f t="shared" si="10"/>
        <v/>
      </c>
      <c r="M40" s="38" t="str">
        <f t="shared" si="11"/>
        <v/>
      </c>
      <c r="N40" s="38" t="str">
        <f t="shared" si="12"/>
        <v/>
      </c>
      <c r="O40" s="38" t="str">
        <f t="shared" si="13"/>
        <v/>
      </c>
      <c r="P40" s="38" t="str">
        <f t="shared" si="3"/>
        <v/>
      </c>
      <c r="Q40" s="38"/>
    </row>
    <row r="41" spans="1:17" x14ac:dyDescent="0.2">
      <c r="A41" t="str">
        <f t="shared" si="4"/>
        <v/>
      </c>
      <c r="B41" s="38" t="str">
        <f t="shared" si="0"/>
        <v/>
      </c>
      <c r="C41" s="38" t="str">
        <f t="shared" si="5"/>
        <v/>
      </c>
      <c r="D41" s="38" t="str">
        <f t="shared" si="6"/>
        <v/>
      </c>
      <c r="E41" s="38" t="str">
        <f t="shared" si="7"/>
        <v/>
      </c>
      <c r="F41" s="38" t="str">
        <f t="shared" si="8"/>
        <v/>
      </c>
      <c r="G41" s="38" t="str">
        <f t="shared" si="1"/>
        <v/>
      </c>
      <c r="H41" s="38"/>
      <c r="J41" t="str">
        <f t="shared" si="9"/>
        <v/>
      </c>
      <c r="K41" s="38" t="str">
        <f t="shared" si="2"/>
        <v/>
      </c>
      <c r="L41" s="38" t="str">
        <f t="shared" si="10"/>
        <v/>
      </c>
      <c r="M41" s="38" t="str">
        <f t="shared" si="11"/>
        <v/>
      </c>
      <c r="N41" s="38" t="str">
        <f t="shared" si="12"/>
        <v/>
      </c>
      <c r="O41" s="38" t="str">
        <f t="shared" si="13"/>
        <v/>
      </c>
      <c r="P41" s="38" t="str">
        <f t="shared" si="3"/>
        <v/>
      </c>
      <c r="Q41" s="38"/>
    </row>
    <row r="42" spans="1:17" x14ac:dyDescent="0.2">
      <c r="A42" t="str">
        <f t="shared" si="4"/>
        <v/>
      </c>
      <c r="B42" s="38" t="str">
        <f t="shared" si="0"/>
        <v/>
      </c>
      <c r="C42" s="38" t="str">
        <f t="shared" si="5"/>
        <v/>
      </c>
      <c r="D42" s="38" t="str">
        <f t="shared" si="6"/>
        <v/>
      </c>
      <c r="E42" s="38" t="str">
        <f t="shared" si="7"/>
        <v/>
      </c>
      <c r="F42" s="38" t="str">
        <f t="shared" si="8"/>
        <v/>
      </c>
      <c r="G42" s="38" t="str">
        <f t="shared" si="1"/>
        <v/>
      </c>
      <c r="H42" s="38"/>
      <c r="J42" t="str">
        <f t="shared" si="9"/>
        <v/>
      </c>
      <c r="K42" s="38" t="str">
        <f t="shared" si="2"/>
        <v/>
      </c>
      <c r="L42" s="38" t="str">
        <f t="shared" si="10"/>
        <v/>
      </c>
      <c r="M42" s="38" t="str">
        <f t="shared" si="11"/>
        <v/>
      </c>
      <c r="N42" s="38" t="str">
        <f t="shared" si="12"/>
        <v/>
      </c>
      <c r="O42" s="38" t="str">
        <f t="shared" si="13"/>
        <v/>
      </c>
      <c r="P42" s="38" t="str">
        <f t="shared" si="3"/>
        <v/>
      </c>
      <c r="Q42" s="38"/>
    </row>
    <row r="43" spans="1:17" x14ac:dyDescent="0.2">
      <c r="A43" t="str">
        <f t="shared" si="4"/>
        <v/>
      </c>
      <c r="B43" s="38" t="str">
        <f t="shared" si="0"/>
        <v/>
      </c>
      <c r="C43" s="38" t="str">
        <f t="shared" si="5"/>
        <v/>
      </c>
      <c r="D43" s="38" t="str">
        <f t="shared" si="6"/>
        <v/>
      </c>
      <c r="E43" s="38" t="str">
        <f t="shared" si="7"/>
        <v/>
      </c>
      <c r="F43" s="38" t="str">
        <f t="shared" si="8"/>
        <v/>
      </c>
      <c r="G43" s="38" t="str">
        <f t="shared" si="1"/>
        <v/>
      </c>
      <c r="H43" s="38"/>
      <c r="J43" t="str">
        <f t="shared" si="9"/>
        <v/>
      </c>
      <c r="K43" s="38" t="str">
        <f t="shared" si="2"/>
        <v/>
      </c>
      <c r="L43" s="38" t="str">
        <f t="shared" si="10"/>
        <v/>
      </c>
      <c r="M43" s="38" t="str">
        <f t="shared" si="11"/>
        <v/>
      </c>
      <c r="N43" s="38" t="str">
        <f t="shared" si="12"/>
        <v/>
      </c>
      <c r="O43" s="38" t="str">
        <f t="shared" si="13"/>
        <v/>
      </c>
      <c r="P43" s="38" t="str">
        <f t="shared" si="3"/>
        <v/>
      </c>
      <c r="Q43" s="38"/>
    </row>
    <row r="44" spans="1:17" x14ac:dyDescent="0.2">
      <c r="A44" t="str">
        <f t="shared" si="4"/>
        <v/>
      </c>
      <c r="B44" s="38" t="str">
        <f t="shared" si="0"/>
        <v/>
      </c>
      <c r="C44" s="38" t="str">
        <f t="shared" si="5"/>
        <v/>
      </c>
      <c r="D44" s="38" t="str">
        <f t="shared" si="6"/>
        <v/>
      </c>
      <c r="E44" s="38" t="str">
        <f t="shared" si="7"/>
        <v/>
      </c>
      <c r="F44" s="38" t="str">
        <f t="shared" si="8"/>
        <v/>
      </c>
      <c r="G44" s="38" t="str">
        <f t="shared" si="1"/>
        <v/>
      </c>
      <c r="H44" s="38"/>
      <c r="J44" t="str">
        <f t="shared" si="9"/>
        <v/>
      </c>
      <c r="K44" s="38" t="str">
        <f t="shared" si="2"/>
        <v/>
      </c>
      <c r="L44" s="38" t="str">
        <f t="shared" si="10"/>
        <v/>
      </c>
      <c r="M44" s="38" t="str">
        <f t="shared" si="11"/>
        <v/>
      </c>
      <c r="N44" s="38" t="str">
        <f t="shared" si="12"/>
        <v/>
      </c>
      <c r="O44" s="38" t="str">
        <f t="shared" si="13"/>
        <v/>
      </c>
      <c r="P44" s="38" t="str">
        <f t="shared" si="3"/>
        <v/>
      </c>
      <c r="Q44" s="38"/>
    </row>
    <row r="45" spans="1:17" x14ac:dyDescent="0.2">
      <c r="A45" t="str">
        <f t="shared" si="4"/>
        <v/>
      </c>
      <c r="B45" s="38" t="str">
        <f t="shared" si="0"/>
        <v/>
      </c>
      <c r="C45" s="38" t="str">
        <f t="shared" si="5"/>
        <v/>
      </c>
      <c r="D45" s="38" t="str">
        <f t="shared" si="6"/>
        <v/>
      </c>
      <c r="E45" s="38" t="str">
        <f t="shared" si="7"/>
        <v/>
      </c>
      <c r="F45" s="38" t="str">
        <f t="shared" si="8"/>
        <v/>
      </c>
      <c r="G45" s="38" t="str">
        <f t="shared" si="1"/>
        <v/>
      </c>
      <c r="H45" s="38"/>
      <c r="J45" t="str">
        <f t="shared" si="9"/>
        <v/>
      </c>
      <c r="K45" s="38" t="str">
        <f t="shared" si="2"/>
        <v/>
      </c>
      <c r="L45" s="38" t="str">
        <f t="shared" si="10"/>
        <v/>
      </c>
      <c r="M45" s="38" t="str">
        <f t="shared" si="11"/>
        <v/>
      </c>
      <c r="N45" s="38" t="str">
        <f t="shared" si="12"/>
        <v/>
      </c>
      <c r="O45" s="38" t="str">
        <f t="shared" si="13"/>
        <v/>
      </c>
      <c r="P45" s="38" t="str">
        <f t="shared" si="3"/>
        <v/>
      </c>
      <c r="Q45" s="38"/>
    </row>
    <row r="46" spans="1:17" x14ac:dyDescent="0.2">
      <c r="A46" t="str">
        <f t="shared" si="4"/>
        <v/>
      </c>
      <c r="B46" s="38" t="str">
        <f t="shared" si="0"/>
        <v/>
      </c>
      <c r="C46" s="38" t="str">
        <f t="shared" si="5"/>
        <v/>
      </c>
      <c r="D46" s="38" t="str">
        <f t="shared" si="6"/>
        <v/>
      </c>
      <c r="E46" s="38" t="str">
        <f t="shared" si="7"/>
        <v/>
      </c>
      <c r="F46" s="38" t="str">
        <f t="shared" si="8"/>
        <v/>
      </c>
      <c r="G46" s="38" t="str">
        <f t="shared" si="1"/>
        <v/>
      </c>
      <c r="H46" s="38"/>
      <c r="J46" t="str">
        <f t="shared" si="9"/>
        <v/>
      </c>
      <c r="K46" s="38" t="str">
        <f t="shared" si="2"/>
        <v/>
      </c>
      <c r="L46" s="38" t="str">
        <f t="shared" si="10"/>
        <v/>
      </c>
      <c r="M46" s="38" t="str">
        <f t="shared" si="11"/>
        <v/>
      </c>
      <c r="N46" s="38" t="str">
        <f t="shared" si="12"/>
        <v/>
      </c>
      <c r="O46" s="38" t="str">
        <f t="shared" si="13"/>
        <v/>
      </c>
      <c r="P46" s="38" t="str">
        <f t="shared" si="3"/>
        <v/>
      </c>
      <c r="Q46" s="38"/>
    </row>
    <row r="47" spans="1:17" x14ac:dyDescent="0.2">
      <c r="A47" t="str">
        <f t="shared" si="4"/>
        <v/>
      </c>
      <c r="B47" s="38" t="str">
        <f t="shared" si="0"/>
        <v/>
      </c>
      <c r="C47" s="38" t="str">
        <f t="shared" si="5"/>
        <v/>
      </c>
      <c r="D47" s="38" t="str">
        <f t="shared" si="6"/>
        <v/>
      </c>
      <c r="E47" s="38" t="str">
        <f t="shared" si="7"/>
        <v/>
      </c>
      <c r="F47" s="38" t="str">
        <f t="shared" si="8"/>
        <v/>
      </c>
      <c r="G47" s="38" t="str">
        <f t="shared" si="1"/>
        <v/>
      </c>
      <c r="H47" s="38"/>
      <c r="J47" t="str">
        <f t="shared" si="9"/>
        <v/>
      </c>
      <c r="K47" s="38" t="str">
        <f t="shared" si="2"/>
        <v/>
      </c>
      <c r="L47" s="38" t="str">
        <f t="shared" si="10"/>
        <v/>
      </c>
      <c r="M47" s="38" t="str">
        <f t="shared" si="11"/>
        <v/>
      </c>
      <c r="N47" s="38" t="str">
        <f t="shared" si="12"/>
        <v/>
      </c>
      <c r="O47" s="38" t="str">
        <f t="shared" si="13"/>
        <v/>
      </c>
      <c r="P47" s="38" t="str">
        <f t="shared" si="3"/>
        <v/>
      </c>
      <c r="Q47" s="38"/>
    </row>
    <row r="48" spans="1:17" x14ac:dyDescent="0.2">
      <c r="A48" t="str">
        <f t="shared" si="4"/>
        <v/>
      </c>
      <c r="B48" s="38" t="str">
        <f t="shared" si="0"/>
        <v/>
      </c>
      <c r="C48" s="38" t="str">
        <f t="shared" si="5"/>
        <v/>
      </c>
      <c r="D48" s="38" t="str">
        <f t="shared" si="6"/>
        <v/>
      </c>
      <c r="E48" s="38" t="str">
        <f t="shared" si="7"/>
        <v/>
      </c>
      <c r="F48" s="38" t="str">
        <f t="shared" si="8"/>
        <v/>
      </c>
      <c r="G48" s="38" t="str">
        <f t="shared" si="1"/>
        <v/>
      </c>
      <c r="H48" s="38"/>
      <c r="J48" t="str">
        <f t="shared" si="9"/>
        <v/>
      </c>
      <c r="K48" s="38" t="str">
        <f t="shared" si="2"/>
        <v/>
      </c>
      <c r="L48" s="38" t="str">
        <f t="shared" si="10"/>
        <v/>
      </c>
      <c r="M48" s="38" t="str">
        <f t="shared" si="11"/>
        <v/>
      </c>
      <c r="N48" s="38" t="str">
        <f t="shared" si="12"/>
        <v/>
      </c>
      <c r="O48" s="38" t="str">
        <f t="shared" si="13"/>
        <v/>
      </c>
      <c r="P48" s="38" t="str">
        <f t="shared" si="3"/>
        <v/>
      </c>
      <c r="Q48" s="38"/>
    </row>
    <row r="49" spans="1:17" x14ac:dyDescent="0.2">
      <c r="A49" t="str">
        <f t="shared" si="4"/>
        <v/>
      </c>
      <c r="B49" s="38" t="str">
        <f t="shared" si="0"/>
        <v/>
      </c>
      <c r="C49" s="38" t="str">
        <f t="shared" si="5"/>
        <v/>
      </c>
      <c r="D49" s="38" t="str">
        <f t="shared" si="6"/>
        <v/>
      </c>
      <c r="E49" s="38" t="str">
        <f t="shared" si="7"/>
        <v/>
      </c>
      <c r="F49" s="38" t="str">
        <f t="shared" si="8"/>
        <v/>
      </c>
      <c r="G49" s="38" t="str">
        <f t="shared" si="1"/>
        <v/>
      </c>
      <c r="H49" s="38"/>
      <c r="J49" t="str">
        <f t="shared" si="9"/>
        <v/>
      </c>
      <c r="K49" s="38" t="str">
        <f t="shared" si="2"/>
        <v/>
      </c>
      <c r="L49" s="38" t="str">
        <f t="shared" si="10"/>
        <v/>
      </c>
      <c r="M49" s="38" t="str">
        <f t="shared" si="11"/>
        <v/>
      </c>
      <c r="N49" s="38" t="str">
        <f t="shared" si="12"/>
        <v/>
      </c>
      <c r="O49" s="38" t="str">
        <f t="shared" si="13"/>
        <v/>
      </c>
      <c r="P49" s="38" t="str">
        <f t="shared" si="3"/>
        <v/>
      </c>
      <c r="Q49" s="38"/>
    </row>
    <row r="50" spans="1:17" x14ac:dyDescent="0.2">
      <c r="A50" t="str">
        <f t="shared" si="4"/>
        <v/>
      </c>
      <c r="B50" s="38" t="str">
        <f t="shared" si="0"/>
        <v/>
      </c>
      <c r="C50" s="38" t="str">
        <f t="shared" si="5"/>
        <v/>
      </c>
      <c r="D50" s="38" t="str">
        <f t="shared" si="6"/>
        <v/>
      </c>
      <c r="E50" s="38" t="str">
        <f t="shared" si="7"/>
        <v/>
      </c>
      <c r="F50" s="38" t="str">
        <f t="shared" si="8"/>
        <v/>
      </c>
      <c r="G50" s="38" t="str">
        <f t="shared" si="1"/>
        <v/>
      </c>
      <c r="H50" s="38"/>
      <c r="J50" t="str">
        <f t="shared" si="9"/>
        <v/>
      </c>
      <c r="K50" s="38" t="str">
        <f t="shared" si="2"/>
        <v/>
      </c>
      <c r="L50" s="38" t="str">
        <f t="shared" si="10"/>
        <v/>
      </c>
      <c r="M50" s="38" t="str">
        <f t="shared" si="11"/>
        <v/>
      </c>
      <c r="N50" s="38" t="str">
        <f t="shared" si="12"/>
        <v/>
      </c>
      <c r="O50" s="38" t="str">
        <f t="shared" si="13"/>
        <v/>
      </c>
      <c r="P50" s="38" t="str">
        <f t="shared" si="3"/>
        <v/>
      </c>
      <c r="Q50" s="38"/>
    </row>
    <row r="51" spans="1:17" x14ac:dyDescent="0.2">
      <c r="A51" t="str">
        <f t="shared" si="4"/>
        <v/>
      </c>
      <c r="B51" s="38" t="str">
        <f t="shared" si="0"/>
        <v/>
      </c>
      <c r="C51" s="38" t="str">
        <f t="shared" si="5"/>
        <v/>
      </c>
      <c r="D51" s="38" t="str">
        <f t="shared" si="6"/>
        <v/>
      </c>
      <c r="E51" s="38" t="str">
        <f t="shared" si="7"/>
        <v/>
      </c>
      <c r="F51" s="38" t="str">
        <f t="shared" si="8"/>
        <v/>
      </c>
      <c r="G51" s="38" t="str">
        <f t="shared" si="1"/>
        <v/>
      </c>
      <c r="H51" s="38"/>
      <c r="J51" t="str">
        <f t="shared" si="9"/>
        <v/>
      </c>
      <c r="K51" s="38" t="str">
        <f t="shared" si="2"/>
        <v/>
      </c>
      <c r="L51" s="38" t="str">
        <f t="shared" si="10"/>
        <v/>
      </c>
      <c r="M51" s="38" t="str">
        <f t="shared" si="11"/>
        <v/>
      </c>
      <c r="N51" s="38" t="str">
        <f t="shared" si="12"/>
        <v/>
      </c>
      <c r="O51" s="38" t="str">
        <f t="shared" si="13"/>
        <v/>
      </c>
      <c r="P51" s="38" t="str">
        <f t="shared" si="3"/>
        <v/>
      </c>
      <c r="Q51" s="38"/>
    </row>
    <row r="52" spans="1:17" x14ac:dyDescent="0.2">
      <c r="A52" t="str">
        <f t="shared" si="4"/>
        <v/>
      </c>
      <c r="B52" s="38" t="str">
        <f t="shared" si="0"/>
        <v/>
      </c>
      <c r="C52" s="38" t="str">
        <f t="shared" si="5"/>
        <v/>
      </c>
      <c r="D52" s="38" t="str">
        <f t="shared" si="6"/>
        <v/>
      </c>
      <c r="E52" s="38" t="str">
        <f t="shared" si="7"/>
        <v/>
      </c>
      <c r="F52" s="38" t="str">
        <f t="shared" si="8"/>
        <v/>
      </c>
      <c r="G52" s="38" t="str">
        <f t="shared" si="1"/>
        <v/>
      </c>
      <c r="H52" s="38"/>
      <c r="J52" t="str">
        <f t="shared" si="9"/>
        <v/>
      </c>
      <c r="K52" s="38" t="str">
        <f t="shared" si="2"/>
        <v/>
      </c>
      <c r="L52" s="38" t="str">
        <f t="shared" si="10"/>
        <v/>
      </c>
      <c r="M52" s="38" t="str">
        <f t="shared" si="11"/>
        <v/>
      </c>
      <c r="N52" s="38" t="str">
        <f t="shared" si="12"/>
        <v/>
      </c>
      <c r="O52" s="38" t="str">
        <f t="shared" si="13"/>
        <v/>
      </c>
      <c r="P52" s="38" t="str">
        <f t="shared" si="3"/>
        <v/>
      </c>
      <c r="Q52" s="38"/>
    </row>
    <row r="53" spans="1:17" x14ac:dyDescent="0.2">
      <c r="A53" t="str">
        <f t="shared" si="4"/>
        <v/>
      </c>
      <c r="B53" s="38" t="str">
        <f t="shared" si="0"/>
        <v/>
      </c>
      <c r="C53" s="38" t="str">
        <f t="shared" si="5"/>
        <v/>
      </c>
      <c r="D53" s="38" t="str">
        <f t="shared" si="6"/>
        <v/>
      </c>
      <c r="E53" s="38" t="str">
        <f t="shared" si="7"/>
        <v/>
      </c>
      <c r="F53" s="38" t="str">
        <f t="shared" si="8"/>
        <v/>
      </c>
      <c r="G53" s="38" t="str">
        <f t="shared" si="1"/>
        <v/>
      </c>
      <c r="H53" s="38"/>
      <c r="J53" t="str">
        <f t="shared" si="9"/>
        <v/>
      </c>
      <c r="K53" s="38" t="str">
        <f t="shared" si="2"/>
        <v/>
      </c>
      <c r="L53" s="38" t="str">
        <f t="shared" si="10"/>
        <v/>
      </c>
      <c r="M53" s="38" t="str">
        <f t="shared" si="11"/>
        <v/>
      </c>
      <c r="N53" s="38" t="str">
        <f t="shared" si="12"/>
        <v/>
      </c>
      <c r="O53" s="38" t="str">
        <f t="shared" si="13"/>
        <v/>
      </c>
      <c r="P53" s="38" t="str">
        <f t="shared" si="3"/>
        <v/>
      </c>
      <c r="Q53" s="38"/>
    </row>
    <row r="54" spans="1:17" x14ac:dyDescent="0.2">
      <c r="A54" t="str">
        <f t="shared" si="4"/>
        <v/>
      </c>
      <c r="B54" s="38" t="str">
        <f t="shared" si="0"/>
        <v/>
      </c>
      <c r="C54" s="38" t="str">
        <f t="shared" si="5"/>
        <v/>
      </c>
      <c r="D54" s="38" t="str">
        <f t="shared" si="6"/>
        <v/>
      </c>
      <c r="E54" s="38" t="str">
        <f t="shared" si="7"/>
        <v/>
      </c>
      <c r="F54" s="38" t="str">
        <f t="shared" si="8"/>
        <v/>
      </c>
      <c r="G54" s="38" t="str">
        <f t="shared" si="1"/>
        <v/>
      </c>
      <c r="H54" s="38"/>
      <c r="J54" t="str">
        <f t="shared" si="9"/>
        <v/>
      </c>
      <c r="K54" s="38" t="str">
        <f t="shared" si="2"/>
        <v/>
      </c>
      <c r="L54" s="38" t="str">
        <f t="shared" si="10"/>
        <v/>
      </c>
      <c r="M54" s="38" t="str">
        <f t="shared" si="11"/>
        <v/>
      </c>
      <c r="N54" s="38" t="str">
        <f t="shared" si="12"/>
        <v/>
      </c>
      <c r="O54" s="38" t="str">
        <f t="shared" si="13"/>
        <v/>
      </c>
      <c r="P54" s="38" t="str">
        <f t="shared" si="3"/>
        <v/>
      </c>
      <c r="Q54" s="38"/>
    </row>
    <row r="55" spans="1:17" x14ac:dyDescent="0.2">
      <c r="A55" t="str">
        <f t="shared" si="4"/>
        <v/>
      </c>
      <c r="B55" s="38" t="str">
        <f t="shared" si="0"/>
        <v/>
      </c>
      <c r="C55" s="38" t="str">
        <f t="shared" si="5"/>
        <v/>
      </c>
      <c r="D55" s="38" t="str">
        <f t="shared" si="6"/>
        <v/>
      </c>
      <c r="E55" s="38" t="str">
        <f t="shared" si="7"/>
        <v/>
      </c>
      <c r="F55" s="38" t="str">
        <f t="shared" si="8"/>
        <v/>
      </c>
      <c r="G55" s="38" t="str">
        <f t="shared" si="1"/>
        <v/>
      </c>
      <c r="H55" s="38"/>
      <c r="J55" t="str">
        <f t="shared" si="9"/>
        <v/>
      </c>
      <c r="K55" s="38" t="str">
        <f t="shared" si="2"/>
        <v/>
      </c>
      <c r="L55" s="38" t="str">
        <f t="shared" si="10"/>
        <v/>
      </c>
      <c r="M55" s="38" t="str">
        <f t="shared" si="11"/>
        <v/>
      </c>
      <c r="N55" s="38" t="str">
        <f t="shared" si="12"/>
        <v/>
      </c>
      <c r="O55" s="38" t="str">
        <f t="shared" si="13"/>
        <v/>
      </c>
      <c r="P55" s="38" t="str">
        <f t="shared" si="3"/>
        <v/>
      </c>
      <c r="Q55" s="38"/>
    </row>
    <row r="56" spans="1:17" x14ac:dyDescent="0.2">
      <c r="A56" t="str">
        <f t="shared" si="4"/>
        <v/>
      </c>
      <c r="B56" s="38" t="str">
        <f t="shared" si="0"/>
        <v/>
      </c>
      <c r="C56" s="38" t="str">
        <f t="shared" si="5"/>
        <v/>
      </c>
      <c r="D56" s="38" t="str">
        <f t="shared" si="6"/>
        <v/>
      </c>
      <c r="E56" s="38" t="str">
        <f t="shared" si="7"/>
        <v/>
      </c>
      <c r="F56" s="38" t="str">
        <f t="shared" si="8"/>
        <v/>
      </c>
      <c r="G56" s="38" t="str">
        <f t="shared" si="1"/>
        <v/>
      </c>
      <c r="H56" s="38"/>
      <c r="J56" t="str">
        <f t="shared" si="9"/>
        <v/>
      </c>
      <c r="K56" s="38" t="str">
        <f t="shared" si="2"/>
        <v/>
      </c>
      <c r="L56" s="38" t="str">
        <f t="shared" si="10"/>
        <v/>
      </c>
      <c r="M56" s="38" t="str">
        <f t="shared" si="11"/>
        <v/>
      </c>
      <c r="N56" s="38" t="str">
        <f t="shared" si="12"/>
        <v/>
      </c>
      <c r="O56" s="38" t="str">
        <f t="shared" si="13"/>
        <v/>
      </c>
      <c r="P56" s="38" t="str">
        <f t="shared" si="3"/>
        <v/>
      </c>
      <c r="Q56" s="38"/>
    </row>
    <row r="57" spans="1:17" x14ac:dyDescent="0.2">
      <c r="A57" t="str">
        <f t="shared" si="4"/>
        <v/>
      </c>
      <c r="B57" s="38" t="str">
        <f t="shared" si="0"/>
        <v/>
      </c>
      <c r="C57" s="38" t="str">
        <f t="shared" si="5"/>
        <v/>
      </c>
      <c r="D57" s="38" t="str">
        <f t="shared" si="6"/>
        <v/>
      </c>
      <c r="E57" s="38" t="str">
        <f t="shared" si="7"/>
        <v/>
      </c>
      <c r="F57" s="38" t="str">
        <f t="shared" si="8"/>
        <v/>
      </c>
      <c r="G57" s="38" t="str">
        <f t="shared" si="1"/>
        <v/>
      </c>
      <c r="H57" s="38"/>
      <c r="J57" t="str">
        <f t="shared" si="9"/>
        <v/>
      </c>
      <c r="K57" s="38" t="str">
        <f t="shared" si="2"/>
        <v/>
      </c>
      <c r="L57" s="38" t="str">
        <f t="shared" si="10"/>
        <v/>
      </c>
      <c r="M57" s="38" t="str">
        <f t="shared" si="11"/>
        <v/>
      </c>
      <c r="N57" s="38" t="str">
        <f t="shared" si="12"/>
        <v/>
      </c>
      <c r="O57" s="38" t="str">
        <f t="shared" si="13"/>
        <v/>
      </c>
      <c r="P57" s="38" t="str">
        <f t="shared" si="3"/>
        <v/>
      </c>
      <c r="Q57" s="38"/>
    </row>
    <row r="58" spans="1:17" x14ac:dyDescent="0.2">
      <c r="A58" t="str">
        <f t="shared" si="4"/>
        <v/>
      </c>
      <c r="B58" s="38" t="str">
        <f t="shared" si="0"/>
        <v/>
      </c>
      <c r="C58" s="38" t="str">
        <f t="shared" si="5"/>
        <v/>
      </c>
      <c r="D58" s="38" t="str">
        <f t="shared" si="6"/>
        <v/>
      </c>
      <c r="E58" s="38" t="str">
        <f t="shared" si="7"/>
        <v/>
      </c>
      <c r="F58" s="38" t="str">
        <f t="shared" si="8"/>
        <v/>
      </c>
      <c r="G58" s="38" t="str">
        <f t="shared" si="1"/>
        <v/>
      </c>
      <c r="H58" s="38"/>
      <c r="J58" t="str">
        <f t="shared" si="9"/>
        <v/>
      </c>
      <c r="K58" s="38" t="str">
        <f t="shared" si="2"/>
        <v/>
      </c>
      <c r="L58" s="38" t="str">
        <f t="shared" si="10"/>
        <v/>
      </c>
      <c r="M58" s="38" t="str">
        <f t="shared" si="11"/>
        <v/>
      </c>
      <c r="N58" s="38" t="str">
        <f t="shared" si="12"/>
        <v/>
      </c>
      <c r="O58" s="38" t="str">
        <f t="shared" si="13"/>
        <v/>
      </c>
      <c r="P58" s="38" t="str">
        <f t="shared" si="3"/>
        <v/>
      </c>
      <c r="Q58" s="38"/>
    </row>
    <row r="59" spans="1:17" x14ac:dyDescent="0.2">
      <c r="A59" t="str">
        <f t="shared" si="4"/>
        <v/>
      </c>
      <c r="B59" s="38" t="str">
        <f t="shared" si="0"/>
        <v/>
      </c>
      <c r="C59" s="38" t="str">
        <f t="shared" si="5"/>
        <v/>
      </c>
      <c r="D59" s="38" t="str">
        <f t="shared" si="6"/>
        <v/>
      </c>
      <c r="E59" s="38" t="str">
        <f t="shared" si="7"/>
        <v/>
      </c>
      <c r="F59" s="38" t="str">
        <f t="shared" si="8"/>
        <v/>
      </c>
      <c r="G59" s="38" t="str">
        <f t="shared" si="1"/>
        <v/>
      </c>
      <c r="H59" s="38"/>
      <c r="J59" t="str">
        <f t="shared" si="9"/>
        <v/>
      </c>
      <c r="K59" s="38" t="str">
        <f t="shared" si="2"/>
        <v/>
      </c>
      <c r="L59" s="38" t="str">
        <f t="shared" si="10"/>
        <v/>
      </c>
      <c r="M59" s="38" t="str">
        <f t="shared" si="11"/>
        <v/>
      </c>
      <c r="N59" s="38" t="str">
        <f t="shared" si="12"/>
        <v/>
      </c>
      <c r="O59" s="38" t="str">
        <f t="shared" si="13"/>
        <v/>
      </c>
      <c r="P59" s="38" t="str">
        <f t="shared" si="3"/>
        <v/>
      </c>
      <c r="Q59" s="38"/>
    </row>
    <row r="60" spans="1:17" x14ac:dyDescent="0.2">
      <c r="A60" t="str">
        <f t="shared" si="4"/>
        <v/>
      </c>
      <c r="B60" s="38" t="str">
        <f t="shared" si="0"/>
        <v/>
      </c>
      <c r="C60" s="38" t="str">
        <f t="shared" si="5"/>
        <v/>
      </c>
      <c r="D60" s="38" t="str">
        <f t="shared" si="6"/>
        <v/>
      </c>
      <c r="E60" s="38" t="str">
        <f t="shared" si="7"/>
        <v/>
      </c>
      <c r="F60" s="38" t="str">
        <f t="shared" si="8"/>
        <v/>
      </c>
      <c r="G60" s="38" t="str">
        <f t="shared" si="1"/>
        <v/>
      </c>
      <c r="H60" s="38"/>
      <c r="J60" t="str">
        <f t="shared" si="9"/>
        <v/>
      </c>
      <c r="K60" s="38" t="str">
        <f t="shared" si="2"/>
        <v/>
      </c>
      <c r="L60" s="38" t="str">
        <f t="shared" si="10"/>
        <v/>
      </c>
      <c r="M60" s="38" t="str">
        <f t="shared" si="11"/>
        <v/>
      </c>
      <c r="N60" s="38" t="str">
        <f t="shared" si="12"/>
        <v/>
      </c>
      <c r="O60" s="38" t="str">
        <f t="shared" si="13"/>
        <v/>
      </c>
      <c r="P60" s="38" t="str">
        <f t="shared" si="3"/>
        <v/>
      </c>
      <c r="Q60" s="38"/>
    </row>
    <row r="61" spans="1:17" x14ac:dyDescent="0.2">
      <c r="A61" t="str">
        <f t="shared" si="4"/>
        <v/>
      </c>
      <c r="B61" s="38" t="str">
        <f t="shared" si="0"/>
        <v/>
      </c>
      <c r="C61" s="38" t="str">
        <f t="shared" si="5"/>
        <v/>
      </c>
      <c r="D61" s="38" t="str">
        <f t="shared" si="6"/>
        <v/>
      </c>
      <c r="E61" s="38" t="str">
        <f t="shared" si="7"/>
        <v/>
      </c>
      <c r="F61" s="38" t="str">
        <f t="shared" si="8"/>
        <v/>
      </c>
      <c r="G61" s="38" t="str">
        <f t="shared" si="1"/>
        <v/>
      </c>
      <c r="H61" s="38"/>
      <c r="J61" t="str">
        <f t="shared" si="9"/>
        <v/>
      </c>
      <c r="K61" s="38" t="str">
        <f t="shared" si="2"/>
        <v/>
      </c>
      <c r="L61" s="38" t="str">
        <f t="shared" si="10"/>
        <v/>
      </c>
      <c r="M61" s="38" t="str">
        <f t="shared" si="11"/>
        <v/>
      </c>
      <c r="N61" s="38" t="str">
        <f t="shared" si="12"/>
        <v/>
      </c>
      <c r="O61" s="38" t="str">
        <f t="shared" si="13"/>
        <v/>
      </c>
      <c r="P61" s="38" t="str">
        <f t="shared" si="3"/>
        <v/>
      </c>
      <c r="Q61" s="38"/>
    </row>
    <row r="62" spans="1:17" x14ac:dyDescent="0.2">
      <c r="A62" t="str">
        <f t="shared" si="4"/>
        <v/>
      </c>
      <c r="B62" s="38" t="str">
        <f t="shared" si="0"/>
        <v/>
      </c>
      <c r="C62" s="38" t="str">
        <f t="shared" si="5"/>
        <v/>
      </c>
      <c r="D62" s="38" t="str">
        <f t="shared" si="6"/>
        <v/>
      </c>
      <c r="E62" s="38" t="str">
        <f t="shared" si="7"/>
        <v/>
      </c>
      <c r="F62" s="38" t="str">
        <f t="shared" si="8"/>
        <v/>
      </c>
      <c r="G62" s="38" t="str">
        <f t="shared" si="1"/>
        <v/>
      </c>
      <c r="H62" s="38"/>
      <c r="J62" t="str">
        <f t="shared" si="9"/>
        <v/>
      </c>
      <c r="K62" s="38" t="str">
        <f t="shared" si="2"/>
        <v/>
      </c>
      <c r="L62" s="38" t="str">
        <f t="shared" si="10"/>
        <v/>
      </c>
      <c r="M62" s="38" t="str">
        <f t="shared" si="11"/>
        <v/>
      </c>
      <c r="N62" s="38" t="str">
        <f t="shared" si="12"/>
        <v/>
      </c>
      <c r="O62" s="38" t="str">
        <f t="shared" si="13"/>
        <v/>
      </c>
      <c r="P62" s="38" t="str">
        <f t="shared" si="3"/>
        <v/>
      </c>
      <c r="Q62" s="38"/>
    </row>
    <row r="63" spans="1:17" x14ac:dyDescent="0.2">
      <c r="A63" t="str">
        <f t="shared" si="4"/>
        <v/>
      </c>
      <c r="B63" s="38" t="str">
        <f t="shared" si="0"/>
        <v/>
      </c>
      <c r="C63" s="38" t="str">
        <f t="shared" si="5"/>
        <v/>
      </c>
      <c r="D63" s="38" t="str">
        <f t="shared" si="6"/>
        <v/>
      </c>
      <c r="E63" s="38" t="str">
        <f t="shared" si="7"/>
        <v/>
      </c>
      <c r="F63" s="38" t="str">
        <f t="shared" si="8"/>
        <v/>
      </c>
      <c r="G63" s="38" t="str">
        <f t="shared" si="1"/>
        <v/>
      </c>
      <c r="H63" s="38"/>
      <c r="J63" t="str">
        <f t="shared" si="9"/>
        <v/>
      </c>
      <c r="K63" s="38" t="str">
        <f t="shared" si="2"/>
        <v/>
      </c>
      <c r="L63" s="38" t="str">
        <f t="shared" si="10"/>
        <v/>
      </c>
      <c r="M63" s="38" t="str">
        <f t="shared" si="11"/>
        <v/>
      </c>
      <c r="N63" s="38" t="str">
        <f t="shared" si="12"/>
        <v/>
      </c>
      <c r="O63" s="38" t="str">
        <f t="shared" si="13"/>
        <v/>
      </c>
      <c r="P63" s="38" t="str">
        <f t="shared" si="3"/>
        <v/>
      </c>
      <c r="Q63" s="38"/>
    </row>
    <row r="64" spans="1:17" x14ac:dyDescent="0.2">
      <c r="A64" t="str">
        <f t="shared" si="4"/>
        <v/>
      </c>
      <c r="B64" s="38" t="str">
        <f t="shared" si="0"/>
        <v/>
      </c>
      <c r="C64" s="38" t="str">
        <f t="shared" si="5"/>
        <v/>
      </c>
      <c r="D64" s="38" t="str">
        <f t="shared" si="6"/>
        <v/>
      </c>
      <c r="E64" s="38" t="str">
        <f t="shared" si="7"/>
        <v/>
      </c>
      <c r="F64" s="38" t="str">
        <f t="shared" si="8"/>
        <v/>
      </c>
      <c r="G64" s="38" t="str">
        <f t="shared" si="1"/>
        <v/>
      </c>
      <c r="H64" s="38"/>
      <c r="J64" t="str">
        <f t="shared" si="9"/>
        <v/>
      </c>
      <c r="K64" s="38" t="str">
        <f t="shared" si="2"/>
        <v/>
      </c>
      <c r="L64" s="38" t="str">
        <f t="shared" si="10"/>
        <v/>
      </c>
      <c r="M64" s="38" t="str">
        <f t="shared" si="11"/>
        <v/>
      </c>
      <c r="N64" s="38" t="str">
        <f t="shared" si="12"/>
        <v/>
      </c>
      <c r="O64" s="38" t="str">
        <f t="shared" si="13"/>
        <v/>
      </c>
      <c r="P64" s="38" t="str">
        <f t="shared" si="3"/>
        <v/>
      </c>
      <c r="Q64" s="38"/>
    </row>
    <row r="65" spans="1:17" x14ac:dyDescent="0.2">
      <c r="A65" t="str">
        <f t="shared" si="4"/>
        <v/>
      </c>
      <c r="B65" s="38" t="str">
        <f t="shared" si="0"/>
        <v/>
      </c>
      <c r="C65" s="38" t="str">
        <f t="shared" si="5"/>
        <v/>
      </c>
      <c r="D65" s="38" t="str">
        <f t="shared" si="6"/>
        <v/>
      </c>
      <c r="E65" s="38" t="str">
        <f t="shared" si="7"/>
        <v/>
      </c>
      <c r="F65" s="38" t="str">
        <f t="shared" si="8"/>
        <v/>
      </c>
      <c r="G65" s="38" t="str">
        <f t="shared" si="1"/>
        <v/>
      </c>
      <c r="H65" s="38"/>
      <c r="J65" t="str">
        <f t="shared" si="9"/>
        <v/>
      </c>
      <c r="K65" s="38" t="str">
        <f t="shared" si="2"/>
        <v/>
      </c>
      <c r="L65" s="38" t="str">
        <f t="shared" si="10"/>
        <v/>
      </c>
      <c r="M65" s="38" t="str">
        <f t="shared" si="11"/>
        <v/>
      </c>
      <c r="N65" s="38" t="str">
        <f t="shared" si="12"/>
        <v/>
      </c>
      <c r="O65" s="38" t="str">
        <f t="shared" si="13"/>
        <v/>
      </c>
      <c r="P65" s="38" t="str">
        <f t="shared" si="3"/>
        <v/>
      </c>
      <c r="Q65" s="38"/>
    </row>
    <row r="66" spans="1:17" x14ac:dyDescent="0.2">
      <c r="A66" t="str">
        <f t="shared" si="4"/>
        <v/>
      </c>
      <c r="B66" s="38" t="str">
        <f t="shared" si="0"/>
        <v/>
      </c>
      <c r="C66" s="38" t="str">
        <f t="shared" si="5"/>
        <v/>
      </c>
      <c r="D66" s="38" t="str">
        <f t="shared" si="6"/>
        <v/>
      </c>
      <c r="E66" s="38" t="str">
        <f t="shared" si="7"/>
        <v/>
      </c>
      <c r="F66" s="38" t="str">
        <f t="shared" si="8"/>
        <v/>
      </c>
      <c r="G66" s="38" t="str">
        <f t="shared" si="1"/>
        <v/>
      </c>
      <c r="H66" s="38"/>
      <c r="J66" t="str">
        <f t="shared" si="9"/>
        <v/>
      </c>
      <c r="K66" s="38" t="str">
        <f t="shared" si="2"/>
        <v/>
      </c>
      <c r="L66" s="38" t="str">
        <f t="shared" si="10"/>
        <v/>
      </c>
      <c r="M66" s="38" t="str">
        <f t="shared" si="11"/>
        <v/>
      </c>
      <c r="N66" s="38" t="str">
        <f t="shared" si="12"/>
        <v/>
      </c>
      <c r="O66" s="38" t="str">
        <f t="shared" si="13"/>
        <v/>
      </c>
      <c r="P66" s="38" t="str">
        <f t="shared" si="3"/>
        <v/>
      </c>
      <c r="Q66" s="38"/>
    </row>
    <row r="67" spans="1:17" x14ac:dyDescent="0.2">
      <c r="A67" t="str">
        <f t="shared" si="4"/>
        <v/>
      </c>
      <c r="B67" s="38" t="str">
        <f t="shared" si="0"/>
        <v/>
      </c>
      <c r="C67" s="38" t="str">
        <f t="shared" si="5"/>
        <v/>
      </c>
      <c r="D67" s="38" t="str">
        <f t="shared" si="6"/>
        <v/>
      </c>
      <c r="E67" s="38" t="str">
        <f t="shared" si="7"/>
        <v/>
      </c>
      <c r="F67" s="38" t="str">
        <f t="shared" si="8"/>
        <v/>
      </c>
      <c r="G67" s="38" t="str">
        <f t="shared" si="1"/>
        <v/>
      </c>
      <c r="H67" s="38"/>
      <c r="J67" t="str">
        <f t="shared" si="9"/>
        <v/>
      </c>
      <c r="K67" s="38" t="str">
        <f t="shared" si="2"/>
        <v/>
      </c>
      <c r="L67" s="38" t="str">
        <f t="shared" si="10"/>
        <v/>
      </c>
      <c r="M67" s="38" t="str">
        <f t="shared" si="11"/>
        <v/>
      </c>
      <c r="N67" s="38" t="str">
        <f t="shared" si="12"/>
        <v/>
      </c>
      <c r="O67" s="38" t="str">
        <f t="shared" si="13"/>
        <v/>
      </c>
      <c r="P67" s="38" t="str">
        <f t="shared" si="3"/>
        <v/>
      </c>
      <c r="Q67" s="38"/>
    </row>
    <row r="68" spans="1:17" x14ac:dyDescent="0.2">
      <c r="A68" t="str">
        <f t="shared" si="4"/>
        <v/>
      </c>
      <c r="B68" s="38" t="str">
        <f t="shared" si="0"/>
        <v/>
      </c>
      <c r="C68" s="38" t="str">
        <f t="shared" si="5"/>
        <v/>
      </c>
      <c r="D68" s="38" t="str">
        <f t="shared" si="6"/>
        <v/>
      </c>
      <c r="E68" s="38" t="str">
        <f t="shared" si="7"/>
        <v/>
      </c>
      <c r="F68" s="38" t="str">
        <f t="shared" si="8"/>
        <v/>
      </c>
      <c r="G68" s="38" t="str">
        <f t="shared" si="1"/>
        <v/>
      </c>
      <c r="H68" s="38"/>
      <c r="J68" t="str">
        <f t="shared" si="9"/>
        <v/>
      </c>
      <c r="K68" s="38" t="str">
        <f t="shared" si="2"/>
        <v/>
      </c>
      <c r="L68" s="38" t="str">
        <f t="shared" si="10"/>
        <v/>
      </c>
      <c r="M68" s="38" t="str">
        <f t="shared" si="11"/>
        <v/>
      </c>
      <c r="N68" s="38" t="str">
        <f t="shared" si="12"/>
        <v/>
      </c>
      <c r="O68" s="38" t="str">
        <f t="shared" si="13"/>
        <v/>
      </c>
      <c r="P68" s="38" t="str">
        <f t="shared" si="3"/>
        <v/>
      </c>
      <c r="Q68" s="38"/>
    </row>
    <row r="69" spans="1:17" x14ac:dyDescent="0.2">
      <c r="A69" t="str">
        <f t="shared" si="4"/>
        <v/>
      </c>
      <c r="B69" s="38" t="str">
        <f t="shared" si="0"/>
        <v/>
      </c>
      <c r="C69" s="38" t="str">
        <f t="shared" si="5"/>
        <v/>
      </c>
      <c r="D69" s="38" t="str">
        <f t="shared" si="6"/>
        <v/>
      </c>
      <c r="E69" s="38" t="str">
        <f t="shared" si="7"/>
        <v/>
      </c>
      <c r="F69" s="38" t="str">
        <f t="shared" si="8"/>
        <v/>
      </c>
      <c r="G69" s="38" t="str">
        <f t="shared" si="1"/>
        <v/>
      </c>
      <c r="H69" s="38"/>
      <c r="J69" t="str">
        <f t="shared" si="9"/>
        <v/>
      </c>
      <c r="K69" s="38" t="str">
        <f t="shared" si="2"/>
        <v/>
      </c>
      <c r="L69" s="38" t="str">
        <f t="shared" si="10"/>
        <v/>
      </c>
      <c r="M69" s="38" t="str">
        <f t="shared" si="11"/>
        <v/>
      </c>
      <c r="N69" s="38" t="str">
        <f t="shared" si="12"/>
        <v/>
      </c>
      <c r="O69" s="38" t="str">
        <f t="shared" si="13"/>
        <v/>
      </c>
      <c r="P69" s="38" t="str">
        <f t="shared" si="3"/>
        <v/>
      </c>
      <c r="Q69" s="38"/>
    </row>
    <row r="70" spans="1:17" x14ac:dyDescent="0.2">
      <c r="A70" t="str">
        <f t="shared" si="4"/>
        <v/>
      </c>
      <c r="B70" s="38" t="str">
        <f t="shared" si="0"/>
        <v/>
      </c>
      <c r="C70" s="38" t="str">
        <f t="shared" si="5"/>
        <v/>
      </c>
      <c r="D70" s="38" t="str">
        <f t="shared" si="6"/>
        <v/>
      </c>
      <c r="E70" s="38" t="str">
        <f t="shared" si="7"/>
        <v/>
      </c>
      <c r="F70" s="38" t="str">
        <f t="shared" si="8"/>
        <v/>
      </c>
      <c r="G70" s="38" t="str">
        <f t="shared" si="1"/>
        <v/>
      </c>
      <c r="H70" s="38"/>
      <c r="J70" t="str">
        <f t="shared" si="9"/>
        <v/>
      </c>
      <c r="K70" s="38" t="str">
        <f t="shared" si="2"/>
        <v/>
      </c>
      <c r="L70" s="38" t="str">
        <f t="shared" si="10"/>
        <v/>
      </c>
      <c r="M70" s="38" t="str">
        <f t="shared" si="11"/>
        <v/>
      </c>
      <c r="N70" s="38" t="str">
        <f t="shared" si="12"/>
        <v/>
      </c>
      <c r="O70" s="38" t="str">
        <f t="shared" si="13"/>
        <v/>
      </c>
      <c r="P70" s="38" t="str">
        <f t="shared" si="3"/>
        <v/>
      </c>
      <c r="Q70" s="38"/>
    </row>
    <row r="71" spans="1:17" x14ac:dyDescent="0.2">
      <c r="A71" t="str">
        <f t="shared" si="4"/>
        <v/>
      </c>
      <c r="B71" s="38" t="str">
        <f t="shared" si="0"/>
        <v/>
      </c>
      <c r="C71" s="38" t="str">
        <f t="shared" si="5"/>
        <v/>
      </c>
      <c r="D71" s="38" t="str">
        <f t="shared" si="6"/>
        <v/>
      </c>
      <c r="E71" s="38" t="str">
        <f t="shared" si="7"/>
        <v/>
      </c>
      <c r="F71" s="38" t="str">
        <f t="shared" si="8"/>
        <v/>
      </c>
      <c r="G71" s="38" t="str">
        <f t="shared" si="1"/>
        <v/>
      </c>
      <c r="H71" s="38"/>
      <c r="J71" t="str">
        <f t="shared" si="9"/>
        <v/>
      </c>
      <c r="K71" s="38" t="str">
        <f t="shared" si="2"/>
        <v/>
      </c>
      <c r="L71" s="38" t="str">
        <f t="shared" si="10"/>
        <v/>
      </c>
      <c r="M71" s="38" t="str">
        <f t="shared" si="11"/>
        <v/>
      </c>
      <c r="N71" s="38" t="str">
        <f t="shared" si="12"/>
        <v/>
      </c>
      <c r="O71" s="38" t="str">
        <f t="shared" si="13"/>
        <v/>
      </c>
      <c r="P71" s="38" t="str">
        <f t="shared" si="3"/>
        <v/>
      </c>
      <c r="Q71" s="38"/>
    </row>
    <row r="72" spans="1:17" x14ac:dyDescent="0.2">
      <c r="A72" t="str">
        <f t="shared" si="4"/>
        <v/>
      </c>
      <c r="B72" s="38" t="str">
        <f t="shared" si="0"/>
        <v/>
      </c>
      <c r="C72" s="38" t="str">
        <f t="shared" si="5"/>
        <v/>
      </c>
      <c r="D72" s="38" t="str">
        <f t="shared" si="6"/>
        <v/>
      </c>
      <c r="E72" s="38" t="str">
        <f t="shared" si="7"/>
        <v/>
      </c>
      <c r="F72" s="38" t="str">
        <f t="shared" si="8"/>
        <v/>
      </c>
      <c r="G72" s="38" t="str">
        <f t="shared" si="1"/>
        <v/>
      </c>
      <c r="H72" s="38"/>
      <c r="J72" t="str">
        <f t="shared" si="9"/>
        <v/>
      </c>
      <c r="K72" s="38" t="str">
        <f t="shared" si="2"/>
        <v/>
      </c>
      <c r="L72" s="38" t="str">
        <f t="shared" si="10"/>
        <v/>
      </c>
      <c r="M72" s="38" t="str">
        <f t="shared" si="11"/>
        <v/>
      </c>
      <c r="N72" s="38" t="str">
        <f t="shared" si="12"/>
        <v/>
      </c>
      <c r="O72" s="38" t="str">
        <f t="shared" si="13"/>
        <v/>
      </c>
      <c r="P72" s="38" t="str">
        <f t="shared" si="3"/>
        <v/>
      </c>
      <c r="Q72" s="38"/>
    </row>
    <row r="73" spans="1:17" x14ac:dyDescent="0.2">
      <c r="A73" t="str">
        <f t="shared" si="4"/>
        <v/>
      </c>
      <c r="B73" s="38" t="str">
        <f t="shared" si="0"/>
        <v/>
      </c>
      <c r="C73" s="38" t="str">
        <f t="shared" si="5"/>
        <v/>
      </c>
      <c r="D73" s="38" t="str">
        <f t="shared" si="6"/>
        <v/>
      </c>
      <c r="E73" s="38" t="str">
        <f t="shared" si="7"/>
        <v/>
      </c>
      <c r="F73" s="38" t="str">
        <f t="shared" si="8"/>
        <v/>
      </c>
      <c r="G73" s="38" t="str">
        <f t="shared" si="1"/>
        <v/>
      </c>
      <c r="H73" s="38"/>
      <c r="J73" t="str">
        <f t="shared" si="9"/>
        <v/>
      </c>
      <c r="K73" s="38" t="str">
        <f t="shared" si="2"/>
        <v/>
      </c>
      <c r="L73" s="38" t="str">
        <f t="shared" si="10"/>
        <v/>
      </c>
      <c r="M73" s="38" t="str">
        <f t="shared" si="11"/>
        <v/>
      </c>
      <c r="N73" s="38" t="str">
        <f t="shared" si="12"/>
        <v/>
      </c>
      <c r="O73" s="38" t="str">
        <f t="shared" si="13"/>
        <v/>
      </c>
      <c r="P73" s="38" t="str">
        <f t="shared" si="3"/>
        <v/>
      </c>
      <c r="Q73" s="38"/>
    </row>
    <row r="74" spans="1:17" x14ac:dyDescent="0.2">
      <c r="A74" t="str">
        <f t="shared" si="4"/>
        <v/>
      </c>
      <c r="B74" s="38" t="str">
        <f t="shared" si="0"/>
        <v/>
      </c>
      <c r="C74" s="38" t="str">
        <f t="shared" si="5"/>
        <v/>
      </c>
      <c r="D74" s="38" t="str">
        <f t="shared" si="6"/>
        <v/>
      </c>
      <c r="E74" s="38" t="str">
        <f t="shared" si="7"/>
        <v/>
      </c>
      <c r="F74" s="38" t="str">
        <f t="shared" si="8"/>
        <v/>
      </c>
      <c r="G74" s="38" t="str">
        <f t="shared" si="1"/>
        <v/>
      </c>
      <c r="H74" s="38"/>
      <c r="J74" t="str">
        <f t="shared" si="9"/>
        <v/>
      </c>
      <c r="K74" s="38" t="str">
        <f t="shared" si="2"/>
        <v/>
      </c>
      <c r="L74" s="38" t="str">
        <f t="shared" si="10"/>
        <v/>
      </c>
      <c r="M74" s="38" t="str">
        <f t="shared" si="11"/>
        <v/>
      </c>
      <c r="N74" s="38" t="str">
        <f t="shared" si="12"/>
        <v/>
      </c>
      <c r="O74" s="38" t="str">
        <f t="shared" si="13"/>
        <v/>
      </c>
      <c r="P74" s="38" t="str">
        <f t="shared" si="3"/>
        <v/>
      </c>
      <c r="Q74" s="38"/>
    </row>
    <row r="75" spans="1:17" x14ac:dyDescent="0.2">
      <c r="A75" t="str">
        <f t="shared" si="4"/>
        <v/>
      </c>
      <c r="B75" s="38" t="str">
        <f t="shared" si="0"/>
        <v/>
      </c>
      <c r="C75" s="38" t="str">
        <f t="shared" si="5"/>
        <v/>
      </c>
      <c r="D75" s="38" t="str">
        <f t="shared" si="6"/>
        <v/>
      </c>
      <c r="E75" s="38" t="str">
        <f t="shared" si="7"/>
        <v/>
      </c>
      <c r="F75" s="38" t="str">
        <f t="shared" si="8"/>
        <v/>
      </c>
      <c r="G75" s="38" t="str">
        <f t="shared" si="1"/>
        <v/>
      </c>
      <c r="H75" s="38"/>
      <c r="J75" t="str">
        <f t="shared" si="9"/>
        <v/>
      </c>
      <c r="K75" s="38" t="str">
        <f t="shared" si="2"/>
        <v/>
      </c>
      <c r="L75" s="38" t="str">
        <f t="shared" si="10"/>
        <v/>
      </c>
      <c r="M75" s="38" t="str">
        <f t="shared" si="11"/>
        <v/>
      </c>
      <c r="N75" s="38" t="str">
        <f t="shared" si="12"/>
        <v/>
      </c>
      <c r="O75" s="38" t="str">
        <f t="shared" si="13"/>
        <v/>
      </c>
      <c r="P75" s="38" t="str">
        <f t="shared" si="3"/>
        <v/>
      </c>
      <c r="Q75" s="38"/>
    </row>
    <row r="76" spans="1:17" x14ac:dyDescent="0.2">
      <c r="A76" t="str">
        <f t="shared" si="4"/>
        <v/>
      </c>
      <c r="B76" s="38" t="str">
        <f t="shared" si="0"/>
        <v/>
      </c>
      <c r="C76" s="38" t="str">
        <f t="shared" si="5"/>
        <v/>
      </c>
      <c r="D76" s="38" t="str">
        <f t="shared" si="6"/>
        <v/>
      </c>
      <c r="E76" s="38" t="str">
        <f t="shared" si="7"/>
        <v/>
      </c>
      <c r="F76" s="38" t="str">
        <f t="shared" si="8"/>
        <v/>
      </c>
      <c r="G76" s="38" t="str">
        <f t="shared" si="1"/>
        <v/>
      </c>
      <c r="H76" s="38"/>
      <c r="J76" t="str">
        <f t="shared" si="9"/>
        <v/>
      </c>
      <c r="K76" s="38" t="str">
        <f t="shared" si="2"/>
        <v/>
      </c>
      <c r="L76" s="38" t="str">
        <f t="shared" si="10"/>
        <v/>
      </c>
      <c r="M76" s="38" t="str">
        <f t="shared" si="11"/>
        <v/>
      </c>
      <c r="N76" s="38" t="str">
        <f t="shared" si="12"/>
        <v/>
      </c>
      <c r="O76" s="38" t="str">
        <f t="shared" si="13"/>
        <v/>
      </c>
      <c r="P76" s="38" t="str">
        <f t="shared" si="3"/>
        <v/>
      </c>
      <c r="Q76" s="38"/>
    </row>
    <row r="77" spans="1:17" x14ac:dyDescent="0.2">
      <c r="A77" t="str">
        <f t="shared" si="4"/>
        <v/>
      </c>
      <c r="B77" s="38" t="str">
        <f t="shared" si="0"/>
        <v/>
      </c>
      <c r="C77" s="38" t="str">
        <f t="shared" si="5"/>
        <v/>
      </c>
      <c r="D77" s="38" t="str">
        <f t="shared" si="6"/>
        <v/>
      </c>
      <c r="E77" s="38" t="str">
        <f t="shared" si="7"/>
        <v/>
      </c>
      <c r="F77" s="38" t="str">
        <f t="shared" si="8"/>
        <v/>
      </c>
      <c r="G77" s="38" t="str">
        <f t="shared" si="1"/>
        <v/>
      </c>
      <c r="H77" s="38"/>
      <c r="J77" t="str">
        <f t="shared" si="9"/>
        <v/>
      </c>
      <c r="K77" s="38" t="str">
        <f t="shared" si="2"/>
        <v/>
      </c>
      <c r="L77" s="38" t="str">
        <f t="shared" si="10"/>
        <v/>
      </c>
      <c r="M77" s="38" t="str">
        <f t="shared" si="11"/>
        <v/>
      </c>
      <c r="N77" s="38" t="str">
        <f t="shared" si="12"/>
        <v/>
      </c>
      <c r="O77" s="38" t="str">
        <f t="shared" si="13"/>
        <v/>
      </c>
      <c r="P77" s="38" t="str">
        <f t="shared" si="3"/>
        <v/>
      </c>
      <c r="Q77" s="38"/>
    </row>
    <row r="78" spans="1:17" x14ac:dyDescent="0.2">
      <c r="A78" t="str">
        <f t="shared" si="4"/>
        <v/>
      </c>
      <c r="B78" s="38" t="str">
        <f t="shared" si="0"/>
        <v/>
      </c>
      <c r="C78" s="38" t="str">
        <f t="shared" si="5"/>
        <v/>
      </c>
      <c r="D78" s="38" t="str">
        <f t="shared" si="6"/>
        <v/>
      </c>
      <c r="E78" s="38" t="str">
        <f t="shared" si="7"/>
        <v/>
      </c>
      <c r="F78" s="38" t="str">
        <f t="shared" si="8"/>
        <v/>
      </c>
      <c r="G78" s="38" t="str">
        <f t="shared" si="1"/>
        <v/>
      </c>
      <c r="H78" s="38"/>
      <c r="J78" t="str">
        <f t="shared" si="9"/>
        <v/>
      </c>
      <c r="K78" s="38" t="str">
        <f t="shared" si="2"/>
        <v/>
      </c>
      <c r="L78" s="38" t="str">
        <f t="shared" si="10"/>
        <v/>
      </c>
      <c r="M78" s="38" t="str">
        <f t="shared" si="11"/>
        <v/>
      </c>
      <c r="N78" s="38" t="str">
        <f t="shared" si="12"/>
        <v/>
      </c>
      <c r="O78" s="38" t="str">
        <f t="shared" si="13"/>
        <v/>
      </c>
      <c r="P78" s="38" t="str">
        <f t="shared" si="3"/>
        <v/>
      </c>
      <c r="Q78" s="38"/>
    </row>
    <row r="79" spans="1:17" x14ac:dyDescent="0.2">
      <c r="A79" t="str">
        <f t="shared" si="4"/>
        <v/>
      </c>
      <c r="B79" s="38" t="str">
        <f t="shared" si="0"/>
        <v/>
      </c>
      <c r="C79" s="38" t="str">
        <f t="shared" si="5"/>
        <v/>
      </c>
      <c r="D79" s="38" t="str">
        <f t="shared" si="6"/>
        <v/>
      </c>
      <c r="E79" s="38" t="str">
        <f t="shared" si="7"/>
        <v/>
      </c>
      <c r="F79" s="38" t="str">
        <f t="shared" si="8"/>
        <v/>
      </c>
      <c r="G79" s="38" t="str">
        <f t="shared" si="1"/>
        <v/>
      </c>
      <c r="H79" s="38"/>
      <c r="J79" t="str">
        <f t="shared" si="9"/>
        <v/>
      </c>
      <c r="K79" s="38" t="str">
        <f t="shared" si="2"/>
        <v/>
      </c>
      <c r="L79" s="38" t="str">
        <f t="shared" si="10"/>
        <v/>
      </c>
      <c r="M79" s="38" t="str">
        <f t="shared" si="11"/>
        <v/>
      </c>
      <c r="N79" s="38" t="str">
        <f t="shared" si="12"/>
        <v/>
      </c>
      <c r="O79" s="38" t="str">
        <f t="shared" si="13"/>
        <v/>
      </c>
      <c r="P79" s="38" t="str">
        <f t="shared" si="3"/>
        <v/>
      </c>
      <c r="Q79" s="38"/>
    </row>
    <row r="80" spans="1:17" x14ac:dyDescent="0.2">
      <c r="A80" t="str">
        <f t="shared" si="4"/>
        <v/>
      </c>
      <c r="B80" s="38" t="str">
        <f t="shared" si="0"/>
        <v/>
      </c>
      <c r="C80" s="38" t="str">
        <f t="shared" si="5"/>
        <v/>
      </c>
      <c r="D80" s="38" t="str">
        <f t="shared" si="6"/>
        <v/>
      </c>
      <c r="E80" s="38" t="str">
        <f t="shared" si="7"/>
        <v/>
      </c>
      <c r="F80" s="38" t="str">
        <f t="shared" si="8"/>
        <v/>
      </c>
      <c r="G80" s="38" t="str">
        <f t="shared" si="1"/>
        <v/>
      </c>
      <c r="H80" s="38"/>
      <c r="J80" t="str">
        <f t="shared" si="9"/>
        <v/>
      </c>
      <c r="K80" s="38" t="str">
        <f t="shared" si="2"/>
        <v/>
      </c>
      <c r="L80" s="38" t="str">
        <f t="shared" si="10"/>
        <v/>
      </c>
      <c r="M80" s="38" t="str">
        <f t="shared" si="11"/>
        <v/>
      </c>
      <c r="N80" s="38" t="str">
        <f t="shared" si="12"/>
        <v/>
      </c>
      <c r="O80" s="38" t="str">
        <f t="shared" si="13"/>
        <v/>
      </c>
      <c r="P80" s="38" t="str">
        <f t="shared" si="3"/>
        <v/>
      </c>
      <c r="Q80" s="38"/>
    </row>
    <row r="81" spans="1:17" x14ac:dyDescent="0.2">
      <c r="A81" t="str">
        <f t="shared" si="4"/>
        <v/>
      </c>
      <c r="B81" s="38" t="str">
        <f t="shared" si="0"/>
        <v/>
      </c>
      <c r="C81" s="38" t="str">
        <f t="shared" si="5"/>
        <v/>
      </c>
      <c r="D81" s="38" t="str">
        <f t="shared" si="6"/>
        <v/>
      </c>
      <c r="E81" s="38" t="str">
        <f t="shared" si="7"/>
        <v/>
      </c>
      <c r="F81" s="38" t="str">
        <f t="shared" si="8"/>
        <v/>
      </c>
      <c r="G81" s="38" t="str">
        <f t="shared" si="1"/>
        <v/>
      </c>
      <c r="H81" s="38"/>
      <c r="J81" t="str">
        <f t="shared" si="9"/>
        <v/>
      </c>
      <c r="K81" s="38" t="str">
        <f t="shared" si="2"/>
        <v/>
      </c>
      <c r="L81" s="38" t="str">
        <f t="shared" si="10"/>
        <v/>
      </c>
      <c r="M81" s="38" t="str">
        <f t="shared" si="11"/>
        <v/>
      </c>
      <c r="N81" s="38" t="str">
        <f t="shared" si="12"/>
        <v/>
      </c>
      <c r="O81" s="38" t="str">
        <f t="shared" si="13"/>
        <v/>
      </c>
      <c r="P81" s="38" t="str">
        <f t="shared" si="3"/>
        <v/>
      </c>
      <c r="Q81" s="38"/>
    </row>
    <row r="82" spans="1:17" x14ac:dyDescent="0.2">
      <c r="A82" t="str">
        <f t="shared" si="4"/>
        <v/>
      </c>
      <c r="B82" s="38" t="str">
        <f t="shared" si="0"/>
        <v/>
      </c>
      <c r="C82" s="38" t="str">
        <f t="shared" si="5"/>
        <v/>
      </c>
      <c r="D82" s="38" t="str">
        <f t="shared" si="6"/>
        <v/>
      </c>
      <c r="E82" s="38" t="str">
        <f t="shared" si="7"/>
        <v/>
      </c>
      <c r="F82" s="38" t="str">
        <f t="shared" si="8"/>
        <v/>
      </c>
      <c r="G82" s="38" t="str">
        <f t="shared" si="1"/>
        <v/>
      </c>
      <c r="H82" s="38"/>
      <c r="J82" t="str">
        <f t="shared" si="9"/>
        <v/>
      </c>
      <c r="K82" s="38" t="str">
        <f t="shared" si="2"/>
        <v/>
      </c>
      <c r="L82" s="38" t="str">
        <f t="shared" si="10"/>
        <v/>
      </c>
      <c r="M82" s="38" t="str">
        <f t="shared" si="11"/>
        <v/>
      </c>
      <c r="N82" s="38" t="str">
        <f t="shared" si="12"/>
        <v/>
      </c>
      <c r="O82" s="38" t="str">
        <f t="shared" si="13"/>
        <v/>
      </c>
      <c r="P82" s="38" t="str">
        <f t="shared" si="3"/>
        <v/>
      </c>
      <c r="Q82" s="38"/>
    </row>
    <row r="83" spans="1:17" x14ac:dyDescent="0.2">
      <c r="A83" t="str">
        <f t="shared" si="4"/>
        <v/>
      </c>
      <c r="B83" s="38" t="str">
        <f t="shared" si="0"/>
        <v/>
      </c>
      <c r="C83" s="38" t="str">
        <f t="shared" si="5"/>
        <v/>
      </c>
      <c r="D83" s="38" t="str">
        <f t="shared" si="6"/>
        <v/>
      </c>
      <c r="E83" s="38" t="str">
        <f t="shared" si="7"/>
        <v/>
      </c>
      <c r="F83" s="38" t="str">
        <f t="shared" si="8"/>
        <v/>
      </c>
      <c r="G83" s="38" t="str">
        <f t="shared" si="1"/>
        <v/>
      </c>
      <c r="H83" s="38"/>
      <c r="J83" t="str">
        <f t="shared" si="9"/>
        <v/>
      </c>
      <c r="K83" s="38" t="str">
        <f t="shared" si="2"/>
        <v/>
      </c>
      <c r="L83" s="38" t="str">
        <f t="shared" si="10"/>
        <v/>
      </c>
      <c r="M83" s="38" t="str">
        <f t="shared" si="11"/>
        <v/>
      </c>
      <c r="N83" s="38" t="str">
        <f t="shared" si="12"/>
        <v/>
      </c>
      <c r="O83" s="38" t="str">
        <f t="shared" si="13"/>
        <v/>
      </c>
      <c r="P83" s="38" t="str">
        <f t="shared" si="3"/>
        <v/>
      </c>
      <c r="Q83" s="38"/>
    </row>
    <row r="84" spans="1:17" x14ac:dyDescent="0.2">
      <c r="A84" t="str">
        <f t="shared" si="4"/>
        <v/>
      </c>
      <c r="B84" s="38" t="str">
        <f t="shared" si="0"/>
        <v/>
      </c>
      <c r="C84" s="38" t="str">
        <f t="shared" si="5"/>
        <v/>
      </c>
      <c r="D84" s="38" t="str">
        <f t="shared" si="6"/>
        <v/>
      </c>
      <c r="E84" s="38" t="str">
        <f t="shared" si="7"/>
        <v/>
      </c>
      <c r="F84" s="38" t="str">
        <f t="shared" si="8"/>
        <v/>
      </c>
      <c r="G84" s="38" t="str">
        <f t="shared" si="1"/>
        <v/>
      </c>
      <c r="H84" s="38"/>
      <c r="J84" t="str">
        <f t="shared" si="9"/>
        <v/>
      </c>
      <c r="K84" s="38" t="str">
        <f t="shared" si="2"/>
        <v/>
      </c>
      <c r="L84" s="38" t="str">
        <f t="shared" si="10"/>
        <v/>
      </c>
      <c r="M84" s="38" t="str">
        <f t="shared" si="11"/>
        <v/>
      </c>
      <c r="N84" s="38" t="str">
        <f t="shared" si="12"/>
        <v/>
      </c>
      <c r="O84" s="38" t="str">
        <f t="shared" si="13"/>
        <v/>
      </c>
      <c r="P84" s="38" t="str">
        <f t="shared" si="3"/>
        <v/>
      </c>
      <c r="Q84" s="38"/>
    </row>
    <row r="85" spans="1:17" x14ac:dyDescent="0.2">
      <c r="A85" t="str">
        <f t="shared" si="4"/>
        <v/>
      </c>
      <c r="B85" s="38" t="str">
        <f t="shared" si="0"/>
        <v/>
      </c>
      <c r="C85" s="38" t="str">
        <f t="shared" si="5"/>
        <v/>
      </c>
      <c r="D85" s="38" t="str">
        <f t="shared" si="6"/>
        <v/>
      </c>
      <c r="E85" s="38" t="str">
        <f t="shared" si="7"/>
        <v/>
      </c>
      <c r="F85" s="38" t="str">
        <f t="shared" si="8"/>
        <v/>
      </c>
      <c r="G85" s="38" t="str">
        <f t="shared" si="1"/>
        <v/>
      </c>
      <c r="H85" s="38"/>
      <c r="J85" t="str">
        <f t="shared" si="9"/>
        <v/>
      </c>
      <c r="K85" s="38" t="str">
        <f t="shared" si="2"/>
        <v/>
      </c>
      <c r="L85" s="38" t="str">
        <f t="shared" si="10"/>
        <v/>
      </c>
      <c r="M85" s="38" t="str">
        <f t="shared" si="11"/>
        <v/>
      </c>
      <c r="N85" s="38" t="str">
        <f t="shared" si="12"/>
        <v/>
      </c>
      <c r="O85" s="38" t="str">
        <f t="shared" si="13"/>
        <v/>
      </c>
      <c r="P85" s="38" t="str">
        <f t="shared" si="3"/>
        <v/>
      </c>
      <c r="Q85" s="38"/>
    </row>
    <row r="86" spans="1:17" x14ac:dyDescent="0.2">
      <c r="A86" t="str">
        <f t="shared" si="4"/>
        <v/>
      </c>
      <c r="B86" s="38" t="str">
        <f t="shared" si="0"/>
        <v/>
      </c>
      <c r="C86" s="38" t="str">
        <f t="shared" si="5"/>
        <v/>
      </c>
      <c r="D86" s="38" t="str">
        <f t="shared" si="6"/>
        <v/>
      </c>
      <c r="E86" s="38" t="str">
        <f t="shared" si="7"/>
        <v/>
      </c>
      <c r="F86" s="38" t="str">
        <f t="shared" si="8"/>
        <v/>
      </c>
      <c r="G86" s="38" t="str">
        <f t="shared" si="1"/>
        <v/>
      </c>
      <c r="H86" s="38"/>
      <c r="J86" t="str">
        <f t="shared" si="9"/>
        <v/>
      </c>
      <c r="K86" s="38" t="str">
        <f t="shared" si="2"/>
        <v/>
      </c>
      <c r="L86" s="38" t="str">
        <f t="shared" si="10"/>
        <v/>
      </c>
      <c r="M86" s="38" t="str">
        <f t="shared" si="11"/>
        <v/>
      </c>
      <c r="N86" s="38" t="str">
        <f t="shared" si="12"/>
        <v/>
      </c>
      <c r="O86" s="38" t="str">
        <f t="shared" si="13"/>
        <v/>
      </c>
      <c r="P86" s="38" t="str">
        <f t="shared" si="3"/>
        <v/>
      </c>
      <c r="Q86" s="38"/>
    </row>
    <row r="87" spans="1:17" x14ac:dyDescent="0.2">
      <c r="A87" t="str">
        <f t="shared" si="4"/>
        <v/>
      </c>
      <c r="B87" s="38" t="str">
        <f t="shared" ref="B87:B150" si="14">IF(A87="","",F86)</f>
        <v/>
      </c>
      <c r="C87" s="38" t="str">
        <f t="shared" si="5"/>
        <v/>
      </c>
      <c r="D87" s="38" t="str">
        <f t="shared" si="6"/>
        <v/>
      </c>
      <c r="E87" s="38" t="str">
        <f t="shared" si="7"/>
        <v/>
      </c>
      <c r="F87" s="38" t="str">
        <f t="shared" si="8"/>
        <v/>
      </c>
      <c r="G87" s="38" t="str">
        <f t="shared" ref="G87:G150" si="15">IF(A87="","", (G86+C87))</f>
        <v/>
      </c>
      <c r="H87" s="38"/>
      <c r="J87" t="str">
        <f t="shared" si="9"/>
        <v/>
      </c>
      <c r="K87" s="38" t="str">
        <f t="shared" ref="K87:K150" si="16">IF(J87="","",O86)</f>
        <v/>
      </c>
      <c r="L87" s="38" t="str">
        <f t="shared" si="10"/>
        <v/>
      </c>
      <c r="M87" s="38" t="str">
        <f t="shared" si="11"/>
        <v/>
      </c>
      <c r="N87" s="38" t="str">
        <f t="shared" si="12"/>
        <v/>
      </c>
      <c r="O87" s="38" t="str">
        <f t="shared" si="13"/>
        <v/>
      </c>
      <c r="P87" s="38" t="str">
        <f t="shared" ref="P87:P150" si="17">IF(J87="","", (P86+L87))</f>
        <v/>
      </c>
      <c r="Q87" s="38"/>
    </row>
    <row r="88" spans="1:17" x14ac:dyDescent="0.2">
      <c r="A88" t="str">
        <f t="shared" ref="A88:A151" si="18">IF(A87&lt;($B$7*$B$8),A87+1,"")</f>
        <v/>
      </c>
      <c r="B88" s="38" t="str">
        <f t="shared" si="14"/>
        <v/>
      </c>
      <c r="C88" s="38" t="str">
        <f t="shared" ref="C88:C151" si="19">IF(A88="","",(B88*$B$6))</f>
        <v/>
      </c>
      <c r="D88" s="38" t="str">
        <f t="shared" ref="D88:D151" si="20">IF(A88="","", $B$3)</f>
        <v/>
      </c>
      <c r="E88" s="38" t="str">
        <f t="shared" ref="E88:E151" si="21">IF(D88="","",(D88-C88))</f>
        <v/>
      </c>
      <c r="F88" s="38" t="str">
        <f t="shared" ref="F88:F151" si="22">IF(A88="","", B88+C88+D88)</f>
        <v/>
      </c>
      <c r="G88" s="38" t="str">
        <f t="shared" si="15"/>
        <v/>
      </c>
      <c r="H88" s="38"/>
      <c r="J88" t="str">
        <f t="shared" ref="J88:J151" si="23">IF(J87&lt;($B$7*$B$8),J87+1,"")</f>
        <v/>
      </c>
      <c r="K88" s="38" t="str">
        <f t="shared" si="16"/>
        <v/>
      </c>
      <c r="L88" s="38" t="str">
        <f t="shared" ref="L88:L151" si="24">IF(J88="","",((K88 + M88)*$B$6))</f>
        <v/>
      </c>
      <c r="M88" s="38" t="str">
        <f t="shared" ref="M88:M151" si="25">IF(J88="","", $B$3)</f>
        <v/>
      </c>
      <c r="N88" s="38" t="str">
        <f t="shared" ref="N88:N151" si="26">IF(M88="","",(M88-L88))</f>
        <v/>
      </c>
      <c r="O88" s="38" t="str">
        <f t="shared" ref="O88:O151" si="27">IF(J88="","", K88+L88+M88)</f>
        <v/>
      </c>
      <c r="P88" s="38" t="str">
        <f t="shared" si="17"/>
        <v/>
      </c>
      <c r="Q88" s="38"/>
    </row>
    <row r="89" spans="1:17" x14ac:dyDescent="0.2">
      <c r="A89" t="str">
        <f t="shared" si="18"/>
        <v/>
      </c>
      <c r="B89" s="38" t="str">
        <f t="shared" si="14"/>
        <v/>
      </c>
      <c r="C89" s="38" t="str">
        <f t="shared" si="19"/>
        <v/>
      </c>
      <c r="D89" s="38" t="str">
        <f t="shared" si="20"/>
        <v/>
      </c>
      <c r="E89" s="38" t="str">
        <f t="shared" si="21"/>
        <v/>
      </c>
      <c r="F89" s="38" t="str">
        <f t="shared" si="22"/>
        <v/>
      </c>
      <c r="G89" s="38" t="str">
        <f t="shared" si="15"/>
        <v/>
      </c>
      <c r="H89" s="38"/>
      <c r="J89" t="str">
        <f t="shared" si="23"/>
        <v/>
      </c>
      <c r="K89" s="38" t="str">
        <f t="shared" si="16"/>
        <v/>
      </c>
      <c r="L89" s="38" t="str">
        <f t="shared" si="24"/>
        <v/>
      </c>
      <c r="M89" s="38" t="str">
        <f t="shared" si="25"/>
        <v/>
      </c>
      <c r="N89" s="38" t="str">
        <f t="shared" si="26"/>
        <v/>
      </c>
      <c r="O89" s="38" t="str">
        <f t="shared" si="27"/>
        <v/>
      </c>
      <c r="P89" s="38" t="str">
        <f t="shared" si="17"/>
        <v/>
      </c>
      <c r="Q89" s="38"/>
    </row>
    <row r="90" spans="1:17" x14ac:dyDescent="0.2">
      <c r="A90" t="str">
        <f t="shared" si="18"/>
        <v/>
      </c>
      <c r="B90" s="38" t="str">
        <f t="shared" si="14"/>
        <v/>
      </c>
      <c r="C90" s="38" t="str">
        <f t="shared" si="19"/>
        <v/>
      </c>
      <c r="D90" s="38" t="str">
        <f t="shared" si="20"/>
        <v/>
      </c>
      <c r="E90" s="38" t="str">
        <f t="shared" si="21"/>
        <v/>
      </c>
      <c r="F90" s="38" t="str">
        <f t="shared" si="22"/>
        <v/>
      </c>
      <c r="G90" s="38" t="str">
        <f t="shared" si="15"/>
        <v/>
      </c>
      <c r="H90" s="38"/>
      <c r="J90" t="str">
        <f t="shared" si="23"/>
        <v/>
      </c>
      <c r="K90" s="38" t="str">
        <f t="shared" si="16"/>
        <v/>
      </c>
      <c r="L90" s="38" t="str">
        <f t="shared" si="24"/>
        <v/>
      </c>
      <c r="M90" s="38" t="str">
        <f t="shared" si="25"/>
        <v/>
      </c>
      <c r="N90" s="38" t="str">
        <f t="shared" si="26"/>
        <v/>
      </c>
      <c r="O90" s="38" t="str">
        <f t="shared" si="27"/>
        <v/>
      </c>
      <c r="P90" s="38" t="str">
        <f t="shared" si="17"/>
        <v/>
      </c>
      <c r="Q90" s="38"/>
    </row>
    <row r="91" spans="1:17" x14ac:dyDescent="0.2">
      <c r="A91" t="str">
        <f t="shared" si="18"/>
        <v/>
      </c>
      <c r="B91" s="38" t="str">
        <f t="shared" si="14"/>
        <v/>
      </c>
      <c r="C91" s="38" t="str">
        <f t="shared" si="19"/>
        <v/>
      </c>
      <c r="D91" s="38" t="str">
        <f t="shared" si="20"/>
        <v/>
      </c>
      <c r="E91" s="38" t="str">
        <f t="shared" si="21"/>
        <v/>
      </c>
      <c r="F91" s="38" t="str">
        <f t="shared" si="22"/>
        <v/>
      </c>
      <c r="G91" s="38" t="str">
        <f t="shared" si="15"/>
        <v/>
      </c>
      <c r="H91" s="38"/>
      <c r="J91" t="str">
        <f t="shared" si="23"/>
        <v/>
      </c>
      <c r="K91" s="38" t="str">
        <f t="shared" si="16"/>
        <v/>
      </c>
      <c r="L91" s="38" t="str">
        <f t="shared" si="24"/>
        <v/>
      </c>
      <c r="M91" s="38" t="str">
        <f t="shared" si="25"/>
        <v/>
      </c>
      <c r="N91" s="38" t="str">
        <f t="shared" si="26"/>
        <v/>
      </c>
      <c r="O91" s="38" t="str">
        <f t="shared" si="27"/>
        <v/>
      </c>
      <c r="P91" s="38" t="str">
        <f t="shared" si="17"/>
        <v/>
      </c>
      <c r="Q91" s="38"/>
    </row>
    <row r="92" spans="1:17" x14ac:dyDescent="0.2">
      <c r="A92" t="str">
        <f t="shared" si="18"/>
        <v/>
      </c>
      <c r="B92" s="38" t="str">
        <f t="shared" si="14"/>
        <v/>
      </c>
      <c r="C92" s="38" t="str">
        <f t="shared" si="19"/>
        <v/>
      </c>
      <c r="D92" s="38" t="str">
        <f t="shared" si="20"/>
        <v/>
      </c>
      <c r="E92" s="38" t="str">
        <f t="shared" si="21"/>
        <v/>
      </c>
      <c r="F92" s="38" t="str">
        <f t="shared" si="22"/>
        <v/>
      </c>
      <c r="G92" s="38" t="str">
        <f t="shared" si="15"/>
        <v/>
      </c>
      <c r="H92" s="38"/>
      <c r="J92" t="str">
        <f t="shared" si="23"/>
        <v/>
      </c>
      <c r="K92" s="38" t="str">
        <f t="shared" si="16"/>
        <v/>
      </c>
      <c r="L92" s="38" t="str">
        <f t="shared" si="24"/>
        <v/>
      </c>
      <c r="M92" s="38" t="str">
        <f t="shared" si="25"/>
        <v/>
      </c>
      <c r="N92" s="38" t="str">
        <f t="shared" si="26"/>
        <v/>
      </c>
      <c r="O92" s="38" t="str">
        <f t="shared" si="27"/>
        <v/>
      </c>
      <c r="P92" s="38" t="str">
        <f t="shared" si="17"/>
        <v/>
      </c>
      <c r="Q92" s="38"/>
    </row>
    <row r="93" spans="1:17" x14ac:dyDescent="0.2">
      <c r="A93" t="str">
        <f t="shared" si="18"/>
        <v/>
      </c>
      <c r="B93" s="38" t="str">
        <f t="shared" si="14"/>
        <v/>
      </c>
      <c r="C93" s="38" t="str">
        <f t="shared" si="19"/>
        <v/>
      </c>
      <c r="D93" s="38" t="str">
        <f t="shared" si="20"/>
        <v/>
      </c>
      <c r="E93" s="38" t="str">
        <f t="shared" si="21"/>
        <v/>
      </c>
      <c r="F93" s="38" t="str">
        <f t="shared" si="22"/>
        <v/>
      </c>
      <c r="G93" s="38" t="str">
        <f t="shared" si="15"/>
        <v/>
      </c>
      <c r="H93" s="38"/>
      <c r="J93" t="str">
        <f t="shared" si="23"/>
        <v/>
      </c>
      <c r="K93" s="38" t="str">
        <f t="shared" si="16"/>
        <v/>
      </c>
      <c r="L93" s="38" t="str">
        <f t="shared" si="24"/>
        <v/>
      </c>
      <c r="M93" s="38" t="str">
        <f t="shared" si="25"/>
        <v/>
      </c>
      <c r="N93" s="38" t="str">
        <f t="shared" si="26"/>
        <v/>
      </c>
      <c r="O93" s="38" t="str">
        <f t="shared" si="27"/>
        <v/>
      </c>
      <c r="P93" s="38" t="str">
        <f t="shared" si="17"/>
        <v/>
      </c>
      <c r="Q93" s="38"/>
    </row>
    <row r="94" spans="1:17" x14ac:dyDescent="0.2">
      <c r="A94" t="str">
        <f t="shared" si="18"/>
        <v/>
      </c>
      <c r="B94" s="38" t="str">
        <f t="shared" si="14"/>
        <v/>
      </c>
      <c r="C94" s="38" t="str">
        <f t="shared" si="19"/>
        <v/>
      </c>
      <c r="D94" s="38" t="str">
        <f t="shared" si="20"/>
        <v/>
      </c>
      <c r="E94" s="38" t="str">
        <f t="shared" si="21"/>
        <v/>
      </c>
      <c r="F94" s="38" t="str">
        <f t="shared" si="22"/>
        <v/>
      </c>
      <c r="G94" s="38" t="str">
        <f t="shared" si="15"/>
        <v/>
      </c>
      <c r="H94" s="38"/>
      <c r="J94" t="str">
        <f t="shared" si="23"/>
        <v/>
      </c>
      <c r="K94" s="38" t="str">
        <f t="shared" si="16"/>
        <v/>
      </c>
      <c r="L94" s="38" t="str">
        <f t="shared" si="24"/>
        <v/>
      </c>
      <c r="M94" s="38" t="str">
        <f t="shared" si="25"/>
        <v/>
      </c>
      <c r="N94" s="38" t="str">
        <f t="shared" si="26"/>
        <v/>
      </c>
      <c r="O94" s="38" t="str">
        <f t="shared" si="27"/>
        <v/>
      </c>
      <c r="P94" s="38" t="str">
        <f t="shared" si="17"/>
        <v/>
      </c>
      <c r="Q94" s="38"/>
    </row>
    <row r="95" spans="1:17" x14ac:dyDescent="0.2">
      <c r="A95" t="str">
        <f t="shared" si="18"/>
        <v/>
      </c>
      <c r="B95" s="38" t="str">
        <f t="shared" si="14"/>
        <v/>
      </c>
      <c r="C95" s="38" t="str">
        <f t="shared" si="19"/>
        <v/>
      </c>
      <c r="D95" s="38" t="str">
        <f t="shared" si="20"/>
        <v/>
      </c>
      <c r="E95" s="38" t="str">
        <f t="shared" si="21"/>
        <v/>
      </c>
      <c r="F95" s="38" t="str">
        <f t="shared" si="22"/>
        <v/>
      </c>
      <c r="G95" s="38" t="str">
        <f t="shared" si="15"/>
        <v/>
      </c>
      <c r="H95" s="38"/>
      <c r="J95" t="str">
        <f t="shared" si="23"/>
        <v/>
      </c>
      <c r="K95" s="38" t="str">
        <f t="shared" si="16"/>
        <v/>
      </c>
      <c r="L95" s="38" t="str">
        <f t="shared" si="24"/>
        <v/>
      </c>
      <c r="M95" s="38" t="str">
        <f t="shared" si="25"/>
        <v/>
      </c>
      <c r="N95" s="38" t="str">
        <f t="shared" si="26"/>
        <v/>
      </c>
      <c r="O95" s="38" t="str">
        <f t="shared" si="27"/>
        <v/>
      </c>
      <c r="P95" s="38" t="str">
        <f t="shared" si="17"/>
        <v/>
      </c>
      <c r="Q95" s="38"/>
    </row>
    <row r="96" spans="1:17" x14ac:dyDescent="0.2">
      <c r="A96" t="str">
        <f t="shared" si="18"/>
        <v/>
      </c>
      <c r="B96" s="38" t="str">
        <f t="shared" si="14"/>
        <v/>
      </c>
      <c r="C96" s="38" t="str">
        <f t="shared" si="19"/>
        <v/>
      </c>
      <c r="D96" s="38" t="str">
        <f t="shared" si="20"/>
        <v/>
      </c>
      <c r="E96" s="38" t="str">
        <f t="shared" si="21"/>
        <v/>
      </c>
      <c r="F96" s="38" t="str">
        <f t="shared" si="22"/>
        <v/>
      </c>
      <c r="G96" s="38" t="str">
        <f t="shared" si="15"/>
        <v/>
      </c>
      <c r="H96" s="38"/>
      <c r="J96" t="str">
        <f t="shared" si="23"/>
        <v/>
      </c>
      <c r="K96" s="38" t="str">
        <f t="shared" si="16"/>
        <v/>
      </c>
      <c r="L96" s="38" t="str">
        <f t="shared" si="24"/>
        <v/>
      </c>
      <c r="M96" s="38" t="str">
        <f t="shared" si="25"/>
        <v/>
      </c>
      <c r="N96" s="38" t="str">
        <f t="shared" si="26"/>
        <v/>
      </c>
      <c r="O96" s="38" t="str">
        <f t="shared" si="27"/>
        <v/>
      </c>
      <c r="P96" s="38" t="str">
        <f t="shared" si="17"/>
        <v/>
      </c>
      <c r="Q96" s="38"/>
    </row>
    <row r="97" spans="1:17" x14ac:dyDescent="0.2">
      <c r="A97" t="str">
        <f t="shared" si="18"/>
        <v/>
      </c>
      <c r="B97" s="38" t="str">
        <f t="shared" si="14"/>
        <v/>
      </c>
      <c r="C97" s="38" t="str">
        <f t="shared" si="19"/>
        <v/>
      </c>
      <c r="D97" s="38" t="str">
        <f t="shared" si="20"/>
        <v/>
      </c>
      <c r="E97" s="38" t="str">
        <f t="shared" si="21"/>
        <v/>
      </c>
      <c r="F97" s="38" t="str">
        <f t="shared" si="22"/>
        <v/>
      </c>
      <c r="G97" s="38" t="str">
        <f t="shared" si="15"/>
        <v/>
      </c>
      <c r="H97" s="38"/>
      <c r="J97" t="str">
        <f t="shared" si="23"/>
        <v/>
      </c>
      <c r="K97" s="38" t="str">
        <f t="shared" si="16"/>
        <v/>
      </c>
      <c r="L97" s="38" t="str">
        <f t="shared" si="24"/>
        <v/>
      </c>
      <c r="M97" s="38" t="str">
        <f t="shared" si="25"/>
        <v/>
      </c>
      <c r="N97" s="38" t="str">
        <f t="shared" si="26"/>
        <v/>
      </c>
      <c r="O97" s="38" t="str">
        <f t="shared" si="27"/>
        <v/>
      </c>
      <c r="P97" s="38" t="str">
        <f t="shared" si="17"/>
        <v/>
      </c>
      <c r="Q97" s="38"/>
    </row>
    <row r="98" spans="1:17" x14ac:dyDescent="0.2">
      <c r="A98" t="str">
        <f t="shared" si="18"/>
        <v/>
      </c>
      <c r="B98" s="38" t="str">
        <f t="shared" si="14"/>
        <v/>
      </c>
      <c r="C98" s="38" t="str">
        <f t="shared" si="19"/>
        <v/>
      </c>
      <c r="D98" s="38" t="str">
        <f t="shared" si="20"/>
        <v/>
      </c>
      <c r="E98" s="38" t="str">
        <f t="shared" si="21"/>
        <v/>
      </c>
      <c r="F98" s="38" t="str">
        <f t="shared" si="22"/>
        <v/>
      </c>
      <c r="G98" s="38" t="str">
        <f t="shared" si="15"/>
        <v/>
      </c>
      <c r="H98" s="38"/>
      <c r="J98" t="str">
        <f t="shared" si="23"/>
        <v/>
      </c>
      <c r="K98" s="38" t="str">
        <f t="shared" si="16"/>
        <v/>
      </c>
      <c r="L98" s="38" t="str">
        <f t="shared" si="24"/>
        <v/>
      </c>
      <c r="M98" s="38" t="str">
        <f t="shared" si="25"/>
        <v/>
      </c>
      <c r="N98" s="38" t="str">
        <f t="shared" si="26"/>
        <v/>
      </c>
      <c r="O98" s="38" t="str">
        <f t="shared" si="27"/>
        <v/>
      </c>
      <c r="P98" s="38" t="str">
        <f t="shared" si="17"/>
        <v/>
      </c>
      <c r="Q98" s="38"/>
    </row>
    <row r="99" spans="1:17" x14ac:dyDescent="0.2">
      <c r="A99" t="str">
        <f t="shared" si="18"/>
        <v/>
      </c>
      <c r="B99" s="38" t="str">
        <f t="shared" si="14"/>
        <v/>
      </c>
      <c r="C99" s="38" t="str">
        <f t="shared" si="19"/>
        <v/>
      </c>
      <c r="D99" s="38" t="str">
        <f t="shared" si="20"/>
        <v/>
      </c>
      <c r="E99" s="38" t="str">
        <f t="shared" si="21"/>
        <v/>
      </c>
      <c r="F99" s="38" t="str">
        <f t="shared" si="22"/>
        <v/>
      </c>
      <c r="G99" s="38" t="str">
        <f t="shared" si="15"/>
        <v/>
      </c>
      <c r="H99" s="38"/>
      <c r="J99" t="str">
        <f t="shared" si="23"/>
        <v/>
      </c>
      <c r="K99" s="38" t="str">
        <f t="shared" si="16"/>
        <v/>
      </c>
      <c r="L99" s="38" t="str">
        <f t="shared" si="24"/>
        <v/>
      </c>
      <c r="M99" s="38" t="str">
        <f t="shared" si="25"/>
        <v/>
      </c>
      <c r="N99" s="38" t="str">
        <f t="shared" si="26"/>
        <v/>
      </c>
      <c r="O99" s="38" t="str">
        <f t="shared" si="27"/>
        <v/>
      </c>
      <c r="P99" s="38" t="str">
        <f t="shared" si="17"/>
        <v/>
      </c>
      <c r="Q99" s="38"/>
    </row>
    <row r="100" spans="1:17" x14ac:dyDescent="0.2">
      <c r="A100" t="str">
        <f t="shared" si="18"/>
        <v/>
      </c>
      <c r="B100" s="38" t="str">
        <f t="shared" si="14"/>
        <v/>
      </c>
      <c r="C100" s="38" t="str">
        <f t="shared" si="19"/>
        <v/>
      </c>
      <c r="D100" s="38" t="str">
        <f t="shared" si="20"/>
        <v/>
      </c>
      <c r="E100" s="38" t="str">
        <f t="shared" si="21"/>
        <v/>
      </c>
      <c r="F100" s="38" t="str">
        <f t="shared" si="22"/>
        <v/>
      </c>
      <c r="G100" s="38" t="str">
        <f t="shared" si="15"/>
        <v/>
      </c>
      <c r="H100" s="38"/>
      <c r="J100" t="str">
        <f t="shared" si="23"/>
        <v/>
      </c>
      <c r="K100" s="38" t="str">
        <f t="shared" si="16"/>
        <v/>
      </c>
      <c r="L100" s="38" t="str">
        <f t="shared" si="24"/>
        <v/>
      </c>
      <c r="M100" s="38" t="str">
        <f t="shared" si="25"/>
        <v/>
      </c>
      <c r="N100" s="38" t="str">
        <f t="shared" si="26"/>
        <v/>
      </c>
      <c r="O100" s="38" t="str">
        <f t="shared" si="27"/>
        <v/>
      </c>
      <c r="P100" s="38" t="str">
        <f t="shared" si="17"/>
        <v/>
      </c>
      <c r="Q100" s="38"/>
    </row>
    <row r="101" spans="1:17" x14ac:dyDescent="0.2">
      <c r="A101" t="str">
        <f t="shared" si="18"/>
        <v/>
      </c>
      <c r="B101" s="38" t="str">
        <f t="shared" si="14"/>
        <v/>
      </c>
      <c r="C101" s="38" t="str">
        <f t="shared" si="19"/>
        <v/>
      </c>
      <c r="D101" s="38" t="str">
        <f t="shared" si="20"/>
        <v/>
      </c>
      <c r="E101" s="38" t="str">
        <f t="shared" si="21"/>
        <v/>
      </c>
      <c r="F101" s="38" t="str">
        <f t="shared" si="22"/>
        <v/>
      </c>
      <c r="G101" s="38" t="str">
        <f t="shared" si="15"/>
        <v/>
      </c>
      <c r="H101" s="38"/>
      <c r="J101" t="str">
        <f t="shared" si="23"/>
        <v/>
      </c>
      <c r="K101" s="38" t="str">
        <f t="shared" si="16"/>
        <v/>
      </c>
      <c r="L101" s="38" t="str">
        <f t="shared" si="24"/>
        <v/>
      </c>
      <c r="M101" s="38" t="str">
        <f t="shared" si="25"/>
        <v/>
      </c>
      <c r="N101" s="38" t="str">
        <f t="shared" si="26"/>
        <v/>
      </c>
      <c r="O101" s="38" t="str">
        <f t="shared" si="27"/>
        <v/>
      </c>
      <c r="P101" s="38" t="str">
        <f t="shared" si="17"/>
        <v/>
      </c>
      <c r="Q101" s="38"/>
    </row>
    <row r="102" spans="1:17" x14ac:dyDescent="0.2">
      <c r="A102" t="str">
        <f t="shared" si="18"/>
        <v/>
      </c>
      <c r="B102" s="38" t="str">
        <f t="shared" si="14"/>
        <v/>
      </c>
      <c r="C102" s="38" t="str">
        <f t="shared" si="19"/>
        <v/>
      </c>
      <c r="D102" s="38" t="str">
        <f t="shared" si="20"/>
        <v/>
      </c>
      <c r="E102" s="38" t="str">
        <f t="shared" si="21"/>
        <v/>
      </c>
      <c r="F102" s="38" t="str">
        <f t="shared" si="22"/>
        <v/>
      </c>
      <c r="G102" s="38" t="str">
        <f t="shared" si="15"/>
        <v/>
      </c>
      <c r="H102" s="38"/>
      <c r="J102" t="str">
        <f t="shared" si="23"/>
        <v/>
      </c>
      <c r="K102" s="38" t="str">
        <f t="shared" si="16"/>
        <v/>
      </c>
      <c r="L102" s="38" t="str">
        <f t="shared" si="24"/>
        <v/>
      </c>
      <c r="M102" s="38" t="str">
        <f t="shared" si="25"/>
        <v/>
      </c>
      <c r="N102" s="38" t="str">
        <f t="shared" si="26"/>
        <v/>
      </c>
      <c r="O102" s="38" t="str">
        <f t="shared" si="27"/>
        <v/>
      </c>
      <c r="P102" s="38" t="str">
        <f t="shared" si="17"/>
        <v/>
      </c>
      <c r="Q102" s="38"/>
    </row>
    <row r="103" spans="1:17" x14ac:dyDescent="0.2">
      <c r="A103" t="str">
        <f t="shared" si="18"/>
        <v/>
      </c>
      <c r="B103" s="38" t="str">
        <f t="shared" si="14"/>
        <v/>
      </c>
      <c r="C103" s="38" t="str">
        <f t="shared" si="19"/>
        <v/>
      </c>
      <c r="D103" s="38" t="str">
        <f t="shared" si="20"/>
        <v/>
      </c>
      <c r="E103" s="38" t="str">
        <f t="shared" si="21"/>
        <v/>
      </c>
      <c r="F103" s="38" t="str">
        <f t="shared" si="22"/>
        <v/>
      </c>
      <c r="G103" s="38" t="str">
        <f t="shared" si="15"/>
        <v/>
      </c>
      <c r="H103" s="38"/>
      <c r="J103" t="str">
        <f t="shared" si="23"/>
        <v/>
      </c>
      <c r="K103" s="38" t="str">
        <f t="shared" si="16"/>
        <v/>
      </c>
      <c r="L103" s="38" t="str">
        <f t="shared" si="24"/>
        <v/>
      </c>
      <c r="M103" s="38" t="str">
        <f t="shared" si="25"/>
        <v/>
      </c>
      <c r="N103" s="38" t="str">
        <f t="shared" si="26"/>
        <v/>
      </c>
      <c r="O103" s="38" t="str">
        <f t="shared" si="27"/>
        <v/>
      </c>
      <c r="P103" s="38" t="str">
        <f t="shared" si="17"/>
        <v/>
      </c>
      <c r="Q103" s="38"/>
    </row>
    <row r="104" spans="1:17" x14ac:dyDescent="0.2">
      <c r="A104" t="str">
        <f t="shared" si="18"/>
        <v/>
      </c>
      <c r="B104" s="38" t="str">
        <f t="shared" si="14"/>
        <v/>
      </c>
      <c r="C104" s="38" t="str">
        <f t="shared" si="19"/>
        <v/>
      </c>
      <c r="D104" s="38" t="str">
        <f t="shared" si="20"/>
        <v/>
      </c>
      <c r="E104" s="38" t="str">
        <f t="shared" si="21"/>
        <v/>
      </c>
      <c r="F104" s="38" t="str">
        <f t="shared" si="22"/>
        <v/>
      </c>
      <c r="G104" s="38" t="str">
        <f t="shared" si="15"/>
        <v/>
      </c>
      <c r="H104" s="38"/>
      <c r="J104" t="str">
        <f t="shared" si="23"/>
        <v/>
      </c>
      <c r="K104" s="38" t="str">
        <f t="shared" si="16"/>
        <v/>
      </c>
      <c r="L104" s="38" t="str">
        <f t="shared" si="24"/>
        <v/>
      </c>
      <c r="M104" s="38" t="str">
        <f t="shared" si="25"/>
        <v/>
      </c>
      <c r="N104" s="38" t="str">
        <f t="shared" si="26"/>
        <v/>
      </c>
      <c r="O104" s="38" t="str">
        <f t="shared" si="27"/>
        <v/>
      </c>
      <c r="P104" s="38" t="str">
        <f t="shared" si="17"/>
        <v/>
      </c>
      <c r="Q104" s="38"/>
    </row>
    <row r="105" spans="1:17" x14ac:dyDescent="0.2">
      <c r="A105" t="str">
        <f t="shared" si="18"/>
        <v/>
      </c>
      <c r="B105" s="38" t="str">
        <f t="shared" si="14"/>
        <v/>
      </c>
      <c r="C105" s="38" t="str">
        <f t="shared" si="19"/>
        <v/>
      </c>
      <c r="D105" s="38" t="str">
        <f t="shared" si="20"/>
        <v/>
      </c>
      <c r="E105" s="38" t="str">
        <f t="shared" si="21"/>
        <v/>
      </c>
      <c r="F105" s="38" t="str">
        <f t="shared" si="22"/>
        <v/>
      </c>
      <c r="G105" s="38" t="str">
        <f t="shared" si="15"/>
        <v/>
      </c>
      <c r="H105" s="38"/>
      <c r="J105" t="str">
        <f t="shared" si="23"/>
        <v/>
      </c>
      <c r="K105" s="38" t="str">
        <f t="shared" si="16"/>
        <v/>
      </c>
      <c r="L105" s="38" t="str">
        <f t="shared" si="24"/>
        <v/>
      </c>
      <c r="M105" s="38" t="str">
        <f t="shared" si="25"/>
        <v/>
      </c>
      <c r="N105" s="38" t="str">
        <f t="shared" si="26"/>
        <v/>
      </c>
      <c r="O105" s="38" t="str">
        <f t="shared" si="27"/>
        <v/>
      </c>
      <c r="P105" s="38" t="str">
        <f t="shared" si="17"/>
        <v/>
      </c>
      <c r="Q105" s="38"/>
    </row>
    <row r="106" spans="1:17" x14ac:dyDescent="0.2">
      <c r="A106" t="str">
        <f t="shared" si="18"/>
        <v/>
      </c>
      <c r="B106" s="38" t="str">
        <f t="shared" si="14"/>
        <v/>
      </c>
      <c r="C106" s="38" t="str">
        <f t="shared" si="19"/>
        <v/>
      </c>
      <c r="D106" s="38" t="str">
        <f t="shared" si="20"/>
        <v/>
      </c>
      <c r="E106" s="38" t="str">
        <f t="shared" si="21"/>
        <v/>
      </c>
      <c r="F106" s="38" t="str">
        <f t="shared" si="22"/>
        <v/>
      </c>
      <c r="G106" s="38" t="str">
        <f t="shared" si="15"/>
        <v/>
      </c>
      <c r="H106" s="38"/>
      <c r="J106" t="str">
        <f t="shared" si="23"/>
        <v/>
      </c>
      <c r="K106" s="38" t="str">
        <f t="shared" si="16"/>
        <v/>
      </c>
      <c r="L106" s="38" t="str">
        <f t="shared" si="24"/>
        <v/>
      </c>
      <c r="M106" s="38" t="str">
        <f t="shared" si="25"/>
        <v/>
      </c>
      <c r="N106" s="38" t="str">
        <f t="shared" si="26"/>
        <v/>
      </c>
      <c r="O106" s="38" t="str">
        <f t="shared" si="27"/>
        <v/>
      </c>
      <c r="P106" s="38" t="str">
        <f t="shared" si="17"/>
        <v/>
      </c>
      <c r="Q106" s="38"/>
    </row>
    <row r="107" spans="1:17" x14ac:dyDescent="0.2">
      <c r="A107" t="str">
        <f t="shared" si="18"/>
        <v/>
      </c>
      <c r="B107" s="38" t="str">
        <f t="shared" si="14"/>
        <v/>
      </c>
      <c r="C107" s="38" t="str">
        <f t="shared" si="19"/>
        <v/>
      </c>
      <c r="D107" s="38" t="str">
        <f t="shared" si="20"/>
        <v/>
      </c>
      <c r="E107" s="38" t="str">
        <f t="shared" si="21"/>
        <v/>
      </c>
      <c r="F107" s="38" t="str">
        <f t="shared" si="22"/>
        <v/>
      </c>
      <c r="G107" s="38" t="str">
        <f t="shared" si="15"/>
        <v/>
      </c>
      <c r="H107" s="38"/>
      <c r="J107" t="str">
        <f t="shared" si="23"/>
        <v/>
      </c>
      <c r="K107" s="38" t="str">
        <f t="shared" si="16"/>
        <v/>
      </c>
      <c r="L107" s="38" t="str">
        <f t="shared" si="24"/>
        <v/>
      </c>
      <c r="M107" s="38" t="str">
        <f t="shared" si="25"/>
        <v/>
      </c>
      <c r="N107" s="38" t="str">
        <f t="shared" si="26"/>
        <v/>
      </c>
      <c r="O107" s="38" t="str">
        <f t="shared" si="27"/>
        <v/>
      </c>
      <c r="P107" s="38" t="str">
        <f t="shared" si="17"/>
        <v/>
      </c>
      <c r="Q107" s="38"/>
    </row>
    <row r="108" spans="1:17" x14ac:dyDescent="0.2">
      <c r="A108" t="str">
        <f t="shared" si="18"/>
        <v/>
      </c>
      <c r="B108" s="38" t="str">
        <f t="shared" si="14"/>
        <v/>
      </c>
      <c r="C108" s="38" t="str">
        <f t="shared" si="19"/>
        <v/>
      </c>
      <c r="D108" s="38" t="str">
        <f t="shared" si="20"/>
        <v/>
      </c>
      <c r="E108" s="38" t="str">
        <f t="shared" si="21"/>
        <v/>
      </c>
      <c r="F108" s="38" t="str">
        <f t="shared" si="22"/>
        <v/>
      </c>
      <c r="G108" s="38" t="str">
        <f t="shared" si="15"/>
        <v/>
      </c>
      <c r="H108" s="38"/>
      <c r="J108" t="str">
        <f t="shared" si="23"/>
        <v/>
      </c>
      <c r="K108" s="38" t="str">
        <f t="shared" si="16"/>
        <v/>
      </c>
      <c r="L108" s="38" t="str">
        <f t="shared" si="24"/>
        <v/>
      </c>
      <c r="M108" s="38" t="str">
        <f t="shared" si="25"/>
        <v/>
      </c>
      <c r="N108" s="38" t="str">
        <f t="shared" si="26"/>
        <v/>
      </c>
      <c r="O108" s="38" t="str">
        <f t="shared" si="27"/>
        <v/>
      </c>
      <c r="P108" s="38" t="str">
        <f t="shared" si="17"/>
        <v/>
      </c>
      <c r="Q108" s="38"/>
    </row>
    <row r="109" spans="1:17" x14ac:dyDescent="0.2">
      <c r="A109" t="str">
        <f t="shared" si="18"/>
        <v/>
      </c>
      <c r="B109" s="38" t="str">
        <f t="shared" si="14"/>
        <v/>
      </c>
      <c r="C109" s="38" t="str">
        <f t="shared" si="19"/>
        <v/>
      </c>
      <c r="D109" s="38" t="str">
        <f t="shared" si="20"/>
        <v/>
      </c>
      <c r="E109" s="38" t="str">
        <f t="shared" si="21"/>
        <v/>
      </c>
      <c r="F109" s="38" t="str">
        <f t="shared" si="22"/>
        <v/>
      </c>
      <c r="G109" s="38" t="str">
        <f t="shared" si="15"/>
        <v/>
      </c>
      <c r="H109" s="38"/>
      <c r="J109" t="str">
        <f t="shared" si="23"/>
        <v/>
      </c>
      <c r="K109" s="38" t="str">
        <f t="shared" si="16"/>
        <v/>
      </c>
      <c r="L109" s="38" t="str">
        <f t="shared" si="24"/>
        <v/>
      </c>
      <c r="M109" s="38" t="str">
        <f t="shared" si="25"/>
        <v/>
      </c>
      <c r="N109" s="38" t="str">
        <f t="shared" si="26"/>
        <v/>
      </c>
      <c r="O109" s="38" t="str">
        <f t="shared" si="27"/>
        <v/>
      </c>
      <c r="P109" s="38" t="str">
        <f t="shared" si="17"/>
        <v/>
      </c>
      <c r="Q109" s="38"/>
    </row>
    <row r="110" spans="1:17" x14ac:dyDescent="0.2">
      <c r="A110" t="str">
        <f t="shared" si="18"/>
        <v/>
      </c>
      <c r="B110" s="38" t="str">
        <f t="shared" si="14"/>
        <v/>
      </c>
      <c r="C110" s="38" t="str">
        <f t="shared" si="19"/>
        <v/>
      </c>
      <c r="D110" s="38" t="str">
        <f t="shared" si="20"/>
        <v/>
      </c>
      <c r="E110" s="38" t="str">
        <f t="shared" si="21"/>
        <v/>
      </c>
      <c r="F110" s="38" t="str">
        <f t="shared" si="22"/>
        <v/>
      </c>
      <c r="G110" s="38" t="str">
        <f t="shared" si="15"/>
        <v/>
      </c>
      <c r="H110" s="38"/>
      <c r="J110" t="str">
        <f t="shared" si="23"/>
        <v/>
      </c>
      <c r="K110" s="38" t="str">
        <f t="shared" si="16"/>
        <v/>
      </c>
      <c r="L110" s="38" t="str">
        <f t="shared" si="24"/>
        <v/>
      </c>
      <c r="M110" s="38" t="str">
        <f t="shared" si="25"/>
        <v/>
      </c>
      <c r="N110" s="38" t="str">
        <f t="shared" si="26"/>
        <v/>
      </c>
      <c r="O110" s="38" t="str">
        <f t="shared" si="27"/>
        <v/>
      </c>
      <c r="P110" s="38" t="str">
        <f t="shared" si="17"/>
        <v/>
      </c>
      <c r="Q110" s="38"/>
    </row>
    <row r="111" spans="1:17" x14ac:dyDescent="0.2">
      <c r="A111" t="str">
        <f t="shared" si="18"/>
        <v/>
      </c>
      <c r="B111" s="38" t="str">
        <f t="shared" si="14"/>
        <v/>
      </c>
      <c r="C111" s="38" t="str">
        <f t="shared" si="19"/>
        <v/>
      </c>
      <c r="D111" s="38" t="str">
        <f t="shared" si="20"/>
        <v/>
      </c>
      <c r="E111" s="38" t="str">
        <f t="shared" si="21"/>
        <v/>
      </c>
      <c r="F111" s="38" t="str">
        <f t="shared" si="22"/>
        <v/>
      </c>
      <c r="G111" s="38" t="str">
        <f t="shared" si="15"/>
        <v/>
      </c>
      <c r="H111" s="38"/>
      <c r="J111" t="str">
        <f t="shared" si="23"/>
        <v/>
      </c>
      <c r="K111" s="38" t="str">
        <f t="shared" si="16"/>
        <v/>
      </c>
      <c r="L111" s="38" t="str">
        <f t="shared" si="24"/>
        <v/>
      </c>
      <c r="M111" s="38" t="str">
        <f t="shared" si="25"/>
        <v/>
      </c>
      <c r="N111" s="38" t="str">
        <f t="shared" si="26"/>
        <v/>
      </c>
      <c r="O111" s="38" t="str">
        <f t="shared" si="27"/>
        <v/>
      </c>
      <c r="P111" s="38" t="str">
        <f t="shared" si="17"/>
        <v/>
      </c>
      <c r="Q111" s="38"/>
    </row>
    <row r="112" spans="1:17" x14ac:dyDescent="0.2">
      <c r="A112" t="str">
        <f t="shared" si="18"/>
        <v/>
      </c>
      <c r="B112" s="38" t="str">
        <f t="shared" si="14"/>
        <v/>
      </c>
      <c r="C112" s="38" t="str">
        <f t="shared" si="19"/>
        <v/>
      </c>
      <c r="D112" s="38" t="str">
        <f t="shared" si="20"/>
        <v/>
      </c>
      <c r="E112" s="38" t="str">
        <f t="shared" si="21"/>
        <v/>
      </c>
      <c r="F112" s="38" t="str">
        <f t="shared" si="22"/>
        <v/>
      </c>
      <c r="G112" s="38" t="str">
        <f t="shared" si="15"/>
        <v/>
      </c>
      <c r="H112" s="38"/>
      <c r="J112" t="str">
        <f t="shared" si="23"/>
        <v/>
      </c>
      <c r="K112" s="38" t="str">
        <f t="shared" si="16"/>
        <v/>
      </c>
      <c r="L112" s="38" t="str">
        <f t="shared" si="24"/>
        <v/>
      </c>
      <c r="M112" s="38" t="str">
        <f t="shared" si="25"/>
        <v/>
      </c>
      <c r="N112" s="38" t="str">
        <f t="shared" si="26"/>
        <v/>
      </c>
      <c r="O112" s="38" t="str">
        <f t="shared" si="27"/>
        <v/>
      </c>
      <c r="P112" s="38" t="str">
        <f t="shared" si="17"/>
        <v/>
      </c>
      <c r="Q112" s="38"/>
    </row>
    <row r="113" spans="1:17" x14ac:dyDescent="0.2">
      <c r="A113" t="str">
        <f t="shared" si="18"/>
        <v/>
      </c>
      <c r="B113" s="38" t="str">
        <f t="shared" si="14"/>
        <v/>
      </c>
      <c r="C113" s="38" t="str">
        <f t="shared" si="19"/>
        <v/>
      </c>
      <c r="D113" s="38" t="str">
        <f t="shared" si="20"/>
        <v/>
      </c>
      <c r="E113" s="38" t="str">
        <f t="shared" si="21"/>
        <v/>
      </c>
      <c r="F113" s="38" t="str">
        <f t="shared" si="22"/>
        <v/>
      </c>
      <c r="G113" s="38" t="str">
        <f t="shared" si="15"/>
        <v/>
      </c>
      <c r="H113" s="38"/>
      <c r="J113" t="str">
        <f t="shared" si="23"/>
        <v/>
      </c>
      <c r="K113" s="38" t="str">
        <f t="shared" si="16"/>
        <v/>
      </c>
      <c r="L113" s="38" t="str">
        <f t="shared" si="24"/>
        <v/>
      </c>
      <c r="M113" s="38" t="str">
        <f t="shared" si="25"/>
        <v/>
      </c>
      <c r="N113" s="38" t="str">
        <f t="shared" si="26"/>
        <v/>
      </c>
      <c r="O113" s="38" t="str">
        <f t="shared" si="27"/>
        <v/>
      </c>
      <c r="P113" s="38" t="str">
        <f t="shared" si="17"/>
        <v/>
      </c>
      <c r="Q113" s="38"/>
    </row>
    <row r="114" spans="1:17" x14ac:dyDescent="0.2">
      <c r="A114" t="str">
        <f t="shared" si="18"/>
        <v/>
      </c>
      <c r="B114" s="38" t="str">
        <f t="shared" si="14"/>
        <v/>
      </c>
      <c r="C114" s="38" t="str">
        <f t="shared" si="19"/>
        <v/>
      </c>
      <c r="D114" s="38" t="str">
        <f t="shared" si="20"/>
        <v/>
      </c>
      <c r="E114" s="38" t="str">
        <f t="shared" si="21"/>
        <v/>
      </c>
      <c r="F114" s="38" t="str">
        <f t="shared" si="22"/>
        <v/>
      </c>
      <c r="G114" s="38" t="str">
        <f t="shared" si="15"/>
        <v/>
      </c>
      <c r="H114" s="38"/>
      <c r="J114" t="str">
        <f t="shared" si="23"/>
        <v/>
      </c>
      <c r="K114" s="38" t="str">
        <f t="shared" si="16"/>
        <v/>
      </c>
      <c r="L114" s="38" t="str">
        <f t="shared" si="24"/>
        <v/>
      </c>
      <c r="M114" s="38" t="str">
        <f t="shared" si="25"/>
        <v/>
      </c>
      <c r="N114" s="38" t="str">
        <f t="shared" si="26"/>
        <v/>
      </c>
      <c r="O114" s="38" t="str">
        <f t="shared" si="27"/>
        <v/>
      </c>
      <c r="P114" s="38" t="str">
        <f t="shared" si="17"/>
        <v/>
      </c>
      <c r="Q114" s="38"/>
    </row>
    <row r="115" spans="1:17" x14ac:dyDescent="0.2">
      <c r="A115" t="str">
        <f t="shared" si="18"/>
        <v/>
      </c>
      <c r="B115" s="38" t="str">
        <f t="shared" si="14"/>
        <v/>
      </c>
      <c r="C115" s="38" t="str">
        <f t="shared" si="19"/>
        <v/>
      </c>
      <c r="D115" s="38" t="str">
        <f t="shared" si="20"/>
        <v/>
      </c>
      <c r="E115" s="38" t="str">
        <f t="shared" si="21"/>
        <v/>
      </c>
      <c r="F115" s="38" t="str">
        <f t="shared" si="22"/>
        <v/>
      </c>
      <c r="G115" s="38" t="str">
        <f t="shared" si="15"/>
        <v/>
      </c>
      <c r="H115" s="38"/>
      <c r="J115" t="str">
        <f t="shared" si="23"/>
        <v/>
      </c>
      <c r="K115" s="38" t="str">
        <f t="shared" si="16"/>
        <v/>
      </c>
      <c r="L115" s="38" t="str">
        <f t="shared" si="24"/>
        <v/>
      </c>
      <c r="M115" s="38" t="str">
        <f t="shared" si="25"/>
        <v/>
      </c>
      <c r="N115" s="38" t="str">
        <f t="shared" si="26"/>
        <v/>
      </c>
      <c r="O115" s="38" t="str">
        <f t="shared" si="27"/>
        <v/>
      </c>
      <c r="P115" s="38" t="str">
        <f t="shared" si="17"/>
        <v/>
      </c>
      <c r="Q115" s="38"/>
    </row>
    <row r="116" spans="1:17" x14ac:dyDescent="0.2">
      <c r="A116" t="str">
        <f t="shared" si="18"/>
        <v/>
      </c>
      <c r="B116" s="38" t="str">
        <f t="shared" si="14"/>
        <v/>
      </c>
      <c r="C116" s="38" t="str">
        <f t="shared" si="19"/>
        <v/>
      </c>
      <c r="D116" s="38" t="str">
        <f t="shared" si="20"/>
        <v/>
      </c>
      <c r="E116" s="38" t="str">
        <f t="shared" si="21"/>
        <v/>
      </c>
      <c r="F116" s="38" t="str">
        <f t="shared" si="22"/>
        <v/>
      </c>
      <c r="G116" s="38" t="str">
        <f t="shared" si="15"/>
        <v/>
      </c>
      <c r="H116" s="38"/>
      <c r="J116" t="str">
        <f t="shared" si="23"/>
        <v/>
      </c>
      <c r="K116" s="38" t="str">
        <f t="shared" si="16"/>
        <v/>
      </c>
      <c r="L116" s="38" t="str">
        <f t="shared" si="24"/>
        <v/>
      </c>
      <c r="M116" s="38" t="str">
        <f t="shared" si="25"/>
        <v/>
      </c>
      <c r="N116" s="38" t="str">
        <f t="shared" si="26"/>
        <v/>
      </c>
      <c r="O116" s="38" t="str">
        <f t="shared" si="27"/>
        <v/>
      </c>
      <c r="P116" s="38" t="str">
        <f t="shared" si="17"/>
        <v/>
      </c>
      <c r="Q116" s="38"/>
    </row>
    <row r="117" spans="1:17" x14ac:dyDescent="0.2">
      <c r="A117" t="str">
        <f t="shared" si="18"/>
        <v/>
      </c>
      <c r="B117" s="38" t="str">
        <f t="shared" si="14"/>
        <v/>
      </c>
      <c r="C117" s="38" t="str">
        <f t="shared" si="19"/>
        <v/>
      </c>
      <c r="D117" s="38" t="str">
        <f t="shared" si="20"/>
        <v/>
      </c>
      <c r="E117" s="38" t="str">
        <f t="shared" si="21"/>
        <v/>
      </c>
      <c r="F117" s="38" t="str">
        <f t="shared" si="22"/>
        <v/>
      </c>
      <c r="G117" s="38" t="str">
        <f t="shared" si="15"/>
        <v/>
      </c>
      <c r="H117" s="38"/>
      <c r="J117" t="str">
        <f t="shared" si="23"/>
        <v/>
      </c>
      <c r="K117" s="38" t="str">
        <f t="shared" si="16"/>
        <v/>
      </c>
      <c r="L117" s="38" t="str">
        <f t="shared" si="24"/>
        <v/>
      </c>
      <c r="M117" s="38" t="str">
        <f t="shared" si="25"/>
        <v/>
      </c>
      <c r="N117" s="38" t="str">
        <f t="shared" si="26"/>
        <v/>
      </c>
      <c r="O117" s="38" t="str">
        <f t="shared" si="27"/>
        <v/>
      </c>
      <c r="P117" s="38" t="str">
        <f t="shared" si="17"/>
        <v/>
      </c>
      <c r="Q117" s="38"/>
    </row>
    <row r="118" spans="1:17" x14ac:dyDescent="0.2">
      <c r="A118" t="str">
        <f t="shared" si="18"/>
        <v/>
      </c>
      <c r="B118" s="38" t="str">
        <f t="shared" si="14"/>
        <v/>
      </c>
      <c r="C118" s="38" t="str">
        <f t="shared" si="19"/>
        <v/>
      </c>
      <c r="D118" s="38" t="str">
        <f t="shared" si="20"/>
        <v/>
      </c>
      <c r="E118" s="38" t="str">
        <f t="shared" si="21"/>
        <v/>
      </c>
      <c r="F118" s="38" t="str">
        <f t="shared" si="22"/>
        <v/>
      </c>
      <c r="G118" s="38" t="str">
        <f t="shared" si="15"/>
        <v/>
      </c>
      <c r="H118" s="38"/>
      <c r="J118" t="str">
        <f t="shared" si="23"/>
        <v/>
      </c>
      <c r="K118" s="38" t="str">
        <f t="shared" si="16"/>
        <v/>
      </c>
      <c r="L118" s="38" t="str">
        <f t="shared" si="24"/>
        <v/>
      </c>
      <c r="M118" s="38" t="str">
        <f t="shared" si="25"/>
        <v/>
      </c>
      <c r="N118" s="38" t="str">
        <f t="shared" si="26"/>
        <v/>
      </c>
      <c r="O118" s="38" t="str">
        <f t="shared" si="27"/>
        <v/>
      </c>
      <c r="P118" s="38" t="str">
        <f t="shared" si="17"/>
        <v/>
      </c>
      <c r="Q118" s="38"/>
    </row>
    <row r="119" spans="1:17" x14ac:dyDescent="0.2">
      <c r="A119" t="str">
        <f t="shared" si="18"/>
        <v/>
      </c>
      <c r="B119" s="38" t="str">
        <f t="shared" si="14"/>
        <v/>
      </c>
      <c r="C119" s="38" t="str">
        <f t="shared" si="19"/>
        <v/>
      </c>
      <c r="D119" s="38" t="str">
        <f t="shared" si="20"/>
        <v/>
      </c>
      <c r="E119" s="38" t="str">
        <f t="shared" si="21"/>
        <v/>
      </c>
      <c r="F119" s="38" t="str">
        <f t="shared" si="22"/>
        <v/>
      </c>
      <c r="G119" s="38" t="str">
        <f t="shared" si="15"/>
        <v/>
      </c>
      <c r="H119" s="38"/>
      <c r="J119" t="str">
        <f t="shared" si="23"/>
        <v/>
      </c>
      <c r="K119" s="38" t="str">
        <f t="shared" si="16"/>
        <v/>
      </c>
      <c r="L119" s="38" t="str">
        <f t="shared" si="24"/>
        <v/>
      </c>
      <c r="M119" s="38" t="str">
        <f t="shared" si="25"/>
        <v/>
      </c>
      <c r="N119" s="38" t="str">
        <f t="shared" si="26"/>
        <v/>
      </c>
      <c r="O119" s="38" t="str">
        <f t="shared" si="27"/>
        <v/>
      </c>
      <c r="P119" s="38" t="str">
        <f t="shared" si="17"/>
        <v/>
      </c>
      <c r="Q119" s="38"/>
    </row>
    <row r="120" spans="1:17" x14ac:dyDescent="0.2">
      <c r="A120" t="str">
        <f t="shared" si="18"/>
        <v/>
      </c>
      <c r="B120" s="38" t="str">
        <f t="shared" si="14"/>
        <v/>
      </c>
      <c r="C120" s="38" t="str">
        <f t="shared" si="19"/>
        <v/>
      </c>
      <c r="D120" s="38" t="str">
        <f t="shared" si="20"/>
        <v/>
      </c>
      <c r="E120" s="38" t="str">
        <f t="shared" si="21"/>
        <v/>
      </c>
      <c r="F120" s="38" t="str">
        <f t="shared" si="22"/>
        <v/>
      </c>
      <c r="G120" s="38" t="str">
        <f t="shared" si="15"/>
        <v/>
      </c>
      <c r="H120" s="38"/>
      <c r="J120" t="str">
        <f t="shared" si="23"/>
        <v/>
      </c>
      <c r="K120" s="38" t="str">
        <f t="shared" si="16"/>
        <v/>
      </c>
      <c r="L120" s="38" t="str">
        <f t="shared" si="24"/>
        <v/>
      </c>
      <c r="M120" s="38" t="str">
        <f t="shared" si="25"/>
        <v/>
      </c>
      <c r="N120" s="38" t="str">
        <f t="shared" si="26"/>
        <v/>
      </c>
      <c r="O120" s="38" t="str">
        <f t="shared" si="27"/>
        <v/>
      </c>
      <c r="P120" s="38" t="str">
        <f t="shared" si="17"/>
        <v/>
      </c>
      <c r="Q120" s="38"/>
    </row>
    <row r="121" spans="1:17" x14ac:dyDescent="0.2">
      <c r="A121" t="str">
        <f t="shared" si="18"/>
        <v/>
      </c>
      <c r="B121" s="38" t="str">
        <f t="shared" si="14"/>
        <v/>
      </c>
      <c r="C121" s="38" t="str">
        <f t="shared" si="19"/>
        <v/>
      </c>
      <c r="D121" s="38" t="str">
        <f t="shared" si="20"/>
        <v/>
      </c>
      <c r="E121" s="38" t="str">
        <f t="shared" si="21"/>
        <v/>
      </c>
      <c r="F121" s="38" t="str">
        <f t="shared" si="22"/>
        <v/>
      </c>
      <c r="G121" s="38" t="str">
        <f t="shared" si="15"/>
        <v/>
      </c>
      <c r="H121" s="38"/>
      <c r="J121" t="str">
        <f t="shared" si="23"/>
        <v/>
      </c>
      <c r="K121" s="38" t="str">
        <f t="shared" si="16"/>
        <v/>
      </c>
      <c r="L121" s="38" t="str">
        <f t="shared" si="24"/>
        <v/>
      </c>
      <c r="M121" s="38" t="str">
        <f t="shared" si="25"/>
        <v/>
      </c>
      <c r="N121" s="38" t="str">
        <f t="shared" si="26"/>
        <v/>
      </c>
      <c r="O121" s="38" t="str">
        <f t="shared" si="27"/>
        <v/>
      </c>
      <c r="P121" s="38" t="str">
        <f t="shared" si="17"/>
        <v/>
      </c>
      <c r="Q121" s="38"/>
    </row>
    <row r="122" spans="1:17" x14ac:dyDescent="0.2">
      <c r="A122" t="str">
        <f t="shared" si="18"/>
        <v/>
      </c>
      <c r="B122" s="38" t="str">
        <f t="shared" si="14"/>
        <v/>
      </c>
      <c r="C122" s="38" t="str">
        <f t="shared" si="19"/>
        <v/>
      </c>
      <c r="D122" s="38" t="str">
        <f t="shared" si="20"/>
        <v/>
      </c>
      <c r="E122" s="38" t="str">
        <f t="shared" si="21"/>
        <v/>
      </c>
      <c r="F122" s="38" t="str">
        <f t="shared" si="22"/>
        <v/>
      </c>
      <c r="G122" s="38" t="str">
        <f t="shared" si="15"/>
        <v/>
      </c>
      <c r="H122" s="38"/>
      <c r="J122" t="str">
        <f t="shared" si="23"/>
        <v/>
      </c>
      <c r="K122" s="38" t="str">
        <f t="shared" si="16"/>
        <v/>
      </c>
      <c r="L122" s="38" t="str">
        <f t="shared" si="24"/>
        <v/>
      </c>
      <c r="M122" s="38" t="str">
        <f t="shared" si="25"/>
        <v/>
      </c>
      <c r="N122" s="38" t="str">
        <f t="shared" si="26"/>
        <v/>
      </c>
      <c r="O122" s="38" t="str">
        <f t="shared" si="27"/>
        <v/>
      </c>
      <c r="P122" s="38" t="str">
        <f t="shared" si="17"/>
        <v/>
      </c>
      <c r="Q122" s="38"/>
    </row>
    <row r="123" spans="1:17" x14ac:dyDescent="0.2">
      <c r="A123" t="str">
        <f t="shared" si="18"/>
        <v/>
      </c>
      <c r="B123" s="38" t="str">
        <f t="shared" si="14"/>
        <v/>
      </c>
      <c r="C123" s="38" t="str">
        <f t="shared" si="19"/>
        <v/>
      </c>
      <c r="D123" s="38" t="str">
        <f t="shared" si="20"/>
        <v/>
      </c>
      <c r="E123" s="38" t="str">
        <f t="shared" si="21"/>
        <v/>
      </c>
      <c r="F123" s="38" t="str">
        <f t="shared" si="22"/>
        <v/>
      </c>
      <c r="G123" s="38" t="str">
        <f t="shared" si="15"/>
        <v/>
      </c>
      <c r="H123" s="38"/>
      <c r="J123" t="str">
        <f t="shared" si="23"/>
        <v/>
      </c>
      <c r="K123" s="38" t="str">
        <f t="shared" si="16"/>
        <v/>
      </c>
      <c r="L123" s="38" t="str">
        <f t="shared" si="24"/>
        <v/>
      </c>
      <c r="M123" s="38" t="str">
        <f t="shared" si="25"/>
        <v/>
      </c>
      <c r="N123" s="38" t="str">
        <f t="shared" si="26"/>
        <v/>
      </c>
      <c r="O123" s="38" t="str">
        <f t="shared" si="27"/>
        <v/>
      </c>
      <c r="P123" s="38" t="str">
        <f t="shared" si="17"/>
        <v/>
      </c>
      <c r="Q123" s="38"/>
    </row>
    <row r="124" spans="1:17" x14ac:dyDescent="0.2">
      <c r="A124" t="str">
        <f t="shared" si="18"/>
        <v/>
      </c>
      <c r="B124" s="38" t="str">
        <f t="shared" si="14"/>
        <v/>
      </c>
      <c r="C124" s="38" t="str">
        <f t="shared" si="19"/>
        <v/>
      </c>
      <c r="D124" s="38" t="str">
        <f t="shared" si="20"/>
        <v/>
      </c>
      <c r="E124" s="38" t="str">
        <f t="shared" si="21"/>
        <v/>
      </c>
      <c r="F124" s="38" t="str">
        <f t="shared" si="22"/>
        <v/>
      </c>
      <c r="G124" s="38" t="str">
        <f t="shared" si="15"/>
        <v/>
      </c>
      <c r="H124" s="38"/>
      <c r="J124" t="str">
        <f t="shared" si="23"/>
        <v/>
      </c>
      <c r="K124" s="38" t="str">
        <f t="shared" si="16"/>
        <v/>
      </c>
      <c r="L124" s="38" t="str">
        <f t="shared" si="24"/>
        <v/>
      </c>
      <c r="M124" s="38" t="str">
        <f t="shared" si="25"/>
        <v/>
      </c>
      <c r="N124" s="38" t="str">
        <f t="shared" si="26"/>
        <v/>
      </c>
      <c r="O124" s="38" t="str">
        <f t="shared" si="27"/>
        <v/>
      </c>
      <c r="P124" s="38" t="str">
        <f t="shared" si="17"/>
        <v/>
      </c>
      <c r="Q124" s="38"/>
    </row>
    <row r="125" spans="1:17" x14ac:dyDescent="0.2">
      <c r="A125" t="str">
        <f t="shared" si="18"/>
        <v/>
      </c>
      <c r="B125" s="38" t="str">
        <f t="shared" si="14"/>
        <v/>
      </c>
      <c r="C125" s="38" t="str">
        <f t="shared" si="19"/>
        <v/>
      </c>
      <c r="D125" s="38" t="str">
        <f t="shared" si="20"/>
        <v/>
      </c>
      <c r="E125" s="38" t="str">
        <f t="shared" si="21"/>
        <v/>
      </c>
      <c r="F125" s="38" t="str">
        <f t="shared" si="22"/>
        <v/>
      </c>
      <c r="G125" s="38" t="str">
        <f t="shared" si="15"/>
        <v/>
      </c>
      <c r="H125" s="38"/>
      <c r="J125" t="str">
        <f t="shared" si="23"/>
        <v/>
      </c>
      <c r="K125" s="38" t="str">
        <f t="shared" si="16"/>
        <v/>
      </c>
      <c r="L125" s="38" t="str">
        <f t="shared" si="24"/>
        <v/>
      </c>
      <c r="M125" s="38" t="str">
        <f t="shared" si="25"/>
        <v/>
      </c>
      <c r="N125" s="38" t="str">
        <f t="shared" si="26"/>
        <v/>
      </c>
      <c r="O125" s="38" t="str">
        <f t="shared" si="27"/>
        <v/>
      </c>
      <c r="P125" s="38" t="str">
        <f t="shared" si="17"/>
        <v/>
      </c>
      <c r="Q125" s="38"/>
    </row>
    <row r="126" spans="1:17" x14ac:dyDescent="0.2">
      <c r="A126" t="str">
        <f t="shared" si="18"/>
        <v/>
      </c>
      <c r="B126" s="38" t="str">
        <f t="shared" si="14"/>
        <v/>
      </c>
      <c r="C126" s="38" t="str">
        <f t="shared" si="19"/>
        <v/>
      </c>
      <c r="D126" s="38" t="str">
        <f t="shared" si="20"/>
        <v/>
      </c>
      <c r="E126" s="38" t="str">
        <f t="shared" si="21"/>
        <v/>
      </c>
      <c r="F126" s="38" t="str">
        <f t="shared" si="22"/>
        <v/>
      </c>
      <c r="G126" s="38" t="str">
        <f t="shared" si="15"/>
        <v/>
      </c>
      <c r="H126" s="38"/>
      <c r="J126" t="str">
        <f t="shared" si="23"/>
        <v/>
      </c>
      <c r="K126" s="38" t="str">
        <f t="shared" si="16"/>
        <v/>
      </c>
      <c r="L126" s="38" t="str">
        <f t="shared" si="24"/>
        <v/>
      </c>
      <c r="M126" s="38" t="str">
        <f t="shared" si="25"/>
        <v/>
      </c>
      <c r="N126" s="38" t="str">
        <f t="shared" si="26"/>
        <v/>
      </c>
      <c r="O126" s="38" t="str">
        <f t="shared" si="27"/>
        <v/>
      </c>
      <c r="P126" s="38" t="str">
        <f t="shared" si="17"/>
        <v/>
      </c>
      <c r="Q126" s="38"/>
    </row>
    <row r="127" spans="1:17" x14ac:dyDescent="0.2">
      <c r="A127" t="str">
        <f t="shared" si="18"/>
        <v/>
      </c>
      <c r="B127" s="38" t="str">
        <f t="shared" si="14"/>
        <v/>
      </c>
      <c r="C127" s="38" t="str">
        <f t="shared" si="19"/>
        <v/>
      </c>
      <c r="D127" s="38" t="str">
        <f t="shared" si="20"/>
        <v/>
      </c>
      <c r="E127" s="38" t="str">
        <f t="shared" si="21"/>
        <v/>
      </c>
      <c r="F127" s="38" t="str">
        <f t="shared" si="22"/>
        <v/>
      </c>
      <c r="G127" s="38" t="str">
        <f t="shared" si="15"/>
        <v/>
      </c>
      <c r="H127" s="38"/>
      <c r="J127" t="str">
        <f t="shared" si="23"/>
        <v/>
      </c>
      <c r="K127" s="38" t="str">
        <f t="shared" si="16"/>
        <v/>
      </c>
      <c r="L127" s="38" t="str">
        <f t="shared" si="24"/>
        <v/>
      </c>
      <c r="M127" s="38" t="str">
        <f t="shared" si="25"/>
        <v/>
      </c>
      <c r="N127" s="38" t="str">
        <f t="shared" si="26"/>
        <v/>
      </c>
      <c r="O127" s="38" t="str">
        <f t="shared" si="27"/>
        <v/>
      </c>
      <c r="P127" s="38" t="str">
        <f t="shared" si="17"/>
        <v/>
      </c>
      <c r="Q127" s="38"/>
    </row>
    <row r="128" spans="1:17" x14ac:dyDescent="0.2">
      <c r="A128" t="str">
        <f t="shared" si="18"/>
        <v/>
      </c>
      <c r="B128" s="38" t="str">
        <f t="shared" si="14"/>
        <v/>
      </c>
      <c r="C128" s="38" t="str">
        <f t="shared" si="19"/>
        <v/>
      </c>
      <c r="D128" s="38" t="str">
        <f t="shared" si="20"/>
        <v/>
      </c>
      <c r="E128" s="38" t="str">
        <f t="shared" si="21"/>
        <v/>
      </c>
      <c r="F128" s="38" t="str">
        <f t="shared" si="22"/>
        <v/>
      </c>
      <c r="G128" s="38" t="str">
        <f t="shared" si="15"/>
        <v/>
      </c>
      <c r="H128" s="38"/>
      <c r="J128" t="str">
        <f t="shared" si="23"/>
        <v/>
      </c>
      <c r="K128" s="38" t="str">
        <f t="shared" si="16"/>
        <v/>
      </c>
      <c r="L128" s="38" t="str">
        <f t="shared" si="24"/>
        <v/>
      </c>
      <c r="M128" s="38" t="str">
        <f t="shared" si="25"/>
        <v/>
      </c>
      <c r="N128" s="38" t="str">
        <f t="shared" si="26"/>
        <v/>
      </c>
      <c r="O128" s="38" t="str">
        <f t="shared" si="27"/>
        <v/>
      </c>
      <c r="P128" s="38" t="str">
        <f t="shared" si="17"/>
        <v/>
      </c>
      <c r="Q128" s="38"/>
    </row>
    <row r="129" spans="1:17" x14ac:dyDescent="0.2">
      <c r="A129" t="str">
        <f t="shared" si="18"/>
        <v/>
      </c>
      <c r="B129" s="38" t="str">
        <f t="shared" si="14"/>
        <v/>
      </c>
      <c r="C129" s="38" t="str">
        <f t="shared" si="19"/>
        <v/>
      </c>
      <c r="D129" s="38" t="str">
        <f t="shared" si="20"/>
        <v/>
      </c>
      <c r="E129" s="38" t="str">
        <f t="shared" si="21"/>
        <v/>
      </c>
      <c r="F129" s="38" t="str">
        <f t="shared" si="22"/>
        <v/>
      </c>
      <c r="G129" s="38" t="str">
        <f t="shared" si="15"/>
        <v/>
      </c>
      <c r="H129" s="38"/>
      <c r="J129" t="str">
        <f t="shared" si="23"/>
        <v/>
      </c>
      <c r="K129" s="38" t="str">
        <f t="shared" si="16"/>
        <v/>
      </c>
      <c r="L129" s="38" t="str">
        <f t="shared" si="24"/>
        <v/>
      </c>
      <c r="M129" s="38" t="str">
        <f t="shared" si="25"/>
        <v/>
      </c>
      <c r="N129" s="38" t="str">
        <f t="shared" si="26"/>
        <v/>
      </c>
      <c r="O129" s="38" t="str">
        <f t="shared" si="27"/>
        <v/>
      </c>
      <c r="P129" s="38" t="str">
        <f t="shared" si="17"/>
        <v/>
      </c>
      <c r="Q129" s="38"/>
    </row>
    <row r="130" spans="1:17" x14ac:dyDescent="0.2">
      <c r="A130" t="str">
        <f t="shared" si="18"/>
        <v/>
      </c>
      <c r="B130" s="38" t="str">
        <f t="shared" si="14"/>
        <v/>
      </c>
      <c r="C130" s="38" t="str">
        <f t="shared" si="19"/>
        <v/>
      </c>
      <c r="D130" s="38" t="str">
        <f t="shared" si="20"/>
        <v/>
      </c>
      <c r="E130" s="38" t="str">
        <f t="shared" si="21"/>
        <v/>
      </c>
      <c r="F130" s="38" t="str">
        <f t="shared" si="22"/>
        <v/>
      </c>
      <c r="G130" s="38" t="str">
        <f t="shared" si="15"/>
        <v/>
      </c>
      <c r="H130" s="38"/>
      <c r="J130" t="str">
        <f t="shared" si="23"/>
        <v/>
      </c>
      <c r="K130" s="38" t="str">
        <f t="shared" si="16"/>
        <v/>
      </c>
      <c r="L130" s="38" t="str">
        <f t="shared" si="24"/>
        <v/>
      </c>
      <c r="M130" s="38" t="str">
        <f t="shared" si="25"/>
        <v/>
      </c>
      <c r="N130" s="38" t="str">
        <f t="shared" si="26"/>
        <v/>
      </c>
      <c r="O130" s="38" t="str">
        <f t="shared" si="27"/>
        <v/>
      </c>
      <c r="P130" s="38" t="str">
        <f t="shared" si="17"/>
        <v/>
      </c>
      <c r="Q130" s="38"/>
    </row>
    <row r="131" spans="1:17" x14ac:dyDescent="0.2">
      <c r="A131" t="str">
        <f t="shared" si="18"/>
        <v/>
      </c>
      <c r="B131" s="38" t="str">
        <f t="shared" si="14"/>
        <v/>
      </c>
      <c r="C131" s="38" t="str">
        <f t="shared" si="19"/>
        <v/>
      </c>
      <c r="D131" s="38" t="str">
        <f t="shared" si="20"/>
        <v/>
      </c>
      <c r="E131" s="38" t="str">
        <f t="shared" si="21"/>
        <v/>
      </c>
      <c r="F131" s="38" t="str">
        <f t="shared" si="22"/>
        <v/>
      </c>
      <c r="G131" s="38" t="str">
        <f t="shared" si="15"/>
        <v/>
      </c>
      <c r="H131" s="38"/>
      <c r="J131" t="str">
        <f t="shared" si="23"/>
        <v/>
      </c>
      <c r="K131" s="38" t="str">
        <f t="shared" si="16"/>
        <v/>
      </c>
      <c r="L131" s="38" t="str">
        <f t="shared" si="24"/>
        <v/>
      </c>
      <c r="M131" s="38" t="str">
        <f t="shared" si="25"/>
        <v/>
      </c>
      <c r="N131" s="38" t="str">
        <f t="shared" si="26"/>
        <v/>
      </c>
      <c r="O131" s="38" t="str">
        <f t="shared" si="27"/>
        <v/>
      </c>
      <c r="P131" s="38" t="str">
        <f t="shared" si="17"/>
        <v/>
      </c>
      <c r="Q131" s="38"/>
    </row>
    <row r="132" spans="1:17" x14ac:dyDescent="0.2">
      <c r="A132" t="str">
        <f t="shared" si="18"/>
        <v/>
      </c>
      <c r="B132" s="38" t="str">
        <f t="shared" si="14"/>
        <v/>
      </c>
      <c r="C132" s="38" t="str">
        <f t="shared" si="19"/>
        <v/>
      </c>
      <c r="D132" s="38" t="str">
        <f t="shared" si="20"/>
        <v/>
      </c>
      <c r="E132" s="38" t="str">
        <f t="shared" si="21"/>
        <v/>
      </c>
      <c r="F132" s="38" t="str">
        <f t="shared" si="22"/>
        <v/>
      </c>
      <c r="G132" s="38" t="str">
        <f t="shared" si="15"/>
        <v/>
      </c>
      <c r="H132" s="38"/>
      <c r="J132" t="str">
        <f t="shared" si="23"/>
        <v/>
      </c>
      <c r="K132" s="38" t="str">
        <f t="shared" si="16"/>
        <v/>
      </c>
      <c r="L132" s="38" t="str">
        <f t="shared" si="24"/>
        <v/>
      </c>
      <c r="M132" s="38" t="str">
        <f t="shared" si="25"/>
        <v/>
      </c>
      <c r="N132" s="38" t="str">
        <f t="shared" si="26"/>
        <v/>
      </c>
      <c r="O132" s="38" t="str">
        <f t="shared" si="27"/>
        <v/>
      </c>
      <c r="P132" s="38" t="str">
        <f t="shared" si="17"/>
        <v/>
      </c>
      <c r="Q132" s="38"/>
    </row>
    <row r="133" spans="1:17" x14ac:dyDescent="0.2">
      <c r="A133" t="str">
        <f t="shared" si="18"/>
        <v/>
      </c>
      <c r="B133" s="38" t="str">
        <f t="shared" si="14"/>
        <v/>
      </c>
      <c r="C133" s="38" t="str">
        <f t="shared" si="19"/>
        <v/>
      </c>
      <c r="D133" s="38" t="str">
        <f t="shared" si="20"/>
        <v/>
      </c>
      <c r="E133" s="38" t="str">
        <f t="shared" si="21"/>
        <v/>
      </c>
      <c r="F133" s="38" t="str">
        <f t="shared" si="22"/>
        <v/>
      </c>
      <c r="G133" s="38" t="str">
        <f t="shared" si="15"/>
        <v/>
      </c>
      <c r="H133" s="38"/>
      <c r="J133" t="str">
        <f t="shared" si="23"/>
        <v/>
      </c>
      <c r="K133" s="38" t="str">
        <f t="shared" si="16"/>
        <v/>
      </c>
      <c r="L133" s="38" t="str">
        <f t="shared" si="24"/>
        <v/>
      </c>
      <c r="M133" s="38" t="str">
        <f t="shared" si="25"/>
        <v/>
      </c>
      <c r="N133" s="38" t="str">
        <f t="shared" si="26"/>
        <v/>
      </c>
      <c r="O133" s="38" t="str">
        <f t="shared" si="27"/>
        <v/>
      </c>
      <c r="P133" s="38" t="str">
        <f t="shared" si="17"/>
        <v/>
      </c>
      <c r="Q133" s="38"/>
    </row>
    <row r="134" spans="1:17" x14ac:dyDescent="0.2">
      <c r="A134" t="str">
        <f t="shared" si="18"/>
        <v/>
      </c>
      <c r="B134" s="38" t="str">
        <f t="shared" si="14"/>
        <v/>
      </c>
      <c r="C134" s="38" t="str">
        <f t="shared" si="19"/>
        <v/>
      </c>
      <c r="D134" s="38" t="str">
        <f t="shared" si="20"/>
        <v/>
      </c>
      <c r="E134" s="38" t="str">
        <f t="shared" si="21"/>
        <v/>
      </c>
      <c r="F134" s="38" t="str">
        <f t="shared" si="22"/>
        <v/>
      </c>
      <c r="G134" s="38" t="str">
        <f t="shared" si="15"/>
        <v/>
      </c>
      <c r="H134" s="38"/>
      <c r="J134" t="str">
        <f t="shared" si="23"/>
        <v/>
      </c>
      <c r="K134" s="38" t="str">
        <f t="shared" si="16"/>
        <v/>
      </c>
      <c r="L134" s="38" t="str">
        <f t="shared" si="24"/>
        <v/>
      </c>
      <c r="M134" s="38" t="str">
        <f t="shared" si="25"/>
        <v/>
      </c>
      <c r="N134" s="38" t="str">
        <f t="shared" si="26"/>
        <v/>
      </c>
      <c r="O134" s="38" t="str">
        <f t="shared" si="27"/>
        <v/>
      </c>
      <c r="P134" s="38" t="str">
        <f t="shared" si="17"/>
        <v/>
      </c>
      <c r="Q134" s="38"/>
    </row>
    <row r="135" spans="1:17" x14ac:dyDescent="0.2">
      <c r="A135" t="str">
        <f t="shared" si="18"/>
        <v/>
      </c>
      <c r="B135" s="38" t="str">
        <f t="shared" si="14"/>
        <v/>
      </c>
      <c r="C135" s="38" t="str">
        <f t="shared" si="19"/>
        <v/>
      </c>
      <c r="D135" s="38" t="str">
        <f t="shared" si="20"/>
        <v/>
      </c>
      <c r="E135" s="38" t="str">
        <f t="shared" si="21"/>
        <v/>
      </c>
      <c r="F135" s="38" t="str">
        <f t="shared" si="22"/>
        <v/>
      </c>
      <c r="G135" s="38" t="str">
        <f t="shared" si="15"/>
        <v/>
      </c>
      <c r="H135" s="38"/>
      <c r="J135" t="str">
        <f t="shared" si="23"/>
        <v/>
      </c>
      <c r="K135" s="38" t="str">
        <f t="shared" si="16"/>
        <v/>
      </c>
      <c r="L135" s="38" t="str">
        <f t="shared" si="24"/>
        <v/>
      </c>
      <c r="M135" s="38" t="str">
        <f t="shared" si="25"/>
        <v/>
      </c>
      <c r="N135" s="38" t="str">
        <f t="shared" si="26"/>
        <v/>
      </c>
      <c r="O135" s="38" t="str">
        <f t="shared" si="27"/>
        <v/>
      </c>
      <c r="P135" s="38" t="str">
        <f t="shared" si="17"/>
        <v/>
      </c>
      <c r="Q135" s="38"/>
    </row>
    <row r="136" spans="1:17" x14ac:dyDescent="0.2">
      <c r="A136" t="str">
        <f t="shared" si="18"/>
        <v/>
      </c>
      <c r="B136" s="38" t="str">
        <f t="shared" si="14"/>
        <v/>
      </c>
      <c r="C136" s="38" t="str">
        <f t="shared" si="19"/>
        <v/>
      </c>
      <c r="D136" s="38" t="str">
        <f t="shared" si="20"/>
        <v/>
      </c>
      <c r="E136" s="38" t="str">
        <f t="shared" si="21"/>
        <v/>
      </c>
      <c r="F136" s="38" t="str">
        <f t="shared" si="22"/>
        <v/>
      </c>
      <c r="G136" s="38" t="str">
        <f t="shared" si="15"/>
        <v/>
      </c>
      <c r="H136" s="38"/>
      <c r="J136" t="str">
        <f t="shared" si="23"/>
        <v/>
      </c>
      <c r="K136" s="38" t="str">
        <f t="shared" si="16"/>
        <v/>
      </c>
      <c r="L136" s="38" t="str">
        <f t="shared" si="24"/>
        <v/>
      </c>
      <c r="M136" s="38" t="str">
        <f t="shared" si="25"/>
        <v/>
      </c>
      <c r="N136" s="38" t="str">
        <f t="shared" si="26"/>
        <v/>
      </c>
      <c r="O136" s="38" t="str">
        <f t="shared" si="27"/>
        <v/>
      </c>
      <c r="P136" s="38" t="str">
        <f t="shared" si="17"/>
        <v/>
      </c>
      <c r="Q136" s="38"/>
    </row>
    <row r="137" spans="1:17" x14ac:dyDescent="0.2">
      <c r="A137" t="str">
        <f t="shared" si="18"/>
        <v/>
      </c>
      <c r="B137" s="38" t="str">
        <f t="shared" si="14"/>
        <v/>
      </c>
      <c r="C137" s="38" t="str">
        <f t="shared" si="19"/>
        <v/>
      </c>
      <c r="D137" s="38" t="str">
        <f t="shared" si="20"/>
        <v/>
      </c>
      <c r="E137" s="38" t="str">
        <f t="shared" si="21"/>
        <v/>
      </c>
      <c r="F137" s="38" t="str">
        <f t="shared" si="22"/>
        <v/>
      </c>
      <c r="G137" s="38" t="str">
        <f t="shared" si="15"/>
        <v/>
      </c>
      <c r="H137" s="38"/>
      <c r="J137" t="str">
        <f t="shared" si="23"/>
        <v/>
      </c>
      <c r="K137" s="38" t="str">
        <f t="shared" si="16"/>
        <v/>
      </c>
      <c r="L137" s="38" t="str">
        <f t="shared" si="24"/>
        <v/>
      </c>
      <c r="M137" s="38" t="str">
        <f t="shared" si="25"/>
        <v/>
      </c>
      <c r="N137" s="38" t="str">
        <f t="shared" si="26"/>
        <v/>
      </c>
      <c r="O137" s="38" t="str">
        <f t="shared" si="27"/>
        <v/>
      </c>
      <c r="P137" s="38" t="str">
        <f t="shared" si="17"/>
        <v/>
      </c>
      <c r="Q137" s="38"/>
    </row>
    <row r="138" spans="1:17" x14ac:dyDescent="0.2">
      <c r="A138" t="str">
        <f t="shared" si="18"/>
        <v/>
      </c>
      <c r="B138" s="38" t="str">
        <f t="shared" si="14"/>
        <v/>
      </c>
      <c r="C138" s="38" t="str">
        <f t="shared" si="19"/>
        <v/>
      </c>
      <c r="D138" s="38" t="str">
        <f t="shared" si="20"/>
        <v/>
      </c>
      <c r="E138" s="38" t="str">
        <f t="shared" si="21"/>
        <v/>
      </c>
      <c r="F138" s="38" t="str">
        <f t="shared" si="22"/>
        <v/>
      </c>
      <c r="G138" s="38" t="str">
        <f t="shared" si="15"/>
        <v/>
      </c>
      <c r="H138" s="38"/>
      <c r="J138" t="str">
        <f t="shared" si="23"/>
        <v/>
      </c>
      <c r="K138" s="38" t="str">
        <f t="shared" si="16"/>
        <v/>
      </c>
      <c r="L138" s="38" t="str">
        <f t="shared" si="24"/>
        <v/>
      </c>
      <c r="M138" s="38" t="str">
        <f t="shared" si="25"/>
        <v/>
      </c>
      <c r="N138" s="38" t="str">
        <f t="shared" si="26"/>
        <v/>
      </c>
      <c r="O138" s="38" t="str">
        <f t="shared" si="27"/>
        <v/>
      </c>
      <c r="P138" s="38" t="str">
        <f t="shared" si="17"/>
        <v/>
      </c>
      <c r="Q138" s="38"/>
    </row>
    <row r="139" spans="1:17" x14ac:dyDescent="0.2">
      <c r="A139" t="str">
        <f t="shared" si="18"/>
        <v/>
      </c>
      <c r="B139" s="38" t="str">
        <f t="shared" si="14"/>
        <v/>
      </c>
      <c r="C139" s="38" t="str">
        <f t="shared" si="19"/>
        <v/>
      </c>
      <c r="D139" s="38" t="str">
        <f t="shared" si="20"/>
        <v/>
      </c>
      <c r="E139" s="38" t="str">
        <f t="shared" si="21"/>
        <v/>
      </c>
      <c r="F139" s="38" t="str">
        <f t="shared" si="22"/>
        <v/>
      </c>
      <c r="G139" s="38" t="str">
        <f t="shared" si="15"/>
        <v/>
      </c>
      <c r="H139" s="38"/>
      <c r="J139" t="str">
        <f t="shared" si="23"/>
        <v/>
      </c>
      <c r="K139" s="38" t="str">
        <f t="shared" si="16"/>
        <v/>
      </c>
      <c r="L139" s="38" t="str">
        <f t="shared" si="24"/>
        <v/>
      </c>
      <c r="M139" s="38" t="str">
        <f t="shared" si="25"/>
        <v/>
      </c>
      <c r="N139" s="38" t="str">
        <f t="shared" si="26"/>
        <v/>
      </c>
      <c r="O139" s="38" t="str">
        <f t="shared" si="27"/>
        <v/>
      </c>
      <c r="P139" s="38" t="str">
        <f t="shared" si="17"/>
        <v/>
      </c>
      <c r="Q139" s="38"/>
    </row>
    <row r="140" spans="1:17" x14ac:dyDescent="0.2">
      <c r="A140" t="str">
        <f t="shared" si="18"/>
        <v/>
      </c>
      <c r="B140" s="38" t="str">
        <f t="shared" si="14"/>
        <v/>
      </c>
      <c r="C140" s="38" t="str">
        <f t="shared" si="19"/>
        <v/>
      </c>
      <c r="D140" s="38" t="str">
        <f t="shared" si="20"/>
        <v/>
      </c>
      <c r="E140" s="38" t="str">
        <f t="shared" si="21"/>
        <v/>
      </c>
      <c r="F140" s="38" t="str">
        <f t="shared" si="22"/>
        <v/>
      </c>
      <c r="G140" s="38" t="str">
        <f t="shared" si="15"/>
        <v/>
      </c>
      <c r="H140" s="38"/>
      <c r="J140" t="str">
        <f t="shared" si="23"/>
        <v/>
      </c>
      <c r="K140" s="38" t="str">
        <f t="shared" si="16"/>
        <v/>
      </c>
      <c r="L140" s="38" t="str">
        <f t="shared" si="24"/>
        <v/>
      </c>
      <c r="M140" s="38" t="str">
        <f t="shared" si="25"/>
        <v/>
      </c>
      <c r="N140" s="38" t="str">
        <f t="shared" si="26"/>
        <v/>
      </c>
      <c r="O140" s="38" t="str">
        <f t="shared" si="27"/>
        <v/>
      </c>
      <c r="P140" s="38" t="str">
        <f t="shared" si="17"/>
        <v/>
      </c>
      <c r="Q140" s="38"/>
    </row>
    <row r="141" spans="1:17" x14ac:dyDescent="0.2">
      <c r="A141" t="str">
        <f t="shared" si="18"/>
        <v/>
      </c>
      <c r="B141" s="38" t="str">
        <f t="shared" si="14"/>
        <v/>
      </c>
      <c r="C141" s="38" t="str">
        <f t="shared" si="19"/>
        <v/>
      </c>
      <c r="D141" s="38" t="str">
        <f t="shared" si="20"/>
        <v/>
      </c>
      <c r="E141" s="38" t="str">
        <f t="shared" si="21"/>
        <v/>
      </c>
      <c r="F141" s="38" t="str">
        <f t="shared" si="22"/>
        <v/>
      </c>
      <c r="G141" s="38" t="str">
        <f t="shared" si="15"/>
        <v/>
      </c>
      <c r="H141" s="38"/>
      <c r="J141" t="str">
        <f t="shared" si="23"/>
        <v/>
      </c>
      <c r="K141" s="38" t="str">
        <f t="shared" si="16"/>
        <v/>
      </c>
      <c r="L141" s="38" t="str">
        <f t="shared" si="24"/>
        <v/>
      </c>
      <c r="M141" s="38" t="str">
        <f t="shared" si="25"/>
        <v/>
      </c>
      <c r="N141" s="38" t="str">
        <f t="shared" si="26"/>
        <v/>
      </c>
      <c r="O141" s="64" t="str">
        <f t="shared" si="27"/>
        <v/>
      </c>
      <c r="P141" s="38" t="str">
        <f t="shared" si="17"/>
        <v/>
      </c>
      <c r="Q141" s="38"/>
    </row>
    <row r="142" spans="1:17" x14ac:dyDescent="0.2">
      <c r="A142" t="str">
        <f t="shared" si="18"/>
        <v/>
      </c>
      <c r="B142" s="38" t="str">
        <f t="shared" si="14"/>
        <v/>
      </c>
      <c r="C142" s="38" t="str">
        <f t="shared" si="19"/>
        <v/>
      </c>
      <c r="D142" s="38" t="str">
        <f t="shared" si="20"/>
        <v/>
      </c>
      <c r="E142" s="38" t="str">
        <f t="shared" si="21"/>
        <v/>
      </c>
      <c r="F142" s="38" t="str">
        <f t="shared" si="22"/>
        <v/>
      </c>
      <c r="G142" s="38" t="str">
        <f t="shared" si="15"/>
        <v/>
      </c>
      <c r="H142" s="38"/>
      <c r="J142" t="str">
        <f t="shared" si="23"/>
        <v/>
      </c>
      <c r="K142" s="38" t="str">
        <f t="shared" si="16"/>
        <v/>
      </c>
      <c r="L142" s="38" t="str">
        <f t="shared" si="24"/>
        <v/>
      </c>
      <c r="M142" s="38" t="str">
        <f t="shared" si="25"/>
        <v/>
      </c>
      <c r="N142" s="38" t="str">
        <f t="shared" si="26"/>
        <v/>
      </c>
      <c r="O142" s="38" t="str">
        <f t="shared" si="27"/>
        <v/>
      </c>
      <c r="P142" s="38" t="str">
        <f t="shared" si="17"/>
        <v/>
      </c>
      <c r="Q142" s="38"/>
    </row>
    <row r="143" spans="1:17" x14ac:dyDescent="0.2">
      <c r="A143" t="str">
        <f t="shared" si="18"/>
        <v/>
      </c>
      <c r="B143" s="38" t="str">
        <f t="shared" si="14"/>
        <v/>
      </c>
      <c r="C143" s="38" t="str">
        <f t="shared" si="19"/>
        <v/>
      </c>
      <c r="D143" s="38" t="str">
        <f t="shared" si="20"/>
        <v/>
      </c>
      <c r="E143" s="38" t="str">
        <f t="shared" si="21"/>
        <v/>
      </c>
      <c r="F143" s="38" t="str">
        <f t="shared" si="22"/>
        <v/>
      </c>
      <c r="G143" s="38" t="str">
        <f t="shared" si="15"/>
        <v/>
      </c>
      <c r="H143" s="38"/>
      <c r="J143" t="str">
        <f t="shared" si="23"/>
        <v/>
      </c>
      <c r="K143" s="38" t="str">
        <f t="shared" si="16"/>
        <v/>
      </c>
      <c r="L143" s="38" t="str">
        <f t="shared" si="24"/>
        <v/>
      </c>
      <c r="M143" s="38" t="str">
        <f t="shared" si="25"/>
        <v/>
      </c>
      <c r="N143" s="38" t="str">
        <f t="shared" si="26"/>
        <v/>
      </c>
      <c r="O143" s="38" t="str">
        <f t="shared" si="27"/>
        <v/>
      </c>
      <c r="P143" s="38" t="str">
        <f t="shared" si="17"/>
        <v/>
      </c>
      <c r="Q143" s="38"/>
    </row>
    <row r="144" spans="1:17" x14ac:dyDescent="0.2">
      <c r="A144" t="str">
        <f t="shared" si="18"/>
        <v/>
      </c>
      <c r="B144" s="38" t="str">
        <f t="shared" si="14"/>
        <v/>
      </c>
      <c r="C144" s="38" t="str">
        <f t="shared" si="19"/>
        <v/>
      </c>
      <c r="D144" s="38" t="str">
        <f t="shared" si="20"/>
        <v/>
      </c>
      <c r="E144" s="38" t="str">
        <f t="shared" si="21"/>
        <v/>
      </c>
      <c r="F144" s="38" t="str">
        <f t="shared" si="22"/>
        <v/>
      </c>
      <c r="G144" s="38" t="str">
        <f t="shared" si="15"/>
        <v/>
      </c>
      <c r="H144" s="38"/>
      <c r="J144" t="str">
        <f t="shared" si="23"/>
        <v/>
      </c>
      <c r="K144" s="38" t="str">
        <f t="shared" si="16"/>
        <v/>
      </c>
      <c r="L144" s="38" t="str">
        <f t="shared" si="24"/>
        <v/>
      </c>
      <c r="M144" s="38" t="str">
        <f t="shared" si="25"/>
        <v/>
      </c>
      <c r="N144" s="38" t="str">
        <f t="shared" si="26"/>
        <v/>
      </c>
      <c r="O144" s="38" t="str">
        <f t="shared" si="27"/>
        <v/>
      </c>
      <c r="P144" s="38" t="str">
        <f t="shared" si="17"/>
        <v/>
      </c>
      <c r="Q144" s="38"/>
    </row>
    <row r="145" spans="1:17" x14ac:dyDescent="0.2">
      <c r="A145" t="str">
        <f t="shared" si="18"/>
        <v/>
      </c>
      <c r="B145" s="38" t="str">
        <f t="shared" si="14"/>
        <v/>
      </c>
      <c r="C145" s="38" t="str">
        <f t="shared" si="19"/>
        <v/>
      </c>
      <c r="D145" s="38" t="str">
        <f t="shared" si="20"/>
        <v/>
      </c>
      <c r="E145" s="38" t="str">
        <f t="shared" si="21"/>
        <v/>
      </c>
      <c r="F145" s="38" t="str">
        <f t="shared" si="22"/>
        <v/>
      </c>
      <c r="G145" s="38" t="str">
        <f t="shared" si="15"/>
        <v/>
      </c>
      <c r="H145" s="38"/>
      <c r="J145" t="str">
        <f t="shared" si="23"/>
        <v/>
      </c>
      <c r="K145" s="38" t="str">
        <f t="shared" si="16"/>
        <v/>
      </c>
      <c r="L145" s="38" t="str">
        <f t="shared" si="24"/>
        <v/>
      </c>
      <c r="M145" s="38" t="str">
        <f t="shared" si="25"/>
        <v/>
      </c>
      <c r="N145" s="38" t="str">
        <f t="shared" si="26"/>
        <v/>
      </c>
      <c r="O145" s="38" t="str">
        <f t="shared" si="27"/>
        <v/>
      </c>
      <c r="P145" s="38" t="str">
        <f t="shared" si="17"/>
        <v/>
      </c>
      <c r="Q145" s="38"/>
    </row>
    <row r="146" spans="1:17" x14ac:dyDescent="0.2">
      <c r="A146" t="str">
        <f t="shared" si="18"/>
        <v/>
      </c>
      <c r="B146" s="38" t="str">
        <f t="shared" si="14"/>
        <v/>
      </c>
      <c r="C146" s="38" t="str">
        <f t="shared" si="19"/>
        <v/>
      </c>
      <c r="D146" s="38" t="str">
        <f t="shared" si="20"/>
        <v/>
      </c>
      <c r="E146" s="38" t="str">
        <f t="shared" si="21"/>
        <v/>
      </c>
      <c r="F146" s="38" t="str">
        <f t="shared" si="22"/>
        <v/>
      </c>
      <c r="G146" s="38" t="str">
        <f t="shared" si="15"/>
        <v/>
      </c>
      <c r="H146" s="38"/>
      <c r="J146" t="str">
        <f t="shared" si="23"/>
        <v/>
      </c>
      <c r="K146" s="38" t="str">
        <f t="shared" si="16"/>
        <v/>
      </c>
      <c r="L146" s="38" t="str">
        <f t="shared" si="24"/>
        <v/>
      </c>
      <c r="M146" s="38" t="str">
        <f t="shared" si="25"/>
        <v/>
      </c>
      <c r="N146" s="38" t="str">
        <f t="shared" si="26"/>
        <v/>
      </c>
      <c r="O146" s="38" t="str">
        <f t="shared" si="27"/>
        <v/>
      </c>
      <c r="P146" s="38" t="str">
        <f t="shared" si="17"/>
        <v/>
      </c>
      <c r="Q146" s="38"/>
    </row>
    <row r="147" spans="1:17" x14ac:dyDescent="0.2">
      <c r="A147" t="str">
        <f t="shared" si="18"/>
        <v/>
      </c>
      <c r="B147" s="38" t="str">
        <f t="shared" si="14"/>
        <v/>
      </c>
      <c r="C147" s="38" t="str">
        <f t="shared" si="19"/>
        <v/>
      </c>
      <c r="D147" s="38" t="str">
        <f t="shared" si="20"/>
        <v/>
      </c>
      <c r="E147" s="38" t="str">
        <f t="shared" si="21"/>
        <v/>
      </c>
      <c r="F147" s="38" t="str">
        <f t="shared" si="22"/>
        <v/>
      </c>
      <c r="G147" s="38" t="str">
        <f t="shared" si="15"/>
        <v/>
      </c>
      <c r="H147" s="38"/>
      <c r="J147" t="str">
        <f t="shared" si="23"/>
        <v/>
      </c>
      <c r="K147" s="38" t="str">
        <f t="shared" si="16"/>
        <v/>
      </c>
      <c r="L147" s="38" t="str">
        <f t="shared" si="24"/>
        <v/>
      </c>
      <c r="M147" s="38" t="str">
        <f t="shared" si="25"/>
        <v/>
      </c>
      <c r="N147" s="38" t="str">
        <f t="shared" si="26"/>
        <v/>
      </c>
      <c r="O147" s="38" t="str">
        <f t="shared" si="27"/>
        <v/>
      </c>
      <c r="P147" s="38" t="str">
        <f t="shared" si="17"/>
        <v/>
      </c>
      <c r="Q147" s="38"/>
    </row>
    <row r="148" spans="1:17" x14ac:dyDescent="0.2">
      <c r="A148" t="str">
        <f t="shared" si="18"/>
        <v/>
      </c>
      <c r="B148" s="38" t="str">
        <f t="shared" si="14"/>
        <v/>
      </c>
      <c r="C148" s="38" t="str">
        <f t="shared" si="19"/>
        <v/>
      </c>
      <c r="D148" s="38" t="str">
        <f t="shared" si="20"/>
        <v/>
      </c>
      <c r="E148" s="38" t="str">
        <f t="shared" si="21"/>
        <v/>
      </c>
      <c r="F148" s="38" t="str">
        <f t="shared" si="22"/>
        <v/>
      </c>
      <c r="G148" s="38" t="str">
        <f t="shared" si="15"/>
        <v/>
      </c>
      <c r="H148" s="38"/>
      <c r="J148" t="str">
        <f t="shared" si="23"/>
        <v/>
      </c>
      <c r="K148" s="38" t="str">
        <f t="shared" si="16"/>
        <v/>
      </c>
      <c r="L148" s="38" t="str">
        <f t="shared" si="24"/>
        <v/>
      </c>
      <c r="M148" s="38" t="str">
        <f t="shared" si="25"/>
        <v/>
      </c>
      <c r="N148" s="38" t="str">
        <f t="shared" si="26"/>
        <v/>
      </c>
      <c r="O148" s="38" t="str">
        <f t="shared" si="27"/>
        <v/>
      </c>
      <c r="P148" s="38" t="str">
        <f t="shared" si="17"/>
        <v/>
      </c>
      <c r="Q148" s="38"/>
    </row>
    <row r="149" spans="1:17" x14ac:dyDescent="0.2">
      <c r="A149" t="str">
        <f t="shared" si="18"/>
        <v/>
      </c>
      <c r="B149" s="38" t="str">
        <f t="shared" si="14"/>
        <v/>
      </c>
      <c r="C149" s="38" t="str">
        <f t="shared" si="19"/>
        <v/>
      </c>
      <c r="D149" s="38" t="str">
        <f t="shared" si="20"/>
        <v/>
      </c>
      <c r="E149" s="38" t="str">
        <f t="shared" si="21"/>
        <v/>
      </c>
      <c r="F149" s="38" t="str">
        <f t="shared" si="22"/>
        <v/>
      </c>
      <c r="G149" s="38" t="str">
        <f t="shared" si="15"/>
        <v/>
      </c>
      <c r="H149" s="38"/>
      <c r="J149" t="str">
        <f t="shared" si="23"/>
        <v/>
      </c>
      <c r="K149" s="38" t="str">
        <f t="shared" si="16"/>
        <v/>
      </c>
      <c r="L149" s="38" t="str">
        <f t="shared" si="24"/>
        <v/>
      </c>
      <c r="M149" s="38" t="str">
        <f t="shared" si="25"/>
        <v/>
      </c>
      <c r="N149" s="38" t="str">
        <f t="shared" si="26"/>
        <v/>
      </c>
      <c r="O149" s="38" t="str">
        <f t="shared" si="27"/>
        <v/>
      </c>
      <c r="P149" s="38" t="str">
        <f t="shared" si="17"/>
        <v/>
      </c>
      <c r="Q149" s="38"/>
    </row>
    <row r="150" spans="1:17" x14ac:dyDescent="0.2">
      <c r="A150" t="str">
        <f t="shared" si="18"/>
        <v/>
      </c>
      <c r="B150" s="38" t="str">
        <f t="shared" si="14"/>
        <v/>
      </c>
      <c r="C150" s="38" t="str">
        <f t="shared" si="19"/>
        <v/>
      </c>
      <c r="D150" s="38" t="str">
        <f t="shared" si="20"/>
        <v/>
      </c>
      <c r="E150" s="38" t="str">
        <f t="shared" si="21"/>
        <v/>
      </c>
      <c r="F150" s="38" t="str">
        <f t="shared" si="22"/>
        <v/>
      </c>
      <c r="G150" s="38" t="str">
        <f t="shared" si="15"/>
        <v/>
      </c>
      <c r="H150" s="38"/>
      <c r="J150" t="str">
        <f t="shared" si="23"/>
        <v/>
      </c>
      <c r="K150" s="38" t="str">
        <f t="shared" si="16"/>
        <v/>
      </c>
      <c r="L150" s="38" t="str">
        <f t="shared" si="24"/>
        <v/>
      </c>
      <c r="M150" s="38" t="str">
        <f t="shared" si="25"/>
        <v/>
      </c>
      <c r="N150" s="38" t="str">
        <f t="shared" si="26"/>
        <v/>
      </c>
      <c r="O150" s="38" t="str">
        <f t="shared" si="27"/>
        <v/>
      </c>
      <c r="P150" s="38" t="str">
        <f t="shared" si="17"/>
        <v/>
      </c>
      <c r="Q150" s="38"/>
    </row>
    <row r="151" spans="1:17" x14ac:dyDescent="0.2">
      <c r="A151" t="str">
        <f t="shared" si="18"/>
        <v/>
      </c>
      <c r="B151" s="38" t="str">
        <f t="shared" ref="B151:B214" si="28">IF(A151="","",F150)</f>
        <v/>
      </c>
      <c r="C151" s="38" t="str">
        <f t="shared" si="19"/>
        <v/>
      </c>
      <c r="D151" s="38" t="str">
        <f t="shared" si="20"/>
        <v/>
      </c>
      <c r="E151" s="38" t="str">
        <f t="shared" si="21"/>
        <v/>
      </c>
      <c r="F151" s="38" t="str">
        <f t="shared" si="22"/>
        <v/>
      </c>
      <c r="G151" s="38" t="str">
        <f t="shared" ref="G151:G214" si="29">IF(A151="","", (G150+C151))</f>
        <v/>
      </c>
      <c r="H151" s="38"/>
      <c r="J151" t="str">
        <f t="shared" si="23"/>
        <v/>
      </c>
      <c r="K151" s="38" t="str">
        <f t="shared" ref="K151:K214" si="30">IF(J151="","",O150)</f>
        <v/>
      </c>
      <c r="L151" s="38" t="str">
        <f t="shared" si="24"/>
        <v/>
      </c>
      <c r="M151" s="38" t="str">
        <f t="shared" si="25"/>
        <v/>
      </c>
      <c r="N151" s="38" t="str">
        <f t="shared" si="26"/>
        <v/>
      </c>
      <c r="O151" s="38" t="str">
        <f t="shared" si="27"/>
        <v/>
      </c>
      <c r="P151" s="38" t="str">
        <f t="shared" ref="P151:P214" si="31">IF(J151="","", (P150+L151))</f>
        <v/>
      </c>
      <c r="Q151" s="38"/>
    </row>
    <row r="152" spans="1:17" x14ac:dyDescent="0.2">
      <c r="A152" t="str">
        <f t="shared" ref="A152:A215" si="32">IF(A151&lt;($B$7*$B$8),A151+1,"")</f>
        <v/>
      </c>
      <c r="B152" s="38" t="str">
        <f t="shared" si="28"/>
        <v/>
      </c>
      <c r="C152" s="38" t="str">
        <f t="shared" ref="C152:C215" si="33">IF(A152="","",(B152*$B$6))</f>
        <v/>
      </c>
      <c r="D152" s="38" t="str">
        <f t="shared" ref="D152:D215" si="34">IF(A152="","", $B$3)</f>
        <v/>
      </c>
      <c r="E152" s="38" t="str">
        <f t="shared" ref="E152:E215" si="35">IF(D152="","",(D152-C152))</f>
        <v/>
      </c>
      <c r="F152" s="38" t="str">
        <f t="shared" ref="F152:F215" si="36">IF(A152="","", B152+C152+D152)</f>
        <v/>
      </c>
      <c r="G152" s="38" t="str">
        <f t="shared" si="29"/>
        <v/>
      </c>
      <c r="H152" s="38"/>
      <c r="J152" t="str">
        <f t="shared" ref="J152:J215" si="37">IF(J151&lt;($B$7*$B$8),J151+1,"")</f>
        <v/>
      </c>
      <c r="K152" s="38" t="str">
        <f t="shared" si="30"/>
        <v/>
      </c>
      <c r="L152" s="38" t="str">
        <f t="shared" ref="L152:L215" si="38">IF(J152="","",((K152 + M152)*$B$6))</f>
        <v/>
      </c>
      <c r="M152" s="38" t="str">
        <f t="shared" ref="M152:M215" si="39">IF(J152="","", $B$3)</f>
        <v/>
      </c>
      <c r="N152" s="38" t="str">
        <f t="shared" ref="N152:N215" si="40">IF(M152="","",(M152-L152))</f>
        <v/>
      </c>
      <c r="O152" s="38" t="str">
        <f t="shared" ref="O152:O215" si="41">IF(J152="","", K152+L152+M152)</f>
        <v/>
      </c>
      <c r="P152" s="38" t="str">
        <f t="shared" si="31"/>
        <v/>
      </c>
      <c r="Q152" s="38"/>
    </row>
    <row r="153" spans="1:17" x14ac:dyDescent="0.2">
      <c r="A153" t="str">
        <f t="shared" si="32"/>
        <v/>
      </c>
      <c r="B153" s="38" t="str">
        <f t="shared" si="28"/>
        <v/>
      </c>
      <c r="C153" s="38" t="str">
        <f t="shared" si="33"/>
        <v/>
      </c>
      <c r="D153" s="38" t="str">
        <f t="shared" si="34"/>
        <v/>
      </c>
      <c r="E153" s="38" t="str">
        <f t="shared" si="35"/>
        <v/>
      </c>
      <c r="F153" s="38" t="str">
        <f t="shared" si="36"/>
        <v/>
      </c>
      <c r="G153" s="38" t="str">
        <f t="shared" si="29"/>
        <v/>
      </c>
      <c r="H153" s="38"/>
      <c r="J153" t="str">
        <f t="shared" si="37"/>
        <v/>
      </c>
      <c r="K153" s="38" t="str">
        <f t="shared" si="30"/>
        <v/>
      </c>
      <c r="L153" s="38" t="str">
        <f t="shared" si="38"/>
        <v/>
      </c>
      <c r="M153" s="38" t="str">
        <f t="shared" si="39"/>
        <v/>
      </c>
      <c r="N153" s="38" t="str">
        <f t="shared" si="40"/>
        <v/>
      </c>
      <c r="O153" s="38" t="str">
        <f t="shared" si="41"/>
        <v/>
      </c>
      <c r="P153" s="38" t="str">
        <f t="shared" si="31"/>
        <v/>
      </c>
      <c r="Q153" s="38"/>
    </row>
    <row r="154" spans="1:17" x14ac:dyDescent="0.2">
      <c r="A154" t="str">
        <f t="shared" si="32"/>
        <v/>
      </c>
      <c r="B154" s="38" t="str">
        <f t="shared" si="28"/>
        <v/>
      </c>
      <c r="C154" s="38" t="str">
        <f t="shared" si="33"/>
        <v/>
      </c>
      <c r="D154" s="38" t="str">
        <f t="shared" si="34"/>
        <v/>
      </c>
      <c r="E154" s="38" t="str">
        <f t="shared" si="35"/>
        <v/>
      </c>
      <c r="F154" s="38" t="str">
        <f t="shared" si="36"/>
        <v/>
      </c>
      <c r="G154" s="38" t="str">
        <f t="shared" si="29"/>
        <v/>
      </c>
      <c r="H154" s="38"/>
      <c r="J154" t="str">
        <f t="shared" si="37"/>
        <v/>
      </c>
      <c r="K154" s="38" t="str">
        <f t="shared" si="30"/>
        <v/>
      </c>
      <c r="L154" s="38" t="str">
        <f t="shared" si="38"/>
        <v/>
      </c>
      <c r="M154" s="38" t="str">
        <f t="shared" si="39"/>
        <v/>
      </c>
      <c r="N154" s="38" t="str">
        <f t="shared" si="40"/>
        <v/>
      </c>
      <c r="O154" s="38" t="str">
        <f t="shared" si="41"/>
        <v/>
      </c>
      <c r="P154" s="38" t="str">
        <f t="shared" si="31"/>
        <v/>
      </c>
      <c r="Q154" s="38"/>
    </row>
    <row r="155" spans="1:17" x14ac:dyDescent="0.2">
      <c r="A155" t="str">
        <f t="shared" si="32"/>
        <v/>
      </c>
      <c r="B155" s="38" t="str">
        <f t="shared" si="28"/>
        <v/>
      </c>
      <c r="C155" s="38" t="str">
        <f t="shared" si="33"/>
        <v/>
      </c>
      <c r="D155" s="38" t="str">
        <f t="shared" si="34"/>
        <v/>
      </c>
      <c r="E155" s="38" t="str">
        <f t="shared" si="35"/>
        <v/>
      </c>
      <c r="F155" s="38" t="str">
        <f t="shared" si="36"/>
        <v/>
      </c>
      <c r="G155" s="38" t="str">
        <f t="shared" si="29"/>
        <v/>
      </c>
      <c r="H155" s="38"/>
      <c r="J155" t="str">
        <f t="shared" si="37"/>
        <v/>
      </c>
      <c r="K155" s="38" t="str">
        <f t="shared" si="30"/>
        <v/>
      </c>
      <c r="L155" s="38" t="str">
        <f t="shared" si="38"/>
        <v/>
      </c>
      <c r="M155" s="38" t="str">
        <f t="shared" si="39"/>
        <v/>
      </c>
      <c r="N155" s="38" t="str">
        <f t="shared" si="40"/>
        <v/>
      </c>
      <c r="O155" s="38" t="str">
        <f t="shared" si="41"/>
        <v/>
      </c>
      <c r="P155" s="38" t="str">
        <f t="shared" si="31"/>
        <v/>
      </c>
      <c r="Q155" s="38"/>
    </row>
    <row r="156" spans="1:17" x14ac:dyDescent="0.2">
      <c r="A156" t="str">
        <f t="shared" si="32"/>
        <v/>
      </c>
      <c r="B156" s="38" t="str">
        <f t="shared" si="28"/>
        <v/>
      </c>
      <c r="C156" s="38" t="str">
        <f t="shared" si="33"/>
        <v/>
      </c>
      <c r="D156" s="38" t="str">
        <f t="shared" si="34"/>
        <v/>
      </c>
      <c r="E156" s="38" t="str">
        <f t="shared" si="35"/>
        <v/>
      </c>
      <c r="F156" s="38" t="str">
        <f t="shared" si="36"/>
        <v/>
      </c>
      <c r="G156" s="38" t="str">
        <f t="shared" si="29"/>
        <v/>
      </c>
      <c r="H156" s="38"/>
      <c r="J156" t="str">
        <f t="shared" si="37"/>
        <v/>
      </c>
      <c r="K156" s="38" t="str">
        <f t="shared" si="30"/>
        <v/>
      </c>
      <c r="L156" s="38" t="str">
        <f t="shared" si="38"/>
        <v/>
      </c>
      <c r="M156" s="38" t="str">
        <f t="shared" si="39"/>
        <v/>
      </c>
      <c r="N156" s="38" t="str">
        <f t="shared" si="40"/>
        <v/>
      </c>
      <c r="O156" s="38" t="str">
        <f t="shared" si="41"/>
        <v/>
      </c>
      <c r="P156" s="38" t="str">
        <f t="shared" si="31"/>
        <v/>
      </c>
      <c r="Q156" s="38"/>
    </row>
    <row r="157" spans="1:17" x14ac:dyDescent="0.2">
      <c r="A157" t="str">
        <f t="shared" si="32"/>
        <v/>
      </c>
      <c r="B157" s="38" t="str">
        <f t="shared" si="28"/>
        <v/>
      </c>
      <c r="C157" s="38" t="str">
        <f t="shared" si="33"/>
        <v/>
      </c>
      <c r="D157" s="38" t="str">
        <f t="shared" si="34"/>
        <v/>
      </c>
      <c r="E157" s="38" t="str">
        <f t="shared" si="35"/>
        <v/>
      </c>
      <c r="F157" s="38" t="str">
        <f t="shared" si="36"/>
        <v/>
      </c>
      <c r="G157" s="38" t="str">
        <f t="shared" si="29"/>
        <v/>
      </c>
      <c r="H157" s="38"/>
      <c r="J157" t="str">
        <f t="shared" si="37"/>
        <v/>
      </c>
      <c r="K157" s="38" t="str">
        <f t="shared" si="30"/>
        <v/>
      </c>
      <c r="L157" s="38" t="str">
        <f t="shared" si="38"/>
        <v/>
      </c>
      <c r="M157" s="38" t="str">
        <f t="shared" si="39"/>
        <v/>
      </c>
      <c r="N157" s="38" t="str">
        <f t="shared" si="40"/>
        <v/>
      </c>
      <c r="O157" s="38" t="str">
        <f t="shared" si="41"/>
        <v/>
      </c>
      <c r="P157" s="38" t="str">
        <f t="shared" si="31"/>
        <v/>
      </c>
      <c r="Q157" s="38"/>
    </row>
    <row r="158" spans="1:17" x14ac:dyDescent="0.2">
      <c r="A158" t="str">
        <f t="shared" si="32"/>
        <v/>
      </c>
      <c r="B158" s="38" t="str">
        <f t="shared" si="28"/>
        <v/>
      </c>
      <c r="C158" s="38" t="str">
        <f t="shared" si="33"/>
        <v/>
      </c>
      <c r="D158" s="38" t="str">
        <f t="shared" si="34"/>
        <v/>
      </c>
      <c r="E158" s="38" t="str">
        <f t="shared" si="35"/>
        <v/>
      </c>
      <c r="F158" s="38" t="str">
        <f t="shared" si="36"/>
        <v/>
      </c>
      <c r="G158" s="38" t="str">
        <f t="shared" si="29"/>
        <v/>
      </c>
      <c r="H158" s="38"/>
      <c r="J158" t="str">
        <f t="shared" si="37"/>
        <v/>
      </c>
      <c r="K158" s="38" t="str">
        <f t="shared" si="30"/>
        <v/>
      </c>
      <c r="L158" s="38" t="str">
        <f t="shared" si="38"/>
        <v/>
      </c>
      <c r="M158" s="38" t="str">
        <f t="shared" si="39"/>
        <v/>
      </c>
      <c r="N158" s="38" t="str">
        <f t="shared" si="40"/>
        <v/>
      </c>
      <c r="O158" s="38" t="str">
        <f t="shared" si="41"/>
        <v/>
      </c>
      <c r="P158" s="38" t="str">
        <f t="shared" si="31"/>
        <v/>
      </c>
      <c r="Q158" s="38"/>
    </row>
    <row r="159" spans="1:17" x14ac:dyDescent="0.2">
      <c r="A159" t="str">
        <f t="shared" si="32"/>
        <v/>
      </c>
      <c r="B159" s="38" t="str">
        <f t="shared" si="28"/>
        <v/>
      </c>
      <c r="C159" s="38" t="str">
        <f t="shared" si="33"/>
        <v/>
      </c>
      <c r="D159" s="38" t="str">
        <f t="shared" si="34"/>
        <v/>
      </c>
      <c r="E159" s="38" t="str">
        <f t="shared" si="35"/>
        <v/>
      </c>
      <c r="F159" s="38" t="str">
        <f t="shared" si="36"/>
        <v/>
      </c>
      <c r="G159" s="38" t="str">
        <f t="shared" si="29"/>
        <v/>
      </c>
      <c r="H159" s="38"/>
      <c r="J159" t="str">
        <f t="shared" si="37"/>
        <v/>
      </c>
      <c r="K159" s="38" t="str">
        <f t="shared" si="30"/>
        <v/>
      </c>
      <c r="L159" s="38" t="str">
        <f t="shared" si="38"/>
        <v/>
      </c>
      <c r="M159" s="38" t="str">
        <f t="shared" si="39"/>
        <v/>
      </c>
      <c r="N159" s="38" t="str">
        <f t="shared" si="40"/>
        <v/>
      </c>
      <c r="O159" s="38" t="str">
        <f t="shared" si="41"/>
        <v/>
      </c>
      <c r="P159" s="38" t="str">
        <f t="shared" si="31"/>
        <v/>
      </c>
      <c r="Q159" s="38"/>
    </row>
    <row r="160" spans="1:17" x14ac:dyDescent="0.2">
      <c r="A160" t="str">
        <f t="shared" si="32"/>
        <v/>
      </c>
      <c r="B160" s="38" t="str">
        <f t="shared" si="28"/>
        <v/>
      </c>
      <c r="C160" s="38" t="str">
        <f t="shared" si="33"/>
        <v/>
      </c>
      <c r="D160" s="38" t="str">
        <f t="shared" si="34"/>
        <v/>
      </c>
      <c r="E160" s="38" t="str">
        <f t="shared" si="35"/>
        <v/>
      </c>
      <c r="F160" s="38" t="str">
        <f t="shared" si="36"/>
        <v/>
      </c>
      <c r="G160" s="38" t="str">
        <f t="shared" si="29"/>
        <v/>
      </c>
      <c r="H160" s="38"/>
      <c r="J160" t="str">
        <f t="shared" si="37"/>
        <v/>
      </c>
      <c r="K160" s="38" t="str">
        <f t="shared" si="30"/>
        <v/>
      </c>
      <c r="L160" s="38" t="str">
        <f t="shared" si="38"/>
        <v/>
      </c>
      <c r="M160" s="38" t="str">
        <f t="shared" si="39"/>
        <v/>
      </c>
      <c r="N160" s="38" t="str">
        <f t="shared" si="40"/>
        <v/>
      </c>
      <c r="O160" s="38" t="str">
        <f t="shared" si="41"/>
        <v/>
      </c>
      <c r="P160" s="38" t="str">
        <f t="shared" si="31"/>
        <v/>
      </c>
      <c r="Q160" s="38"/>
    </row>
    <row r="161" spans="1:17" x14ac:dyDescent="0.2">
      <c r="A161" t="str">
        <f t="shared" si="32"/>
        <v/>
      </c>
      <c r="B161" s="38" t="str">
        <f t="shared" si="28"/>
        <v/>
      </c>
      <c r="C161" s="38" t="str">
        <f t="shared" si="33"/>
        <v/>
      </c>
      <c r="D161" s="38" t="str">
        <f t="shared" si="34"/>
        <v/>
      </c>
      <c r="E161" s="38" t="str">
        <f t="shared" si="35"/>
        <v/>
      </c>
      <c r="F161" s="38" t="str">
        <f t="shared" si="36"/>
        <v/>
      </c>
      <c r="G161" s="38" t="str">
        <f t="shared" si="29"/>
        <v/>
      </c>
      <c r="H161" s="38"/>
      <c r="J161" t="str">
        <f t="shared" si="37"/>
        <v/>
      </c>
      <c r="K161" s="38" t="str">
        <f t="shared" si="30"/>
        <v/>
      </c>
      <c r="L161" s="38" t="str">
        <f t="shared" si="38"/>
        <v/>
      </c>
      <c r="M161" s="38" t="str">
        <f t="shared" si="39"/>
        <v/>
      </c>
      <c r="N161" s="38" t="str">
        <f t="shared" si="40"/>
        <v/>
      </c>
      <c r="O161" s="38" t="str">
        <f t="shared" si="41"/>
        <v/>
      </c>
      <c r="P161" s="38" t="str">
        <f t="shared" si="31"/>
        <v/>
      </c>
      <c r="Q161" s="38"/>
    </row>
    <row r="162" spans="1:17" x14ac:dyDescent="0.2">
      <c r="A162" t="str">
        <f t="shared" si="32"/>
        <v/>
      </c>
      <c r="B162" s="38" t="str">
        <f t="shared" si="28"/>
        <v/>
      </c>
      <c r="C162" s="38" t="str">
        <f t="shared" si="33"/>
        <v/>
      </c>
      <c r="D162" s="38" t="str">
        <f t="shared" si="34"/>
        <v/>
      </c>
      <c r="E162" s="38" t="str">
        <f t="shared" si="35"/>
        <v/>
      </c>
      <c r="F162" s="38" t="str">
        <f t="shared" si="36"/>
        <v/>
      </c>
      <c r="G162" s="38" t="str">
        <f t="shared" si="29"/>
        <v/>
      </c>
      <c r="H162" s="38"/>
      <c r="J162" t="str">
        <f t="shared" si="37"/>
        <v/>
      </c>
      <c r="K162" s="38" t="str">
        <f t="shared" si="30"/>
        <v/>
      </c>
      <c r="L162" s="38" t="str">
        <f t="shared" si="38"/>
        <v/>
      </c>
      <c r="M162" s="38" t="str">
        <f t="shared" si="39"/>
        <v/>
      </c>
      <c r="N162" s="38" t="str">
        <f t="shared" si="40"/>
        <v/>
      </c>
      <c r="O162" s="38" t="str">
        <f t="shared" si="41"/>
        <v/>
      </c>
      <c r="P162" s="38" t="str">
        <f t="shared" si="31"/>
        <v/>
      </c>
      <c r="Q162" s="38"/>
    </row>
    <row r="163" spans="1:17" x14ac:dyDescent="0.2">
      <c r="A163" t="str">
        <f t="shared" si="32"/>
        <v/>
      </c>
      <c r="B163" s="38" t="str">
        <f t="shared" si="28"/>
        <v/>
      </c>
      <c r="C163" s="38" t="str">
        <f t="shared" si="33"/>
        <v/>
      </c>
      <c r="D163" s="38" t="str">
        <f t="shared" si="34"/>
        <v/>
      </c>
      <c r="E163" s="38" t="str">
        <f t="shared" si="35"/>
        <v/>
      </c>
      <c r="F163" s="38" t="str">
        <f t="shared" si="36"/>
        <v/>
      </c>
      <c r="G163" s="38" t="str">
        <f t="shared" si="29"/>
        <v/>
      </c>
      <c r="H163" s="38"/>
      <c r="J163" t="str">
        <f t="shared" si="37"/>
        <v/>
      </c>
      <c r="K163" s="38" t="str">
        <f t="shared" si="30"/>
        <v/>
      </c>
      <c r="L163" s="38" t="str">
        <f t="shared" si="38"/>
        <v/>
      </c>
      <c r="M163" s="38" t="str">
        <f t="shared" si="39"/>
        <v/>
      </c>
      <c r="N163" s="38" t="str">
        <f t="shared" si="40"/>
        <v/>
      </c>
      <c r="O163" s="38" t="str">
        <f t="shared" si="41"/>
        <v/>
      </c>
      <c r="P163" s="38" t="str">
        <f t="shared" si="31"/>
        <v/>
      </c>
      <c r="Q163" s="38"/>
    </row>
    <row r="164" spans="1:17" x14ac:dyDescent="0.2">
      <c r="A164" t="str">
        <f t="shared" si="32"/>
        <v/>
      </c>
      <c r="B164" s="38" t="str">
        <f t="shared" si="28"/>
        <v/>
      </c>
      <c r="C164" s="38" t="str">
        <f t="shared" si="33"/>
        <v/>
      </c>
      <c r="D164" s="38" t="str">
        <f t="shared" si="34"/>
        <v/>
      </c>
      <c r="E164" s="38" t="str">
        <f t="shared" si="35"/>
        <v/>
      </c>
      <c r="F164" s="38" t="str">
        <f t="shared" si="36"/>
        <v/>
      </c>
      <c r="G164" s="38" t="str">
        <f t="shared" si="29"/>
        <v/>
      </c>
      <c r="H164" s="38"/>
      <c r="J164" t="str">
        <f t="shared" si="37"/>
        <v/>
      </c>
      <c r="K164" s="38" t="str">
        <f t="shared" si="30"/>
        <v/>
      </c>
      <c r="L164" s="38" t="str">
        <f t="shared" si="38"/>
        <v/>
      </c>
      <c r="M164" s="38" t="str">
        <f t="shared" si="39"/>
        <v/>
      </c>
      <c r="N164" s="38" t="str">
        <f t="shared" si="40"/>
        <v/>
      </c>
      <c r="O164" s="38" t="str">
        <f t="shared" si="41"/>
        <v/>
      </c>
      <c r="P164" s="38" t="str">
        <f t="shared" si="31"/>
        <v/>
      </c>
      <c r="Q164" s="38"/>
    </row>
    <row r="165" spans="1:17" x14ac:dyDescent="0.2">
      <c r="A165" t="str">
        <f t="shared" si="32"/>
        <v/>
      </c>
      <c r="B165" s="38" t="str">
        <f t="shared" si="28"/>
        <v/>
      </c>
      <c r="C165" s="38" t="str">
        <f t="shared" si="33"/>
        <v/>
      </c>
      <c r="D165" s="38" t="str">
        <f t="shared" si="34"/>
        <v/>
      </c>
      <c r="E165" s="38" t="str">
        <f t="shared" si="35"/>
        <v/>
      </c>
      <c r="F165" s="38" t="str">
        <f t="shared" si="36"/>
        <v/>
      </c>
      <c r="G165" s="38" t="str">
        <f t="shared" si="29"/>
        <v/>
      </c>
      <c r="H165" s="38"/>
      <c r="J165" t="str">
        <f t="shared" si="37"/>
        <v/>
      </c>
      <c r="K165" s="38" t="str">
        <f t="shared" si="30"/>
        <v/>
      </c>
      <c r="L165" s="38" t="str">
        <f t="shared" si="38"/>
        <v/>
      </c>
      <c r="M165" s="38" t="str">
        <f t="shared" si="39"/>
        <v/>
      </c>
      <c r="N165" s="38" t="str">
        <f t="shared" si="40"/>
        <v/>
      </c>
      <c r="O165" s="38" t="str">
        <f t="shared" si="41"/>
        <v/>
      </c>
      <c r="P165" s="38" t="str">
        <f t="shared" si="31"/>
        <v/>
      </c>
      <c r="Q165" s="38"/>
    </row>
    <row r="166" spans="1:17" x14ac:dyDescent="0.2">
      <c r="A166" t="str">
        <f t="shared" si="32"/>
        <v/>
      </c>
      <c r="B166" s="38" t="str">
        <f t="shared" si="28"/>
        <v/>
      </c>
      <c r="C166" s="38" t="str">
        <f t="shared" si="33"/>
        <v/>
      </c>
      <c r="D166" s="38" t="str">
        <f t="shared" si="34"/>
        <v/>
      </c>
      <c r="E166" s="38" t="str">
        <f t="shared" si="35"/>
        <v/>
      </c>
      <c r="F166" s="38" t="str">
        <f t="shared" si="36"/>
        <v/>
      </c>
      <c r="G166" s="38" t="str">
        <f t="shared" si="29"/>
        <v/>
      </c>
      <c r="H166" s="38"/>
      <c r="J166" t="str">
        <f t="shared" si="37"/>
        <v/>
      </c>
      <c r="K166" s="38" t="str">
        <f t="shared" si="30"/>
        <v/>
      </c>
      <c r="L166" s="38" t="str">
        <f t="shared" si="38"/>
        <v/>
      </c>
      <c r="M166" s="38" t="str">
        <f t="shared" si="39"/>
        <v/>
      </c>
      <c r="N166" s="38" t="str">
        <f t="shared" si="40"/>
        <v/>
      </c>
      <c r="O166" s="38" t="str">
        <f t="shared" si="41"/>
        <v/>
      </c>
      <c r="P166" s="38" t="str">
        <f t="shared" si="31"/>
        <v/>
      </c>
      <c r="Q166" s="38"/>
    </row>
    <row r="167" spans="1:17" x14ac:dyDescent="0.2">
      <c r="A167" t="str">
        <f t="shared" si="32"/>
        <v/>
      </c>
      <c r="B167" s="38" t="str">
        <f t="shared" si="28"/>
        <v/>
      </c>
      <c r="C167" s="38" t="str">
        <f t="shared" si="33"/>
        <v/>
      </c>
      <c r="D167" s="38" t="str">
        <f t="shared" si="34"/>
        <v/>
      </c>
      <c r="E167" s="38" t="str">
        <f t="shared" si="35"/>
        <v/>
      </c>
      <c r="F167" s="38" t="str">
        <f t="shared" si="36"/>
        <v/>
      </c>
      <c r="G167" s="38" t="str">
        <f t="shared" si="29"/>
        <v/>
      </c>
      <c r="H167" s="38"/>
      <c r="J167" t="str">
        <f t="shared" si="37"/>
        <v/>
      </c>
      <c r="K167" s="38" t="str">
        <f t="shared" si="30"/>
        <v/>
      </c>
      <c r="L167" s="38" t="str">
        <f t="shared" si="38"/>
        <v/>
      </c>
      <c r="M167" s="38" t="str">
        <f t="shared" si="39"/>
        <v/>
      </c>
      <c r="N167" s="38" t="str">
        <f t="shared" si="40"/>
        <v/>
      </c>
      <c r="O167" s="38" t="str">
        <f t="shared" si="41"/>
        <v/>
      </c>
      <c r="P167" s="38" t="str">
        <f t="shared" si="31"/>
        <v/>
      </c>
      <c r="Q167" s="38"/>
    </row>
    <row r="168" spans="1:17" x14ac:dyDescent="0.2">
      <c r="A168" t="str">
        <f t="shared" si="32"/>
        <v/>
      </c>
      <c r="B168" s="38" t="str">
        <f t="shared" si="28"/>
        <v/>
      </c>
      <c r="C168" s="38" t="str">
        <f t="shared" si="33"/>
        <v/>
      </c>
      <c r="D168" s="38" t="str">
        <f t="shared" si="34"/>
        <v/>
      </c>
      <c r="E168" s="38" t="str">
        <f t="shared" si="35"/>
        <v/>
      </c>
      <c r="F168" s="38" t="str">
        <f t="shared" si="36"/>
        <v/>
      </c>
      <c r="G168" s="38" t="str">
        <f t="shared" si="29"/>
        <v/>
      </c>
      <c r="H168" s="38"/>
      <c r="J168" t="str">
        <f t="shared" si="37"/>
        <v/>
      </c>
      <c r="K168" s="38" t="str">
        <f t="shared" si="30"/>
        <v/>
      </c>
      <c r="L168" s="38" t="str">
        <f t="shared" si="38"/>
        <v/>
      </c>
      <c r="M168" s="38" t="str">
        <f t="shared" si="39"/>
        <v/>
      </c>
      <c r="N168" s="38" t="str">
        <f t="shared" si="40"/>
        <v/>
      </c>
      <c r="O168" s="38" t="str">
        <f t="shared" si="41"/>
        <v/>
      </c>
      <c r="P168" s="38" t="str">
        <f t="shared" si="31"/>
        <v/>
      </c>
      <c r="Q168" s="38"/>
    </row>
    <row r="169" spans="1:17" x14ac:dyDescent="0.2">
      <c r="A169" t="str">
        <f t="shared" si="32"/>
        <v/>
      </c>
      <c r="B169" s="38" t="str">
        <f t="shared" si="28"/>
        <v/>
      </c>
      <c r="C169" s="38" t="str">
        <f t="shared" si="33"/>
        <v/>
      </c>
      <c r="D169" s="38" t="str">
        <f t="shared" si="34"/>
        <v/>
      </c>
      <c r="E169" s="38" t="str">
        <f t="shared" si="35"/>
        <v/>
      </c>
      <c r="F169" s="38" t="str">
        <f t="shared" si="36"/>
        <v/>
      </c>
      <c r="G169" s="38" t="str">
        <f t="shared" si="29"/>
        <v/>
      </c>
      <c r="H169" s="38"/>
      <c r="J169" t="str">
        <f t="shared" si="37"/>
        <v/>
      </c>
      <c r="K169" s="38" t="str">
        <f t="shared" si="30"/>
        <v/>
      </c>
      <c r="L169" s="38" t="str">
        <f t="shared" si="38"/>
        <v/>
      </c>
      <c r="M169" s="38" t="str">
        <f t="shared" si="39"/>
        <v/>
      </c>
      <c r="N169" s="38" t="str">
        <f t="shared" si="40"/>
        <v/>
      </c>
      <c r="O169" s="38" t="str">
        <f t="shared" si="41"/>
        <v/>
      </c>
      <c r="P169" s="38" t="str">
        <f t="shared" si="31"/>
        <v/>
      </c>
      <c r="Q169" s="38"/>
    </row>
    <row r="170" spans="1:17" x14ac:dyDescent="0.2">
      <c r="A170" t="str">
        <f t="shared" si="32"/>
        <v/>
      </c>
      <c r="B170" s="38" t="str">
        <f t="shared" si="28"/>
        <v/>
      </c>
      <c r="C170" s="38" t="str">
        <f t="shared" si="33"/>
        <v/>
      </c>
      <c r="D170" s="38" t="str">
        <f t="shared" si="34"/>
        <v/>
      </c>
      <c r="E170" s="38" t="str">
        <f t="shared" si="35"/>
        <v/>
      </c>
      <c r="F170" s="38" t="str">
        <f t="shared" si="36"/>
        <v/>
      </c>
      <c r="G170" s="38" t="str">
        <f t="shared" si="29"/>
        <v/>
      </c>
      <c r="H170" s="38"/>
      <c r="J170" t="str">
        <f t="shared" si="37"/>
        <v/>
      </c>
      <c r="K170" s="38" t="str">
        <f t="shared" si="30"/>
        <v/>
      </c>
      <c r="L170" s="38" t="str">
        <f t="shared" si="38"/>
        <v/>
      </c>
      <c r="M170" s="38" t="str">
        <f t="shared" si="39"/>
        <v/>
      </c>
      <c r="N170" s="38" t="str">
        <f t="shared" si="40"/>
        <v/>
      </c>
      <c r="O170" s="38" t="str">
        <f t="shared" si="41"/>
        <v/>
      </c>
      <c r="P170" s="38" t="str">
        <f t="shared" si="31"/>
        <v/>
      </c>
      <c r="Q170" s="38"/>
    </row>
    <row r="171" spans="1:17" x14ac:dyDescent="0.2">
      <c r="A171" t="str">
        <f t="shared" si="32"/>
        <v/>
      </c>
      <c r="B171" s="38" t="str">
        <f t="shared" si="28"/>
        <v/>
      </c>
      <c r="C171" s="38" t="str">
        <f t="shared" si="33"/>
        <v/>
      </c>
      <c r="D171" s="38" t="str">
        <f t="shared" si="34"/>
        <v/>
      </c>
      <c r="E171" s="38" t="str">
        <f t="shared" si="35"/>
        <v/>
      </c>
      <c r="F171" s="38" t="str">
        <f t="shared" si="36"/>
        <v/>
      </c>
      <c r="G171" s="38" t="str">
        <f t="shared" si="29"/>
        <v/>
      </c>
      <c r="H171" s="38"/>
      <c r="J171" t="str">
        <f t="shared" si="37"/>
        <v/>
      </c>
      <c r="K171" s="38" t="str">
        <f t="shared" si="30"/>
        <v/>
      </c>
      <c r="L171" s="38" t="str">
        <f t="shared" si="38"/>
        <v/>
      </c>
      <c r="M171" s="38" t="str">
        <f t="shared" si="39"/>
        <v/>
      </c>
      <c r="N171" s="38" t="str">
        <f t="shared" si="40"/>
        <v/>
      </c>
      <c r="O171" s="38" t="str">
        <f t="shared" si="41"/>
        <v/>
      </c>
      <c r="P171" s="38" t="str">
        <f t="shared" si="31"/>
        <v/>
      </c>
      <c r="Q171" s="38"/>
    </row>
    <row r="172" spans="1:17" x14ac:dyDescent="0.2">
      <c r="A172" t="str">
        <f t="shared" si="32"/>
        <v/>
      </c>
      <c r="B172" s="38" t="str">
        <f t="shared" si="28"/>
        <v/>
      </c>
      <c r="C172" s="38" t="str">
        <f t="shared" si="33"/>
        <v/>
      </c>
      <c r="D172" s="38" t="str">
        <f t="shared" si="34"/>
        <v/>
      </c>
      <c r="E172" s="38" t="str">
        <f t="shared" si="35"/>
        <v/>
      </c>
      <c r="F172" s="38" t="str">
        <f t="shared" si="36"/>
        <v/>
      </c>
      <c r="G172" s="38" t="str">
        <f t="shared" si="29"/>
        <v/>
      </c>
      <c r="H172" s="38"/>
      <c r="J172" t="str">
        <f t="shared" si="37"/>
        <v/>
      </c>
      <c r="K172" s="38" t="str">
        <f t="shared" si="30"/>
        <v/>
      </c>
      <c r="L172" s="38" t="str">
        <f t="shared" si="38"/>
        <v/>
      </c>
      <c r="M172" s="38" t="str">
        <f t="shared" si="39"/>
        <v/>
      </c>
      <c r="N172" s="38" t="str">
        <f t="shared" si="40"/>
        <v/>
      </c>
      <c r="O172" s="38" t="str">
        <f t="shared" si="41"/>
        <v/>
      </c>
      <c r="P172" s="38" t="str">
        <f t="shared" si="31"/>
        <v/>
      </c>
      <c r="Q172" s="38"/>
    </row>
    <row r="173" spans="1:17" x14ac:dyDescent="0.2">
      <c r="A173" t="str">
        <f t="shared" si="32"/>
        <v/>
      </c>
      <c r="B173" s="38" t="str">
        <f t="shared" si="28"/>
        <v/>
      </c>
      <c r="C173" s="38" t="str">
        <f t="shared" si="33"/>
        <v/>
      </c>
      <c r="D173" s="38" t="str">
        <f t="shared" si="34"/>
        <v/>
      </c>
      <c r="E173" s="38" t="str">
        <f t="shared" si="35"/>
        <v/>
      </c>
      <c r="F173" s="38" t="str">
        <f t="shared" si="36"/>
        <v/>
      </c>
      <c r="G173" s="38" t="str">
        <f t="shared" si="29"/>
        <v/>
      </c>
      <c r="H173" s="38"/>
      <c r="J173" t="str">
        <f t="shared" si="37"/>
        <v/>
      </c>
      <c r="K173" s="38" t="str">
        <f t="shared" si="30"/>
        <v/>
      </c>
      <c r="L173" s="38" t="str">
        <f t="shared" si="38"/>
        <v/>
      </c>
      <c r="M173" s="38" t="str">
        <f t="shared" si="39"/>
        <v/>
      </c>
      <c r="N173" s="38" t="str">
        <f t="shared" si="40"/>
        <v/>
      </c>
      <c r="O173" s="38" t="str">
        <f t="shared" si="41"/>
        <v/>
      </c>
      <c r="P173" s="38" t="str">
        <f t="shared" si="31"/>
        <v/>
      </c>
      <c r="Q173" s="38"/>
    </row>
    <row r="174" spans="1:17" x14ac:dyDescent="0.2">
      <c r="A174" t="str">
        <f t="shared" si="32"/>
        <v/>
      </c>
      <c r="B174" s="38" t="str">
        <f t="shared" si="28"/>
        <v/>
      </c>
      <c r="C174" s="38" t="str">
        <f t="shared" si="33"/>
        <v/>
      </c>
      <c r="D174" s="38" t="str">
        <f t="shared" si="34"/>
        <v/>
      </c>
      <c r="E174" s="38" t="str">
        <f t="shared" si="35"/>
        <v/>
      </c>
      <c r="F174" s="38" t="str">
        <f t="shared" si="36"/>
        <v/>
      </c>
      <c r="G174" s="38" t="str">
        <f t="shared" si="29"/>
        <v/>
      </c>
      <c r="H174" s="38"/>
      <c r="J174" t="str">
        <f t="shared" si="37"/>
        <v/>
      </c>
      <c r="K174" s="38" t="str">
        <f t="shared" si="30"/>
        <v/>
      </c>
      <c r="L174" s="38" t="str">
        <f t="shared" si="38"/>
        <v/>
      </c>
      <c r="M174" s="38" t="str">
        <f t="shared" si="39"/>
        <v/>
      </c>
      <c r="N174" s="38" t="str">
        <f t="shared" si="40"/>
        <v/>
      </c>
      <c r="O174" s="38" t="str">
        <f t="shared" si="41"/>
        <v/>
      </c>
      <c r="P174" s="38" t="str">
        <f t="shared" si="31"/>
        <v/>
      </c>
      <c r="Q174" s="38"/>
    </row>
    <row r="175" spans="1:17" x14ac:dyDescent="0.2">
      <c r="A175" t="str">
        <f t="shared" si="32"/>
        <v/>
      </c>
      <c r="B175" s="38" t="str">
        <f t="shared" si="28"/>
        <v/>
      </c>
      <c r="C175" s="38" t="str">
        <f t="shared" si="33"/>
        <v/>
      </c>
      <c r="D175" s="38" t="str">
        <f t="shared" si="34"/>
        <v/>
      </c>
      <c r="E175" s="38" t="str">
        <f t="shared" si="35"/>
        <v/>
      </c>
      <c r="F175" s="38" t="str">
        <f t="shared" si="36"/>
        <v/>
      </c>
      <c r="G175" s="38" t="str">
        <f t="shared" si="29"/>
        <v/>
      </c>
      <c r="H175" s="38"/>
      <c r="J175" t="str">
        <f t="shared" si="37"/>
        <v/>
      </c>
      <c r="K175" s="38" t="str">
        <f t="shared" si="30"/>
        <v/>
      </c>
      <c r="L175" s="38" t="str">
        <f t="shared" si="38"/>
        <v/>
      </c>
      <c r="M175" s="38" t="str">
        <f t="shared" si="39"/>
        <v/>
      </c>
      <c r="N175" s="38" t="str">
        <f t="shared" si="40"/>
        <v/>
      </c>
      <c r="O175" s="38" t="str">
        <f t="shared" si="41"/>
        <v/>
      </c>
      <c r="P175" s="38" t="str">
        <f t="shared" si="31"/>
        <v/>
      </c>
      <c r="Q175" s="38"/>
    </row>
    <row r="176" spans="1:17" x14ac:dyDescent="0.2">
      <c r="A176" t="str">
        <f t="shared" si="32"/>
        <v/>
      </c>
      <c r="B176" s="38" t="str">
        <f t="shared" si="28"/>
        <v/>
      </c>
      <c r="C176" s="38" t="str">
        <f t="shared" si="33"/>
        <v/>
      </c>
      <c r="D176" s="38" t="str">
        <f t="shared" si="34"/>
        <v/>
      </c>
      <c r="E176" s="38" t="str">
        <f t="shared" si="35"/>
        <v/>
      </c>
      <c r="F176" s="38" t="str">
        <f t="shared" si="36"/>
        <v/>
      </c>
      <c r="G176" s="38" t="str">
        <f t="shared" si="29"/>
        <v/>
      </c>
      <c r="H176" s="38"/>
      <c r="J176" t="str">
        <f t="shared" si="37"/>
        <v/>
      </c>
      <c r="K176" s="38" t="str">
        <f t="shared" si="30"/>
        <v/>
      </c>
      <c r="L176" s="38" t="str">
        <f t="shared" si="38"/>
        <v/>
      </c>
      <c r="M176" s="38" t="str">
        <f t="shared" si="39"/>
        <v/>
      </c>
      <c r="N176" s="38" t="str">
        <f t="shared" si="40"/>
        <v/>
      </c>
      <c r="O176" s="38" t="str">
        <f t="shared" si="41"/>
        <v/>
      </c>
      <c r="P176" s="38" t="str">
        <f t="shared" si="31"/>
        <v/>
      </c>
      <c r="Q176" s="38"/>
    </row>
    <row r="177" spans="1:17" x14ac:dyDescent="0.2">
      <c r="A177" t="str">
        <f t="shared" si="32"/>
        <v/>
      </c>
      <c r="B177" s="38" t="str">
        <f t="shared" si="28"/>
        <v/>
      </c>
      <c r="C177" s="38" t="str">
        <f t="shared" si="33"/>
        <v/>
      </c>
      <c r="D177" s="38" t="str">
        <f t="shared" si="34"/>
        <v/>
      </c>
      <c r="E177" s="38" t="str">
        <f t="shared" si="35"/>
        <v/>
      </c>
      <c r="F177" s="38" t="str">
        <f t="shared" si="36"/>
        <v/>
      </c>
      <c r="G177" s="38" t="str">
        <f t="shared" si="29"/>
        <v/>
      </c>
      <c r="H177" s="38"/>
      <c r="J177" t="str">
        <f t="shared" si="37"/>
        <v/>
      </c>
      <c r="K177" s="38" t="str">
        <f t="shared" si="30"/>
        <v/>
      </c>
      <c r="L177" s="38" t="str">
        <f t="shared" si="38"/>
        <v/>
      </c>
      <c r="M177" s="38" t="str">
        <f t="shared" si="39"/>
        <v/>
      </c>
      <c r="N177" s="38" t="str">
        <f t="shared" si="40"/>
        <v/>
      </c>
      <c r="O177" s="38" t="str">
        <f t="shared" si="41"/>
        <v/>
      </c>
      <c r="P177" s="38" t="str">
        <f t="shared" si="31"/>
        <v/>
      </c>
      <c r="Q177" s="38"/>
    </row>
    <row r="178" spans="1:17" x14ac:dyDescent="0.2">
      <c r="A178" t="str">
        <f t="shared" si="32"/>
        <v/>
      </c>
      <c r="B178" s="38" t="str">
        <f t="shared" si="28"/>
        <v/>
      </c>
      <c r="C178" s="38" t="str">
        <f t="shared" si="33"/>
        <v/>
      </c>
      <c r="D178" s="38" t="str">
        <f t="shared" si="34"/>
        <v/>
      </c>
      <c r="E178" s="38" t="str">
        <f t="shared" si="35"/>
        <v/>
      </c>
      <c r="F178" s="38" t="str">
        <f t="shared" si="36"/>
        <v/>
      </c>
      <c r="G178" s="38" t="str">
        <f t="shared" si="29"/>
        <v/>
      </c>
      <c r="H178" s="38"/>
      <c r="J178" t="str">
        <f t="shared" si="37"/>
        <v/>
      </c>
      <c r="K178" s="38" t="str">
        <f t="shared" si="30"/>
        <v/>
      </c>
      <c r="L178" s="38" t="str">
        <f t="shared" si="38"/>
        <v/>
      </c>
      <c r="M178" s="38" t="str">
        <f t="shared" si="39"/>
        <v/>
      </c>
      <c r="N178" s="38" t="str">
        <f t="shared" si="40"/>
        <v/>
      </c>
      <c r="O178" s="38" t="str">
        <f t="shared" si="41"/>
        <v/>
      </c>
      <c r="P178" s="38" t="str">
        <f t="shared" si="31"/>
        <v/>
      </c>
      <c r="Q178" s="38"/>
    </row>
    <row r="179" spans="1:17" x14ac:dyDescent="0.2">
      <c r="A179" t="str">
        <f t="shared" si="32"/>
        <v/>
      </c>
      <c r="B179" s="38" t="str">
        <f t="shared" si="28"/>
        <v/>
      </c>
      <c r="C179" s="38" t="str">
        <f t="shared" si="33"/>
        <v/>
      </c>
      <c r="D179" s="38" t="str">
        <f t="shared" si="34"/>
        <v/>
      </c>
      <c r="E179" s="38" t="str">
        <f t="shared" si="35"/>
        <v/>
      </c>
      <c r="F179" s="38" t="str">
        <f t="shared" si="36"/>
        <v/>
      </c>
      <c r="G179" s="38" t="str">
        <f t="shared" si="29"/>
        <v/>
      </c>
      <c r="H179" s="38"/>
      <c r="J179" t="str">
        <f t="shared" si="37"/>
        <v/>
      </c>
      <c r="K179" s="38" t="str">
        <f t="shared" si="30"/>
        <v/>
      </c>
      <c r="L179" s="38" t="str">
        <f t="shared" si="38"/>
        <v/>
      </c>
      <c r="M179" s="38" t="str">
        <f t="shared" si="39"/>
        <v/>
      </c>
      <c r="N179" s="38" t="str">
        <f t="shared" si="40"/>
        <v/>
      </c>
      <c r="O179" s="38" t="str">
        <f t="shared" si="41"/>
        <v/>
      </c>
      <c r="P179" s="38" t="str">
        <f t="shared" si="31"/>
        <v/>
      </c>
      <c r="Q179" s="38"/>
    </row>
    <row r="180" spans="1:17" x14ac:dyDescent="0.2">
      <c r="A180" t="str">
        <f t="shared" si="32"/>
        <v/>
      </c>
      <c r="B180" s="38" t="str">
        <f t="shared" si="28"/>
        <v/>
      </c>
      <c r="C180" s="38" t="str">
        <f t="shared" si="33"/>
        <v/>
      </c>
      <c r="D180" s="38" t="str">
        <f t="shared" si="34"/>
        <v/>
      </c>
      <c r="E180" s="38" t="str">
        <f t="shared" si="35"/>
        <v/>
      </c>
      <c r="F180" s="38" t="str">
        <f t="shared" si="36"/>
        <v/>
      </c>
      <c r="G180" s="38" t="str">
        <f t="shared" si="29"/>
        <v/>
      </c>
      <c r="H180" s="38"/>
      <c r="J180" t="str">
        <f t="shared" si="37"/>
        <v/>
      </c>
      <c r="K180" s="38" t="str">
        <f t="shared" si="30"/>
        <v/>
      </c>
      <c r="L180" s="38" t="str">
        <f t="shared" si="38"/>
        <v/>
      </c>
      <c r="M180" s="38" t="str">
        <f t="shared" si="39"/>
        <v/>
      </c>
      <c r="N180" s="38" t="str">
        <f t="shared" si="40"/>
        <v/>
      </c>
      <c r="O180" s="38" t="str">
        <f t="shared" si="41"/>
        <v/>
      </c>
      <c r="P180" s="38" t="str">
        <f t="shared" si="31"/>
        <v/>
      </c>
      <c r="Q180" s="38"/>
    </row>
    <row r="181" spans="1:17" x14ac:dyDescent="0.2">
      <c r="A181" t="str">
        <f t="shared" si="32"/>
        <v/>
      </c>
      <c r="B181" s="38" t="str">
        <f t="shared" si="28"/>
        <v/>
      </c>
      <c r="C181" s="38" t="str">
        <f t="shared" si="33"/>
        <v/>
      </c>
      <c r="D181" s="38" t="str">
        <f t="shared" si="34"/>
        <v/>
      </c>
      <c r="E181" s="38" t="str">
        <f t="shared" si="35"/>
        <v/>
      </c>
      <c r="F181" s="38" t="str">
        <f t="shared" si="36"/>
        <v/>
      </c>
      <c r="G181" s="38" t="str">
        <f t="shared" si="29"/>
        <v/>
      </c>
      <c r="H181" s="38"/>
      <c r="J181" t="str">
        <f t="shared" si="37"/>
        <v/>
      </c>
      <c r="K181" s="38" t="str">
        <f t="shared" si="30"/>
        <v/>
      </c>
      <c r="L181" s="38" t="str">
        <f t="shared" si="38"/>
        <v/>
      </c>
      <c r="M181" s="38" t="str">
        <f t="shared" si="39"/>
        <v/>
      </c>
      <c r="N181" s="38" t="str">
        <f t="shared" si="40"/>
        <v/>
      </c>
      <c r="O181" s="38" t="str">
        <f t="shared" si="41"/>
        <v/>
      </c>
      <c r="P181" s="38" t="str">
        <f t="shared" si="31"/>
        <v/>
      </c>
      <c r="Q181" s="38"/>
    </row>
    <row r="182" spans="1:17" x14ac:dyDescent="0.2">
      <c r="A182" t="str">
        <f t="shared" si="32"/>
        <v/>
      </c>
      <c r="B182" s="38" t="str">
        <f t="shared" si="28"/>
        <v/>
      </c>
      <c r="C182" s="38" t="str">
        <f t="shared" si="33"/>
        <v/>
      </c>
      <c r="D182" s="38" t="str">
        <f t="shared" si="34"/>
        <v/>
      </c>
      <c r="E182" s="38" t="str">
        <f t="shared" si="35"/>
        <v/>
      </c>
      <c r="F182" s="38" t="str">
        <f t="shared" si="36"/>
        <v/>
      </c>
      <c r="G182" s="38" t="str">
        <f t="shared" si="29"/>
        <v/>
      </c>
      <c r="H182" s="38"/>
      <c r="J182" t="str">
        <f t="shared" si="37"/>
        <v/>
      </c>
      <c r="K182" s="38" t="str">
        <f t="shared" si="30"/>
        <v/>
      </c>
      <c r="L182" s="38" t="str">
        <f t="shared" si="38"/>
        <v/>
      </c>
      <c r="M182" s="38" t="str">
        <f t="shared" si="39"/>
        <v/>
      </c>
      <c r="N182" s="38" t="str">
        <f t="shared" si="40"/>
        <v/>
      </c>
      <c r="O182" s="38" t="str">
        <f t="shared" si="41"/>
        <v/>
      </c>
      <c r="P182" s="38" t="str">
        <f t="shared" si="31"/>
        <v/>
      </c>
      <c r="Q182" s="38"/>
    </row>
    <row r="183" spans="1:17" x14ac:dyDescent="0.2">
      <c r="A183" t="str">
        <f t="shared" si="32"/>
        <v/>
      </c>
      <c r="B183" s="38" t="str">
        <f t="shared" si="28"/>
        <v/>
      </c>
      <c r="C183" s="38" t="str">
        <f t="shared" si="33"/>
        <v/>
      </c>
      <c r="D183" s="38" t="str">
        <f t="shared" si="34"/>
        <v/>
      </c>
      <c r="E183" s="38" t="str">
        <f t="shared" si="35"/>
        <v/>
      </c>
      <c r="F183" s="38" t="str">
        <f t="shared" si="36"/>
        <v/>
      </c>
      <c r="G183" s="38" t="str">
        <f t="shared" si="29"/>
        <v/>
      </c>
      <c r="H183" s="38"/>
      <c r="J183" t="str">
        <f t="shared" si="37"/>
        <v/>
      </c>
      <c r="K183" s="38" t="str">
        <f t="shared" si="30"/>
        <v/>
      </c>
      <c r="L183" s="38" t="str">
        <f t="shared" si="38"/>
        <v/>
      </c>
      <c r="M183" s="38" t="str">
        <f t="shared" si="39"/>
        <v/>
      </c>
      <c r="N183" s="38" t="str">
        <f t="shared" si="40"/>
        <v/>
      </c>
      <c r="O183" s="38" t="str">
        <f t="shared" si="41"/>
        <v/>
      </c>
      <c r="P183" s="38" t="str">
        <f t="shared" si="31"/>
        <v/>
      </c>
      <c r="Q183" s="38"/>
    </row>
    <row r="184" spans="1:17" x14ac:dyDescent="0.2">
      <c r="A184" t="str">
        <f t="shared" si="32"/>
        <v/>
      </c>
      <c r="B184" s="38" t="str">
        <f t="shared" si="28"/>
        <v/>
      </c>
      <c r="C184" s="38" t="str">
        <f t="shared" si="33"/>
        <v/>
      </c>
      <c r="D184" s="38" t="str">
        <f t="shared" si="34"/>
        <v/>
      </c>
      <c r="E184" s="38" t="str">
        <f t="shared" si="35"/>
        <v/>
      </c>
      <c r="F184" s="38" t="str">
        <f t="shared" si="36"/>
        <v/>
      </c>
      <c r="G184" s="38" t="str">
        <f t="shared" si="29"/>
        <v/>
      </c>
      <c r="H184" s="38"/>
      <c r="J184" t="str">
        <f t="shared" si="37"/>
        <v/>
      </c>
      <c r="K184" s="38" t="str">
        <f t="shared" si="30"/>
        <v/>
      </c>
      <c r="L184" s="38" t="str">
        <f t="shared" si="38"/>
        <v/>
      </c>
      <c r="M184" s="38" t="str">
        <f t="shared" si="39"/>
        <v/>
      </c>
      <c r="N184" s="38" t="str">
        <f t="shared" si="40"/>
        <v/>
      </c>
      <c r="O184" s="38" t="str">
        <f t="shared" si="41"/>
        <v/>
      </c>
      <c r="P184" s="38" t="str">
        <f t="shared" si="31"/>
        <v/>
      </c>
      <c r="Q184" s="38"/>
    </row>
    <row r="185" spans="1:17" x14ac:dyDescent="0.2">
      <c r="A185" t="str">
        <f t="shared" si="32"/>
        <v/>
      </c>
      <c r="B185" s="38" t="str">
        <f t="shared" si="28"/>
        <v/>
      </c>
      <c r="C185" s="38" t="str">
        <f t="shared" si="33"/>
        <v/>
      </c>
      <c r="D185" s="38" t="str">
        <f t="shared" si="34"/>
        <v/>
      </c>
      <c r="E185" s="38" t="str">
        <f t="shared" si="35"/>
        <v/>
      </c>
      <c r="F185" s="38" t="str">
        <f t="shared" si="36"/>
        <v/>
      </c>
      <c r="G185" s="38" t="str">
        <f t="shared" si="29"/>
        <v/>
      </c>
      <c r="H185" s="38"/>
      <c r="J185" t="str">
        <f t="shared" si="37"/>
        <v/>
      </c>
      <c r="K185" s="38" t="str">
        <f t="shared" si="30"/>
        <v/>
      </c>
      <c r="L185" s="38" t="str">
        <f t="shared" si="38"/>
        <v/>
      </c>
      <c r="M185" s="38" t="str">
        <f t="shared" si="39"/>
        <v/>
      </c>
      <c r="N185" s="38" t="str">
        <f t="shared" si="40"/>
        <v/>
      </c>
      <c r="O185" s="38" t="str">
        <f t="shared" si="41"/>
        <v/>
      </c>
      <c r="P185" s="38" t="str">
        <f t="shared" si="31"/>
        <v/>
      </c>
      <c r="Q185" s="38"/>
    </row>
    <row r="186" spans="1:17" x14ac:dyDescent="0.2">
      <c r="A186" t="str">
        <f t="shared" si="32"/>
        <v/>
      </c>
      <c r="B186" s="38" t="str">
        <f t="shared" si="28"/>
        <v/>
      </c>
      <c r="C186" s="38" t="str">
        <f t="shared" si="33"/>
        <v/>
      </c>
      <c r="D186" s="38" t="str">
        <f t="shared" si="34"/>
        <v/>
      </c>
      <c r="E186" s="38" t="str">
        <f t="shared" si="35"/>
        <v/>
      </c>
      <c r="F186" s="38" t="str">
        <f t="shared" si="36"/>
        <v/>
      </c>
      <c r="G186" s="38" t="str">
        <f t="shared" si="29"/>
        <v/>
      </c>
      <c r="H186" s="38"/>
      <c r="J186" t="str">
        <f t="shared" si="37"/>
        <v/>
      </c>
      <c r="K186" s="38" t="str">
        <f t="shared" si="30"/>
        <v/>
      </c>
      <c r="L186" s="38" t="str">
        <f t="shared" si="38"/>
        <v/>
      </c>
      <c r="M186" s="38" t="str">
        <f t="shared" si="39"/>
        <v/>
      </c>
      <c r="N186" s="38" t="str">
        <f t="shared" si="40"/>
        <v/>
      </c>
      <c r="O186" s="38" t="str">
        <f t="shared" si="41"/>
        <v/>
      </c>
      <c r="P186" s="38" t="str">
        <f t="shared" si="31"/>
        <v/>
      </c>
      <c r="Q186" s="38"/>
    </row>
    <row r="187" spans="1:17" x14ac:dyDescent="0.2">
      <c r="A187" t="str">
        <f t="shared" si="32"/>
        <v/>
      </c>
      <c r="B187" s="38" t="str">
        <f t="shared" si="28"/>
        <v/>
      </c>
      <c r="C187" s="38" t="str">
        <f t="shared" si="33"/>
        <v/>
      </c>
      <c r="D187" s="38" t="str">
        <f t="shared" si="34"/>
        <v/>
      </c>
      <c r="E187" s="38" t="str">
        <f t="shared" si="35"/>
        <v/>
      </c>
      <c r="F187" s="38" t="str">
        <f t="shared" si="36"/>
        <v/>
      </c>
      <c r="G187" s="38" t="str">
        <f t="shared" si="29"/>
        <v/>
      </c>
      <c r="H187" s="38"/>
      <c r="J187" t="str">
        <f t="shared" si="37"/>
        <v/>
      </c>
      <c r="K187" s="38" t="str">
        <f t="shared" si="30"/>
        <v/>
      </c>
      <c r="L187" s="38" t="str">
        <f t="shared" si="38"/>
        <v/>
      </c>
      <c r="M187" s="38" t="str">
        <f t="shared" si="39"/>
        <v/>
      </c>
      <c r="N187" s="38" t="str">
        <f t="shared" si="40"/>
        <v/>
      </c>
      <c r="O187" s="38" t="str">
        <f t="shared" si="41"/>
        <v/>
      </c>
      <c r="P187" s="38" t="str">
        <f t="shared" si="31"/>
        <v/>
      </c>
      <c r="Q187" s="38"/>
    </row>
    <row r="188" spans="1:17" x14ac:dyDescent="0.2">
      <c r="A188" t="str">
        <f t="shared" si="32"/>
        <v/>
      </c>
      <c r="B188" s="38" t="str">
        <f t="shared" si="28"/>
        <v/>
      </c>
      <c r="C188" s="38" t="str">
        <f t="shared" si="33"/>
        <v/>
      </c>
      <c r="D188" s="38" t="str">
        <f t="shared" si="34"/>
        <v/>
      </c>
      <c r="E188" s="38" t="str">
        <f t="shared" si="35"/>
        <v/>
      </c>
      <c r="F188" s="38" t="str">
        <f t="shared" si="36"/>
        <v/>
      </c>
      <c r="G188" s="38" t="str">
        <f t="shared" si="29"/>
        <v/>
      </c>
      <c r="H188" s="38"/>
      <c r="J188" t="str">
        <f t="shared" si="37"/>
        <v/>
      </c>
      <c r="K188" s="38" t="str">
        <f t="shared" si="30"/>
        <v/>
      </c>
      <c r="L188" s="38" t="str">
        <f t="shared" si="38"/>
        <v/>
      </c>
      <c r="M188" s="38" t="str">
        <f t="shared" si="39"/>
        <v/>
      </c>
      <c r="N188" s="38" t="str">
        <f t="shared" si="40"/>
        <v/>
      </c>
      <c r="O188" s="38" t="str">
        <f t="shared" si="41"/>
        <v/>
      </c>
      <c r="P188" s="38" t="str">
        <f t="shared" si="31"/>
        <v/>
      </c>
      <c r="Q188" s="38"/>
    </row>
    <row r="189" spans="1:17" x14ac:dyDescent="0.2">
      <c r="A189" t="str">
        <f t="shared" si="32"/>
        <v/>
      </c>
      <c r="B189" s="38" t="str">
        <f t="shared" si="28"/>
        <v/>
      </c>
      <c r="C189" s="38" t="str">
        <f t="shared" si="33"/>
        <v/>
      </c>
      <c r="D189" s="38" t="str">
        <f t="shared" si="34"/>
        <v/>
      </c>
      <c r="E189" s="38" t="str">
        <f t="shared" si="35"/>
        <v/>
      </c>
      <c r="F189" s="38" t="str">
        <f t="shared" si="36"/>
        <v/>
      </c>
      <c r="G189" s="38" t="str">
        <f t="shared" si="29"/>
        <v/>
      </c>
      <c r="H189" s="38"/>
      <c r="J189" t="str">
        <f t="shared" si="37"/>
        <v/>
      </c>
      <c r="K189" s="38" t="str">
        <f t="shared" si="30"/>
        <v/>
      </c>
      <c r="L189" s="38" t="str">
        <f t="shared" si="38"/>
        <v/>
      </c>
      <c r="M189" s="38" t="str">
        <f t="shared" si="39"/>
        <v/>
      </c>
      <c r="N189" s="38" t="str">
        <f t="shared" si="40"/>
        <v/>
      </c>
      <c r="O189" s="38" t="str">
        <f t="shared" si="41"/>
        <v/>
      </c>
      <c r="P189" s="38" t="str">
        <f t="shared" si="31"/>
        <v/>
      </c>
      <c r="Q189" s="38"/>
    </row>
    <row r="190" spans="1:17" x14ac:dyDescent="0.2">
      <c r="A190" t="str">
        <f t="shared" si="32"/>
        <v/>
      </c>
      <c r="B190" s="38" t="str">
        <f t="shared" si="28"/>
        <v/>
      </c>
      <c r="C190" s="38" t="str">
        <f t="shared" si="33"/>
        <v/>
      </c>
      <c r="D190" s="38" t="str">
        <f t="shared" si="34"/>
        <v/>
      </c>
      <c r="E190" s="38" t="str">
        <f t="shared" si="35"/>
        <v/>
      </c>
      <c r="F190" s="38" t="str">
        <f t="shared" si="36"/>
        <v/>
      </c>
      <c r="G190" s="38" t="str">
        <f t="shared" si="29"/>
        <v/>
      </c>
      <c r="H190" s="38"/>
      <c r="J190" t="str">
        <f t="shared" si="37"/>
        <v/>
      </c>
      <c r="K190" s="38" t="str">
        <f t="shared" si="30"/>
        <v/>
      </c>
      <c r="L190" s="38" t="str">
        <f t="shared" si="38"/>
        <v/>
      </c>
      <c r="M190" s="38" t="str">
        <f t="shared" si="39"/>
        <v/>
      </c>
      <c r="N190" s="38" t="str">
        <f t="shared" si="40"/>
        <v/>
      </c>
      <c r="O190" s="38" t="str">
        <f t="shared" si="41"/>
        <v/>
      </c>
      <c r="P190" s="38" t="str">
        <f t="shared" si="31"/>
        <v/>
      </c>
      <c r="Q190" s="38"/>
    </row>
    <row r="191" spans="1:17" x14ac:dyDescent="0.2">
      <c r="A191" t="str">
        <f t="shared" si="32"/>
        <v/>
      </c>
      <c r="B191" s="38" t="str">
        <f t="shared" si="28"/>
        <v/>
      </c>
      <c r="C191" s="38" t="str">
        <f t="shared" si="33"/>
        <v/>
      </c>
      <c r="D191" s="38" t="str">
        <f t="shared" si="34"/>
        <v/>
      </c>
      <c r="E191" s="38" t="str">
        <f t="shared" si="35"/>
        <v/>
      </c>
      <c r="F191" s="38" t="str">
        <f t="shared" si="36"/>
        <v/>
      </c>
      <c r="G191" s="38" t="str">
        <f t="shared" si="29"/>
        <v/>
      </c>
      <c r="H191" s="38"/>
      <c r="J191" t="str">
        <f t="shared" si="37"/>
        <v/>
      </c>
      <c r="K191" s="38" t="str">
        <f t="shared" si="30"/>
        <v/>
      </c>
      <c r="L191" s="38" t="str">
        <f t="shared" si="38"/>
        <v/>
      </c>
      <c r="M191" s="38" t="str">
        <f t="shared" si="39"/>
        <v/>
      </c>
      <c r="N191" s="38" t="str">
        <f t="shared" si="40"/>
        <v/>
      </c>
      <c r="O191" s="38" t="str">
        <f t="shared" si="41"/>
        <v/>
      </c>
      <c r="P191" s="38" t="str">
        <f t="shared" si="31"/>
        <v/>
      </c>
      <c r="Q191" s="38"/>
    </row>
    <row r="192" spans="1:17" x14ac:dyDescent="0.2">
      <c r="A192" t="str">
        <f t="shared" si="32"/>
        <v/>
      </c>
      <c r="B192" s="38" t="str">
        <f t="shared" si="28"/>
        <v/>
      </c>
      <c r="C192" s="38" t="str">
        <f t="shared" si="33"/>
        <v/>
      </c>
      <c r="D192" s="38" t="str">
        <f t="shared" si="34"/>
        <v/>
      </c>
      <c r="E192" s="38" t="str">
        <f t="shared" si="35"/>
        <v/>
      </c>
      <c r="F192" s="38" t="str">
        <f t="shared" si="36"/>
        <v/>
      </c>
      <c r="G192" s="38" t="str">
        <f t="shared" si="29"/>
        <v/>
      </c>
      <c r="H192" s="38"/>
      <c r="J192" t="str">
        <f t="shared" si="37"/>
        <v/>
      </c>
      <c r="K192" s="38" t="str">
        <f t="shared" si="30"/>
        <v/>
      </c>
      <c r="L192" s="38" t="str">
        <f t="shared" si="38"/>
        <v/>
      </c>
      <c r="M192" s="38" t="str">
        <f t="shared" si="39"/>
        <v/>
      </c>
      <c r="N192" s="38" t="str">
        <f t="shared" si="40"/>
        <v/>
      </c>
      <c r="O192" s="38" t="str">
        <f t="shared" si="41"/>
        <v/>
      </c>
      <c r="P192" s="38" t="str">
        <f t="shared" si="31"/>
        <v/>
      </c>
      <c r="Q192" s="38"/>
    </row>
    <row r="193" spans="1:17" x14ac:dyDescent="0.2">
      <c r="A193" t="str">
        <f t="shared" si="32"/>
        <v/>
      </c>
      <c r="B193" s="38" t="str">
        <f t="shared" si="28"/>
        <v/>
      </c>
      <c r="C193" s="38" t="str">
        <f t="shared" si="33"/>
        <v/>
      </c>
      <c r="D193" s="38" t="str">
        <f t="shared" si="34"/>
        <v/>
      </c>
      <c r="E193" s="38" t="str">
        <f t="shared" si="35"/>
        <v/>
      </c>
      <c r="F193" s="38" t="str">
        <f t="shared" si="36"/>
        <v/>
      </c>
      <c r="G193" s="38" t="str">
        <f t="shared" si="29"/>
        <v/>
      </c>
      <c r="H193" s="38"/>
      <c r="J193" t="str">
        <f t="shared" si="37"/>
        <v/>
      </c>
      <c r="K193" s="38" t="str">
        <f t="shared" si="30"/>
        <v/>
      </c>
      <c r="L193" s="38" t="str">
        <f t="shared" si="38"/>
        <v/>
      </c>
      <c r="M193" s="38" t="str">
        <f t="shared" si="39"/>
        <v/>
      </c>
      <c r="N193" s="38" t="str">
        <f t="shared" si="40"/>
        <v/>
      </c>
      <c r="O193" s="38" t="str">
        <f t="shared" si="41"/>
        <v/>
      </c>
      <c r="P193" s="38" t="str">
        <f t="shared" si="31"/>
        <v/>
      </c>
      <c r="Q193" s="38"/>
    </row>
    <row r="194" spans="1:17" x14ac:dyDescent="0.2">
      <c r="A194" t="str">
        <f t="shared" si="32"/>
        <v/>
      </c>
      <c r="B194" s="38" t="str">
        <f t="shared" si="28"/>
        <v/>
      </c>
      <c r="C194" s="38" t="str">
        <f t="shared" si="33"/>
        <v/>
      </c>
      <c r="D194" s="38" t="str">
        <f t="shared" si="34"/>
        <v/>
      </c>
      <c r="E194" s="38" t="str">
        <f t="shared" si="35"/>
        <v/>
      </c>
      <c r="F194" s="38" t="str">
        <f t="shared" si="36"/>
        <v/>
      </c>
      <c r="G194" s="38" t="str">
        <f t="shared" si="29"/>
        <v/>
      </c>
      <c r="H194" s="38"/>
      <c r="J194" t="str">
        <f t="shared" si="37"/>
        <v/>
      </c>
      <c r="K194" s="38" t="str">
        <f t="shared" si="30"/>
        <v/>
      </c>
      <c r="L194" s="38" t="str">
        <f t="shared" si="38"/>
        <v/>
      </c>
      <c r="M194" s="38" t="str">
        <f t="shared" si="39"/>
        <v/>
      </c>
      <c r="N194" s="38" t="str">
        <f t="shared" si="40"/>
        <v/>
      </c>
      <c r="O194" s="38" t="str">
        <f t="shared" si="41"/>
        <v/>
      </c>
      <c r="P194" s="38" t="str">
        <f t="shared" si="31"/>
        <v/>
      </c>
      <c r="Q194" s="38"/>
    </row>
    <row r="195" spans="1:17" x14ac:dyDescent="0.2">
      <c r="A195" t="str">
        <f t="shared" si="32"/>
        <v/>
      </c>
      <c r="B195" s="38" t="str">
        <f t="shared" si="28"/>
        <v/>
      </c>
      <c r="C195" s="38" t="str">
        <f t="shared" si="33"/>
        <v/>
      </c>
      <c r="D195" s="38" t="str">
        <f t="shared" si="34"/>
        <v/>
      </c>
      <c r="E195" s="38" t="str">
        <f t="shared" si="35"/>
        <v/>
      </c>
      <c r="F195" s="38" t="str">
        <f t="shared" si="36"/>
        <v/>
      </c>
      <c r="G195" s="38" t="str">
        <f t="shared" si="29"/>
        <v/>
      </c>
      <c r="H195" s="38"/>
      <c r="J195" t="str">
        <f t="shared" si="37"/>
        <v/>
      </c>
      <c r="K195" s="38" t="str">
        <f t="shared" si="30"/>
        <v/>
      </c>
      <c r="L195" s="38" t="str">
        <f t="shared" si="38"/>
        <v/>
      </c>
      <c r="M195" s="38" t="str">
        <f t="shared" si="39"/>
        <v/>
      </c>
      <c r="N195" s="38" t="str">
        <f t="shared" si="40"/>
        <v/>
      </c>
      <c r="O195" s="38" t="str">
        <f t="shared" si="41"/>
        <v/>
      </c>
      <c r="P195" s="38" t="str">
        <f t="shared" si="31"/>
        <v/>
      </c>
      <c r="Q195" s="38"/>
    </row>
    <row r="196" spans="1:17" x14ac:dyDescent="0.2">
      <c r="A196" t="str">
        <f t="shared" si="32"/>
        <v/>
      </c>
      <c r="B196" s="38" t="str">
        <f t="shared" si="28"/>
        <v/>
      </c>
      <c r="C196" s="38" t="str">
        <f t="shared" si="33"/>
        <v/>
      </c>
      <c r="D196" s="38" t="str">
        <f t="shared" si="34"/>
        <v/>
      </c>
      <c r="E196" s="38" t="str">
        <f t="shared" si="35"/>
        <v/>
      </c>
      <c r="F196" s="38" t="str">
        <f t="shared" si="36"/>
        <v/>
      </c>
      <c r="G196" s="38" t="str">
        <f t="shared" si="29"/>
        <v/>
      </c>
      <c r="H196" s="38"/>
      <c r="J196" t="str">
        <f t="shared" si="37"/>
        <v/>
      </c>
      <c r="K196" s="38" t="str">
        <f t="shared" si="30"/>
        <v/>
      </c>
      <c r="L196" s="38" t="str">
        <f t="shared" si="38"/>
        <v/>
      </c>
      <c r="M196" s="38" t="str">
        <f t="shared" si="39"/>
        <v/>
      </c>
      <c r="N196" s="38" t="str">
        <f t="shared" si="40"/>
        <v/>
      </c>
      <c r="O196" s="38" t="str">
        <f t="shared" si="41"/>
        <v/>
      </c>
      <c r="P196" s="38" t="str">
        <f t="shared" si="31"/>
        <v/>
      </c>
      <c r="Q196" s="38"/>
    </row>
    <row r="197" spans="1:17" x14ac:dyDescent="0.2">
      <c r="A197" t="str">
        <f t="shared" si="32"/>
        <v/>
      </c>
      <c r="B197" s="38" t="str">
        <f t="shared" si="28"/>
        <v/>
      </c>
      <c r="C197" s="38" t="str">
        <f t="shared" si="33"/>
        <v/>
      </c>
      <c r="D197" s="38" t="str">
        <f t="shared" si="34"/>
        <v/>
      </c>
      <c r="E197" s="38" t="str">
        <f t="shared" si="35"/>
        <v/>
      </c>
      <c r="F197" s="38" t="str">
        <f t="shared" si="36"/>
        <v/>
      </c>
      <c r="G197" s="38" t="str">
        <f t="shared" si="29"/>
        <v/>
      </c>
      <c r="H197" s="38"/>
      <c r="J197" t="str">
        <f t="shared" si="37"/>
        <v/>
      </c>
      <c r="K197" s="38" t="str">
        <f t="shared" si="30"/>
        <v/>
      </c>
      <c r="L197" s="38" t="str">
        <f t="shared" si="38"/>
        <v/>
      </c>
      <c r="M197" s="38" t="str">
        <f t="shared" si="39"/>
        <v/>
      </c>
      <c r="N197" s="38" t="str">
        <f t="shared" si="40"/>
        <v/>
      </c>
      <c r="O197" s="38" t="str">
        <f t="shared" si="41"/>
        <v/>
      </c>
      <c r="P197" s="38" t="str">
        <f t="shared" si="31"/>
        <v/>
      </c>
      <c r="Q197" s="38"/>
    </row>
    <row r="198" spans="1:17" x14ac:dyDescent="0.2">
      <c r="A198" t="str">
        <f t="shared" si="32"/>
        <v/>
      </c>
      <c r="B198" s="38" t="str">
        <f t="shared" si="28"/>
        <v/>
      </c>
      <c r="C198" s="38" t="str">
        <f t="shared" si="33"/>
        <v/>
      </c>
      <c r="D198" s="38" t="str">
        <f t="shared" si="34"/>
        <v/>
      </c>
      <c r="E198" s="38" t="str">
        <f t="shared" si="35"/>
        <v/>
      </c>
      <c r="F198" s="38" t="str">
        <f t="shared" si="36"/>
        <v/>
      </c>
      <c r="G198" s="38" t="str">
        <f t="shared" si="29"/>
        <v/>
      </c>
      <c r="H198" s="38"/>
      <c r="J198" t="str">
        <f t="shared" si="37"/>
        <v/>
      </c>
      <c r="K198" s="38" t="str">
        <f t="shared" si="30"/>
        <v/>
      </c>
      <c r="L198" s="38" t="str">
        <f t="shared" si="38"/>
        <v/>
      </c>
      <c r="M198" s="38" t="str">
        <f t="shared" si="39"/>
        <v/>
      </c>
      <c r="N198" s="38" t="str">
        <f t="shared" si="40"/>
        <v/>
      </c>
      <c r="O198" s="38" t="str">
        <f t="shared" si="41"/>
        <v/>
      </c>
      <c r="P198" s="38" t="str">
        <f t="shared" si="31"/>
        <v/>
      </c>
      <c r="Q198" s="38"/>
    </row>
    <row r="199" spans="1:17" x14ac:dyDescent="0.2">
      <c r="A199" t="str">
        <f t="shared" si="32"/>
        <v/>
      </c>
      <c r="B199" s="38" t="str">
        <f t="shared" si="28"/>
        <v/>
      </c>
      <c r="C199" s="38" t="str">
        <f t="shared" si="33"/>
        <v/>
      </c>
      <c r="D199" s="38" t="str">
        <f t="shared" si="34"/>
        <v/>
      </c>
      <c r="E199" s="38" t="str">
        <f t="shared" si="35"/>
        <v/>
      </c>
      <c r="F199" s="38" t="str">
        <f t="shared" si="36"/>
        <v/>
      </c>
      <c r="G199" s="38" t="str">
        <f t="shared" si="29"/>
        <v/>
      </c>
      <c r="H199" s="38"/>
      <c r="J199" t="str">
        <f t="shared" si="37"/>
        <v/>
      </c>
      <c r="K199" s="38" t="str">
        <f t="shared" si="30"/>
        <v/>
      </c>
      <c r="L199" s="38" t="str">
        <f t="shared" si="38"/>
        <v/>
      </c>
      <c r="M199" s="38" t="str">
        <f t="shared" si="39"/>
        <v/>
      </c>
      <c r="N199" s="38" t="str">
        <f t="shared" si="40"/>
        <v/>
      </c>
      <c r="O199" s="38" t="str">
        <f t="shared" si="41"/>
        <v/>
      </c>
      <c r="P199" s="38" t="str">
        <f t="shared" si="31"/>
        <v/>
      </c>
      <c r="Q199" s="38"/>
    </row>
    <row r="200" spans="1:17" x14ac:dyDescent="0.2">
      <c r="A200" t="str">
        <f t="shared" si="32"/>
        <v/>
      </c>
      <c r="B200" s="38" t="str">
        <f t="shared" si="28"/>
        <v/>
      </c>
      <c r="C200" s="38" t="str">
        <f t="shared" si="33"/>
        <v/>
      </c>
      <c r="D200" s="38" t="str">
        <f t="shared" si="34"/>
        <v/>
      </c>
      <c r="E200" s="38" t="str">
        <f t="shared" si="35"/>
        <v/>
      </c>
      <c r="F200" s="38" t="str">
        <f t="shared" si="36"/>
        <v/>
      </c>
      <c r="G200" s="38" t="str">
        <f t="shared" si="29"/>
        <v/>
      </c>
      <c r="H200" s="38"/>
      <c r="J200" t="str">
        <f t="shared" si="37"/>
        <v/>
      </c>
      <c r="K200" s="38" t="str">
        <f t="shared" si="30"/>
        <v/>
      </c>
      <c r="L200" s="38" t="str">
        <f t="shared" si="38"/>
        <v/>
      </c>
      <c r="M200" s="38" t="str">
        <f t="shared" si="39"/>
        <v/>
      </c>
      <c r="N200" s="38" t="str">
        <f t="shared" si="40"/>
        <v/>
      </c>
      <c r="O200" s="38" t="str">
        <f t="shared" si="41"/>
        <v/>
      </c>
      <c r="P200" s="38" t="str">
        <f t="shared" si="31"/>
        <v/>
      </c>
      <c r="Q200" s="38"/>
    </row>
    <row r="201" spans="1:17" x14ac:dyDescent="0.2">
      <c r="A201" t="str">
        <f t="shared" si="32"/>
        <v/>
      </c>
      <c r="B201" s="38" t="str">
        <f t="shared" si="28"/>
        <v/>
      </c>
      <c r="C201" s="38" t="str">
        <f t="shared" si="33"/>
        <v/>
      </c>
      <c r="D201" s="38" t="str">
        <f t="shared" si="34"/>
        <v/>
      </c>
      <c r="E201" s="38" t="str">
        <f t="shared" si="35"/>
        <v/>
      </c>
      <c r="F201" s="38" t="str">
        <f t="shared" si="36"/>
        <v/>
      </c>
      <c r="G201" s="38" t="str">
        <f t="shared" si="29"/>
        <v/>
      </c>
      <c r="H201" s="38"/>
      <c r="J201" t="str">
        <f t="shared" si="37"/>
        <v/>
      </c>
      <c r="K201" s="38" t="str">
        <f t="shared" si="30"/>
        <v/>
      </c>
      <c r="L201" s="38" t="str">
        <f t="shared" si="38"/>
        <v/>
      </c>
      <c r="M201" s="38" t="str">
        <f t="shared" si="39"/>
        <v/>
      </c>
      <c r="N201" s="38" t="str">
        <f t="shared" si="40"/>
        <v/>
      </c>
      <c r="O201" s="38" t="str">
        <f t="shared" si="41"/>
        <v/>
      </c>
      <c r="P201" s="38" t="str">
        <f t="shared" si="31"/>
        <v/>
      </c>
      <c r="Q201" s="38"/>
    </row>
    <row r="202" spans="1:17" x14ac:dyDescent="0.2">
      <c r="A202" t="str">
        <f t="shared" si="32"/>
        <v/>
      </c>
      <c r="B202" s="38" t="str">
        <f t="shared" si="28"/>
        <v/>
      </c>
      <c r="C202" s="38" t="str">
        <f t="shared" si="33"/>
        <v/>
      </c>
      <c r="D202" s="38" t="str">
        <f t="shared" si="34"/>
        <v/>
      </c>
      <c r="E202" s="38" t="str">
        <f t="shared" si="35"/>
        <v/>
      </c>
      <c r="F202" s="38" t="str">
        <f t="shared" si="36"/>
        <v/>
      </c>
      <c r="G202" s="38" t="str">
        <f t="shared" si="29"/>
        <v/>
      </c>
      <c r="H202" s="38"/>
      <c r="J202" t="str">
        <f t="shared" si="37"/>
        <v/>
      </c>
      <c r="K202" s="38" t="str">
        <f t="shared" si="30"/>
        <v/>
      </c>
      <c r="L202" s="38" t="str">
        <f t="shared" si="38"/>
        <v/>
      </c>
      <c r="M202" s="38" t="str">
        <f t="shared" si="39"/>
        <v/>
      </c>
      <c r="N202" s="38" t="str">
        <f t="shared" si="40"/>
        <v/>
      </c>
      <c r="O202" s="38" t="str">
        <f t="shared" si="41"/>
        <v/>
      </c>
      <c r="P202" s="38" t="str">
        <f t="shared" si="31"/>
        <v/>
      </c>
      <c r="Q202" s="38"/>
    </row>
    <row r="203" spans="1:17" x14ac:dyDescent="0.2">
      <c r="A203" t="str">
        <f t="shared" si="32"/>
        <v/>
      </c>
      <c r="B203" s="38" t="str">
        <f t="shared" si="28"/>
        <v/>
      </c>
      <c r="C203" s="38" t="str">
        <f t="shared" si="33"/>
        <v/>
      </c>
      <c r="D203" s="38" t="str">
        <f t="shared" si="34"/>
        <v/>
      </c>
      <c r="E203" s="38" t="str">
        <f t="shared" si="35"/>
        <v/>
      </c>
      <c r="F203" s="38" t="str">
        <f t="shared" si="36"/>
        <v/>
      </c>
      <c r="G203" s="38" t="str">
        <f t="shared" si="29"/>
        <v/>
      </c>
      <c r="H203" s="38"/>
      <c r="J203" t="str">
        <f t="shared" si="37"/>
        <v/>
      </c>
      <c r="K203" s="38" t="str">
        <f t="shared" si="30"/>
        <v/>
      </c>
      <c r="L203" s="38" t="str">
        <f t="shared" si="38"/>
        <v/>
      </c>
      <c r="M203" s="38" t="str">
        <f t="shared" si="39"/>
        <v/>
      </c>
      <c r="N203" s="38" t="str">
        <f t="shared" si="40"/>
        <v/>
      </c>
      <c r="O203" s="38" t="str">
        <f t="shared" si="41"/>
        <v/>
      </c>
      <c r="P203" s="38" t="str">
        <f t="shared" si="31"/>
        <v/>
      </c>
      <c r="Q203" s="38"/>
    </row>
    <row r="204" spans="1:17" x14ac:dyDescent="0.2">
      <c r="A204" t="str">
        <f t="shared" si="32"/>
        <v/>
      </c>
      <c r="B204" s="38" t="str">
        <f t="shared" si="28"/>
        <v/>
      </c>
      <c r="C204" s="38" t="str">
        <f t="shared" si="33"/>
        <v/>
      </c>
      <c r="D204" s="38" t="str">
        <f t="shared" si="34"/>
        <v/>
      </c>
      <c r="E204" s="38" t="str">
        <f t="shared" si="35"/>
        <v/>
      </c>
      <c r="F204" s="38" t="str">
        <f t="shared" si="36"/>
        <v/>
      </c>
      <c r="G204" s="38" t="str">
        <f t="shared" si="29"/>
        <v/>
      </c>
      <c r="H204" s="38"/>
      <c r="J204" t="str">
        <f t="shared" si="37"/>
        <v/>
      </c>
      <c r="K204" s="38" t="str">
        <f t="shared" si="30"/>
        <v/>
      </c>
      <c r="L204" s="38" t="str">
        <f t="shared" si="38"/>
        <v/>
      </c>
      <c r="M204" s="38" t="str">
        <f t="shared" si="39"/>
        <v/>
      </c>
      <c r="N204" s="38" t="str">
        <f t="shared" si="40"/>
        <v/>
      </c>
      <c r="O204" s="38" t="str">
        <f t="shared" si="41"/>
        <v/>
      </c>
      <c r="P204" s="38" t="str">
        <f t="shared" si="31"/>
        <v/>
      </c>
      <c r="Q204" s="38"/>
    </row>
    <row r="205" spans="1:17" x14ac:dyDescent="0.2">
      <c r="A205" t="str">
        <f t="shared" si="32"/>
        <v/>
      </c>
      <c r="B205" s="38" t="str">
        <f t="shared" si="28"/>
        <v/>
      </c>
      <c r="C205" s="38" t="str">
        <f t="shared" si="33"/>
        <v/>
      </c>
      <c r="D205" s="38" t="str">
        <f t="shared" si="34"/>
        <v/>
      </c>
      <c r="E205" s="38" t="str">
        <f t="shared" si="35"/>
        <v/>
      </c>
      <c r="F205" s="38" t="str">
        <f t="shared" si="36"/>
        <v/>
      </c>
      <c r="G205" s="38" t="str">
        <f t="shared" si="29"/>
        <v/>
      </c>
      <c r="H205" s="38"/>
      <c r="J205" t="str">
        <f t="shared" si="37"/>
        <v/>
      </c>
      <c r="K205" s="38" t="str">
        <f t="shared" si="30"/>
        <v/>
      </c>
      <c r="L205" s="38" t="str">
        <f t="shared" si="38"/>
        <v/>
      </c>
      <c r="M205" s="38" t="str">
        <f t="shared" si="39"/>
        <v/>
      </c>
      <c r="N205" s="38" t="str">
        <f t="shared" si="40"/>
        <v/>
      </c>
      <c r="O205" s="38" t="str">
        <f t="shared" si="41"/>
        <v/>
      </c>
      <c r="P205" s="38" t="str">
        <f t="shared" si="31"/>
        <v/>
      </c>
      <c r="Q205" s="38"/>
    </row>
    <row r="206" spans="1:17" x14ac:dyDescent="0.2">
      <c r="A206" t="str">
        <f t="shared" si="32"/>
        <v/>
      </c>
      <c r="B206" s="38" t="str">
        <f t="shared" si="28"/>
        <v/>
      </c>
      <c r="C206" s="38" t="str">
        <f t="shared" si="33"/>
        <v/>
      </c>
      <c r="D206" s="38" t="str">
        <f t="shared" si="34"/>
        <v/>
      </c>
      <c r="E206" s="38" t="str">
        <f t="shared" si="35"/>
        <v/>
      </c>
      <c r="F206" s="38" t="str">
        <f t="shared" si="36"/>
        <v/>
      </c>
      <c r="G206" s="38" t="str">
        <f t="shared" si="29"/>
        <v/>
      </c>
      <c r="H206" s="38"/>
      <c r="J206" t="str">
        <f t="shared" si="37"/>
        <v/>
      </c>
      <c r="K206" s="38" t="str">
        <f t="shared" si="30"/>
        <v/>
      </c>
      <c r="L206" s="38" t="str">
        <f t="shared" si="38"/>
        <v/>
      </c>
      <c r="M206" s="38" t="str">
        <f t="shared" si="39"/>
        <v/>
      </c>
      <c r="N206" s="38" t="str">
        <f t="shared" si="40"/>
        <v/>
      </c>
      <c r="O206" s="38" t="str">
        <f t="shared" si="41"/>
        <v/>
      </c>
      <c r="P206" s="38" t="str">
        <f t="shared" si="31"/>
        <v/>
      </c>
      <c r="Q206" s="38"/>
    </row>
    <row r="207" spans="1:17" x14ac:dyDescent="0.2">
      <c r="A207" t="str">
        <f t="shared" si="32"/>
        <v/>
      </c>
      <c r="B207" s="38" t="str">
        <f t="shared" si="28"/>
        <v/>
      </c>
      <c r="C207" s="38" t="str">
        <f t="shared" si="33"/>
        <v/>
      </c>
      <c r="D207" s="38" t="str">
        <f t="shared" si="34"/>
        <v/>
      </c>
      <c r="E207" s="38" t="str">
        <f t="shared" si="35"/>
        <v/>
      </c>
      <c r="F207" s="38" t="str">
        <f t="shared" si="36"/>
        <v/>
      </c>
      <c r="G207" s="38" t="str">
        <f t="shared" si="29"/>
        <v/>
      </c>
      <c r="H207" s="38"/>
      <c r="J207" t="str">
        <f t="shared" si="37"/>
        <v/>
      </c>
      <c r="K207" s="38" t="str">
        <f t="shared" si="30"/>
        <v/>
      </c>
      <c r="L207" s="38" t="str">
        <f t="shared" si="38"/>
        <v/>
      </c>
      <c r="M207" s="38" t="str">
        <f t="shared" si="39"/>
        <v/>
      </c>
      <c r="N207" s="38" t="str">
        <f t="shared" si="40"/>
        <v/>
      </c>
      <c r="O207" s="38" t="str">
        <f t="shared" si="41"/>
        <v/>
      </c>
      <c r="P207" s="38" t="str">
        <f t="shared" si="31"/>
        <v/>
      </c>
      <c r="Q207" s="38"/>
    </row>
    <row r="208" spans="1:17" x14ac:dyDescent="0.2">
      <c r="A208" t="str">
        <f t="shared" si="32"/>
        <v/>
      </c>
      <c r="B208" s="38" t="str">
        <f t="shared" si="28"/>
        <v/>
      </c>
      <c r="C208" s="38" t="str">
        <f t="shared" si="33"/>
        <v/>
      </c>
      <c r="D208" s="38" t="str">
        <f t="shared" si="34"/>
        <v/>
      </c>
      <c r="E208" s="38" t="str">
        <f t="shared" si="35"/>
        <v/>
      </c>
      <c r="F208" s="38" t="str">
        <f t="shared" si="36"/>
        <v/>
      </c>
      <c r="G208" s="38" t="str">
        <f t="shared" si="29"/>
        <v/>
      </c>
      <c r="H208" s="38"/>
      <c r="J208" t="str">
        <f t="shared" si="37"/>
        <v/>
      </c>
      <c r="K208" s="38" t="str">
        <f t="shared" si="30"/>
        <v/>
      </c>
      <c r="L208" s="38" t="str">
        <f t="shared" si="38"/>
        <v/>
      </c>
      <c r="M208" s="38" t="str">
        <f t="shared" si="39"/>
        <v/>
      </c>
      <c r="N208" s="38" t="str">
        <f t="shared" si="40"/>
        <v/>
      </c>
      <c r="O208" s="38" t="str">
        <f t="shared" si="41"/>
        <v/>
      </c>
      <c r="P208" s="38" t="str">
        <f t="shared" si="31"/>
        <v/>
      </c>
      <c r="Q208" s="38"/>
    </row>
    <row r="209" spans="1:17" x14ac:dyDescent="0.2">
      <c r="A209" t="str">
        <f t="shared" si="32"/>
        <v/>
      </c>
      <c r="B209" s="38" t="str">
        <f t="shared" si="28"/>
        <v/>
      </c>
      <c r="C209" s="38" t="str">
        <f t="shared" si="33"/>
        <v/>
      </c>
      <c r="D209" s="38" t="str">
        <f t="shared" si="34"/>
        <v/>
      </c>
      <c r="E209" s="38" t="str">
        <f t="shared" si="35"/>
        <v/>
      </c>
      <c r="F209" s="38" t="str">
        <f t="shared" si="36"/>
        <v/>
      </c>
      <c r="G209" s="38" t="str">
        <f t="shared" si="29"/>
        <v/>
      </c>
      <c r="H209" s="38"/>
      <c r="J209" t="str">
        <f t="shared" si="37"/>
        <v/>
      </c>
      <c r="K209" s="38" t="str">
        <f t="shared" si="30"/>
        <v/>
      </c>
      <c r="L209" s="38" t="str">
        <f t="shared" si="38"/>
        <v/>
      </c>
      <c r="M209" s="38" t="str">
        <f t="shared" si="39"/>
        <v/>
      </c>
      <c r="N209" s="38" t="str">
        <f t="shared" si="40"/>
        <v/>
      </c>
      <c r="O209" s="38" t="str">
        <f t="shared" si="41"/>
        <v/>
      </c>
      <c r="P209" s="38" t="str">
        <f t="shared" si="31"/>
        <v/>
      </c>
      <c r="Q209" s="38"/>
    </row>
    <row r="210" spans="1:17" x14ac:dyDescent="0.2">
      <c r="A210" t="str">
        <f t="shared" si="32"/>
        <v/>
      </c>
      <c r="B210" s="38" t="str">
        <f t="shared" si="28"/>
        <v/>
      </c>
      <c r="C210" s="38" t="str">
        <f t="shared" si="33"/>
        <v/>
      </c>
      <c r="D210" s="38" t="str">
        <f t="shared" si="34"/>
        <v/>
      </c>
      <c r="E210" s="38" t="str">
        <f t="shared" si="35"/>
        <v/>
      </c>
      <c r="F210" s="38" t="str">
        <f t="shared" si="36"/>
        <v/>
      </c>
      <c r="G210" s="38" t="str">
        <f t="shared" si="29"/>
        <v/>
      </c>
      <c r="H210" s="38"/>
      <c r="J210" t="str">
        <f t="shared" si="37"/>
        <v/>
      </c>
      <c r="K210" s="38" t="str">
        <f t="shared" si="30"/>
        <v/>
      </c>
      <c r="L210" s="38" t="str">
        <f t="shared" si="38"/>
        <v/>
      </c>
      <c r="M210" s="38" t="str">
        <f t="shared" si="39"/>
        <v/>
      </c>
      <c r="N210" s="38" t="str">
        <f t="shared" si="40"/>
        <v/>
      </c>
      <c r="O210" s="38" t="str">
        <f t="shared" si="41"/>
        <v/>
      </c>
      <c r="P210" s="38" t="str">
        <f t="shared" si="31"/>
        <v/>
      </c>
      <c r="Q210" s="38"/>
    </row>
    <row r="211" spans="1:17" x14ac:dyDescent="0.2">
      <c r="A211" t="str">
        <f t="shared" si="32"/>
        <v/>
      </c>
      <c r="B211" s="38" t="str">
        <f t="shared" si="28"/>
        <v/>
      </c>
      <c r="C211" s="38" t="str">
        <f t="shared" si="33"/>
        <v/>
      </c>
      <c r="D211" s="38" t="str">
        <f t="shared" si="34"/>
        <v/>
      </c>
      <c r="E211" s="38" t="str">
        <f t="shared" si="35"/>
        <v/>
      </c>
      <c r="F211" s="38" t="str">
        <f t="shared" si="36"/>
        <v/>
      </c>
      <c r="G211" s="38" t="str">
        <f t="shared" si="29"/>
        <v/>
      </c>
      <c r="H211" s="38"/>
      <c r="J211" t="str">
        <f t="shared" si="37"/>
        <v/>
      </c>
      <c r="K211" s="38" t="str">
        <f t="shared" si="30"/>
        <v/>
      </c>
      <c r="L211" s="38" t="str">
        <f t="shared" si="38"/>
        <v/>
      </c>
      <c r="M211" s="38" t="str">
        <f t="shared" si="39"/>
        <v/>
      </c>
      <c r="N211" s="38" t="str">
        <f t="shared" si="40"/>
        <v/>
      </c>
      <c r="O211" s="38" t="str">
        <f t="shared" si="41"/>
        <v/>
      </c>
      <c r="P211" s="38" t="str">
        <f t="shared" si="31"/>
        <v/>
      </c>
      <c r="Q211" s="38"/>
    </row>
    <row r="212" spans="1:17" x14ac:dyDescent="0.2">
      <c r="A212" t="str">
        <f t="shared" si="32"/>
        <v/>
      </c>
      <c r="B212" s="38" t="str">
        <f t="shared" si="28"/>
        <v/>
      </c>
      <c r="C212" s="38" t="str">
        <f t="shared" si="33"/>
        <v/>
      </c>
      <c r="D212" s="38" t="str">
        <f t="shared" si="34"/>
        <v/>
      </c>
      <c r="E212" s="38" t="str">
        <f t="shared" si="35"/>
        <v/>
      </c>
      <c r="F212" s="38" t="str">
        <f t="shared" si="36"/>
        <v/>
      </c>
      <c r="G212" s="38" t="str">
        <f t="shared" si="29"/>
        <v/>
      </c>
      <c r="H212" s="38"/>
      <c r="J212" t="str">
        <f t="shared" si="37"/>
        <v/>
      </c>
      <c r="K212" s="38" t="str">
        <f t="shared" si="30"/>
        <v/>
      </c>
      <c r="L212" s="38" t="str">
        <f t="shared" si="38"/>
        <v/>
      </c>
      <c r="M212" s="38" t="str">
        <f t="shared" si="39"/>
        <v/>
      </c>
      <c r="N212" s="38" t="str">
        <f t="shared" si="40"/>
        <v/>
      </c>
      <c r="O212" s="38" t="str">
        <f t="shared" si="41"/>
        <v/>
      </c>
      <c r="P212" s="38" t="str">
        <f t="shared" si="31"/>
        <v/>
      </c>
      <c r="Q212" s="38"/>
    </row>
    <row r="213" spans="1:17" x14ac:dyDescent="0.2">
      <c r="A213" t="str">
        <f t="shared" si="32"/>
        <v/>
      </c>
      <c r="B213" s="38" t="str">
        <f t="shared" si="28"/>
        <v/>
      </c>
      <c r="C213" s="38" t="str">
        <f t="shared" si="33"/>
        <v/>
      </c>
      <c r="D213" s="38" t="str">
        <f t="shared" si="34"/>
        <v/>
      </c>
      <c r="E213" s="38" t="str">
        <f t="shared" si="35"/>
        <v/>
      </c>
      <c r="F213" s="38" t="str">
        <f t="shared" si="36"/>
        <v/>
      </c>
      <c r="G213" s="38" t="str">
        <f t="shared" si="29"/>
        <v/>
      </c>
      <c r="H213" s="38"/>
      <c r="J213" t="str">
        <f t="shared" si="37"/>
        <v/>
      </c>
      <c r="K213" s="38" t="str">
        <f t="shared" si="30"/>
        <v/>
      </c>
      <c r="L213" s="38" t="str">
        <f t="shared" si="38"/>
        <v/>
      </c>
      <c r="M213" s="38" t="str">
        <f t="shared" si="39"/>
        <v/>
      </c>
      <c r="N213" s="38" t="str">
        <f t="shared" si="40"/>
        <v/>
      </c>
      <c r="O213" s="38" t="str">
        <f t="shared" si="41"/>
        <v/>
      </c>
      <c r="P213" s="38" t="str">
        <f t="shared" si="31"/>
        <v/>
      </c>
      <c r="Q213" s="38"/>
    </row>
    <row r="214" spans="1:17" x14ac:dyDescent="0.2">
      <c r="A214" t="str">
        <f t="shared" si="32"/>
        <v/>
      </c>
      <c r="B214" s="38" t="str">
        <f t="shared" si="28"/>
        <v/>
      </c>
      <c r="C214" s="38" t="str">
        <f t="shared" si="33"/>
        <v/>
      </c>
      <c r="D214" s="38" t="str">
        <f t="shared" si="34"/>
        <v/>
      </c>
      <c r="E214" s="38" t="str">
        <f t="shared" si="35"/>
        <v/>
      </c>
      <c r="F214" s="38" t="str">
        <f t="shared" si="36"/>
        <v/>
      </c>
      <c r="G214" s="38" t="str">
        <f t="shared" si="29"/>
        <v/>
      </c>
      <c r="H214" s="38"/>
      <c r="J214" t="str">
        <f t="shared" si="37"/>
        <v/>
      </c>
      <c r="K214" s="38" t="str">
        <f t="shared" si="30"/>
        <v/>
      </c>
      <c r="L214" s="38" t="str">
        <f t="shared" si="38"/>
        <v/>
      </c>
      <c r="M214" s="38" t="str">
        <f t="shared" si="39"/>
        <v/>
      </c>
      <c r="N214" s="38" t="str">
        <f t="shared" si="40"/>
        <v/>
      </c>
      <c r="O214" s="38" t="str">
        <f t="shared" si="41"/>
        <v/>
      </c>
      <c r="P214" s="38" t="str">
        <f t="shared" si="31"/>
        <v/>
      </c>
      <c r="Q214" s="38"/>
    </row>
    <row r="215" spans="1:17" x14ac:dyDescent="0.2">
      <c r="A215" t="str">
        <f t="shared" si="32"/>
        <v/>
      </c>
      <c r="B215" s="38" t="str">
        <f t="shared" ref="B215:B278" si="42">IF(A215="","",F214)</f>
        <v/>
      </c>
      <c r="C215" s="38" t="str">
        <f t="shared" si="33"/>
        <v/>
      </c>
      <c r="D215" s="38" t="str">
        <f t="shared" si="34"/>
        <v/>
      </c>
      <c r="E215" s="38" t="str">
        <f t="shared" si="35"/>
        <v/>
      </c>
      <c r="F215" s="38" t="str">
        <f t="shared" si="36"/>
        <v/>
      </c>
      <c r="G215" s="38" t="str">
        <f t="shared" ref="G215:G278" si="43">IF(A215="","", (G214+C215))</f>
        <v/>
      </c>
      <c r="H215" s="38"/>
      <c r="J215" t="str">
        <f t="shared" si="37"/>
        <v/>
      </c>
      <c r="K215" s="38" t="str">
        <f t="shared" ref="K215:K278" si="44">IF(J215="","",O214)</f>
        <v/>
      </c>
      <c r="L215" s="38" t="str">
        <f t="shared" si="38"/>
        <v/>
      </c>
      <c r="M215" s="38" t="str">
        <f t="shared" si="39"/>
        <v/>
      </c>
      <c r="N215" s="38" t="str">
        <f t="shared" si="40"/>
        <v/>
      </c>
      <c r="O215" s="38" t="str">
        <f t="shared" si="41"/>
        <v/>
      </c>
      <c r="P215" s="38" t="str">
        <f t="shared" ref="P215:P278" si="45">IF(J215="","", (P214+L215))</f>
        <v/>
      </c>
      <c r="Q215" s="38"/>
    </row>
    <row r="216" spans="1:17" x14ac:dyDescent="0.2">
      <c r="A216" t="str">
        <f t="shared" ref="A216:A279" si="46">IF(A215&lt;($B$7*$B$8),A215+1,"")</f>
        <v/>
      </c>
      <c r="B216" s="38" t="str">
        <f t="shared" si="42"/>
        <v/>
      </c>
      <c r="C216" s="38" t="str">
        <f t="shared" ref="C216:C279" si="47">IF(A216="","",(B216*$B$6))</f>
        <v/>
      </c>
      <c r="D216" s="38" t="str">
        <f t="shared" ref="D216:D279" si="48">IF(A216="","", $B$3)</f>
        <v/>
      </c>
      <c r="E216" s="38" t="str">
        <f t="shared" ref="E216:E279" si="49">IF(D216="","",(D216-C216))</f>
        <v/>
      </c>
      <c r="F216" s="38" t="str">
        <f t="shared" ref="F216:F279" si="50">IF(A216="","", B216+C216+D216)</f>
        <v/>
      </c>
      <c r="G216" s="38" t="str">
        <f t="shared" si="43"/>
        <v/>
      </c>
      <c r="H216" s="38"/>
      <c r="J216" t="str">
        <f t="shared" ref="J216:J279" si="51">IF(J215&lt;($B$7*$B$8),J215+1,"")</f>
        <v/>
      </c>
      <c r="K216" s="38" t="str">
        <f t="shared" si="44"/>
        <v/>
      </c>
      <c r="L216" s="38" t="str">
        <f t="shared" ref="L216:L279" si="52">IF(J216="","",((K216 + M216)*$B$6))</f>
        <v/>
      </c>
      <c r="M216" s="38" t="str">
        <f t="shared" ref="M216:M279" si="53">IF(J216="","", $B$3)</f>
        <v/>
      </c>
      <c r="N216" s="38" t="str">
        <f t="shared" ref="N216:N279" si="54">IF(M216="","",(M216-L216))</f>
        <v/>
      </c>
      <c r="O216" s="38" t="str">
        <f t="shared" ref="O216:O279" si="55">IF(J216="","", K216+L216+M216)</f>
        <v/>
      </c>
      <c r="P216" s="38" t="str">
        <f t="shared" si="45"/>
        <v/>
      </c>
      <c r="Q216" s="38"/>
    </row>
    <row r="217" spans="1:17" x14ac:dyDescent="0.2">
      <c r="A217" t="str">
        <f t="shared" si="46"/>
        <v/>
      </c>
      <c r="B217" s="38" t="str">
        <f t="shared" si="42"/>
        <v/>
      </c>
      <c r="C217" s="38" t="str">
        <f t="shared" si="47"/>
        <v/>
      </c>
      <c r="D217" s="38" t="str">
        <f t="shared" si="48"/>
        <v/>
      </c>
      <c r="E217" s="38" t="str">
        <f t="shared" si="49"/>
        <v/>
      </c>
      <c r="F217" s="38" t="str">
        <f t="shared" si="50"/>
        <v/>
      </c>
      <c r="G217" s="38" t="str">
        <f t="shared" si="43"/>
        <v/>
      </c>
      <c r="H217" s="38"/>
      <c r="J217" t="str">
        <f t="shared" si="51"/>
        <v/>
      </c>
      <c r="K217" s="38" t="str">
        <f t="shared" si="44"/>
        <v/>
      </c>
      <c r="L217" s="38" t="str">
        <f t="shared" si="52"/>
        <v/>
      </c>
      <c r="M217" s="38" t="str">
        <f t="shared" si="53"/>
        <v/>
      </c>
      <c r="N217" s="38" t="str">
        <f t="shared" si="54"/>
        <v/>
      </c>
      <c r="O217" s="38" t="str">
        <f t="shared" si="55"/>
        <v/>
      </c>
      <c r="P217" s="38" t="str">
        <f t="shared" si="45"/>
        <v/>
      </c>
      <c r="Q217" s="38"/>
    </row>
    <row r="218" spans="1:17" x14ac:dyDescent="0.2">
      <c r="A218" t="str">
        <f t="shared" si="46"/>
        <v/>
      </c>
      <c r="B218" s="38" t="str">
        <f t="shared" si="42"/>
        <v/>
      </c>
      <c r="C218" s="38" t="str">
        <f t="shared" si="47"/>
        <v/>
      </c>
      <c r="D218" s="38" t="str">
        <f t="shared" si="48"/>
        <v/>
      </c>
      <c r="E218" s="38" t="str">
        <f t="shared" si="49"/>
        <v/>
      </c>
      <c r="F218" s="38" t="str">
        <f t="shared" si="50"/>
        <v/>
      </c>
      <c r="G218" s="38" t="str">
        <f t="shared" si="43"/>
        <v/>
      </c>
      <c r="H218" s="38"/>
      <c r="J218" t="str">
        <f t="shared" si="51"/>
        <v/>
      </c>
      <c r="K218" s="38" t="str">
        <f t="shared" si="44"/>
        <v/>
      </c>
      <c r="L218" s="38" t="str">
        <f t="shared" si="52"/>
        <v/>
      </c>
      <c r="M218" s="38" t="str">
        <f t="shared" si="53"/>
        <v/>
      </c>
      <c r="N218" s="38" t="str">
        <f t="shared" si="54"/>
        <v/>
      </c>
      <c r="O218" s="38" t="str">
        <f t="shared" si="55"/>
        <v/>
      </c>
      <c r="P218" s="38" t="str">
        <f t="shared" si="45"/>
        <v/>
      </c>
      <c r="Q218" s="38"/>
    </row>
    <row r="219" spans="1:17" x14ac:dyDescent="0.2">
      <c r="A219" t="str">
        <f t="shared" si="46"/>
        <v/>
      </c>
      <c r="B219" s="38" t="str">
        <f t="shared" si="42"/>
        <v/>
      </c>
      <c r="C219" s="38" t="str">
        <f t="shared" si="47"/>
        <v/>
      </c>
      <c r="D219" s="38" t="str">
        <f t="shared" si="48"/>
        <v/>
      </c>
      <c r="E219" s="38" t="str">
        <f t="shared" si="49"/>
        <v/>
      </c>
      <c r="F219" s="38" t="str">
        <f t="shared" si="50"/>
        <v/>
      </c>
      <c r="G219" s="38" t="str">
        <f t="shared" si="43"/>
        <v/>
      </c>
      <c r="H219" s="38"/>
      <c r="J219" t="str">
        <f t="shared" si="51"/>
        <v/>
      </c>
      <c r="K219" s="38" t="str">
        <f t="shared" si="44"/>
        <v/>
      </c>
      <c r="L219" s="38" t="str">
        <f t="shared" si="52"/>
        <v/>
      </c>
      <c r="M219" s="38" t="str">
        <f t="shared" si="53"/>
        <v/>
      </c>
      <c r="N219" s="38" t="str">
        <f t="shared" si="54"/>
        <v/>
      </c>
      <c r="O219" s="38" t="str">
        <f t="shared" si="55"/>
        <v/>
      </c>
      <c r="P219" s="38" t="str">
        <f t="shared" si="45"/>
        <v/>
      </c>
      <c r="Q219" s="38"/>
    </row>
    <row r="220" spans="1:17" x14ac:dyDescent="0.2">
      <c r="A220" t="str">
        <f t="shared" si="46"/>
        <v/>
      </c>
      <c r="B220" s="38" t="str">
        <f t="shared" si="42"/>
        <v/>
      </c>
      <c r="C220" s="38" t="str">
        <f t="shared" si="47"/>
        <v/>
      </c>
      <c r="D220" s="38" t="str">
        <f t="shared" si="48"/>
        <v/>
      </c>
      <c r="E220" s="38" t="str">
        <f t="shared" si="49"/>
        <v/>
      </c>
      <c r="F220" s="38" t="str">
        <f t="shared" si="50"/>
        <v/>
      </c>
      <c r="G220" s="38" t="str">
        <f t="shared" si="43"/>
        <v/>
      </c>
      <c r="H220" s="38"/>
      <c r="J220" t="str">
        <f t="shared" si="51"/>
        <v/>
      </c>
      <c r="K220" s="38" t="str">
        <f t="shared" si="44"/>
        <v/>
      </c>
      <c r="L220" s="38" t="str">
        <f t="shared" si="52"/>
        <v/>
      </c>
      <c r="M220" s="38" t="str">
        <f t="shared" si="53"/>
        <v/>
      </c>
      <c r="N220" s="38" t="str">
        <f t="shared" si="54"/>
        <v/>
      </c>
      <c r="O220" s="38" t="str">
        <f t="shared" si="55"/>
        <v/>
      </c>
      <c r="P220" s="38" t="str">
        <f t="shared" si="45"/>
        <v/>
      </c>
      <c r="Q220" s="38"/>
    </row>
    <row r="221" spans="1:17" x14ac:dyDescent="0.2">
      <c r="A221" t="str">
        <f t="shared" si="46"/>
        <v/>
      </c>
      <c r="B221" s="38" t="str">
        <f t="shared" si="42"/>
        <v/>
      </c>
      <c r="C221" s="38" t="str">
        <f t="shared" si="47"/>
        <v/>
      </c>
      <c r="D221" s="38" t="str">
        <f t="shared" si="48"/>
        <v/>
      </c>
      <c r="E221" s="38" t="str">
        <f t="shared" si="49"/>
        <v/>
      </c>
      <c r="F221" s="38" t="str">
        <f t="shared" si="50"/>
        <v/>
      </c>
      <c r="G221" s="38" t="str">
        <f t="shared" si="43"/>
        <v/>
      </c>
      <c r="H221" s="38"/>
      <c r="J221" t="str">
        <f t="shared" si="51"/>
        <v/>
      </c>
      <c r="K221" s="38" t="str">
        <f t="shared" si="44"/>
        <v/>
      </c>
      <c r="L221" s="38" t="str">
        <f t="shared" si="52"/>
        <v/>
      </c>
      <c r="M221" s="38" t="str">
        <f t="shared" si="53"/>
        <v/>
      </c>
      <c r="N221" s="38" t="str">
        <f t="shared" si="54"/>
        <v/>
      </c>
      <c r="O221" s="38" t="str">
        <f t="shared" si="55"/>
        <v/>
      </c>
      <c r="P221" s="38" t="str">
        <f t="shared" si="45"/>
        <v/>
      </c>
      <c r="Q221" s="38"/>
    </row>
    <row r="222" spans="1:17" x14ac:dyDescent="0.2">
      <c r="A222" t="str">
        <f t="shared" si="46"/>
        <v/>
      </c>
      <c r="B222" s="38" t="str">
        <f t="shared" si="42"/>
        <v/>
      </c>
      <c r="C222" s="38" t="str">
        <f t="shared" si="47"/>
        <v/>
      </c>
      <c r="D222" s="38" t="str">
        <f t="shared" si="48"/>
        <v/>
      </c>
      <c r="E222" s="38" t="str">
        <f t="shared" si="49"/>
        <v/>
      </c>
      <c r="F222" s="38" t="str">
        <f t="shared" si="50"/>
        <v/>
      </c>
      <c r="G222" s="38" t="str">
        <f t="shared" si="43"/>
        <v/>
      </c>
      <c r="H222" s="38"/>
      <c r="J222" t="str">
        <f t="shared" si="51"/>
        <v/>
      </c>
      <c r="K222" s="38" t="str">
        <f t="shared" si="44"/>
        <v/>
      </c>
      <c r="L222" s="38" t="str">
        <f t="shared" si="52"/>
        <v/>
      </c>
      <c r="M222" s="38" t="str">
        <f t="shared" si="53"/>
        <v/>
      </c>
      <c r="N222" s="38" t="str">
        <f t="shared" si="54"/>
        <v/>
      </c>
      <c r="O222" s="38" t="str">
        <f t="shared" si="55"/>
        <v/>
      </c>
      <c r="P222" s="38" t="str">
        <f t="shared" si="45"/>
        <v/>
      </c>
      <c r="Q222" s="38"/>
    </row>
    <row r="223" spans="1:17" x14ac:dyDescent="0.2">
      <c r="A223" t="str">
        <f t="shared" si="46"/>
        <v/>
      </c>
      <c r="B223" s="38" t="str">
        <f t="shared" si="42"/>
        <v/>
      </c>
      <c r="C223" s="38" t="str">
        <f t="shared" si="47"/>
        <v/>
      </c>
      <c r="D223" s="38" t="str">
        <f t="shared" si="48"/>
        <v/>
      </c>
      <c r="E223" s="38" t="str">
        <f t="shared" si="49"/>
        <v/>
      </c>
      <c r="F223" s="38" t="str">
        <f t="shared" si="50"/>
        <v/>
      </c>
      <c r="G223" s="38" t="str">
        <f t="shared" si="43"/>
        <v/>
      </c>
      <c r="H223" s="38"/>
      <c r="J223" t="str">
        <f t="shared" si="51"/>
        <v/>
      </c>
      <c r="K223" s="38" t="str">
        <f t="shared" si="44"/>
        <v/>
      </c>
      <c r="L223" s="38" t="str">
        <f t="shared" si="52"/>
        <v/>
      </c>
      <c r="M223" s="38" t="str">
        <f t="shared" si="53"/>
        <v/>
      </c>
      <c r="N223" s="38" t="str">
        <f t="shared" si="54"/>
        <v/>
      </c>
      <c r="O223" s="38" t="str">
        <f t="shared" si="55"/>
        <v/>
      </c>
      <c r="P223" s="38" t="str">
        <f t="shared" si="45"/>
        <v/>
      </c>
      <c r="Q223" s="38"/>
    </row>
    <row r="224" spans="1:17" x14ac:dyDescent="0.2">
      <c r="A224" t="str">
        <f t="shared" si="46"/>
        <v/>
      </c>
      <c r="B224" s="38" t="str">
        <f t="shared" si="42"/>
        <v/>
      </c>
      <c r="C224" s="38" t="str">
        <f t="shared" si="47"/>
        <v/>
      </c>
      <c r="D224" s="38" t="str">
        <f t="shared" si="48"/>
        <v/>
      </c>
      <c r="E224" s="38" t="str">
        <f t="shared" si="49"/>
        <v/>
      </c>
      <c r="F224" s="38" t="str">
        <f t="shared" si="50"/>
        <v/>
      </c>
      <c r="G224" s="38" t="str">
        <f t="shared" si="43"/>
        <v/>
      </c>
      <c r="H224" s="38"/>
      <c r="J224" t="str">
        <f t="shared" si="51"/>
        <v/>
      </c>
      <c r="K224" s="38" t="str">
        <f t="shared" si="44"/>
        <v/>
      </c>
      <c r="L224" s="38" t="str">
        <f t="shared" si="52"/>
        <v/>
      </c>
      <c r="M224" s="38" t="str">
        <f t="shared" si="53"/>
        <v/>
      </c>
      <c r="N224" s="38" t="str">
        <f t="shared" si="54"/>
        <v/>
      </c>
      <c r="O224" s="38" t="str">
        <f t="shared" si="55"/>
        <v/>
      </c>
      <c r="P224" s="38" t="str">
        <f t="shared" si="45"/>
        <v/>
      </c>
      <c r="Q224" s="38"/>
    </row>
    <row r="225" spans="1:17" x14ac:dyDescent="0.2">
      <c r="A225" t="str">
        <f t="shared" si="46"/>
        <v/>
      </c>
      <c r="B225" s="38" t="str">
        <f t="shared" si="42"/>
        <v/>
      </c>
      <c r="C225" s="38" t="str">
        <f t="shared" si="47"/>
        <v/>
      </c>
      <c r="D225" s="38" t="str">
        <f t="shared" si="48"/>
        <v/>
      </c>
      <c r="E225" s="38" t="str">
        <f t="shared" si="49"/>
        <v/>
      </c>
      <c r="F225" s="38" t="str">
        <f t="shared" si="50"/>
        <v/>
      </c>
      <c r="G225" s="38" t="str">
        <f t="shared" si="43"/>
        <v/>
      </c>
      <c r="H225" s="38"/>
      <c r="J225" t="str">
        <f t="shared" si="51"/>
        <v/>
      </c>
      <c r="K225" s="38" t="str">
        <f t="shared" si="44"/>
        <v/>
      </c>
      <c r="L225" s="38" t="str">
        <f t="shared" si="52"/>
        <v/>
      </c>
      <c r="M225" s="38" t="str">
        <f t="shared" si="53"/>
        <v/>
      </c>
      <c r="N225" s="38" t="str">
        <f t="shared" si="54"/>
        <v/>
      </c>
      <c r="O225" s="38" t="str">
        <f t="shared" si="55"/>
        <v/>
      </c>
      <c r="P225" s="38" t="str">
        <f t="shared" si="45"/>
        <v/>
      </c>
      <c r="Q225" s="38"/>
    </row>
    <row r="226" spans="1:17" x14ac:dyDescent="0.2">
      <c r="A226" t="str">
        <f t="shared" si="46"/>
        <v/>
      </c>
      <c r="B226" s="38" t="str">
        <f t="shared" si="42"/>
        <v/>
      </c>
      <c r="C226" s="38" t="str">
        <f t="shared" si="47"/>
        <v/>
      </c>
      <c r="D226" s="38" t="str">
        <f t="shared" si="48"/>
        <v/>
      </c>
      <c r="E226" s="38" t="str">
        <f t="shared" si="49"/>
        <v/>
      </c>
      <c r="F226" s="38" t="str">
        <f t="shared" si="50"/>
        <v/>
      </c>
      <c r="G226" s="38" t="str">
        <f t="shared" si="43"/>
        <v/>
      </c>
      <c r="H226" s="38"/>
      <c r="J226" t="str">
        <f t="shared" si="51"/>
        <v/>
      </c>
      <c r="K226" s="38" t="str">
        <f t="shared" si="44"/>
        <v/>
      </c>
      <c r="L226" s="38" t="str">
        <f t="shared" si="52"/>
        <v/>
      </c>
      <c r="M226" s="38" t="str">
        <f t="shared" si="53"/>
        <v/>
      </c>
      <c r="N226" s="38" t="str">
        <f t="shared" si="54"/>
        <v/>
      </c>
      <c r="O226" s="38" t="str">
        <f t="shared" si="55"/>
        <v/>
      </c>
      <c r="P226" s="38" t="str">
        <f t="shared" si="45"/>
        <v/>
      </c>
      <c r="Q226" s="38"/>
    </row>
    <row r="227" spans="1:17" x14ac:dyDescent="0.2">
      <c r="A227" t="str">
        <f t="shared" si="46"/>
        <v/>
      </c>
      <c r="B227" s="38" t="str">
        <f t="shared" si="42"/>
        <v/>
      </c>
      <c r="C227" s="38" t="str">
        <f t="shared" si="47"/>
        <v/>
      </c>
      <c r="D227" s="38" t="str">
        <f t="shared" si="48"/>
        <v/>
      </c>
      <c r="E227" s="38" t="str">
        <f t="shared" si="49"/>
        <v/>
      </c>
      <c r="F227" s="38" t="str">
        <f t="shared" si="50"/>
        <v/>
      </c>
      <c r="G227" s="38" t="str">
        <f t="shared" si="43"/>
        <v/>
      </c>
      <c r="H227" s="38"/>
      <c r="J227" t="str">
        <f t="shared" si="51"/>
        <v/>
      </c>
      <c r="K227" s="38" t="str">
        <f t="shared" si="44"/>
        <v/>
      </c>
      <c r="L227" s="38" t="str">
        <f t="shared" si="52"/>
        <v/>
      </c>
      <c r="M227" s="38" t="str">
        <f t="shared" si="53"/>
        <v/>
      </c>
      <c r="N227" s="38" t="str">
        <f t="shared" si="54"/>
        <v/>
      </c>
      <c r="O227" s="38" t="str">
        <f t="shared" si="55"/>
        <v/>
      </c>
      <c r="P227" s="38" t="str">
        <f t="shared" si="45"/>
        <v/>
      </c>
      <c r="Q227" s="38"/>
    </row>
    <row r="228" spans="1:17" x14ac:dyDescent="0.2">
      <c r="A228" t="str">
        <f t="shared" si="46"/>
        <v/>
      </c>
      <c r="B228" s="38" t="str">
        <f t="shared" si="42"/>
        <v/>
      </c>
      <c r="C228" s="38" t="str">
        <f t="shared" si="47"/>
        <v/>
      </c>
      <c r="D228" s="38" t="str">
        <f t="shared" si="48"/>
        <v/>
      </c>
      <c r="E228" s="38" t="str">
        <f t="shared" si="49"/>
        <v/>
      </c>
      <c r="F228" s="38" t="str">
        <f t="shared" si="50"/>
        <v/>
      </c>
      <c r="G228" s="38" t="str">
        <f t="shared" si="43"/>
        <v/>
      </c>
      <c r="H228" s="38"/>
      <c r="J228" t="str">
        <f t="shared" si="51"/>
        <v/>
      </c>
      <c r="K228" s="38" t="str">
        <f t="shared" si="44"/>
        <v/>
      </c>
      <c r="L228" s="38" t="str">
        <f t="shared" si="52"/>
        <v/>
      </c>
      <c r="M228" s="38" t="str">
        <f t="shared" si="53"/>
        <v/>
      </c>
      <c r="N228" s="38" t="str">
        <f t="shared" si="54"/>
        <v/>
      </c>
      <c r="O228" s="38" t="str">
        <f t="shared" si="55"/>
        <v/>
      </c>
      <c r="P228" s="38" t="str">
        <f t="shared" si="45"/>
        <v/>
      </c>
      <c r="Q228" s="38"/>
    </row>
    <row r="229" spans="1:17" x14ac:dyDescent="0.2">
      <c r="A229" t="str">
        <f t="shared" si="46"/>
        <v/>
      </c>
      <c r="B229" s="38" t="str">
        <f t="shared" si="42"/>
        <v/>
      </c>
      <c r="C229" s="38" t="str">
        <f t="shared" si="47"/>
        <v/>
      </c>
      <c r="D229" s="38" t="str">
        <f t="shared" si="48"/>
        <v/>
      </c>
      <c r="E229" s="38" t="str">
        <f t="shared" si="49"/>
        <v/>
      </c>
      <c r="F229" s="38" t="str">
        <f t="shared" si="50"/>
        <v/>
      </c>
      <c r="G229" s="38" t="str">
        <f t="shared" si="43"/>
        <v/>
      </c>
      <c r="H229" s="38"/>
      <c r="J229" t="str">
        <f t="shared" si="51"/>
        <v/>
      </c>
      <c r="K229" s="38" t="str">
        <f t="shared" si="44"/>
        <v/>
      </c>
      <c r="L229" s="38" t="str">
        <f t="shared" si="52"/>
        <v/>
      </c>
      <c r="M229" s="38" t="str">
        <f t="shared" si="53"/>
        <v/>
      </c>
      <c r="N229" s="38" t="str">
        <f t="shared" si="54"/>
        <v/>
      </c>
      <c r="O229" s="38" t="str">
        <f t="shared" si="55"/>
        <v/>
      </c>
      <c r="P229" s="38" t="str">
        <f t="shared" si="45"/>
        <v/>
      </c>
      <c r="Q229" s="38"/>
    </row>
    <row r="230" spans="1:17" x14ac:dyDescent="0.2">
      <c r="A230" t="str">
        <f t="shared" si="46"/>
        <v/>
      </c>
      <c r="B230" s="38" t="str">
        <f t="shared" si="42"/>
        <v/>
      </c>
      <c r="C230" s="38" t="str">
        <f t="shared" si="47"/>
        <v/>
      </c>
      <c r="D230" s="38" t="str">
        <f t="shared" si="48"/>
        <v/>
      </c>
      <c r="E230" s="38" t="str">
        <f t="shared" si="49"/>
        <v/>
      </c>
      <c r="F230" s="38" t="str">
        <f t="shared" si="50"/>
        <v/>
      </c>
      <c r="G230" s="38" t="str">
        <f t="shared" si="43"/>
        <v/>
      </c>
      <c r="H230" s="38"/>
      <c r="J230" t="str">
        <f t="shared" si="51"/>
        <v/>
      </c>
      <c r="K230" s="38" t="str">
        <f t="shared" si="44"/>
        <v/>
      </c>
      <c r="L230" s="38" t="str">
        <f t="shared" si="52"/>
        <v/>
      </c>
      <c r="M230" s="38" t="str">
        <f t="shared" si="53"/>
        <v/>
      </c>
      <c r="N230" s="38" t="str">
        <f t="shared" si="54"/>
        <v/>
      </c>
      <c r="O230" s="38" t="str">
        <f t="shared" si="55"/>
        <v/>
      </c>
      <c r="P230" s="38" t="str">
        <f t="shared" si="45"/>
        <v/>
      </c>
      <c r="Q230" s="38"/>
    </row>
    <row r="231" spans="1:17" x14ac:dyDescent="0.2">
      <c r="A231" t="str">
        <f t="shared" si="46"/>
        <v/>
      </c>
      <c r="B231" s="38" t="str">
        <f t="shared" si="42"/>
        <v/>
      </c>
      <c r="C231" s="38" t="str">
        <f t="shared" si="47"/>
        <v/>
      </c>
      <c r="D231" s="38" t="str">
        <f t="shared" si="48"/>
        <v/>
      </c>
      <c r="E231" s="38" t="str">
        <f t="shared" si="49"/>
        <v/>
      </c>
      <c r="F231" s="38" t="str">
        <f t="shared" si="50"/>
        <v/>
      </c>
      <c r="G231" s="38" t="str">
        <f t="shared" si="43"/>
        <v/>
      </c>
      <c r="H231" s="38"/>
      <c r="J231" t="str">
        <f t="shared" si="51"/>
        <v/>
      </c>
      <c r="K231" s="38" t="str">
        <f t="shared" si="44"/>
        <v/>
      </c>
      <c r="L231" s="38" t="str">
        <f t="shared" si="52"/>
        <v/>
      </c>
      <c r="M231" s="38" t="str">
        <f t="shared" si="53"/>
        <v/>
      </c>
      <c r="N231" s="38" t="str">
        <f t="shared" si="54"/>
        <v/>
      </c>
      <c r="O231" s="38" t="str">
        <f t="shared" si="55"/>
        <v/>
      </c>
      <c r="P231" s="38" t="str">
        <f t="shared" si="45"/>
        <v/>
      </c>
      <c r="Q231" s="38"/>
    </row>
    <row r="232" spans="1:17" x14ac:dyDescent="0.2">
      <c r="A232" t="str">
        <f t="shared" si="46"/>
        <v/>
      </c>
      <c r="B232" s="38" t="str">
        <f t="shared" si="42"/>
        <v/>
      </c>
      <c r="C232" s="38" t="str">
        <f t="shared" si="47"/>
        <v/>
      </c>
      <c r="D232" s="38" t="str">
        <f t="shared" si="48"/>
        <v/>
      </c>
      <c r="E232" s="38" t="str">
        <f t="shared" si="49"/>
        <v/>
      </c>
      <c r="F232" s="38" t="str">
        <f t="shared" si="50"/>
        <v/>
      </c>
      <c r="G232" s="38" t="str">
        <f t="shared" si="43"/>
        <v/>
      </c>
      <c r="H232" s="38"/>
      <c r="J232" t="str">
        <f t="shared" si="51"/>
        <v/>
      </c>
      <c r="K232" s="38" t="str">
        <f t="shared" si="44"/>
        <v/>
      </c>
      <c r="L232" s="38" t="str">
        <f t="shared" si="52"/>
        <v/>
      </c>
      <c r="M232" s="38" t="str">
        <f t="shared" si="53"/>
        <v/>
      </c>
      <c r="N232" s="38" t="str">
        <f t="shared" si="54"/>
        <v/>
      </c>
      <c r="O232" s="38" t="str">
        <f t="shared" si="55"/>
        <v/>
      </c>
      <c r="P232" s="38" t="str">
        <f t="shared" si="45"/>
        <v/>
      </c>
      <c r="Q232" s="38"/>
    </row>
    <row r="233" spans="1:17" x14ac:dyDescent="0.2">
      <c r="A233" t="str">
        <f t="shared" si="46"/>
        <v/>
      </c>
      <c r="B233" s="38" t="str">
        <f t="shared" si="42"/>
        <v/>
      </c>
      <c r="C233" s="38" t="str">
        <f t="shared" si="47"/>
        <v/>
      </c>
      <c r="D233" s="38" t="str">
        <f t="shared" si="48"/>
        <v/>
      </c>
      <c r="E233" s="38" t="str">
        <f t="shared" si="49"/>
        <v/>
      </c>
      <c r="F233" s="38" t="str">
        <f t="shared" si="50"/>
        <v/>
      </c>
      <c r="G233" s="38" t="str">
        <f t="shared" si="43"/>
        <v/>
      </c>
      <c r="H233" s="38"/>
      <c r="J233" t="str">
        <f t="shared" si="51"/>
        <v/>
      </c>
      <c r="K233" s="38" t="str">
        <f t="shared" si="44"/>
        <v/>
      </c>
      <c r="L233" s="38" t="str">
        <f t="shared" si="52"/>
        <v/>
      </c>
      <c r="M233" s="38" t="str">
        <f t="shared" si="53"/>
        <v/>
      </c>
      <c r="N233" s="38" t="str">
        <f t="shared" si="54"/>
        <v/>
      </c>
      <c r="O233" s="38" t="str">
        <f t="shared" si="55"/>
        <v/>
      </c>
      <c r="P233" s="38" t="str">
        <f t="shared" si="45"/>
        <v/>
      </c>
      <c r="Q233" s="38"/>
    </row>
    <row r="234" spans="1:17" x14ac:dyDescent="0.2">
      <c r="A234" t="str">
        <f t="shared" si="46"/>
        <v/>
      </c>
      <c r="B234" s="38" t="str">
        <f t="shared" si="42"/>
        <v/>
      </c>
      <c r="C234" s="38" t="str">
        <f t="shared" si="47"/>
        <v/>
      </c>
      <c r="D234" s="38" t="str">
        <f t="shared" si="48"/>
        <v/>
      </c>
      <c r="E234" s="38" t="str">
        <f t="shared" si="49"/>
        <v/>
      </c>
      <c r="F234" s="38" t="str">
        <f t="shared" si="50"/>
        <v/>
      </c>
      <c r="G234" s="38" t="str">
        <f t="shared" si="43"/>
        <v/>
      </c>
      <c r="H234" s="38"/>
      <c r="J234" t="str">
        <f t="shared" si="51"/>
        <v/>
      </c>
      <c r="K234" s="38" t="str">
        <f t="shared" si="44"/>
        <v/>
      </c>
      <c r="L234" s="38" t="str">
        <f t="shared" si="52"/>
        <v/>
      </c>
      <c r="M234" s="38" t="str">
        <f t="shared" si="53"/>
        <v/>
      </c>
      <c r="N234" s="38" t="str">
        <f t="shared" si="54"/>
        <v/>
      </c>
      <c r="O234" s="38" t="str">
        <f t="shared" si="55"/>
        <v/>
      </c>
      <c r="P234" s="38" t="str">
        <f t="shared" si="45"/>
        <v/>
      </c>
      <c r="Q234" s="38"/>
    </row>
    <row r="235" spans="1:17" x14ac:dyDescent="0.2">
      <c r="A235" t="str">
        <f t="shared" si="46"/>
        <v/>
      </c>
      <c r="B235" s="38" t="str">
        <f t="shared" si="42"/>
        <v/>
      </c>
      <c r="C235" s="38" t="str">
        <f t="shared" si="47"/>
        <v/>
      </c>
      <c r="D235" s="38" t="str">
        <f t="shared" si="48"/>
        <v/>
      </c>
      <c r="E235" s="38" t="str">
        <f t="shared" si="49"/>
        <v/>
      </c>
      <c r="F235" s="38" t="str">
        <f t="shared" si="50"/>
        <v/>
      </c>
      <c r="G235" s="38" t="str">
        <f t="shared" si="43"/>
        <v/>
      </c>
      <c r="H235" s="38"/>
      <c r="J235" t="str">
        <f t="shared" si="51"/>
        <v/>
      </c>
      <c r="K235" s="38" t="str">
        <f t="shared" si="44"/>
        <v/>
      </c>
      <c r="L235" s="38" t="str">
        <f t="shared" si="52"/>
        <v/>
      </c>
      <c r="M235" s="38" t="str">
        <f t="shared" si="53"/>
        <v/>
      </c>
      <c r="N235" s="38" t="str">
        <f t="shared" si="54"/>
        <v/>
      </c>
      <c r="O235" s="38" t="str">
        <f t="shared" si="55"/>
        <v/>
      </c>
      <c r="P235" s="38" t="str">
        <f t="shared" si="45"/>
        <v/>
      </c>
      <c r="Q235" s="38"/>
    </row>
    <row r="236" spans="1:17" x14ac:dyDescent="0.2">
      <c r="A236" t="str">
        <f t="shared" si="46"/>
        <v/>
      </c>
      <c r="B236" s="38" t="str">
        <f t="shared" si="42"/>
        <v/>
      </c>
      <c r="C236" s="38" t="str">
        <f t="shared" si="47"/>
        <v/>
      </c>
      <c r="D236" s="38" t="str">
        <f t="shared" si="48"/>
        <v/>
      </c>
      <c r="E236" s="38" t="str">
        <f t="shared" si="49"/>
        <v/>
      </c>
      <c r="F236" s="38" t="str">
        <f t="shared" si="50"/>
        <v/>
      </c>
      <c r="G236" s="38" t="str">
        <f t="shared" si="43"/>
        <v/>
      </c>
      <c r="H236" s="38"/>
      <c r="J236" t="str">
        <f t="shared" si="51"/>
        <v/>
      </c>
      <c r="K236" s="38" t="str">
        <f t="shared" si="44"/>
        <v/>
      </c>
      <c r="L236" s="38" t="str">
        <f t="shared" si="52"/>
        <v/>
      </c>
      <c r="M236" s="38" t="str">
        <f t="shared" si="53"/>
        <v/>
      </c>
      <c r="N236" s="38" t="str">
        <f t="shared" si="54"/>
        <v/>
      </c>
      <c r="O236" s="38" t="str">
        <f t="shared" si="55"/>
        <v/>
      </c>
      <c r="P236" s="38" t="str">
        <f t="shared" si="45"/>
        <v/>
      </c>
      <c r="Q236" s="38"/>
    </row>
    <row r="237" spans="1:17" x14ac:dyDescent="0.2">
      <c r="A237" t="str">
        <f t="shared" si="46"/>
        <v/>
      </c>
      <c r="B237" s="38" t="str">
        <f t="shared" si="42"/>
        <v/>
      </c>
      <c r="C237" s="38" t="str">
        <f t="shared" si="47"/>
        <v/>
      </c>
      <c r="D237" s="38" t="str">
        <f t="shared" si="48"/>
        <v/>
      </c>
      <c r="E237" s="38" t="str">
        <f t="shared" si="49"/>
        <v/>
      </c>
      <c r="F237" s="38" t="str">
        <f t="shared" si="50"/>
        <v/>
      </c>
      <c r="G237" s="38" t="str">
        <f t="shared" si="43"/>
        <v/>
      </c>
      <c r="H237" s="38"/>
      <c r="J237" t="str">
        <f t="shared" si="51"/>
        <v/>
      </c>
      <c r="K237" s="38" t="str">
        <f t="shared" si="44"/>
        <v/>
      </c>
      <c r="L237" s="38" t="str">
        <f t="shared" si="52"/>
        <v/>
      </c>
      <c r="M237" s="38" t="str">
        <f t="shared" si="53"/>
        <v/>
      </c>
      <c r="N237" s="38" t="str">
        <f t="shared" si="54"/>
        <v/>
      </c>
      <c r="O237" s="38" t="str">
        <f t="shared" si="55"/>
        <v/>
      </c>
      <c r="P237" s="38" t="str">
        <f t="shared" si="45"/>
        <v/>
      </c>
      <c r="Q237" s="38"/>
    </row>
    <row r="238" spans="1:17" x14ac:dyDescent="0.2">
      <c r="A238" t="str">
        <f t="shared" si="46"/>
        <v/>
      </c>
      <c r="B238" s="38" t="str">
        <f t="shared" si="42"/>
        <v/>
      </c>
      <c r="C238" s="38" t="str">
        <f t="shared" si="47"/>
        <v/>
      </c>
      <c r="D238" s="38" t="str">
        <f t="shared" si="48"/>
        <v/>
      </c>
      <c r="E238" s="38" t="str">
        <f t="shared" si="49"/>
        <v/>
      </c>
      <c r="F238" s="38" t="str">
        <f t="shared" si="50"/>
        <v/>
      </c>
      <c r="G238" s="38" t="str">
        <f t="shared" si="43"/>
        <v/>
      </c>
      <c r="H238" s="38"/>
      <c r="J238" t="str">
        <f t="shared" si="51"/>
        <v/>
      </c>
      <c r="K238" s="38" t="str">
        <f t="shared" si="44"/>
        <v/>
      </c>
      <c r="L238" s="38" t="str">
        <f t="shared" si="52"/>
        <v/>
      </c>
      <c r="M238" s="38" t="str">
        <f t="shared" si="53"/>
        <v/>
      </c>
      <c r="N238" s="38" t="str">
        <f t="shared" si="54"/>
        <v/>
      </c>
      <c r="O238" s="38" t="str">
        <f t="shared" si="55"/>
        <v/>
      </c>
      <c r="P238" s="38" t="str">
        <f t="shared" si="45"/>
        <v/>
      </c>
      <c r="Q238" s="38"/>
    </row>
    <row r="239" spans="1:17" x14ac:dyDescent="0.2">
      <c r="A239" t="str">
        <f t="shared" si="46"/>
        <v/>
      </c>
      <c r="B239" s="38" t="str">
        <f t="shared" si="42"/>
        <v/>
      </c>
      <c r="C239" s="38" t="str">
        <f t="shared" si="47"/>
        <v/>
      </c>
      <c r="D239" s="38" t="str">
        <f t="shared" si="48"/>
        <v/>
      </c>
      <c r="E239" s="38" t="str">
        <f t="shared" si="49"/>
        <v/>
      </c>
      <c r="F239" s="38" t="str">
        <f t="shared" si="50"/>
        <v/>
      </c>
      <c r="G239" s="38" t="str">
        <f t="shared" si="43"/>
        <v/>
      </c>
      <c r="H239" s="38"/>
      <c r="J239" t="str">
        <f t="shared" si="51"/>
        <v/>
      </c>
      <c r="K239" s="38" t="str">
        <f t="shared" si="44"/>
        <v/>
      </c>
      <c r="L239" s="38" t="str">
        <f t="shared" si="52"/>
        <v/>
      </c>
      <c r="M239" s="38" t="str">
        <f t="shared" si="53"/>
        <v/>
      </c>
      <c r="N239" s="38" t="str">
        <f t="shared" si="54"/>
        <v/>
      </c>
      <c r="O239" s="38" t="str">
        <f t="shared" si="55"/>
        <v/>
      </c>
      <c r="P239" s="38" t="str">
        <f t="shared" si="45"/>
        <v/>
      </c>
      <c r="Q239" s="38"/>
    </row>
    <row r="240" spans="1:17" x14ac:dyDescent="0.2">
      <c r="A240" t="str">
        <f t="shared" si="46"/>
        <v/>
      </c>
      <c r="B240" s="38" t="str">
        <f t="shared" si="42"/>
        <v/>
      </c>
      <c r="C240" s="38" t="str">
        <f t="shared" si="47"/>
        <v/>
      </c>
      <c r="D240" s="38" t="str">
        <f t="shared" si="48"/>
        <v/>
      </c>
      <c r="E240" s="38" t="str">
        <f t="shared" si="49"/>
        <v/>
      </c>
      <c r="F240" s="38" t="str">
        <f t="shared" si="50"/>
        <v/>
      </c>
      <c r="G240" s="38" t="str">
        <f t="shared" si="43"/>
        <v/>
      </c>
      <c r="H240" s="38"/>
      <c r="J240" t="str">
        <f t="shared" si="51"/>
        <v/>
      </c>
      <c r="K240" s="38" t="str">
        <f t="shared" si="44"/>
        <v/>
      </c>
      <c r="L240" s="38" t="str">
        <f t="shared" si="52"/>
        <v/>
      </c>
      <c r="M240" s="38" t="str">
        <f t="shared" si="53"/>
        <v/>
      </c>
      <c r="N240" s="38" t="str">
        <f t="shared" si="54"/>
        <v/>
      </c>
      <c r="O240" s="38" t="str">
        <f t="shared" si="55"/>
        <v/>
      </c>
      <c r="P240" s="38" t="str">
        <f t="shared" si="45"/>
        <v/>
      </c>
      <c r="Q240" s="38"/>
    </row>
    <row r="241" spans="1:17" x14ac:dyDescent="0.2">
      <c r="A241" t="str">
        <f t="shared" si="46"/>
        <v/>
      </c>
      <c r="B241" s="38" t="str">
        <f t="shared" si="42"/>
        <v/>
      </c>
      <c r="C241" s="38" t="str">
        <f t="shared" si="47"/>
        <v/>
      </c>
      <c r="D241" s="38" t="str">
        <f t="shared" si="48"/>
        <v/>
      </c>
      <c r="E241" s="38" t="str">
        <f t="shared" si="49"/>
        <v/>
      </c>
      <c r="F241" s="38" t="str">
        <f t="shared" si="50"/>
        <v/>
      </c>
      <c r="G241" s="38" t="str">
        <f t="shared" si="43"/>
        <v/>
      </c>
      <c r="H241" s="38"/>
      <c r="J241" t="str">
        <f t="shared" si="51"/>
        <v/>
      </c>
      <c r="K241" s="38" t="str">
        <f t="shared" si="44"/>
        <v/>
      </c>
      <c r="L241" s="38" t="str">
        <f t="shared" si="52"/>
        <v/>
      </c>
      <c r="M241" s="38" t="str">
        <f t="shared" si="53"/>
        <v/>
      </c>
      <c r="N241" s="38" t="str">
        <f t="shared" si="54"/>
        <v/>
      </c>
      <c r="O241" s="38" t="str">
        <f t="shared" si="55"/>
        <v/>
      </c>
      <c r="P241" s="38" t="str">
        <f t="shared" si="45"/>
        <v/>
      </c>
      <c r="Q241" s="38"/>
    </row>
    <row r="242" spans="1:17" x14ac:dyDescent="0.2">
      <c r="A242" t="str">
        <f t="shared" si="46"/>
        <v/>
      </c>
      <c r="B242" s="38" t="str">
        <f t="shared" si="42"/>
        <v/>
      </c>
      <c r="C242" s="38" t="str">
        <f t="shared" si="47"/>
        <v/>
      </c>
      <c r="D242" s="38" t="str">
        <f t="shared" si="48"/>
        <v/>
      </c>
      <c r="E242" s="38" t="str">
        <f t="shared" si="49"/>
        <v/>
      </c>
      <c r="F242" s="38" t="str">
        <f t="shared" si="50"/>
        <v/>
      </c>
      <c r="G242" s="38" t="str">
        <f t="shared" si="43"/>
        <v/>
      </c>
      <c r="H242" s="38"/>
      <c r="J242" t="str">
        <f t="shared" si="51"/>
        <v/>
      </c>
      <c r="K242" s="38" t="str">
        <f t="shared" si="44"/>
        <v/>
      </c>
      <c r="L242" s="38" t="str">
        <f t="shared" si="52"/>
        <v/>
      </c>
      <c r="M242" s="38" t="str">
        <f t="shared" si="53"/>
        <v/>
      </c>
      <c r="N242" s="38" t="str">
        <f t="shared" si="54"/>
        <v/>
      </c>
      <c r="O242" s="38" t="str">
        <f t="shared" si="55"/>
        <v/>
      </c>
      <c r="P242" s="38" t="str">
        <f t="shared" si="45"/>
        <v/>
      </c>
      <c r="Q242" s="38"/>
    </row>
    <row r="243" spans="1:17" x14ac:dyDescent="0.2">
      <c r="A243" t="str">
        <f t="shared" si="46"/>
        <v/>
      </c>
      <c r="B243" s="38" t="str">
        <f t="shared" si="42"/>
        <v/>
      </c>
      <c r="C243" s="38" t="str">
        <f t="shared" si="47"/>
        <v/>
      </c>
      <c r="D243" s="38" t="str">
        <f t="shared" si="48"/>
        <v/>
      </c>
      <c r="E243" s="38" t="str">
        <f t="shared" si="49"/>
        <v/>
      </c>
      <c r="F243" s="38" t="str">
        <f t="shared" si="50"/>
        <v/>
      </c>
      <c r="G243" s="38" t="str">
        <f t="shared" si="43"/>
        <v/>
      </c>
      <c r="H243" s="38"/>
      <c r="J243" t="str">
        <f t="shared" si="51"/>
        <v/>
      </c>
      <c r="K243" s="38" t="str">
        <f t="shared" si="44"/>
        <v/>
      </c>
      <c r="L243" s="38" t="str">
        <f t="shared" si="52"/>
        <v/>
      </c>
      <c r="M243" s="38" t="str">
        <f t="shared" si="53"/>
        <v/>
      </c>
      <c r="N243" s="38" t="str">
        <f t="shared" si="54"/>
        <v/>
      </c>
      <c r="O243" s="38" t="str">
        <f t="shared" si="55"/>
        <v/>
      </c>
      <c r="P243" s="38" t="str">
        <f t="shared" si="45"/>
        <v/>
      </c>
      <c r="Q243" s="38"/>
    </row>
    <row r="244" spans="1:17" x14ac:dyDescent="0.2">
      <c r="A244" t="str">
        <f t="shared" si="46"/>
        <v/>
      </c>
      <c r="B244" s="38" t="str">
        <f t="shared" si="42"/>
        <v/>
      </c>
      <c r="C244" s="38" t="str">
        <f t="shared" si="47"/>
        <v/>
      </c>
      <c r="D244" s="38" t="str">
        <f t="shared" si="48"/>
        <v/>
      </c>
      <c r="E244" s="38" t="str">
        <f t="shared" si="49"/>
        <v/>
      </c>
      <c r="F244" s="38" t="str">
        <f t="shared" si="50"/>
        <v/>
      </c>
      <c r="G244" s="38" t="str">
        <f t="shared" si="43"/>
        <v/>
      </c>
      <c r="H244" s="38"/>
      <c r="J244" t="str">
        <f t="shared" si="51"/>
        <v/>
      </c>
      <c r="K244" s="38" t="str">
        <f t="shared" si="44"/>
        <v/>
      </c>
      <c r="L244" s="38" t="str">
        <f t="shared" si="52"/>
        <v/>
      </c>
      <c r="M244" s="38" t="str">
        <f t="shared" si="53"/>
        <v/>
      </c>
      <c r="N244" s="38" t="str">
        <f t="shared" si="54"/>
        <v/>
      </c>
      <c r="O244" s="38" t="str">
        <f t="shared" si="55"/>
        <v/>
      </c>
      <c r="P244" s="38" t="str">
        <f t="shared" si="45"/>
        <v/>
      </c>
      <c r="Q244" s="38"/>
    </row>
    <row r="245" spans="1:17" x14ac:dyDescent="0.2">
      <c r="A245" t="str">
        <f t="shared" si="46"/>
        <v/>
      </c>
      <c r="B245" s="38" t="str">
        <f t="shared" si="42"/>
        <v/>
      </c>
      <c r="C245" s="38" t="str">
        <f t="shared" si="47"/>
        <v/>
      </c>
      <c r="D245" s="38" t="str">
        <f t="shared" si="48"/>
        <v/>
      </c>
      <c r="E245" s="38" t="str">
        <f t="shared" si="49"/>
        <v/>
      </c>
      <c r="F245" s="38" t="str">
        <f t="shared" si="50"/>
        <v/>
      </c>
      <c r="G245" s="38" t="str">
        <f t="shared" si="43"/>
        <v/>
      </c>
      <c r="H245" s="38"/>
      <c r="J245" t="str">
        <f t="shared" si="51"/>
        <v/>
      </c>
      <c r="K245" s="38" t="str">
        <f t="shared" si="44"/>
        <v/>
      </c>
      <c r="L245" s="38" t="str">
        <f t="shared" si="52"/>
        <v/>
      </c>
      <c r="M245" s="38" t="str">
        <f t="shared" si="53"/>
        <v/>
      </c>
      <c r="N245" s="38" t="str">
        <f t="shared" si="54"/>
        <v/>
      </c>
      <c r="O245" s="38" t="str">
        <f t="shared" si="55"/>
        <v/>
      </c>
      <c r="P245" s="38" t="str">
        <f t="shared" si="45"/>
        <v/>
      </c>
      <c r="Q245" s="38"/>
    </row>
    <row r="246" spans="1:17" x14ac:dyDescent="0.2">
      <c r="A246" t="str">
        <f t="shared" si="46"/>
        <v/>
      </c>
      <c r="B246" s="38" t="str">
        <f t="shared" si="42"/>
        <v/>
      </c>
      <c r="C246" s="38" t="str">
        <f t="shared" si="47"/>
        <v/>
      </c>
      <c r="D246" s="38" t="str">
        <f t="shared" si="48"/>
        <v/>
      </c>
      <c r="E246" s="38" t="str">
        <f t="shared" si="49"/>
        <v/>
      </c>
      <c r="F246" s="38" t="str">
        <f t="shared" si="50"/>
        <v/>
      </c>
      <c r="G246" s="38" t="str">
        <f t="shared" si="43"/>
        <v/>
      </c>
      <c r="H246" s="38"/>
      <c r="J246" t="str">
        <f t="shared" si="51"/>
        <v/>
      </c>
      <c r="K246" s="38" t="str">
        <f t="shared" si="44"/>
        <v/>
      </c>
      <c r="L246" s="38" t="str">
        <f t="shared" si="52"/>
        <v/>
      </c>
      <c r="M246" s="38" t="str">
        <f t="shared" si="53"/>
        <v/>
      </c>
      <c r="N246" s="38" t="str">
        <f t="shared" si="54"/>
        <v/>
      </c>
      <c r="O246" s="38" t="str">
        <f t="shared" si="55"/>
        <v/>
      </c>
      <c r="P246" s="38" t="str">
        <f t="shared" si="45"/>
        <v/>
      </c>
      <c r="Q246" s="38"/>
    </row>
    <row r="247" spans="1:17" x14ac:dyDescent="0.2">
      <c r="A247" t="str">
        <f t="shared" si="46"/>
        <v/>
      </c>
      <c r="B247" s="38" t="str">
        <f t="shared" si="42"/>
        <v/>
      </c>
      <c r="C247" s="38" t="str">
        <f t="shared" si="47"/>
        <v/>
      </c>
      <c r="D247" s="38" t="str">
        <f t="shared" si="48"/>
        <v/>
      </c>
      <c r="E247" s="38" t="str">
        <f t="shared" si="49"/>
        <v/>
      </c>
      <c r="F247" s="38" t="str">
        <f t="shared" si="50"/>
        <v/>
      </c>
      <c r="G247" s="38" t="str">
        <f t="shared" si="43"/>
        <v/>
      </c>
      <c r="H247" s="38"/>
      <c r="J247" t="str">
        <f t="shared" si="51"/>
        <v/>
      </c>
      <c r="K247" s="38" t="str">
        <f t="shared" si="44"/>
        <v/>
      </c>
      <c r="L247" s="38" t="str">
        <f t="shared" si="52"/>
        <v/>
      </c>
      <c r="M247" s="38" t="str">
        <f t="shared" si="53"/>
        <v/>
      </c>
      <c r="N247" s="38" t="str">
        <f t="shared" si="54"/>
        <v/>
      </c>
      <c r="O247" s="38" t="str">
        <f t="shared" si="55"/>
        <v/>
      </c>
      <c r="P247" s="38" t="str">
        <f t="shared" si="45"/>
        <v/>
      </c>
      <c r="Q247" s="38"/>
    </row>
    <row r="248" spans="1:17" x14ac:dyDescent="0.2">
      <c r="A248" t="str">
        <f t="shared" si="46"/>
        <v/>
      </c>
      <c r="B248" s="38" t="str">
        <f t="shared" si="42"/>
        <v/>
      </c>
      <c r="C248" s="38" t="str">
        <f t="shared" si="47"/>
        <v/>
      </c>
      <c r="D248" s="38" t="str">
        <f t="shared" si="48"/>
        <v/>
      </c>
      <c r="E248" s="38" t="str">
        <f t="shared" si="49"/>
        <v/>
      </c>
      <c r="F248" s="38" t="str">
        <f t="shared" si="50"/>
        <v/>
      </c>
      <c r="G248" s="38" t="str">
        <f t="shared" si="43"/>
        <v/>
      </c>
      <c r="H248" s="38"/>
      <c r="J248" t="str">
        <f t="shared" si="51"/>
        <v/>
      </c>
      <c r="K248" s="38" t="str">
        <f t="shared" si="44"/>
        <v/>
      </c>
      <c r="L248" s="38" t="str">
        <f t="shared" si="52"/>
        <v/>
      </c>
      <c r="M248" s="38" t="str">
        <f t="shared" si="53"/>
        <v/>
      </c>
      <c r="N248" s="38" t="str">
        <f t="shared" si="54"/>
        <v/>
      </c>
      <c r="O248" s="38" t="str">
        <f t="shared" si="55"/>
        <v/>
      </c>
      <c r="P248" s="38" t="str">
        <f t="shared" si="45"/>
        <v/>
      </c>
      <c r="Q248" s="38"/>
    </row>
    <row r="249" spans="1:17" x14ac:dyDescent="0.2">
      <c r="A249" t="str">
        <f t="shared" si="46"/>
        <v/>
      </c>
      <c r="B249" s="38" t="str">
        <f t="shared" si="42"/>
        <v/>
      </c>
      <c r="C249" s="38" t="str">
        <f t="shared" si="47"/>
        <v/>
      </c>
      <c r="D249" s="38" t="str">
        <f t="shared" si="48"/>
        <v/>
      </c>
      <c r="E249" s="38" t="str">
        <f t="shared" si="49"/>
        <v/>
      </c>
      <c r="F249" s="38" t="str">
        <f t="shared" si="50"/>
        <v/>
      </c>
      <c r="G249" s="38" t="str">
        <f t="shared" si="43"/>
        <v/>
      </c>
      <c r="H249" s="38"/>
      <c r="J249" t="str">
        <f t="shared" si="51"/>
        <v/>
      </c>
      <c r="K249" s="38" t="str">
        <f t="shared" si="44"/>
        <v/>
      </c>
      <c r="L249" s="38" t="str">
        <f t="shared" si="52"/>
        <v/>
      </c>
      <c r="M249" s="38" t="str">
        <f t="shared" si="53"/>
        <v/>
      </c>
      <c r="N249" s="38" t="str">
        <f t="shared" si="54"/>
        <v/>
      </c>
      <c r="O249" s="38" t="str">
        <f t="shared" si="55"/>
        <v/>
      </c>
      <c r="P249" s="38" t="str">
        <f t="shared" si="45"/>
        <v/>
      </c>
      <c r="Q249" s="38"/>
    </row>
    <row r="250" spans="1:17" x14ac:dyDescent="0.2">
      <c r="A250" t="str">
        <f t="shared" si="46"/>
        <v/>
      </c>
      <c r="B250" s="38" t="str">
        <f t="shared" si="42"/>
        <v/>
      </c>
      <c r="C250" s="38" t="str">
        <f t="shared" si="47"/>
        <v/>
      </c>
      <c r="D250" s="38" t="str">
        <f t="shared" si="48"/>
        <v/>
      </c>
      <c r="E250" s="38" t="str">
        <f t="shared" si="49"/>
        <v/>
      </c>
      <c r="F250" s="38" t="str">
        <f t="shared" si="50"/>
        <v/>
      </c>
      <c r="G250" s="38" t="str">
        <f t="shared" si="43"/>
        <v/>
      </c>
      <c r="H250" s="38"/>
      <c r="J250" t="str">
        <f t="shared" si="51"/>
        <v/>
      </c>
      <c r="K250" s="38" t="str">
        <f t="shared" si="44"/>
        <v/>
      </c>
      <c r="L250" s="38" t="str">
        <f t="shared" si="52"/>
        <v/>
      </c>
      <c r="M250" s="38" t="str">
        <f t="shared" si="53"/>
        <v/>
      </c>
      <c r="N250" s="38" t="str">
        <f t="shared" si="54"/>
        <v/>
      </c>
      <c r="O250" s="38" t="str">
        <f t="shared" si="55"/>
        <v/>
      </c>
      <c r="P250" s="38" t="str">
        <f t="shared" si="45"/>
        <v/>
      </c>
      <c r="Q250" s="38"/>
    </row>
    <row r="251" spans="1:17" x14ac:dyDescent="0.2">
      <c r="A251" t="str">
        <f t="shared" si="46"/>
        <v/>
      </c>
      <c r="B251" s="38" t="str">
        <f t="shared" si="42"/>
        <v/>
      </c>
      <c r="C251" s="38" t="str">
        <f t="shared" si="47"/>
        <v/>
      </c>
      <c r="D251" s="38" t="str">
        <f t="shared" si="48"/>
        <v/>
      </c>
      <c r="E251" s="38" t="str">
        <f t="shared" si="49"/>
        <v/>
      </c>
      <c r="F251" s="38" t="str">
        <f t="shared" si="50"/>
        <v/>
      </c>
      <c r="G251" s="38" t="str">
        <f t="shared" si="43"/>
        <v/>
      </c>
      <c r="H251" s="38"/>
      <c r="J251" t="str">
        <f t="shared" si="51"/>
        <v/>
      </c>
      <c r="K251" s="38" t="str">
        <f t="shared" si="44"/>
        <v/>
      </c>
      <c r="L251" s="38" t="str">
        <f t="shared" si="52"/>
        <v/>
      </c>
      <c r="M251" s="38" t="str">
        <f t="shared" si="53"/>
        <v/>
      </c>
      <c r="N251" s="38" t="str">
        <f t="shared" si="54"/>
        <v/>
      </c>
      <c r="O251" s="38" t="str">
        <f t="shared" si="55"/>
        <v/>
      </c>
      <c r="P251" s="38" t="str">
        <f t="shared" si="45"/>
        <v/>
      </c>
      <c r="Q251" s="38"/>
    </row>
    <row r="252" spans="1:17" x14ac:dyDescent="0.2">
      <c r="A252" t="str">
        <f t="shared" si="46"/>
        <v/>
      </c>
      <c r="B252" s="38" t="str">
        <f t="shared" si="42"/>
        <v/>
      </c>
      <c r="C252" s="38" t="str">
        <f t="shared" si="47"/>
        <v/>
      </c>
      <c r="D252" s="38" t="str">
        <f t="shared" si="48"/>
        <v/>
      </c>
      <c r="E252" s="38" t="str">
        <f t="shared" si="49"/>
        <v/>
      </c>
      <c r="F252" s="38" t="str">
        <f t="shared" si="50"/>
        <v/>
      </c>
      <c r="G252" s="38" t="str">
        <f t="shared" si="43"/>
        <v/>
      </c>
      <c r="H252" s="38"/>
      <c r="J252" t="str">
        <f t="shared" si="51"/>
        <v/>
      </c>
      <c r="K252" s="38" t="str">
        <f t="shared" si="44"/>
        <v/>
      </c>
      <c r="L252" s="38" t="str">
        <f t="shared" si="52"/>
        <v/>
      </c>
      <c r="M252" s="38" t="str">
        <f t="shared" si="53"/>
        <v/>
      </c>
      <c r="N252" s="38" t="str">
        <f t="shared" si="54"/>
        <v/>
      </c>
      <c r="O252" s="38" t="str">
        <f t="shared" si="55"/>
        <v/>
      </c>
      <c r="P252" s="38" t="str">
        <f t="shared" si="45"/>
        <v/>
      </c>
      <c r="Q252" s="38"/>
    </row>
    <row r="253" spans="1:17" x14ac:dyDescent="0.2">
      <c r="A253" t="str">
        <f t="shared" si="46"/>
        <v/>
      </c>
      <c r="B253" s="38" t="str">
        <f t="shared" si="42"/>
        <v/>
      </c>
      <c r="C253" s="38" t="str">
        <f t="shared" si="47"/>
        <v/>
      </c>
      <c r="D253" s="38" t="str">
        <f t="shared" si="48"/>
        <v/>
      </c>
      <c r="E253" s="38" t="str">
        <f t="shared" si="49"/>
        <v/>
      </c>
      <c r="F253" s="38" t="str">
        <f t="shared" si="50"/>
        <v/>
      </c>
      <c r="G253" s="38" t="str">
        <f t="shared" si="43"/>
        <v/>
      </c>
      <c r="H253" s="38"/>
      <c r="J253" t="str">
        <f t="shared" si="51"/>
        <v/>
      </c>
      <c r="K253" s="38" t="str">
        <f t="shared" si="44"/>
        <v/>
      </c>
      <c r="L253" s="38" t="str">
        <f t="shared" si="52"/>
        <v/>
      </c>
      <c r="M253" s="38" t="str">
        <f t="shared" si="53"/>
        <v/>
      </c>
      <c r="N253" s="38" t="str">
        <f t="shared" si="54"/>
        <v/>
      </c>
      <c r="O253" s="38" t="str">
        <f t="shared" si="55"/>
        <v/>
      </c>
      <c r="P253" s="38" t="str">
        <f t="shared" si="45"/>
        <v/>
      </c>
      <c r="Q253" s="38"/>
    </row>
    <row r="254" spans="1:17" x14ac:dyDescent="0.2">
      <c r="A254" t="str">
        <f t="shared" si="46"/>
        <v/>
      </c>
      <c r="B254" s="38" t="str">
        <f t="shared" si="42"/>
        <v/>
      </c>
      <c r="C254" s="38" t="str">
        <f t="shared" si="47"/>
        <v/>
      </c>
      <c r="D254" s="38" t="str">
        <f t="shared" si="48"/>
        <v/>
      </c>
      <c r="E254" s="38" t="str">
        <f t="shared" si="49"/>
        <v/>
      </c>
      <c r="F254" s="38" t="str">
        <f t="shared" si="50"/>
        <v/>
      </c>
      <c r="G254" s="38" t="str">
        <f t="shared" si="43"/>
        <v/>
      </c>
      <c r="H254" s="38"/>
      <c r="J254" t="str">
        <f t="shared" si="51"/>
        <v/>
      </c>
      <c r="K254" s="38" t="str">
        <f t="shared" si="44"/>
        <v/>
      </c>
      <c r="L254" s="38" t="str">
        <f t="shared" si="52"/>
        <v/>
      </c>
      <c r="M254" s="38" t="str">
        <f t="shared" si="53"/>
        <v/>
      </c>
      <c r="N254" s="38" t="str">
        <f t="shared" si="54"/>
        <v/>
      </c>
      <c r="O254" s="38" t="str">
        <f t="shared" si="55"/>
        <v/>
      </c>
      <c r="P254" s="38" t="str">
        <f t="shared" si="45"/>
        <v/>
      </c>
      <c r="Q254" s="38"/>
    </row>
    <row r="255" spans="1:17" x14ac:dyDescent="0.2">
      <c r="A255" t="str">
        <f t="shared" si="46"/>
        <v/>
      </c>
      <c r="B255" s="38" t="str">
        <f t="shared" si="42"/>
        <v/>
      </c>
      <c r="C255" s="38" t="str">
        <f t="shared" si="47"/>
        <v/>
      </c>
      <c r="D255" s="38" t="str">
        <f t="shared" si="48"/>
        <v/>
      </c>
      <c r="E255" s="38" t="str">
        <f t="shared" si="49"/>
        <v/>
      </c>
      <c r="F255" s="38" t="str">
        <f t="shared" si="50"/>
        <v/>
      </c>
      <c r="G255" s="38" t="str">
        <f t="shared" si="43"/>
        <v/>
      </c>
      <c r="H255" s="38"/>
      <c r="J255" t="str">
        <f t="shared" si="51"/>
        <v/>
      </c>
      <c r="K255" s="38" t="str">
        <f t="shared" si="44"/>
        <v/>
      </c>
      <c r="L255" s="38" t="str">
        <f t="shared" si="52"/>
        <v/>
      </c>
      <c r="M255" s="38" t="str">
        <f t="shared" si="53"/>
        <v/>
      </c>
      <c r="N255" s="38" t="str">
        <f t="shared" si="54"/>
        <v/>
      </c>
      <c r="O255" s="38" t="str">
        <f t="shared" si="55"/>
        <v/>
      </c>
      <c r="P255" s="38" t="str">
        <f t="shared" si="45"/>
        <v/>
      </c>
      <c r="Q255" s="38"/>
    </row>
    <row r="256" spans="1:17" x14ac:dyDescent="0.2">
      <c r="A256" t="str">
        <f t="shared" si="46"/>
        <v/>
      </c>
      <c r="B256" s="38" t="str">
        <f t="shared" si="42"/>
        <v/>
      </c>
      <c r="C256" s="38" t="str">
        <f t="shared" si="47"/>
        <v/>
      </c>
      <c r="D256" s="38" t="str">
        <f t="shared" si="48"/>
        <v/>
      </c>
      <c r="E256" s="38" t="str">
        <f t="shared" si="49"/>
        <v/>
      </c>
      <c r="F256" s="38" t="str">
        <f t="shared" si="50"/>
        <v/>
      </c>
      <c r="G256" s="38" t="str">
        <f t="shared" si="43"/>
        <v/>
      </c>
      <c r="H256" s="38"/>
      <c r="J256" t="str">
        <f t="shared" si="51"/>
        <v/>
      </c>
      <c r="K256" s="38" t="str">
        <f t="shared" si="44"/>
        <v/>
      </c>
      <c r="L256" s="38" t="str">
        <f t="shared" si="52"/>
        <v/>
      </c>
      <c r="M256" s="38" t="str">
        <f t="shared" si="53"/>
        <v/>
      </c>
      <c r="N256" s="38" t="str">
        <f t="shared" si="54"/>
        <v/>
      </c>
      <c r="O256" s="38" t="str">
        <f t="shared" si="55"/>
        <v/>
      </c>
      <c r="P256" s="38" t="str">
        <f t="shared" si="45"/>
        <v/>
      </c>
      <c r="Q256" s="38"/>
    </row>
    <row r="257" spans="1:17" x14ac:dyDescent="0.2">
      <c r="A257" t="str">
        <f t="shared" si="46"/>
        <v/>
      </c>
      <c r="B257" s="38" t="str">
        <f t="shared" si="42"/>
        <v/>
      </c>
      <c r="C257" s="38" t="str">
        <f t="shared" si="47"/>
        <v/>
      </c>
      <c r="D257" s="38" t="str">
        <f t="shared" si="48"/>
        <v/>
      </c>
      <c r="E257" s="38" t="str">
        <f t="shared" si="49"/>
        <v/>
      </c>
      <c r="F257" s="38" t="str">
        <f t="shared" si="50"/>
        <v/>
      </c>
      <c r="G257" s="38" t="str">
        <f t="shared" si="43"/>
        <v/>
      </c>
      <c r="H257" s="38"/>
      <c r="J257" t="str">
        <f t="shared" si="51"/>
        <v/>
      </c>
      <c r="K257" s="38" t="str">
        <f t="shared" si="44"/>
        <v/>
      </c>
      <c r="L257" s="38" t="str">
        <f t="shared" si="52"/>
        <v/>
      </c>
      <c r="M257" s="38" t="str">
        <f t="shared" si="53"/>
        <v/>
      </c>
      <c r="N257" s="38" t="str">
        <f t="shared" si="54"/>
        <v/>
      </c>
      <c r="O257" s="38" t="str">
        <f t="shared" si="55"/>
        <v/>
      </c>
      <c r="P257" s="38" t="str">
        <f t="shared" si="45"/>
        <v/>
      </c>
      <c r="Q257" s="38"/>
    </row>
    <row r="258" spans="1:17" x14ac:dyDescent="0.2">
      <c r="A258" t="str">
        <f t="shared" si="46"/>
        <v/>
      </c>
      <c r="B258" s="38" t="str">
        <f t="shared" si="42"/>
        <v/>
      </c>
      <c r="C258" s="38" t="str">
        <f t="shared" si="47"/>
        <v/>
      </c>
      <c r="D258" s="38" t="str">
        <f t="shared" si="48"/>
        <v/>
      </c>
      <c r="E258" s="38" t="str">
        <f t="shared" si="49"/>
        <v/>
      </c>
      <c r="F258" s="38" t="str">
        <f t="shared" si="50"/>
        <v/>
      </c>
      <c r="G258" s="38" t="str">
        <f t="shared" si="43"/>
        <v/>
      </c>
      <c r="H258" s="38"/>
      <c r="J258" t="str">
        <f t="shared" si="51"/>
        <v/>
      </c>
      <c r="K258" s="38" t="str">
        <f t="shared" si="44"/>
        <v/>
      </c>
      <c r="L258" s="38" t="str">
        <f t="shared" si="52"/>
        <v/>
      </c>
      <c r="M258" s="38" t="str">
        <f t="shared" si="53"/>
        <v/>
      </c>
      <c r="N258" s="38" t="str">
        <f t="shared" si="54"/>
        <v/>
      </c>
      <c r="O258" s="38" t="str">
        <f t="shared" si="55"/>
        <v/>
      </c>
      <c r="P258" s="38" t="str">
        <f t="shared" si="45"/>
        <v/>
      </c>
      <c r="Q258" s="38"/>
    </row>
    <row r="259" spans="1:17" x14ac:dyDescent="0.2">
      <c r="A259" t="str">
        <f t="shared" si="46"/>
        <v/>
      </c>
      <c r="B259" s="38" t="str">
        <f t="shared" si="42"/>
        <v/>
      </c>
      <c r="C259" s="38" t="str">
        <f t="shared" si="47"/>
        <v/>
      </c>
      <c r="D259" s="38" t="str">
        <f t="shared" si="48"/>
        <v/>
      </c>
      <c r="E259" s="38" t="str">
        <f t="shared" si="49"/>
        <v/>
      </c>
      <c r="F259" s="38" t="str">
        <f t="shared" si="50"/>
        <v/>
      </c>
      <c r="G259" s="38" t="str">
        <f t="shared" si="43"/>
        <v/>
      </c>
      <c r="H259" s="38"/>
      <c r="J259" t="str">
        <f t="shared" si="51"/>
        <v/>
      </c>
      <c r="K259" s="38" t="str">
        <f t="shared" si="44"/>
        <v/>
      </c>
      <c r="L259" s="38" t="str">
        <f t="shared" si="52"/>
        <v/>
      </c>
      <c r="M259" s="38" t="str">
        <f t="shared" si="53"/>
        <v/>
      </c>
      <c r="N259" s="38" t="str">
        <f t="shared" si="54"/>
        <v/>
      </c>
      <c r="O259" s="38" t="str">
        <f t="shared" si="55"/>
        <v/>
      </c>
      <c r="P259" s="38" t="str">
        <f t="shared" si="45"/>
        <v/>
      </c>
      <c r="Q259" s="38"/>
    </row>
    <row r="260" spans="1:17" x14ac:dyDescent="0.2">
      <c r="A260" t="str">
        <f t="shared" si="46"/>
        <v/>
      </c>
      <c r="B260" s="38" t="str">
        <f t="shared" si="42"/>
        <v/>
      </c>
      <c r="C260" s="38" t="str">
        <f t="shared" si="47"/>
        <v/>
      </c>
      <c r="D260" s="38" t="str">
        <f t="shared" si="48"/>
        <v/>
      </c>
      <c r="E260" s="38" t="str">
        <f t="shared" si="49"/>
        <v/>
      </c>
      <c r="F260" s="38" t="str">
        <f t="shared" si="50"/>
        <v/>
      </c>
      <c r="G260" s="38" t="str">
        <f t="shared" si="43"/>
        <v/>
      </c>
      <c r="H260" s="38"/>
      <c r="J260" t="str">
        <f t="shared" si="51"/>
        <v/>
      </c>
      <c r="K260" s="38" t="str">
        <f t="shared" si="44"/>
        <v/>
      </c>
      <c r="L260" s="38" t="str">
        <f t="shared" si="52"/>
        <v/>
      </c>
      <c r="M260" s="38" t="str">
        <f t="shared" si="53"/>
        <v/>
      </c>
      <c r="N260" s="38" t="str">
        <f t="shared" si="54"/>
        <v/>
      </c>
      <c r="O260" s="38" t="str">
        <f t="shared" si="55"/>
        <v/>
      </c>
      <c r="P260" s="38" t="str">
        <f t="shared" si="45"/>
        <v/>
      </c>
      <c r="Q260" s="38"/>
    </row>
    <row r="261" spans="1:17" x14ac:dyDescent="0.2">
      <c r="A261" t="str">
        <f t="shared" si="46"/>
        <v/>
      </c>
      <c r="B261" s="38" t="str">
        <f t="shared" si="42"/>
        <v/>
      </c>
      <c r="C261" s="38" t="str">
        <f t="shared" si="47"/>
        <v/>
      </c>
      <c r="D261" s="38" t="str">
        <f t="shared" si="48"/>
        <v/>
      </c>
      <c r="E261" s="38" t="str">
        <f t="shared" si="49"/>
        <v/>
      </c>
      <c r="F261" s="38" t="str">
        <f t="shared" si="50"/>
        <v/>
      </c>
      <c r="G261" s="38" t="str">
        <f t="shared" si="43"/>
        <v/>
      </c>
      <c r="H261" s="38"/>
      <c r="J261" t="str">
        <f t="shared" si="51"/>
        <v/>
      </c>
      <c r="K261" s="38" t="str">
        <f t="shared" si="44"/>
        <v/>
      </c>
      <c r="L261" s="38" t="str">
        <f t="shared" si="52"/>
        <v/>
      </c>
      <c r="M261" s="38" t="str">
        <f t="shared" si="53"/>
        <v/>
      </c>
      <c r="N261" s="38" t="str">
        <f t="shared" si="54"/>
        <v/>
      </c>
      <c r="O261" s="38" t="str">
        <f t="shared" si="55"/>
        <v/>
      </c>
      <c r="P261" s="38" t="str">
        <f t="shared" si="45"/>
        <v/>
      </c>
      <c r="Q261" s="38"/>
    </row>
    <row r="262" spans="1:17" x14ac:dyDescent="0.2">
      <c r="A262" t="str">
        <f t="shared" si="46"/>
        <v/>
      </c>
      <c r="B262" s="38" t="str">
        <f t="shared" si="42"/>
        <v/>
      </c>
      <c r="C262" s="38" t="str">
        <f t="shared" si="47"/>
        <v/>
      </c>
      <c r="D262" s="38" t="str">
        <f t="shared" si="48"/>
        <v/>
      </c>
      <c r="E262" s="38" t="str">
        <f t="shared" si="49"/>
        <v/>
      </c>
      <c r="F262" s="38" t="str">
        <f t="shared" si="50"/>
        <v/>
      </c>
      <c r="G262" s="38" t="str">
        <f t="shared" si="43"/>
        <v/>
      </c>
      <c r="H262" s="38"/>
      <c r="J262" t="str">
        <f t="shared" si="51"/>
        <v/>
      </c>
      <c r="K262" s="38" t="str">
        <f t="shared" si="44"/>
        <v/>
      </c>
      <c r="L262" s="38" t="str">
        <f t="shared" si="52"/>
        <v/>
      </c>
      <c r="M262" s="38" t="str">
        <f t="shared" si="53"/>
        <v/>
      </c>
      <c r="N262" s="38" t="str">
        <f t="shared" si="54"/>
        <v/>
      </c>
      <c r="O262" s="38" t="str">
        <f t="shared" si="55"/>
        <v/>
      </c>
      <c r="P262" s="38" t="str">
        <f t="shared" si="45"/>
        <v/>
      </c>
      <c r="Q262" s="38"/>
    </row>
    <row r="263" spans="1:17" x14ac:dyDescent="0.2">
      <c r="A263" t="str">
        <f t="shared" si="46"/>
        <v/>
      </c>
      <c r="B263" s="38" t="str">
        <f t="shared" si="42"/>
        <v/>
      </c>
      <c r="C263" s="38" t="str">
        <f t="shared" si="47"/>
        <v/>
      </c>
      <c r="D263" s="38" t="str">
        <f t="shared" si="48"/>
        <v/>
      </c>
      <c r="E263" s="38" t="str">
        <f t="shared" si="49"/>
        <v/>
      </c>
      <c r="F263" s="38" t="str">
        <f t="shared" si="50"/>
        <v/>
      </c>
      <c r="G263" s="38" t="str">
        <f t="shared" si="43"/>
        <v/>
      </c>
      <c r="H263" s="38"/>
      <c r="J263" t="str">
        <f t="shared" si="51"/>
        <v/>
      </c>
      <c r="K263" s="38" t="str">
        <f t="shared" si="44"/>
        <v/>
      </c>
      <c r="L263" s="38" t="str">
        <f t="shared" si="52"/>
        <v/>
      </c>
      <c r="M263" s="38" t="str">
        <f t="shared" si="53"/>
        <v/>
      </c>
      <c r="N263" s="38" t="str">
        <f t="shared" si="54"/>
        <v/>
      </c>
      <c r="O263" s="38" t="str">
        <f t="shared" si="55"/>
        <v/>
      </c>
      <c r="P263" s="38" t="str">
        <f t="shared" si="45"/>
        <v/>
      </c>
      <c r="Q263" s="38"/>
    </row>
    <row r="264" spans="1:17" x14ac:dyDescent="0.2">
      <c r="A264" t="str">
        <f t="shared" si="46"/>
        <v/>
      </c>
      <c r="B264" s="38" t="str">
        <f t="shared" si="42"/>
        <v/>
      </c>
      <c r="C264" s="38" t="str">
        <f t="shared" si="47"/>
        <v/>
      </c>
      <c r="D264" s="38" t="str">
        <f t="shared" si="48"/>
        <v/>
      </c>
      <c r="E264" s="38" t="str">
        <f t="shared" si="49"/>
        <v/>
      </c>
      <c r="F264" s="38" t="str">
        <f t="shared" si="50"/>
        <v/>
      </c>
      <c r="G264" s="38" t="str">
        <f t="shared" si="43"/>
        <v/>
      </c>
      <c r="H264" s="38"/>
      <c r="J264" t="str">
        <f t="shared" si="51"/>
        <v/>
      </c>
      <c r="K264" s="38" t="str">
        <f t="shared" si="44"/>
        <v/>
      </c>
      <c r="L264" s="38" t="str">
        <f t="shared" si="52"/>
        <v/>
      </c>
      <c r="M264" s="38" t="str">
        <f t="shared" si="53"/>
        <v/>
      </c>
      <c r="N264" s="38" t="str">
        <f t="shared" si="54"/>
        <v/>
      </c>
      <c r="O264" s="38" t="str">
        <f t="shared" si="55"/>
        <v/>
      </c>
      <c r="P264" s="38" t="str">
        <f t="shared" si="45"/>
        <v/>
      </c>
      <c r="Q264" s="38"/>
    </row>
    <row r="265" spans="1:17" x14ac:dyDescent="0.2">
      <c r="A265" t="str">
        <f t="shared" si="46"/>
        <v/>
      </c>
      <c r="B265" s="38" t="str">
        <f t="shared" si="42"/>
        <v/>
      </c>
      <c r="C265" s="38" t="str">
        <f t="shared" si="47"/>
        <v/>
      </c>
      <c r="D265" s="38" t="str">
        <f t="shared" si="48"/>
        <v/>
      </c>
      <c r="E265" s="38" t="str">
        <f t="shared" si="49"/>
        <v/>
      </c>
      <c r="F265" s="38" t="str">
        <f t="shared" si="50"/>
        <v/>
      </c>
      <c r="G265" s="38" t="str">
        <f t="shared" si="43"/>
        <v/>
      </c>
      <c r="H265" s="38"/>
      <c r="J265" t="str">
        <f t="shared" si="51"/>
        <v/>
      </c>
      <c r="K265" s="38" t="str">
        <f t="shared" si="44"/>
        <v/>
      </c>
      <c r="L265" s="38" t="str">
        <f t="shared" si="52"/>
        <v/>
      </c>
      <c r="M265" s="38" t="str">
        <f t="shared" si="53"/>
        <v/>
      </c>
      <c r="N265" s="38" t="str">
        <f t="shared" si="54"/>
        <v/>
      </c>
      <c r="O265" s="38" t="str">
        <f t="shared" si="55"/>
        <v/>
      </c>
      <c r="P265" s="38" t="str">
        <f t="shared" si="45"/>
        <v/>
      </c>
      <c r="Q265" s="38"/>
    </row>
    <row r="266" spans="1:17" x14ac:dyDescent="0.2">
      <c r="A266" t="str">
        <f t="shared" si="46"/>
        <v/>
      </c>
      <c r="B266" s="38" t="str">
        <f t="shared" si="42"/>
        <v/>
      </c>
      <c r="C266" s="38" t="str">
        <f t="shared" si="47"/>
        <v/>
      </c>
      <c r="D266" s="38" t="str">
        <f t="shared" si="48"/>
        <v/>
      </c>
      <c r="E266" s="38" t="str">
        <f t="shared" si="49"/>
        <v/>
      </c>
      <c r="F266" s="38" t="str">
        <f t="shared" si="50"/>
        <v/>
      </c>
      <c r="G266" s="38" t="str">
        <f t="shared" si="43"/>
        <v/>
      </c>
      <c r="H266" s="38"/>
      <c r="J266" t="str">
        <f t="shared" si="51"/>
        <v/>
      </c>
      <c r="K266" s="38" t="str">
        <f t="shared" si="44"/>
        <v/>
      </c>
      <c r="L266" s="38" t="str">
        <f t="shared" si="52"/>
        <v/>
      </c>
      <c r="M266" s="38" t="str">
        <f t="shared" si="53"/>
        <v/>
      </c>
      <c r="N266" s="38" t="str">
        <f t="shared" si="54"/>
        <v/>
      </c>
      <c r="O266" s="38" t="str">
        <f t="shared" si="55"/>
        <v/>
      </c>
      <c r="P266" s="38" t="str">
        <f t="shared" si="45"/>
        <v/>
      </c>
      <c r="Q266" s="38"/>
    </row>
    <row r="267" spans="1:17" x14ac:dyDescent="0.2">
      <c r="A267" t="str">
        <f t="shared" si="46"/>
        <v/>
      </c>
      <c r="B267" s="38" t="str">
        <f t="shared" si="42"/>
        <v/>
      </c>
      <c r="C267" s="38" t="str">
        <f t="shared" si="47"/>
        <v/>
      </c>
      <c r="D267" s="38" t="str">
        <f t="shared" si="48"/>
        <v/>
      </c>
      <c r="E267" s="38" t="str">
        <f t="shared" si="49"/>
        <v/>
      </c>
      <c r="F267" s="38" t="str">
        <f t="shared" si="50"/>
        <v/>
      </c>
      <c r="G267" s="38" t="str">
        <f t="shared" si="43"/>
        <v/>
      </c>
      <c r="H267" s="38"/>
      <c r="J267" t="str">
        <f t="shared" si="51"/>
        <v/>
      </c>
      <c r="K267" s="38" t="str">
        <f t="shared" si="44"/>
        <v/>
      </c>
      <c r="L267" s="38" t="str">
        <f t="shared" si="52"/>
        <v/>
      </c>
      <c r="M267" s="38" t="str">
        <f t="shared" si="53"/>
        <v/>
      </c>
      <c r="N267" s="38" t="str">
        <f t="shared" si="54"/>
        <v/>
      </c>
      <c r="O267" s="38" t="str">
        <f t="shared" si="55"/>
        <v/>
      </c>
      <c r="P267" s="38" t="str">
        <f t="shared" si="45"/>
        <v/>
      </c>
      <c r="Q267" s="38"/>
    </row>
    <row r="268" spans="1:17" x14ac:dyDescent="0.2">
      <c r="A268" t="str">
        <f t="shared" si="46"/>
        <v/>
      </c>
      <c r="B268" s="38" t="str">
        <f t="shared" si="42"/>
        <v/>
      </c>
      <c r="C268" s="38" t="str">
        <f t="shared" si="47"/>
        <v/>
      </c>
      <c r="D268" s="38" t="str">
        <f t="shared" si="48"/>
        <v/>
      </c>
      <c r="E268" s="38" t="str">
        <f t="shared" si="49"/>
        <v/>
      </c>
      <c r="F268" s="38" t="str">
        <f t="shared" si="50"/>
        <v/>
      </c>
      <c r="G268" s="38" t="str">
        <f t="shared" si="43"/>
        <v/>
      </c>
      <c r="H268" s="38"/>
      <c r="J268" t="str">
        <f t="shared" si="51"/>
        <v/>
      </c>
      <c r="K268" s="38" t="str">
        <f t="shared" si="44"/>
        <v/>
      </c>
      <c r="L268" s="38" t="str">
        <f t="shared" si="52"/>
        <v/>
      </c>
      <c r="M268" s="38" t="str">
        <f t="shared" si="53"/>
        <v/>
      </c>
      <c r="N268" s="38" t="str">
        <f t="shared" si="54"/>
        <v/>
      </c>
      <c r="O268" s="38" t="str">
        <f t="shared" si="55"/>
        <v/>
      </c>
      <c r="P268" s="38" t="str">
        <f t="shared" si="45"/>
        <v/>
      </c>
      <c r="Q268" s="38"/>
    </row>
    <row r="269" spans="1:17" x14ac:dyDescent="0.2">
      <c r="A269" t="str">
        <f t="shared" si="46"/>
        <v/>
      </c>
      <c r="B269" s="38" t="str">
        <f t="shared" si="42"/>
        <v/>
      </c>
      <c r="C269" s="38" t="str">
        <f t="shared" si="47"/>
        <v/>
      </c>
      <c r="D269" s="38" t="str">
        <f t="shared" si="48"/>
        <v/>
      </c>
      <c r="E269" s="38" t="str">
        <f t="shared" si="49"/>
        <v/>
      </c>
      <c r="F269" s="38" t="str">
        <f t="shared" si="50"/>
        <v/>
      </c>
      <c r="G269" s="38" t="str">
        <f t="shared" si="43"/>
        <v/>
      </c>
      <c r="H269" s="38"/>
      <c r="J269" t="str">
        <f t="shared" si="51"/>
        <v/>
      </c>
      <c r="K269" s="38" t="str">
        <f t="shared" si="44"/>
        <v/>
      </c>
      <c r="L269" s="38" t="str">
        <f t="shared" si="52"/>
        <v/>
      </c>
      <c r="M269" s="38" t="str">
        <f t="shared" si="53"/>
        <v/>
      </c>
      <c r="N269" s="38" t="str">
        <f t="shared" si="54"/>
        <v/>
      </c>
      <c r="O269" s="38" t="str">
        <f t="shared" si="55"/>
        <v/>
      </c>
      <c r="P269" s="38" t="str">
        <f t="shared" si="45"/>
        <v/>
      </c>
      <c r="Q269" s="38"/>
    </row>
    <row r="270" spans="1:17" x14ac:dyDescent="0.2">
      <c r="A270" t="str">
        <f t="shared" si="46"/>
        <v/>
      </c>
      <c r="B270" s="38" t="str">
        <f t="shared" si="42"/>
        <v/>
      </c>
      <c r="C270" s="38" t="str">
        <f t="shared" si="47"/>
        <v/>
      </c>
      <c r="D270" s="38" t="str">
        <f t="shared" si="48"/>
        <v/>
      </c>
      <c r="E270" s="38" t="str">
        <f t="shared" si="49"/>
        <v/>
      </c>
      <c r="F270" s="38" t="str">
        <f t="shared" si="50"/>
        <v/>
      </c>
      <c r="G270" s="38" t="str">
        <f t="shared" si="43"/>
        <v/>
      </c>
      <c r="H270" s="38"/>
      <c r="J270" t="str">
        <f t="shared" si="51"/>
        <v/>
      </c>
      <c r="K270" s="38" t="str">
        <f t="shared" si="44"/>
        <v/>
      </c>
      <c r="L270" s="38" t="str">
        <f t="shared" si="52"/>
        <v/>
      </c>
      <c r="M270" s="38" t="str">
        <f t="shared" si="53"/>
        <v/>
      </c>
      <c r="N270" s="38" t="str">
        <f t="shared" si="54"/>
        <v/>
      </c>
      <c r="O270" s="38" t="str">
        <f t="shared" si="55"/>
        <v/>
      </c>
      <c r="P270" s="38" t="str">
        <f t="shared" si="45"/>
        <v/>
      </c>
      <c r="Q270" s="38"/>
    </row>
    <row r="271" spans="1:17" x14ac:dyDescent="0.2">
      <c r="A271" t="str">
        <f t="shared" si="46"/>
        <v/>
      </c>
      <c r="B271" s="38" t="str">
        <f t="shared" si="42"/>
        <v/>
      </c>
      <c r="C271" s="38" t="str">
        <f t="shared" si="47"/>
        <v/>
      </c>
      <c r="D271" s="38" t="str">
        <f t="shared" si="48"/>
        <v/>
      </c>
      <c r="E271" s="38" t="str">
        <f t="shared" si="49"/>
        <v/>
      </c>
      <c r="F271" s="38" t="str">
        <f t="shared" si="50"/>
        <v/>
      </c>
      <c r="G271" s="38" t="str">
        <f t="shared" si="43"/>
        <v/>
      </c>
      <c r="H271" s="38"/>
      <c r="J271" t="str">
        <f t="shared" si="51"/>
        <v/>
      </c>
      <c r="K271" s="38" t="str">
        <f t="shared" si="44"/>
        <v/>
      </c>
      <c r="L271" s="38" t="str">
        <f t="shared" si="52"/>
        <v/>
      </c>
      <c r="M271" s="38" t="str">
        <f t="shared" si="53"/>
        <v/>
      </c>
      <c r="N271" s="38" t="str">
        <f t="shared" si="54"/>
        <v/>
      </c>
      <c r="O271" s="38" t="str">
        <f t="shared" si="55"/>
        <v/>
      </c>
      <c r="P271" s="38" t="str">
        <f t="shared" si="45"/>
        <v/>
      </c>
      <c r="Q271" s="38"/>
    </row>
    <row r="272" spans="1:17" x14ac:dyDescent="0.2">
      <c r="A272" t="str">
        <f t="shared" si="46"/>
        <v/>
      </c>
      <c r="B272" s="38" t="str">
        <f t="shared" si="42"/>
        <v/>
      </c>
      <c r="C272" s="38" t="str">
        <f t="shared" si="47"/>
        <v/>
      </c>
      <c r="D272" s="38" t="str">
        <f t="shared" si="48"/>
        <v/>
      </c>
      <c r="E272" s="38" t="str">
        <f t="shared" si="49"/>
        <v/>
      </c>
      <c r="F272" s="38" t="str">
        <f t="shared" si="50"/>
        <v/>
      </c>
      <c r="G272" s="38" t="str">
        <f t="shared" si="43"/>
        <v/>
      </c>
      <c r="H272" s="38"/>
      <c r="J272" t="str">
        <f t="shared" si="51"/>
        <v/>
      </c>
      <c r="K272" s="38" t="str">
        <f t="shared" si="44"/>
        <v/>
      </c>
      <c r="L272" s="38" t="str">
        <f t="shared" si="52"/>
        <v/>
      </c>
      <c r="M272" s="38" t="str">
        <f t="shared" si="53"/>
        <v/>
      </c>
      <c r="N272" s="38" t="str">
        <f t="shared" si="54"/>
        <v/>
      </c>
      <c r="O272" s="38" t="str">
        <f t="shared" si="55"/>
        <v/>
      </c>
      <c r="P272" s="38" t="str">
        <f t="shared" si="45"/>
        <v/>
      </c>
      <c r="Q272" s="38"/>
    </row>
    <row r="273" spans="1:17" x14ac:dyDescent="0.2">
      <c r="A273" t="str">
        <f t="shared" si="46"/>
        <v/>
      </c>
      <c r="B273" s="38" t="str">
        <f t="shared" si="42"/>
        <v/>
      </c>
      <c r="C273" s="38" t="str">
        <f t="shared" si="47"/>
        <v/>
      </c>
      <c r="D273" s="38" t="str">
        <f t="shared" si="48"/>
        <v/>
      </c>
      <c r="E273" s="38" t="str">
        <f t="shared" si="49"/>
        <v/>
      </c>
      <c r="F273" s="38" t="str">
        <f t="shared" si="50"/>
        <v/>
      </c>
      <c r="G273" s="38" t="str">
        <f t="shared" si="43"/>
        <v/>
      </c>
      <c r="H273" s="38"/>
      <c r="J273" t="str">
        <f t="shared" si="51"/>
        <v/>
      </c>
      <c r="K273" s="38" t="str">
        <f t="shared" si="44"/>
        <v/>
      </c>
      <c r="L273" s="38" t="str">
        <f t="shared" si="52"/>
        <v/>
      </c>
      <c r="M273" s="38" t="str">
        <f t="shared" si="53"/>
        <v/>
      </c>
      <c r="N273" s="38" t="str">
        <f t="shared" si="54"/>
        <v/>
      </c>
      <c r="O273" s="38" t="str">
        <f t="shared" si="55"/>
        <v/>
      </c>
      <c r="P273" s="38" t="str">
        <f t="shared" si="45"/>
        <v/>
      </c>
      <c r="Q273" s="38"/>
    </row>
    <row r="274" spans="1:17" x14ac:dyDescent="0.2">
      <c r="A274" t="str">
        <f t="shared" si="46"/>
        <v/>
      </c>
      <c r="B274" s="38" t="str">
        <f t="shared" si="42"/>
        <v/>
      </c>
      <c r="C274" s="38" t="str">
        <f t="shared" si="47"/>
        <v/>
      </c>
      <c r="D274" s="38" t="str">
        <f t="shared" si="48"/>
        <v/>
      </c>
      <c r="E274" s="38" t="str">
        <f t="shared" si="49"/>
        <v/>
      </c>
      <c r="F274" s="38" t="str">
        <f t="shared" si="50"/>
        <v/>
      </c>
      <c r="G274" s="38" t="str">
        <f t="shared" si="43"/>
        <v/>
      </c>
      <c r="H274" s="38"/>
      <c r="J274" t="str">
        <f t="shared" si="51"/>
        <v/>
      </c>
      <c r="K274" s="38" t="str">
        <f t="shared" si="44"/>
        <v/>
      </c>
      <c r="L274" s="38" t="str">
        <f t="shared" si="52"/>
        <v/>
      </c>
      <c r="M274" s="38" t="str">
        <f t="shared" si="53"/>
        <v/>
      </c>
      <c r="N274" s="38" t="str">
        <f t="shared" si="54"/>
        <v/>
      </c>
      <c r="O274" s="38" t="str">
        <f t="shared" si="55"/>
        <v/>
      </c>
      <c r="P274" s="38" t="str">
        <f t="shared" si="45"/>
        <v/>
      </c>
      <c r="Q274" s="38"/>
    </row>
    <row r="275" spans="1:17" x14ac:dyDescent="0.2">
      <c r="A275" t="str">
        <f t="shared" si="46"/>
        <v/>
      </c>
      <c r="B275" s="38" t="str">
        <f t="shared" si="42"/>
        <v/>
      </c>
      <c r="C275" s="38" t="str">
        <f t="shared" si="47"/>
        <v/>
      </c>
      <c r="D275" s="38" t="str">
        <f t="shared" si="48"/>
        <v/>
      </c>
      <c r="E275" s="38" t="str">
        <f t="shared" si="49"/>
        <v/>
      </c>
      <c r="F275" s="38" t="str">
        <f t="shared" si="50"/>
        <v/>
      </c>
      <c r="G275" s="38" t="str">
        <f t="shared" si="43"/>
        <v/>
      </c>
      <c r="H275" s="38"/>
      <c r="J275" t="str">
        <f t="shared" si="51"/>
        <v/>
      </c>
      <c r="K275" s="38" t="str">
        <f t="shared" si="44"/>
        <v/>
      </c>
      <c r="L275" s="38" t="str">
        <f t="shared" si="52"/>
        <v/>
      </c>
      <c r="M275" s="38" t="str">
        <f t="shared" si="53"/>
        <v/>
      </c>
      <c r="N275" s="38" t="str">
        <f t="shared" si="54"/>
        <v/>
      </c>
      <c r="O275" s="38" t="str">
        <f t="shared" si="55"/>
        <v/>
      </c>
      <c r="P275" s="38" t="str">
        <f t="shared" si="45"/>
        <v/>
      </c>
      <c r="Q275" s="38"/>
    </row>
    <row r="276" spans="1:17" x14ac:dyDescent="0.2">
      <c r="A276" t="str">
        <f t="shared" si="46"/>
        <v/>
      </c>
      <c r="B276" s="38" t="str">
        <f t="shared" si="42"/>
        <v/>
      </c>
      <c r="C276" s="38" t="str">
        <f t="shared" si="47"/>
        <v/>
      </c>
      <c r="D276" s="38" t="str">
        <f t="shared" si="48"/>
        <v/>
      </c>
      <c r="E276" s="38" t="str">
        <f t="shared" si="49"/>
        <v/>
      </c>
      <c r="F276" s="38" t="str">
        <f t="shared" si="50"/>
        <v/>
      </c>
      <c r="G276" s="38" t="str">
        <f t="shared" si="43"/>
        <v/>
      </c>
      <c r="H276" s="38"/>
      <c r="J276" t="str">
        <f t="shared" si="51"/>
        <v/>
      </c>
      <c r="K276" s="38" t="str">
        <f t="shared" si="44"/>
        <v/>
      </c>
      <c r="L276" s="38" t="str">
        <f t="shared" si="52"/>
        <v/>
      </c>
      <c r="M276" s="38" t="str">
        <f t="shared" si="53"/>
        <v/>
      </c>
      <c r="N276" s="38" t="str">
        <f t="shared" si="54"/>
        <v/>
      </c>
      <c r="O276" s="38" t="str">
        <f t="shared" si="55"/>
        <v/>
      </c>
      <c r="P276" s="38" t="str">
        <f t="shared" si="45"/>
        <v/>
      </c>
      <c r="Q276" s="38"/>
    </row>
    <row r="277" spans="1:17" x14ac:dyDescent="0.2">
      <c r="A277" t="str">
        <f t="shared" si="46"/>
        <v/>
      </c>
      <c r="B277" s="38" t="str">
        <f t="shared" si="42"/>
        <v/>
      </c>
      <c r="C277" s="38" t="str">
        <f t="shared" si="47"/>
        <v/>
      </c>
      <c r="D277" s="38" t="str">
        <f t="shared" si="48"/>
        <v/>
      </c>
      <c r="E277" s="38" t="str">
        <f t="shared" si="49"/>
        <v/>
      </c>
      <c r="F277" s="38" t="str">
        <f t="shared" si="50"/>
        <v/>
      </c>
      <c r="G277" s="38" t="str">
        <f t="shared" si="43"/>
        <v/>
      </c>
      <c r="H277" s="38"/>
      <c r="J277" t="str">
        <f t="shared" si="51"/>
        <v/>
      </c>
      <c r="K277" s="38" t="str">
        <f t="shared" si="44"/>
        <v/>
      </c>
      <c r="L277" s="38" t="str">
        <f t="shared" si="52"/>
        <v/>
      </c>
      <c r="M277" s="38" t="str">
        <f t="shared" si="53"/>
        <v/>
      </c>
      <c r="N277" s="38" t="str">
        <f t="shared" si="54"/>
        <v/>
      </c>
      <c r="O277" s="38" t="str">
        <f t="shared" si="55"/>
        <v/>
      </c>
      <c r="P277" s="38" t="str">
        <f t="shared" si="45"/>
        <v/>
      </c>
      <c r="Q277" s="38"/>
    </row>
    <row r="278" spans="1:17" x14ac:dyDescent="0.2">
      <c r="A278" t="str">
        <f t="shared" si="46"/>
        <v/>
      </c>
      <c r="B278" s="38" t="str">
        <f t="shared" si="42"/>
        <v/>
      </c>
      <c r="C278" s="38" t="str">
        <f t="shared" si="47"/>
        <v/>
      </c>
      <c r="D278" s="38" t="str">
        <f t="shared" si="48"/>
        <v/>
      </c>
      <c r="E278" s="38" t="str">
        <f t="shared" si="49"/>
        <v/>
      </c>
      <c r="F278" s="38" t="str">
        <f t="shared" si="50"/>
        <v/>
      </c>
      <c r="G278" s="38" t="str">
        <f t="shared" si="43"/>
        <v/>
      </c>
      <c r="H278" s="38"/>
      <c r="J278" t="str">
        <f t="shared" si="51"/>
        <v/>
      </c>
      <c r="K278" s="38" t="str">
        <f t="shared" si="44"/>
        <v/>
      </c>
      <c r="L278" s="38" t="str">
        <f t="shared" si="52"/>
        <v/>
      </c>
      <c r="M278" s="38" t="str">
        <f t="shared" si="53"/>
        <v/>
      </c>
      <c r="N278" s="38" t="str">
        <f t="shared" si="54"/>
        <v/>
      </c>
      <c r="O278" s="38" t="str">
        <f t="shared" si="55"/>
        <v/>
      </c>
      <c r="P278" s="38" t="str">
        <f t="shared" si="45"/>
        <v/>
      </c>
      <c r="Q278" s="38"/>
    </row>
    <row r="279" spans="1:17" x14ac:dyDescent="0.2">
      <c r="A279" t="str">
        <f t="shared" si="46"/>
        <v/>
      </c>
      <c r="B279" s="38" t="str">
        <f t="shared" ref="B279:B342" si="56">IF(A279="","",F278)</f>
        <v/>
      </c>
      <c r="C279" s="38" t="str">
        <f t="shared" si="47"/>
        <v/>
      </c>
      <c r="D279" s="38" t="str">
        <f t="shared" si="48"/>
        <v/>
      </c>
      <c r="E279" s="38" t="str">
        <f t="shared" si="49"/>
        <v/>
      </c>
      <c r="F279" s="38" t="str">
        <f t="shared" si="50"/>
        <v/>
      </c>
      <c r="G279" s="38" t="str">
        <f t="shared" ref="G279:G342" si="57">IF(A279="","", (G278+C279))</f>
        <v/>
      </c>
      <c r="H279" s="38"/>
      <c r="J279" t="str">
        <f t="shared" si="51"/>
        <v/>
      </c>
      <c r="K279" s="38" t="str">
        <f t="shared" ref="K279:K342" si="58">IF(J279="","",O278)</f>
        <v/>
      </c>
      <c r="L279" s="38" t="str">
        <f t="shared" si="52"/>
        <v/>
      </c>
      <c r="M279" s="38" t="str">
        <f t="shared" si="53"/>
        <v/>
      </c>
      <c r="N279" s="38" t="str">
        <f t="shared" si="54"/>
        <v/>
      </c>
      <c r="O279" s="38" t="str">
        <f t="shared" si="55"/>
        <v/>
      </c>
      <c r="P279" s="38" t="str">
        <f t="shared" ref="P279:P342" si="59">IF(J279="","", (P278+L279))</f>
        <v/>
      </c>
      <c r="Q279" s="38"/>
    </row>
    <row r="280" spans="1:17" x14ac:dyDescent="0.2">
      <c r="A280" t="str">
        <f t="shared" ref="A280:A343" si="60">IF(A279&lt;($B$7*$B$8),A279+1,"")</f>
        <v/>
      </c>
      <c r="B280" s="38" t="str">
        <f t="shared" si="56"/>
        <v/>
      </c>
      <c r="C280" s="38" t="str">
        <f t="shared" ref="C280:C343" si="61">IF(A280="","",(B280*$B$6))</f>
        <v/>
      </c>
      <c r="D280" s="38" t="str">
        <f t="shared" ref="D280:D343" si="62">IF(A280="","", $B$3)</f>
        <v/>
      </c>
      <c r="E280" s="38" t="str">
        <f t="shared" ref="E280:E343" si="63">IF(D280="","",(D280-C280))</f>
        <v/>
      </c>
      <c r="F280" s="38" t="str">
        <f t="shared" ref="F280:F343" si="64">IF(A280="","", B280+C280+D280)</f>
        <v/>
      </c>
      <c r="G280" s="38" t="str">
        <f t="shared" si="57"/>
        <v/>
      </c>
      <c r="H280" s="38"/>
      <c r="J280" t="str">
        <f t="shared" ref="J280:J343" si="65">IF(J279&lt;($B$7*$B$8),J279+1,"")</f>
        <v/>
      </c>
      <c r="K280" s="38" t="str">
        <f t="shared" si="58"/>
        <v/>
      </c>
      <c r="L280" s="38" t="str">
        <f t="shared" ref="L280:L343" si="66">IF(J280="","",((K280 + M280)*$B$6))</f>
        <v/>
      </c>
      <c r="M280" s="38" t="str">
        <f t="shared" ref="M280:M343" si="67">IF(J280="","", $B$3)</f>
        <v/>
      </c>
      <c r="N280" s="38" t="str">
        <f t="shared" ref="N280:N343" si="68">IF(M280="","",(M280-L280))</f>
        <v/>
      </c>
      <c r="O280" s="38" t="str">
        <f t="shared" ref="O280:O343" si="69">IF(J280="","", K280+L280+M280)</f>
        <v/>
      </c>
      <c r="P280" s="38" t="str">
        <f t="shared" si="59"/>
        <v/>
      </c>
      <c r="Q280" s="38"/>
    </row>
    <row r="281" spans="1:17" x14ac:dyDescent="0.2">
      <c r="A281" t="str">
        <f t="shared" si="60"/>
        <v/>
      </c>
      <c r="B281" s="38" t="str">
        <f t="shared" si="56"/>
        <v/>
      </c>
      <c r="C281" s="38" t="str">
        <f t="shared" si="61"/>
        <v/>
      </c>
      <c r="D281" s="38" t="str">
        <f t="shared" si="62"/>
        <v/>
      </c>
      <c r="E281" s="38" t="str">
        <f t="shared" si="63"/>
        <v/>
      </c>
      <c r="F281" s="38" t="str">
        <f t="shared" si="64"/>
        <v/>
      </c>
      <c r="G281" s="38" t="str">
        <f t="shared" si="57"/>
        <v/>
      </c>
      <c r="H281" s="38"/>
      <c r="J281" t="str">
        <f t="shared" si="65"/>
        <v/>
      </c>
      <c r="K281" s="38" t="str">
        <f t="shared" si="58"/>
        <v/>
      </c>
      <c r="L281" s="38" t="str">
        <f t="shared" si="66"/>
        <v/>
      </c>
      <c r="M281" s="38" t="str">
        <f t="shared" si="67"/>
        <v/>
      </c>
      <c r="N281" s="38" t="str">
        <f t="shared" si="68"/>
        <v/>
      </c>
      <c r="O281" s="38" t="str">
        <f t="shared" si="69"/>
        <v/>
      </c>
      <c r="P281" s="38" t="str">
        <f t="shared" si="59"/>
        <v/>
      </c>
      <c r="Q281" s="38"/>
    </row>
    <row r="282" spans="1:17" x14ac:dyDescent="0.2">
      <c r="A282" t="str">
        <f t="shared" si="60"/>
        <v/>
      </c>
      <c r="B282" s="38" t="str">
        <f t="shared" si="56"/>
        <v/>
      </c>
      <c r="C282" s="38" t="str">
        <f t="shared" si="61"/>
        <v/>
      </c>
      <c r="D282" s="38" t="str">
        <f t="shared" si="62"/>
        <v/>
      </c>
      <c r="E282" s="38" t="str">
        <f t="shared" si="63"/>
        <v/>
      </c>
      <c r="F282" s="38" t="str">
        <f t="shared" si="64"/>
        <v/>
      </c>
      <c r="G282" s="38" t="str">
        <f t="shared" si="57"/>
        <v/>
      </c>
      <c r="H282" s="38"/>
      <c r="J282" t="str">
        <f t="shared" si="65"/>
        <v/>
      </c>
      <c r="K282" s="38" t="str">
        <f t="shared" si="58"/>
        <v/>
      </c>
      <c r="L282" s="38" t="str">
        <f t="shared" si="66"/>
        <v/>
      </c>
      <c r="M282" s="38" t="str">
        <f t="shared" si="67"/>
        <v/>
      </c>
      <c r="N282" s="38" t="str">
        <f t="shared" si="68"/>
        <v/>
      </c>
      <c r="O282" s="38" t="str">
        <f t="shared" si="69"/>
        <v/>
      </c>
      <c r="P282" s="38" t="str">
        <f t="shared" si="59"/>
        <v/>
      </c>
      <c r="Q282" s="38"/>
    </row>
    <row r="283" spans="1:17" x14ac:dyDescent="0.2">
      <c r="A283" t="str">
        <f t="shared" si="60"/>
        <v/>
      </c>
      <c r="B283" s="38" t="str">
        <f t="shared" si="56"/>
        <v/>
      </c>
      <c r="C283" s="38" t="str">
        <f t="shared" si="61"/>
        <v/>
      </c>
      <c r="D283" s="38" t="str">
        <f t="shared" si="62"/>
        <v/>
      </c>
      <c r="E283" s="38" t="str">
        <f t="shared" si="63"/>
        <v/>
      </c>
      <c r="F283" s="38" t="str">
        <f t="shared" si="64"/>
        <v/>
      </c>
      <c r="G283" s="38" t="str">
        <f t="shared" si="57"/>
        <v/>
      </c>
      <c r="H283" s="38"/>
      <c r="J283" t="str">
        <f t="shared" si="65"/>
        <v/>
      </c>
      <c r="K283" s="38" t="str">
        <f t="shared" si="58"/>
        <v/>
      </c>
      <c r="L283" s="38" t="str">
        <f t="shared" si="66"/>
        <v/>
      </c>
      <c r="M283" s="38" t="str">
        <f t="shared" si="67"/>
        <v/>
      </c>
      <c r="N283" s="38" t="str">
        <f t="shared" si="68"/>
        <v/>
      </c>
      <c r="O283" s="38" t="str">
        <f t="shared" si="69"/>
        <v/>
      </c>
      <c r="P283" s="38" t="str">
        <f t="shared" si="59"/>
        <v/>
      </c>
      <c r="Q283" s="38"/>
    </row>
    <row r="284" spans="1:17" x14ac:dyDescent="0.2">
      <c r="A284" t="str">
        <f t="shared" si="60"/>
        <v/>
      </c>
      <c r="B284" s="38" t="str">
        <f t="shared" si="56"/>
        <v/>
      </c>
      <c r="C284" s="38" t="str">
        <f t="shared" si="61"/>
        <v/>
      </c>
      <c r="D284" s="38" t="str">
        <f t="shared" si="62"/>
        <v/>
      </c>
      <c r="E284" s="38" t="str">
        <f t="shared" si="63"/>
        <v/>
      </c>
      <c r="F284" s="38" t="str">
        <f t="shared" si="64"/>
        <v/>
      </c>
      <c r="G284" s="38" t="str">
        <f t="shared" si="57"/>
        <v/>
      </c>
      <c r="H284" s="38"/>
      <c r="J284" t="str">
        <f t="shared" si="65"/>
        <v/>
      </c>
      <c r="K284" s="38" t="str">
        <f t="shared" si="58"/>
        <v/>
      </c>
      <c r="L284" s="38" t="str">
        <f t="shared" si="66"/>
        <v/>
      </c>
      <c r="M284" s="38" t="str">
        <f t="shared" si="67"/>
        <v/>
      </c>
      <c r="N284" s="38" t="str">
        <f t="shared" si="68"/>
        <v/>
      </c>
      <c r="O284" s="38" t="str">
        <f t="shared" si="69"/>
        <v/>
      </c>
      <c r="P284" s="38" t="str">
        <f t="shared" si="59"/>
        <v/>
      </c>
      <c r="Q284" s="38"/>
    </row>
    <row r="285" spans="1:17" x14ac:dyDescent="0.2">
      <c r="A285" t="str">
        <f t="shared" si="60"/>
        <v/>
      </c>
      <c r="B285" s="38" t="str">
        <f t="shared" si="56"/>
        <v/>
      </c>
      <c r="C285" s="38" t="str">
        <f t="shared" si="61"/>
        <v/>
      </c>
      <c r="D285" s="38" t="str">
        <f t="shared" si="62"/>
        <v/>
      </c>
      <c r="E285" s="38" t="str">
        <f t="shared" si="63"/>
        <v/>
      </c>
      <c r="F285" s="38" t="str">
        <f t="shared" si="64"/>
        <v/>
      </c>
      <c r="G285" s="38" t="str">
        <f t="shared" si="57"/>
        <v/>
      </c>
      <c r="H285" s="38"/>
      <c r="J285" t="str">
        <f t="shared" si="65"/>
        <v/>
      </c>
      <c r="K285" s="38" t="str">
        <f t="shared" si="58"/>
        <v/>
      </c>
      <c r="L285" s="38" t="str">
        <f t="shared" si="66"/>
        <v/>
      </c>
      <c r="M285" s="38" t="str">
        <f t="shared" si="67"/>
        <v/>
      </c>
      <c r="N285" s="38" t="str">
        <f t="shared" si="68"/>
        <v/>
      </c>
      <c r="O285" s="38" t="str">
        <f t="shared" si="69"/>
        <v/>
      </c>
      <c r="P285" s="38" t="str">
        <f t="shared" si="59"/>
        <v/>
      </c>
      <c r="Q285" s="38"/>
    </row>
    <row r="286" spans="1:17" x14ac:dyDescent="0.2">
      <c r="A286" t="str">
        <f t="shared" si="60"/>
        <v/>
      </c>
      <c r="B286" s="38" t="str">
        <f t="shared" si="56"/>
        <v/>
      </c>
      <c r="C286" s="38" t="str">
        <f t="shared" si="61"/>
        <v/>
      </c>
      <c r="D286" s="38" t="str">
        <f t="shared" si="62"/>
        <v/>
      </c>
      <c r="E286" s="38" t="str">
        <f t="shared" si="63"/>
        <v/>
      </c>
      <c r="F286" s="38" t="str">
        <f t="shared" si="64"/>
        <v/>
      </c>
      <c r="G286" s="38" t="str">
        <f t="shared" si="57"/>
        <v/>
      </c>
      <c r="H286" s="38"/>
      <c r="J286" t="str">
        <f t="shared" si="65"/>
        <v/>
      </c>
      <c r="K286" s="38" t="str">
        <f t="shared" si="58"/>
        <v/>
      </c>
      <c r="L286" s="38" t="str">
        <f t="shared" si="66"/>
        <v/>
      </c>
      <c r="M286" s="38" t="str">
        <f t="shared" si="67"/>
        <v/>
      </c>
      <c r="N286" s="38" t="str">
        <f t="shared" si="68"/>
        <v/>
      </c>
      <c r="O286" s="38" t="str">
        <f t="shared" si="69"/>
        <v/>
      </c>
      <c r="P286" s="38" t="str">
        <f t="shared" si="59"/>
        <v/>
      </c>
      <c r="Q286" s="38"/>
    </row>
    <row r="287" spans="1:17" x14ac:dyDescent="0.2">
      <c r="A287" t="str">
        <f t="shared" si="60"/>
        <v/>
      </c>
      <c r="B287" s="38" t="str">
        <f t="shared" si="56"/>
        <v/>
      </c>
      <c r="C287" s="38" t="str">
        <f t="shared" si="61"/>
        <v/>
      </c>
      <c r="D287" s="38" t="str">
        <f t="shared" si="62"/>
        <v/>
      </c>
      <c r="E287" s="38" t="str">
        <f t="shared" si="63"/>
        <v/>
      </c>
      <c r="F287" s="38" t="str">
        <f t="shared" si="64"/>
        <v/>
      </c>
      <c r="G287" s="38" t="str">
        <f t="shared" si="57"/>
        <v/>
      </c>
      <c r="H287" s="38"/>
      <c r="J287" t="str">
        <f t="shared" si="65"/>
        <v/>
      </c>
      <c r="K287" s="38" t="str">
        <f t="shared" si="58"/>
        <v/>
      </c>
      <c r="L287" s="38" t="str">
        <f t="shared" si="66"/>
        <v/>
      </c>
      <c r="M287" s="38" t="str">
        <f t="shared" si="67"/>
        <v/>
      </c>
      <c r="N287" s="38" t="str">
        <f t="shared" si="68"/>
        <v/>
      </c>
      <c r="O287" s="38" t="str">
        <f t="shared" si="69"/>
        <v/>
      </c>
      <c r="P287" s="38" t="str">
        <f t="shared" si="59"/>
        <v/>
      </c>
      <c r="Q287" s="38"/>
    </row>
    <row r="288" spans="1:17" x14ac:dyDescent="0.2">
      <c r="A288" t="str">
        <f t="shared" si="60"/>
        <v/>
      </c>
      <c r="B288" s="38" t="str">
        <f t="shared" si="56"/>
        <v/>
      </c>
      <c r="C288" s="38" t="str">
        <f t="shared" si="61"/>
        <v/>
      </c>
      <c r="D288" s="38" t="str">
        <f t="shared" si="62"/>
        <v/>
      </c>
      <c r="E288" s="38" t="str">
        <f t="shared" si="63"/>
        <v/>
      </c>
      <c r="F288" s="38" t="str">
        <f t="shared" si="64"/>
        <v/>
      </c>
      <c r="G288" s="38" t="str">
        <f t="shared" si="57"/>
        <v/>
      </c>
      <c r="H288" s="38"/>
      <c r="J288" t="str">
        <f t="shared" si="65"/>
        <v/>
      </c>
      <c r="K288" s="38" t="str">
        <f t="shared" si="58"/>
        <v/>
      </c>
      <c r="L288" s="38" t="str">
        <f t="shared" si="66"/>
        <v/>
      </c>
      <c r="M288" s="38" t="str">
        <f t="shared" si="67"/>
        <v/>
      </c>
      <c r="N288" s="38" t="str">
        <f t="shared" si="68"/>
        <v/>
      </c>
      <c r="O288" s="38" t="str">
        <f t="shared" si="69"/>
        <v/>
      </c>
      <c r="P288" s="38" t="str">
        <f t="shared" si="59"/>
        <v/>
      </c>
      <c r="Q288" s="38"/>
    </row>
    <row r="289" spans="1:17" x14ac:dyDescent="0.2">
      <c r="A289" t="str">
        <f t="shared" si="60"/>
        <v/>
      </c>
      <c r="B289" s="38" t="str">
        <f t="shared" si="56"/>
        <v/>
      </c>
      <c r="C289" s="38" t="str">
        <f t="shared" si="61"/>
        <v/>
      </c>
      <c r="D289" s="38" t="str">
        <f t="shared" si="62"/>
        <v/>
      </c>
      <c r="E289" s="38" t="str">
        <f t="shared" si="63"/>
        <v/>
      </c>
      <c r="F289" s="38" t="str">
        <f t="shared" si="64"/>
        <v/>
      </c>
      <c r="G289" s="38" t="str">
        <f t="shared" si="57"/>
        <v/>
      </c>
      <c r="H289" s="38"/>
      <c r="J289" t="str">
        <f t="shared" si="65"/>
        <v/>
      </c>
      <c r="K289" s="38" t="str">
        <f t="shared" si="58"/>
        <v/>
      </c>
      <c r="L289" s="38" t="str">
        <f t="shared" si="66"/>
        <v/>
      </c>
      <c r="M289" s="38" t="str">
        <f t="shared" si="67"/>
        <v/>
      </c>
      <c r="N289" s="38" t="str">
        <f t="shared" si="68"/>
        <v/>
      </c>
      <c r="O289" s="38" t="str">
        <f t="shared" si="69"/>
        <v/>
      </c>
      <c r="P289" s="38" t="str">
        <f t="shared" si="59"/>
        <v/>
      </c>
      <c r="Q289" s="38"/>
    </row>
    <row r="290" spans="1:17" x14ac:dyDescent="0.2">
      <c r="A290" t="str">
        <f t="shared" si="60"/>
        <v/>
      </c>
      <c r="B290" s="38" t="str">
        <f t="shared" si="56"/>
        <v/>
      </c>
      <c r="C290" s="38" t="str">
        <f t="shared" si="61"/>
        <v/>
      </c>
      <c r="D290" s="38" t="str">
        <f t="shared" si="62"/>
        <v/>
      </c>
      <c r="E290" s="38" t="str">
        <f t="shared" si="63"/>
        <v/>
      </c>
      <c r="F290" s="38" t="str">
        <f t="shared" si="64"/>
        <v/>
      </c>
      <c r="G290" s="38" t="str">
        <f t="shared" si="57"/>
        <v/>
      </c>
      <c r="H290" s="38"/>
      <c r="J290" t="str">
        <f t="shared" si="65"/>
        <v/>
      </c>
      <c r="K290" s="38" t="str">
        <f t="shared" si="58"/>
        <v/>
      </c>
      <c r="L290" s="38" t="str">
        <f t="shared" si="66"/>
        <v/>
      </c>
      <c r="M290" s="38" t="str">
        <f t="shared" si="67"/>
        <v/>
      </c>
      <c r="N290" s="38" t="str">
        <f t="shared" si="68"/>
        <v/>
      </c>
      <c r="O290" s="38" t="str">
        <f t="shared" si="69"/>
        <v/>
      </c>
      <c r="P290" s="38" t="str">
        <f t="shared" si="59"/>
        <v/>
      </c>
      <c r="Q290" s="38"/>
    </row>
    <row r="291" spans="1:17" x14ac:dyDescent="0.2">
      <c r="A291" t="str">
        <f t="shared" si="60"/>
        <v/>
      </c>
      <c r="B291" s="38" t="str">
        <f t="shared" si="56"/>
        <v/>
      </c>
      <c r="C291" s="38" t="str">
        <f t="shared" si="61"/>
        <v/>
      </c>
      <c r="D291" s="38" t="str">
        <f t="shared" si="62"/>
        <v/>
      </c>
      <c r="E291" s="38" t="str">
        <f t="shared" si="63"/>
        <v/>
      </c>
      <c r="F291" s="38" t="str">
        <f t="shared" si="64"/>
        <v/>
      </c>
      <c r="G291" s="38" t="str">
        <f t="shared" si="57"/>
        <v/>
      </c>
      <c r="H291" s="38"/>
      <c r="J291" t="str">
        <f t="shared" si="65"/>
        <v/>
      </c>
      <c r="K291" s="38" t="str">
        <f t="shared" si="58"/>
        <v/>
      </c>
      <c r="L291" s="38" t="str">
        <f t="shared" si="66"/>
        <v/>
      </c>
      <c r="M291" s="38" t="str">
        <f t="shared" si="67"/>
        <v/>
      </c>
      <c r="N291" s="38" t="str">
        <f t="shared" si="68"/>
        <v/>
      </c>
      <c r="O291" s="38" t="str">
        <f t="shared" si="69"/>
        <v/>
      </c>
      <c r="P291" s="38" t="str">
        <f t="shared" si="59"/>
        <v/>
      </c>
      <c r="Q291" s="38"/>
    </row>
    <row r="292" spans="1:17" x14ac:dyDescent="0.2">
      <c r="A292" t="str">
        <f t="shared" si="60"/>
        <v/>
      </c>
      <c r="B292" s="38" t="str">
        <f t="shared" si="56"/>
        <v/>
      </c>
      <c r="C292" s="38" t="str">
        <f t="shared" si="61"/>
        <v/>
      </c>
      <c r="D292" s="38" t="str">
        <f t="shared" si="62"/>
        <v/>
      </c>
      <c r="E292" s="38" t="str">
        <f t="shared" si="63"/>
        <v/>
      </c>
      <c r="F292" s="38" t="str">
        <f t="shared" si="64"/>
        <v/>
      </c>
      <c r="G292" s="38" t="str">
        <f t="shared" si="57"/>
        <v/>
      </c>
      <c r="H292" s="38"/>
      <c r="J292" t="str">
        <f t="shared" si="65"/>
        <v/>
      </c>
      <c r="K292" s="38" t="str">
        <f t="shared" si="58"/>
        <v/>
      </c>
      <c r="L292" s="38" t="str">
        <f t="shared" si="66"/>
        <v/>
      </c>
      <c r="M292" s="38" t="str">
        <f t="shared" si="67"/>
        <v/>
      </c>
      <c r="N292" s="38" t="str">
        <f t="shared" si="68"/>
        <v/>
      </c>
      <c r="O292" s="38" t="str">
        <f t="shared" si="69"/>
        <v/>
      </c>
      <c r="P292" s="38" t="str">
        <f t="shared" si="59"/>
        <v/>
      </c>
      <c r="Q292" s="38"/>
    </row>
    <row r="293" spans="1:17" x14ac:dyDescent="0.2">
      <c r="A293" t="str">
        <f t="shared" si="60"/>
        <v/>
      </c>
      <c r="B293" s="38" t="str">
        <f t="shared" si="56"/>
        <v/>
      </c>
      <c r="C293" s="38" t="str">
        <f t="shared" si="61"/>
        <v/>
      </c>
      <c r="D293" s="38" t="str">
        <f t="shared" si="62"/>
        <v/>
      </c>
      <c r="E293" s="38" t="str">
        <f t="shared" si="63"/>
        <v/>
      </c>
      <c r="F293" s="38" t="str">
        <f t="shared" si="64"/>
        <v/>
      </c>
      <c r="G293" s="38" t="str">
        <f t="shared" si="57"/>
        <v/>
      </c>
      <c r="H293" s="38"/>
      <c r="J293" t="str">
        <f t="shared" si="65"/>
        <v/>
      </c>
      <c r="K293" s="38" t="str">
        <f t="shared" si="58"/>
        <v/>
      </c>
      <c r="L293" s="38" t="str">
        <f t="shared" si="66"/>
        <v/>
      </c>
      <c r="M293" s="38" t="str">
        <f t="shared" si="67"/>
        <v/>
      </c>
      <c r="N293" s="38" t="str">
        <f t="shared" si="68"/>
        <v/>
      </c>
      <c r="O293" s="38" t="str">
        <f t="shared" si="69"/>
        <v/>
      </c>
      <c r="P293" s="38" t="str">
        <f t="shared" si="59"/>
        <v/>
      </c>
      <c r="Q293" s="38"/>
    </row>
    <row r="294" spans="1:17" x14ac:dyDescent="0.2">
      <c r="A294" t="str">
        <f t="shared" si="60"/>
        <v/>
      </c>
      <c r="B294" s="38" t="str">
        <f t="shared" si="56"/>
        <v/>
      </c>
      <c r="C294" s="38" t="str">
        <f t="shared" si="61"/>
        <v/>
      </c>
      <c r="D294" s="38" t="str">
        <f t="shared" si="62"/>
        <v/>
      </c>
      <c r="E294" s="38" t="str">
        <f t="shared" si="63"/>
        <v/>
      </c>
      <c r="F294" s="38" t="str">
        <f t="shared" si="64"/>
        <v/>
      </c>
      <c r="G294" s="38" t="str">
        <f t="shared" si="57"/>
        <v/>
      </c>
      <c r="H294" s="38"/>
      <c r="J294" t="str">
        <f t="shared" si="65"/>
        <v/>
      </c>
      <c r="K294" s="38" t="str">
        <f t="shared" si="58"/>
        <v/>
      </c>
      <c r="L294" s="38" t="str">
        <f t="shared" si="66"/>
        <v/>
      </c>
      <c r="M294" s="38" t="str">
        <f t="shared" si="67"/>
        <v/>
      </c>
      <c r="N294" s="38" t="str">
        <f t="shared" si="68"/>
        <v/>
      </c>
      <c r="O294" s="38" t="str">
        <f t="shared" si="69"/>
        <v/>
      </c>
      <c r="P294" s="38" t="str">
        <f t="shared" si="59"/>
        <v/>
      </c>
      <c r="Q294" s="38"/>
    </row>
    <row r="295" spans="1:17" x14ac:dyDescent="0.2">
      <c r="A295" t="str">
        <f t="shared" si="60"/>
        <v/>
      </c>
      <c r="B295" s="38" t="str">
        <f t="shared" si="56"/>
        <v/>
      </c>
      <c r="C295" s="38" t="str">
        <f t="shared" si="61"/>
        <v/>
      </c>
      <c r="D295" s="38" t="str">
        <f t="shared" si="62"/>
        <v/>
      </c>
      <c r="E295" s="38" t="str">
        <f t="shared" si="63"/>
        <v/>
      </c>
      <c r="F295" s="38" t="str">
        <f t="shared" si="64"/>
        <v/>
      </c>
      <c r="G295" s="38" t="str">
        <f t="shared" si="57"/>
        <v/>
      </c>
      <c r="H295" s="38"/>
      <c r="J295" t="str">
        <f t="shared" si="65"/>
        <v/>
      </c>
      <c r="K295" s="38" t="str">
        <f t="shared" si="58"/>
        <v/>
      </c>
      <c r="L295" s="38" t="str">
        <f t="shared" si="66"/>
        <v/>
      </c>
      <c r="M295" s="38" t="str">
        <f t="shared" si="67"/>
        <v/>
      </c>
      <c r="N295" s="38" t="str">
        <f t="shared" si="68"/>
        <v/>
      </c>
      <c r="O295" s="38" t="str">
        <f t="shared" si="69"/>
        <v/>
      </c>
      <c r="P295" s="38" t="str">
        <f t="shared" si="59"/>
        <v/>
      </c>
      <c r="Q295" s="38"/>
    </row>
    <row r="296" spans="1:17" x14ac:dyDescent="0.2">
      <c r="A296" t="str">
        <f t="shared" si="60"/>
        <v/>
      </c>
      <c r="B296" s="38" t="str">
        <f t="shared" si="56"/>
        <v/>
      </c>
      <c r="C296" s="38" t="str">
        <f t="shared" si="61"/>
        <v/>
      </c>
      <c r="D296" s="38" t="str">
        <f t="shared" si="62"/>
        <v/>
      </c>
      <c r="E296" s="38" t="str">
        <f t="shared" si="63"/>
        <v/>
      </c>
      <c r="F296" s="38" t="str">
        <f t="shared" si="64"/>
        <v/>
      </c>
      <c r="G296" s="38" t="str">
        <f t="shared" si="57"/>
        <v/>
      </c>
      <c r="H296" s="38"/>
      <c r="J296" t="str">
        <f t="shared" si="65"/>
        <v/>
      </c>
      <c r="K296" s="38" t="str">
        <f t="shared" si="58"/>
        <v/>
      </c>
      <c r="L296" s="38" t="str">
        <f t="shared" si="66"/>
        <v/>
      </c>
      <c r="M296" s="38" t="str">
        <f t="shared" si="67"/>
        <v/>
      </c>
      <c r="N296" s="38" t="str">
        <f t="shared" si="68"/>
        <v/>
      </c>
      <c r="O296" s="38" t="str">
        <f t="shared" si="69"/>
        <v/>
      </c>
      <c r="P296" s="38" t="str">
        <f t="shared" si="59"/>
        <v/>
      </c>
      <c r="Q296" s="38"/>
    </row>
    <row r="297" spans="1:17" x14ac:dyDescent="0.2">
      <c r="A297" t="str">
        <f t="shared" si="60"/>
        <v/>
      </c>
      <c r="B297" s="38" t="str">
        <f t="shared" si="56"/>
        <v/>
      </c>
      <c r="C297" s="38" t="str">
        <f t="shared" si="61"/>
        <v/>
      </c>
      <c r="D297" s="38" t="str">
        <f t="shared" si="62"/>
        <v/>
      </c>
      <c r="E297" s="38" t="str">
        <f t="shared" si="63"/>
        <v/>
      </c>
      <c r="F297" s="38" t="str">
        <f t="shared" si="64"/>
        <v/>
      </c>
      <c r="G297" s="38" t="str">
        <f t="shared" si="57"/>
        <v/>
      </c>
      <c r="H297" s="38"/>
      <c r="J297" t="str">
        <f t="shared" si="65"/>
        <v/>
      </c>
      <c r="K297" s="38" t="str">
        <f t="shared" si="58"/>
        <v/>
      </c>
      <c r="L297" s="38" t="str">
        <f t="shared" si="66"/>
        <v/>
      </c>
      <c r="M297" s="38" t="str">
        <f t="shared" si="67"/>
        <v/>
      </c>
      <c r="N297" s="38" t="str">
        <f t="shared" si="68"/>
        <v/>
      </c>
      <c r="O297" s="38" t="str">
        <f t="shared" si="69"/>
        <v/>
      </c>
      <c r="P297" s="38" t="str">
        <f t="shared" si="59"/>
        <v/>
      </c>
      <c r="Q297" s="38"/>
    </row>
    <row r="298" spans="1:17" x14ac:dyDescent="0.2">
      <c r="A298" t="str">
        <f t="shared" si="60"/>
        <v/>
      </c>
      <c r="B298" s="38" t="str">
        <f t="shared" si="56"/>
        <v/>
      </c>
      <c r="C298" s="38" t="str">
        <f t="shared" si="61"/>
        <v/>
      </c>
      <c r="D298" s="38" t="str">
        <f t="shared" si="62"/>
        <v/>
      </c>
      <c r="E298" s="38" t="str">
        <f t="shared" si="63"/>
        <v/>
      </c>
      <c r="F298" s="38" t="str">
        <f t="shared" si="64"/>
        <v/>
      </c>
      <c r="G298" s="38" t="str">
        <f t="shared" si="57"/>
        <v/>
      </c>
      <c r="H298" s="38"/>
      <c r="J298" t="str">
        <f t="shared" si="65"/>
        <v/>
      </c>
      <c r="K298" s="38" t="str">
        <f t="shared" si="58"/>
        <v/>
      </c>
      <c r="L298" s="38" t="str">
        <f t="shared" si="66"/>
        <v/>
      </c>
      <c r="M298" s="38" t="str">
        <f t="shared" si="67"/>
        <v/>
      </c>
      <c r="N298" s="38" t="str">
        <f t="shared" si="68"/>
        <v/>
      </c>
      <c r="O298" s="38" t="str">
        <f t="shared" si="69"/>
        <v/>
      </c>
      <c r="P298" s="38" t="str">
        <f t="shared" si="59"/>
        <v/>
      </c>
      <c r="Q298" s="38"/>
    </row>
    <row r="299" spans="1:17" x14ac:dyDescent="0.2">
      <c r="A299" t="str">
        <f t="shared" si="60"/>
        <v/>
      </c>
      <c r="B299" s="38" t="str">
        <f t="shared" si="56"/>
        <v/>
      </c>
      <c r="C299" s="38" t="str">
        <f t="shared" si="61"/>
        <v/>
      </c>
      <c r="D299" s="38" t="str">
        <f t="shared" si="62"/>
        <v/>
      </c>
      <c r="E299" s="38" t="str">
        <f t="shared" si="63"/>
        <v/>
      </c>
      <c r="F299" s="38" t="str">
        <f t="shared" si="64"/>
        <v/>
      </c>
      <c r="G299" s="38" t="str">
        <f t="shared" si="57"/>
        <v/>
      </c>
      <c r="H299" s="38"/>
      <c r="J299" t="str">
        <f t="shared" si="65"/>
        <v/>
      </c>
      <c r="K299" s="38" t="str">
        <f t="shared" si="58"/>
        <v/>
      </c>
      <c r="L299" s="38" t="str">
        <f t="shared" si="66"/>
        <v/>
      </c>
      <c r="M299" s="38" t="str">
        <f t="shared" si="67"/>
        <v/>
      </c>
      <c r="N299" s="38" t="str">
        <f t="shared" si="68"/>
        <v/>
      </c>
      <c r="O299" s="38" t="str">
        <f t="shared" si="69"/>
        <v/>
      </c>
      <c r="P299" s="38" t="str">
        <f t="shared" si="59"/>
        <v/>
      </c>
      <c r="Q299" s="38"/>
    </row>
    <row r="300" spans="1:17" x14ac:dyDescent="0.2">
      <c r="A300" t="str">
        <f t="shared" si="60"/>
        <v/>
      </c>
      <c r="B300" s="38" t="str">
        <f t="shared" si="56"/>
        <v/>
      </c>
      <c r="C300" s="38" t="str">
        <f t="shared" si="61"/>
        <v/>
      </c>
      <c r="D300" s="38" t="str">
        <f t="shared" si="62"/>
        <v/>
      </c>
      <c r="E300" s="38" t="str">
        <f t="shared" si="63"/>
        <v/>
      </c>
      <c r="F300" s="38" t="str">
        <f t="shared" si="64"/>
        <v/>
      </c>
      <c r="G300" s="38" t="str">
        <f t="shared" si="57"/>
        <v/>
      </c>
      <c r="H300" s="38"/>
      <c r="J300" t="str">
        <f t="shared" si="65"/>
        <v/>
      </c>
      <c r="K300" s="38" t="str">
        <f t="shared" si="58"/>
        <v/>
      </c>
      <c r="L300" s="38" t="str">
        <f t="shared" si="66"/>
        <v/>
      </c>
      <c r="M300" s="38" t="str">
        <f t="shared" si="67"/>
        <v/>
      </c>
      <c r="N300" s="38" t="str">
        <f t="shared" si="68"/>
        <v/>
      </c>
      <c r="O300" s="38" t="str">
        <f t="shared" si="69"/>
        <v/>
      </c>
      <c r="P300" s="38" t="str">
        <f t="shared" si="59"/>
        <v/>
      </c>
      <c r="Q300" s="38"/>
    </row>
    <row r="301" spans="1:17" x14ac:dyDescent="0.2">
      <c r="A301" t="str">
        <f t="shared" si="60"/>
        <v/>
      </c>
      <c r="B301" s="38" t="str">
        <f t="shared" si="56"/>
        <v/>
      </c>
      <c r="C301" s="38" t="str">
        <f t="shared" si="61"/>
        <v/>
      </c>
      <c r="D301" s="38" t="str">
        <f t="shared" si="62"/>
        <v/>
      </c>
      <c r="E301" s="38" t="str">
        <f t="shared" si="63"/>
        <v/>
      </c>
      <c r="F301" s="38" t="str">
        <f t="shared" si="64"/>
        <v/>
      </c>
      <c r="G301" s="38" t="str">
        <f t="shared" si="57"/>
        <v/>
      </c>
      <c r="H301" s="38"/>
      <c r="J301" t="str">
        <f t="shared" si="65"/>
        <v/>
      </c>
      <c r="K301" s="38" t="str">
        <f t="shared" si="58"/>
        <v/>
      </c>
      <c r="L301" s="38" t="str">
        <f t="shared" si="66"/>
        <v/>
      </c>
      <c r="M301" s="38" t="str">
        <f t="shared" si="67"/>
        <v/>
      </c>
      <c r="N301" s="38" t="str">
        <f t="shared" si="68"/>
        <v/>
      </c>
      <c r="O301" s="38" t="str">
        <f t="shared" si="69"/>
        <v/>
      </c>
      <c r="P301" s="38" t="str">
        <f t="shared" si="59"/>
        <v/>
      </c>
      <c r="Q301" s="38"/>
    </row>
    <row r="302" spans="1:17" x14ac:dyDescent="0.2">
      <c r="A302" t="str">
        <f t="shared" si="60"/>
        <v/>
      </c>
      <c r="B302" s="38" t="str">
        <f t="shared" si="56"/>
        <v/>
      </c>
      <c r="C302" s="38" t="str">
        <f t="shared" si="61"/>
        <v/>
      </c>
      <c r="D302" s="38" t="str">
        <f t="shared" si="62"/>
        <v/>
      </c>
      <c r="E302" s="38" t="str">
        <f t="shared" si="63"/>
        <v/>
      </c>
      <c r="F302" s="38" t="str">
        <f t="shared" si="64"/>
        <v/>
      </c>
      <c r="G302" s="38" t="str">
        <f t="shared" si="57"/>
        <v/>
      </c>
      <c r="H302" s="38"/>
      <c r="J302" t="str">
        <f t="shared" si="65"/>
        <v/>
      </c>
      <c r="K302" s="38" t="str">
        <f t="shared" si="58"/>
        <v/>
      </c>
      <c r="L302" s="38" t="str">
        <f t="shared" si="66"/>
        <v/>
      </c>
      <c r="M302" s="38" t="str">
        <f t="shared" si="67"/>
        <v/>
      </c>
      <c r="N302" s="38" t="str">
        <f t="shared" si="68"/>
        <v/>
      </c>
      <c r="O302" s="38" t="str">
        <f t="shared" si="69"/>
        <v/>
      </c>
      <c r="P302" s="38" t="str">
        <f t="shared" si="59"/>
        <v/>
      </c>
      <c r="Q302" s="38"/>
    </row>
    <row r="303" spans="1:17" x14ac:dyDescent="0.2">
      <c r="A303" t="str">
        <f t="shared" si="60"/>
        <v/>
      </c>
      <c r="B303" s="38" t="str">
        <f t="shared" si="56"/>
        <v/>
      </c>
      <c r="C303" s="38" t="str">
        <f t="shared" si="61"/>
        <v/>
      </c>
      <c r="D303" s="38" t="str">
        <f t="shared" si="62"/>
        <v/>
      </c>
      <c r="E303" s="38" t="str">
        <f t="shared" si="63"/>
        <v/>
      </c>
      <c r="F303" s="38" t="str">
        <f t="shared" si="64"/>
        <v/>
      </c>
      <c r="G303" s="38" t="str">
        <f t="shared" si="57"/>
        <v/>
      </c>
      <c r="H303" s="38"/>
      <c r="J303" t="str">
        <f t="shared" si="65"/>
        <v/>
      </c>
      <c r="K303" s="38" t="str">
        <f t="shared" si="58"/>
        <v/>
      </c>
      <c r="L303" s="38" t="str">
        <f t="shared" si="66"/>
        <v/>
      </c>
      <c r="M303" s="38" t="str">
        <f t="shared" si="67"/>
        <v/>
      </c>
      <c r="N303" s="38" t="str">
        <f t="shared" si="68"/>
        <v/>
      </c>
      <c r="O303" s="38" t="str">
        <f t="shared" si="69"/>
        <v/>
      </c>
      <c r="P303" s="38" t="str">
        <f t="shared" si="59"/>
        <v/>
      </c>
      <c r="Q303" s="38"/>
    </row>
    <row r="304" spans="1:17" x14ac:dyDescent="0.2">
      <c r="A304" t="str">
        <f t="shared" si="60"/>
        <v/>
      </c>
      <c r="B304" s="38" t="str">
        <f t="shared" si="56"/>
        <v/>
      </c>
      <c r="C304" s="38" t="str">
        <f t="shared" si="61"/>
        <v/>
      </c>
      <c r="D304" s="38" t="str">
        <f t="shared" si="62"/>
        <v/>
      </c>
      <c r="E304" s="38" t="str">
        <f t="shared" si="63"/>
        <v/>
      </c>
      <c r="F304" s="38" t="str">
        <f t="shared" si="64"/>
        <v/>
      </c>
      <c r="G304" s="38" t="str">
        <f t="shared" si="57"/>
        <v/>
      </c>
      <c r="H304" s="38"/>
      <c r="J304" t="str">
        <f t="shared" si="65"/>
        <v/>
      </c>
      <c r="K304" s="38" t="str">
        <f t="shared" si="58"/>
        <v/>
      </c>
      <c r="L304" s="38" t="str">
        <f t="shared" si="66"/>
        <v/>
      </c>
      <c r="M304" s="38" t="str">
        <f t="shared" si="67"/>
        <v/>
      </c>
      <c r="N304" s="38" t="str">
        <f t="shared" si="68"/>
        <v/>
      </c>
      <c r="O304" s="38" t="str">
        <f t="shared" si="69"/>
        <v/>
      </c>
      <c r="P304" s="38" t="str">
        <f t="shared" si="59"/>
        <v/>
      </c>
      <c r="Q304" s="38"/>
    </row>
    <row r="305" spans="1:17" x14ac:dyDescent="0.2">
      <c r="A305" t="str">
        <f t="shared" si="60"/>
        <v/>
      </c>
      <c r="B305" s="38" t="str">
        <f t="shared" si="56"/>
        <v/>
      </c>
      <c r="C305" s="38" t="str">
        <f t="shared" si="61"/>
        <v/>
      </c>
      <c r="D305" s="38" t="str">
        <f t="shared" si="62"/>
        <v/>
      </c>
      <c r="E305" s="38" t="str">
        <f t="shared" si="63"/>
        <v/>
      </c>
      <c r="F305" s="38" t="str">
        <f t="shared" si="64"/>
        <v/>
      </c>
      <c r="G305" s="38" t="str">
        <f t="shared" si="57"/>
        <v/>
      </c>
      <c r="H305" s="38"/>
      <c r="J305" t="str">
        <f t="shared" si="65"/>
        <v/>
      </c>
      <c r="K305" s="38" t="str">
        <f t="shared" si="58"/>
        <v/>
      </c>
      <c r="L305" s="38" t="str">
        <f t="shared" si="66"/>
        <v/>
      </c>
      <c r="M305" s="38" t="str">
        <f t="shared" si="67"/>
        <v/>
      </c>
      <c r="N305" s="38" t="str">
        <f t="shared" si="68"/>
        <v/>
      </c>
      <c r="O305" s="38" t="str">
        <f t="shared" si="69"/>
        <v/>
      </c>
      <c r="P305" s="38" t="str">
        <f t="shared" si="59"/>
        <v/>
      </c>
      <c r="Q305" s="38"/>
    </row>
    <row r="306" spans="1:17" x14ac:dyDescent="0.2">
      <c r="A306" t="str">
        <f t="shared" si="60"/>
        <v/>
      </c>
      <c r="B306" s="38" t="str">
        <f t="shared" si="56"/>
        <v/>
      </c>
      <c r="C306" s="38" t="str">
        <f t="shared" si="61"/>
        <v/>
      </c>
      <c r="D306" s="38" t="str">
        <f t="shared" si="62"/>
        <v/>
      </c>
      <c r="E306" s="38" t="str">
        <f t="shared" si="63"/>
        <v/>
      </c>
      <c r="F306" s="38" t="str">
        <f t="shared" si="64"/>
        <v/>
      </c>
      <c r="G306" s="38" t="str">
        <f t="shared" si="57"/>
        <v/>
      </c>
      <c r="H306" s="38"/>
      <c r="J306" t="str">
        <f t="shared" si="65"/>
        <v/>
      </c>
      <c r="K306" s="38" t="str">
        <f t="shared" si="58"/>
        <v/>
      </c>
      <c r="L306" s="38" t="str">
        <f t="shared" si="66"/>
        <v/>
      </c>
      <c r="M306" s="38" t="str">
        <f t="shared" si="67"/>
        <v/>
      </c>
      <c r="N306" s="38" t="str">
        <f t="shared" si="68"/>
        <v/>
      </c>
      <c r="O306" s="38" t="str">
        <f t="shared" si="69"/>
        <v/>
      </c>
      <c r="P306" s="38" t="str">
        <f t="shared" si="59"/>
        <v/>
      </c>
      <c r="Q306" s="38"/>
    </row>
    <row r="307" spans="1:17" x14ac:dyDescent="0.2">
      <c r="A307" t="str">
        <f t="shared" si="60"/>
        <v/>
      </c>
      <c r="B307" s="38" t="str">
        <f t="shared" si="56"/>
        <v/>
      </c>
      <c r="C307" s="38" t="str">
        <f t="shared" si="61"/>
        <v/>
      </c>
      <c r="D307" s="38" t="str">
        <f t="shared" si="62"/>
        <v/>
      </c>
      <c r="E307" s="38" t="str">
        <f t="shared" si="63"/>
        <v/>
      </c>
      <c r="F307" s="38" t="str">
        <f t="shared" si="64"/>
        <v/>
      </c>
      <c r="G307" s="38" t="str">
        <f t="shared" si="57"/>
        <v/>
      </c>
      <c r="H307" s="38"/>
      <c r="J307" t="str">
        <f t="shared" si="65"/>
        <v/>
      </c>
      <c r="K307" s="38" t="str">
        <f t="shared" si="58"/>
        <v/>
      </c>
      <c r="L307" s="38" t="str">
        <f t="shared" si="66"/>
        <v/>
      </c>
      <c r="M307" s="38" t="str">
        <f t="shared" si="67"/>
        <v/>
      </c>
      <c r="N307" s="38" t="str">
        <f t="shared" si="68"/>
        <v/>
      </c>
      <c r="O307" s="38" t="str">
        <f t="shared" si="69"/>
        <v/>
      </c>
      <c r="P307" s="38" t="str">
        <f t="shared" si="59"/>
        <v/>
      </c>
      <c r="Q307" s="38"/>
    </row>
    <row r="308" spans="1:17" x14ac:dyDescent="0.2">
      <c r="A308" t="str">
        <f t="shared" si="60"/>
        <v/>
      </c>
      <c r="B308" s="38" t="str">
        <f t="shared" si="56"/>
        <v/>
      </c>
      <c r="C308" s="38" t="str">
        <f t="shared" si="61"/>
        <v/>
      </c>
      <c r="D308" s="38" t="str">
        <f t="shared" si="62"/>
        <v/>
      </c>
      <c r="E308" s="38" t="str">
        <f t="shared" si="63"/>
        <v/>
      </c>
      <c r="F308" s="38" t="str">
        <f t="shared" si="64"/>
        <v/>
      </c>
      <c r="G308" s="38" t="str">
        <f t="shared" si="57"/>
        <v/>
      </c>
      <c r="H308" s="38"/>
      <c r="J308" t="str">
        <f t="shared" si="65"/>
        <v/>
      </c>
      <c r="K308" s="38" t="str">
        <f t="shared" si="58"/>
        <v/>
      </c>
      <c r="L308" s="38" t="str">
        <f t="shared" si="66"/>
        <v/>
      </c>
      <c r="M308" s="38" t="str">
        <f t="shared" si="67"/>
        <v/>
      </c>
      <c r="N308" s="38" t="str">
        <f t="shared" si="68"/>
        <v/>
      </c>
      <c r="O308" s="38" t="str">
        <f t="shared" si="69"/>
        <v/>
      </c>
      <c r="P308" s="38" t="str">
        <f t="shared" si="59"/>
        <v/>
      </c>
      <c r="Q308" s="38"/>
    </row>
    <row r="309" spans="1:17" x14ac:dyDescent="0.2">
      <c r="A309" t="str">
        <f t="shared" si="60"/>
        <v/>
      </c>
      <c r="B309" s="38" t="str">
        <f t="shared" si="56"/>
        <v/>
      </c>
      <c r="C309" s="38" t="str">
        <f t="shared" si="61"/>
        <v/>
      </c>
      <c r="D309" s="38" t="str">
        <f t="shared" si="62"/>
        <v/>
      </c>
      <c r="E309" s="38" t="str">
        <f t="shared" si="63"/>
        <v/>
      </c>
      <c r="F309" s="38" t="str">
        <f t="shared" si="64"/>
        <v/>
      </c>
      <c r="G309" s="38" t="str">
        <f t="shared" si="57"/>
        <v/>
      </c>
      <c r="H309" s="38"/>
      <c r="J309" t="str">
        <f t="shared" si="65"/>
        <v/>
      </c>
      <c r="K309" s="38" t="str">
        <f t="shared" si="58"/>
        <v/>
      </c>
      <c r="L309" s="38" t="str">
        <f t="shared" si="66"/>
        <v/>
      </c>
      <c r="M309" s="38" t="str">
        <f t="shared" si="67"/>
        <v/>
      </c>
      <c r="N309" s="38" t="str">
        <f t="shared" si="68"/>
        <v/>
      </c>
      <c r="O309" s="38" t="str">
        <f t="shared" si="69"/>
        <v/>
      </c>
      <c r="P309" s="38" t="str">
        <f t="shared" si="59"/>
        <v/>
      </c>
      <c r="Q309" s="38"/>
    </row>
    <row r="310" spans="1:17" x14ac:dyDescent="0.2">
      <c r="A310" t="str">
        <f t="shared" si="60"/>
        <v/>
      </c>
      <c r="B310" s="38" t="str">
        <f t="shared" si="56"/>
        <v/>
      </c>
      <c r="C310" s="38" t="str">
        <f t="shared" si="61"/>
        <v/>
      </c>
      <c r="D310" s="38" t="str">
        <f t="shared" si="62"/>
        <v/>
      </c>
      <c r="E310" s="38" t="str">
        <f t="shared" si="63"/>
        <v/>
      </c>
      <c r="F310" s="38" t="str">
        <f t="shared" si="64"/>
        <v/>
      </c>
      <c r="G310" s="38" t="str">
        <f t="shared" si="57"/>
        <v/>
      </c>
      <c r="H310" s="38"/>
      <c r="J310" t="str">
        <f t="shared" si="65"/>
        <v/>
      </c>
      <c r="K310" s="38" t="str">
        <f t="shared" si="58"/>
        <v/>
      </c>
      <c r="L310" s="38" t="str">
        <f t="shared" si="66"/>
        <v/>
      </c>
      <c r="M310" s="38" t="str">
        <f t="shared" si="67"/>
        <v/>
      </c>
      <c r="N310" s="38" t="str">
        <f t="shared" si="68"/>
        <v/>
      </c>
      <c r="O310" s="38" t="str">
        <f t="shared" si="69"/>
        <v/>
      </c>
      <c r="P310" s="38" t="str">
        <f t="shared" si="59"/>
        <v/>
      </c>
      <c r="Q310" s="38"/>
    </row>
    <row r="311" spans="1:17" x14ac:dyDescent="0.2">
      <c r="A311" t="str">
        <f t="shared" si="60"/>
        <v/>
      </c>
      <c r="B311" s="38" t="str">
        <f t="shared" si="56"/>
        <v/>
      </c>
      <c r="C311" s="38" t="str">
        <f t="shared" si="61"/>
        <v/>
      </c>
      <c r="D311" s="38" t="str">
        <f t="shared" si="62"/>
        <v/>
      </c>
      <c r="E311" s="38" t="str">
        <f t="shared" si="63"/>
        <v/>
      </c>
      <c r="F311" s="38" t="str">
        <f t="shared" si="64"/>
        <v/>
      </c>
      <c r="G311" s="38" t="str">
        <f t="shared" si="57"/>
        <v/>
      </c>
      <c r="H311" s="38"/>
      <c r="J311" t="str">
        <f t="shared" si="65"/>
        <v/>
      </c>
      <c r="K311" s="38" t="str">
        <f t="shared" si="58"/>
        <v/>
      </c>
      <c r="L311" s="38" t="str">
        <f t="shared" si="66"/>
        <v/>
      </c>
      <c r="M311" s="38" t="str">
        <f t="shared" si="67"/>
        <v/>
      </c>
      <c r="N311" s="38" t="str">
        <f t="shared" si="68"/>
        <v/>
      </c>
      <c r="O311" s="38" t="str">
        <f t="shared" si="69"/>
        <v/>
      </c>
      <c r="P311" s="38" t="str">
        <f t="shared" si="59"/>
        <v/>
      </c>
      <c r="Q311" s="38"/>
    </row>
    <row r="312" spans="1:17" x14ac:dyDescent="0.2">
      <c r="A312" t="str">
        <f t="shared" si="60"/>
        <v/>
      </c>
      <c r="B312" s="38" t="str">
        <f t="shared" si="56"/>
        <v/>
      </c>
      <c r="C312" s="38" t="str">
        <f t="shared" si="61"/>
        <v/>
      </c>
      <c r="D312" s="38" t="str">
        <f t="shared" si="62"/>
        <v/>
      </c>
      <c r="E312" s="38" t="str">
        <f t="shared" si="63"/>
        <v/>
      </c>
      <c r="F312" s="38" t="str">
        <f t="shared" si="64"/>
        <v/>
      </c>
      <c r="G312" s="38" t="str">
        <f t="shared" si="57"/>
        <v/>
      </c>
      <c r="H312" s="38"/>
      <c r="J312" t="str">
        <f t="shared" si="65"/>
        <v/>
      </c>
      <c r="K312" s="38" t="str">
        <f t="shared" si="58"/>
        <v/>
      </c>
      <c r="L312" s="38" t="str">
        <f t="shared" si="66"/>
        <v/>
      </c>
      <c r="M312" s="38" t="str">
        <f t="shared" si="67"/>
        <v/>
      </c>
      <c r="N312" s="38" t="str">
        <f t="shared" si="68"/>
        <v/>
      </c>
      <c r="O312" s="38" t="str">
        <f t="shared" si="69"/>
        <v/>
      </c>
      <c r="P312" s="38" t="str">
        <f t="shared" si="59"/>
        <v/>
      </c>
      <c r="Q312" s="38"/>
    </row>
    <row r="313" spans="1:17" x14ac:dyDescent="0.2">
      <c r="A313" t="str">
        <f t="shared" si="60"/>
        <v/>
      </c>
      <c r="B313" s="38" t="str">
        <f t="shared" si="56"/>
        <v/>
      </c>
      <c r="C313" s="38" t="str">
        <f t="shared" si="61"/>
        <v/>
      </c>
      <c r="D313" s="38" t="str">
        <f t="shared" si="62"/>
        <v/>
      </c>
      <c r="E313" s="38" t="str">
        <f t="shared" si="63"/>
        <v/>
      </c>
      <c r="F313" s="38" t="str">
        <f t="shared" si="64"/>
        <v/>
      </c>
      <c r="G313" s="38" t="str">
        <f t="shared" si="57"/>
        <v/>
      </c>
      <c r="H313" s="38"/>
      <c r="J313" t="str">
        <f t="shared" si="65"/>
        <v/>
      </c>
      <c r="K313" s="38" t="str">
        <f t="shared" si="58"/>
        <v/>
      </c>
      <c r="L313" s="38" t="str">
        <f t="shared" si="66"/>
        <v/>
      </c>
      <c r="M313" s="38" t="str">
        <f t="shared" si="67"/>
        <v/>
      </c>
      <c r="N313" s="38" t="str">
        <f t="shared" si="68"/>
        <v/>
      </c>
      <c r="O313" s="38" t="str">
        <f t="shared" si="69"/>
        <v/>
      </c>
      <c r="P313" s="38" t="str">
        <f t="shared" si="59"/>
        <v/>
      </c>
      <c r="Q313" s="38"/>
    </row>
    <row r="314" spans="1:17" x14ac:dyDescent="0.2">
      <c r="A314" t="str">
        <f t="shared" si="60"/>
        <v/>
      </c>
      <c r="B314" s="38" t="str">
        <f t="shared" si="56"/>
        <v/>
      </c>
      <c r="C314" s="38" t="str">
        <f t="shared" si="61"/>
        <v/>
      </c>
      <c r="D314" s="38" t="str">
        <f t="shared" si="62"/>
        <v/>
      </c>
      <c r="E314" s="38" t="str">
        <f t="shared" si="63"/>
        <v/>
      </c>
      <c r="F314" s="38" t="str">
        <f t="shared" si="64"/>
        <v/>
      </c>
      <c r="G314" s="38" t="str">
        <f t="shared" si="57"/>
        <v/>
      </c>
      <c r="H314" s="38"/>
      <c r="J314" t="str">
        <f t="shared" si="65"/>
        <v/>
      </c>
      <c r="K314" s="38" t="str">
        <f t="shared" si="58"/>
        <v/>
      </c>
      <c r="L314" s="38" t="str">
        <f t="shared" si="66"/>
        <v/>
      </c>
      <c r="M314" s="38" t="str">
        <f t="shared" si="67"/>
        <v/>
      </c>
      <c r="N314" s="38" t="str">
        <f t="shared" si="68"/>
        <v/>
      </c>
      <c r="O314" s="38" t="str">
        <f t="shared" si="69"/>
        <v/>
      </c>
      <c r="P314" s="38" t="str">
        <f t="shared" si="59"/>
        <v/>
      </c>
      <c r="Q314" s="38"/>
    </row>
    <row r="315" spans="1:17" x14ac:dyDescent="0.2">
      <c r="A315" t="str">
        <f t="shared" si="60"/>
        <v/>
      </c>
      <c r="B315" s="38" t="str">
        <f t="shared" si="56"/>
        <v/>
      </c>
      <c r="C315" s="38" t="str">
        <f t="shared" si="61"/>
        <v/>
      </c>
      <c r="D315" s="38" t="str">
        <f t="shared" si="62"/>
        <v/>
      </c>
      <c r="E315" s="38" t="str">
        <f t="shared" si="63"/>
        <v/>
      </c>
      <c r="F315" s="38" t="str">
        <f t="shared" si="64"/>
        <v/>
      </c>
      <c r="G315" s="38" t="str">
        <f t="shared" si="57"/>
        <v/>
      </c>
      <c r="H315" s="38"/>
      <c r="J315" t="str">
        <f t="shared" si="65"/>
        <v/>
      </c>
      <c r="K315" s="38" t="str">
        <f t="shared" si="58"/>
        <v/>
      </c>
      <c r="L315" s="38" t="str">
        <f t="shared" si="66"/>
        <v/>
      </c>
      <c r="M315" s="38" t="str">
        <f t="shared" si="67"/>
        <v/>
      </c>
      <c r="N315" s="38" t="str">
        <f t="shared" si="68"/>
        <v/>
      </c>
      <c r="O315" s="38" t="str">
        <f t="shared" si="69"/>
        <v/>
      </c>
      <c r="P315" s="38" t="str">
        <f t="shared" si="59"/>
        <v/>
      </c>
      <c r="Q315" s="38"/>
    </row>
    <row r="316" spans="1:17" x14ac:dyDescent="0.2">
      <c r="A316" t="str">
        <f t="shared" si="60"/>
        <v/>
      </c>
      <c r="B316" s="38" t="str">
        <f t="shared" si="56"/>
        <v/>
      </c>
      <c r="C316" s="38" t="str">
        <f t="shared" si="61"/>
        <v/>
      </c>
      <c r="D316" s="38" t="str">
        <f t="shared" si="62"/>
        <v/>
      </c>
      <c r="E316" s="38" t="str">
        <f t="shared" si="63"/>
        <v/>
      </c>
      <c r="F316" s="38" t="str">
        <f t="shared" si="64"/>
        <v/>
      </c>
      <c r="G316" s="38" t="str">
        <f t="shared" si="57"/>
        <v/>
      </c>
      <c r="H316" s="38"/>
      <c r="J316" t="str">
        <f t="shared" si="65"/>
        <v/>
      </c>
      <c r="K316" s="38" t="str">
        <f t="shared" si="58"/>
        <v/>
      </c>
      <c r="L316" s="38" t="str">
        <f t="shared" si="66"/>
        <v/>
      </c>
      <c r="M316" s="38" t="str">
        <f t="shared" si="67"/>
        <v/>
      </c>
      <c r="N316" s="38" t="str">
        <f t="shared" si="68"/>
        <v/>
      </c>
      <c r="O316" s="38" t="str">
        <f t="shared" si="69"/>
        <v/>
      </c>
      <c r="P316" s="38" t="str">
        <f t="shared" si="59"/>
        <v/>
      </c>
      <c r="Q316" s="38"/>
    </row>
    <row r="317" spans="1:17" x14ac:dyDescent="0.2">
      <c r="A317" t="str">
        <f t="shared" si="60"/>
        <v/>
      </c>
      <c r="B317" s="38" t="str">
        <f t="shared" si="56"/>
        <v/>
      </c>
      <c r="C317" s="38" t="str">
        <f t="shared" si="61"/>
        <v/>
      </c>
      <c r="D317" s="38" t="str">
        <f t="shared" si="62"/>
        <v/>
      </c>
      <c r="E317" s="38" t="str">
        <f t="shared" si="63"/>
        <v/>
      </c>
      <c r="F317" s="38" t="str">
        <f t="shared" si="64"/>
        <v/>
      </c>
      <c r="G317" s="38" t="str">
        <f t="shared" si="57"/>
        <v/>
      </c>
      <c r="H317" s="38"/>
      <c r="J317" t="str">
        <f t="shared" si="65"/>
        <v/>
      </c>
      <c r="K317" s="38" t="str">
        <f t="shared" si="58"/>
        <v/>
      </c>
      <c r="L317" s="38" t="str">
        <f t="shared" si="66"/>
        <v/>
      </c>
      <c r="M317" s="38" t="str">
        <f t="shared" si="67"/>
        <v/>
      </c>
      <c r="N317" s="38" t="str">
        <f t="shared" si="68"/>
        <v/>
      </c>
      <c r="O317" s="38" t="str">
        <f t="shared" si="69"/>
        <v/>
      </c>
      <c r="P317" s="38" t="str">
        <f t="shared" si="59"/>
        <v/>
      </c>
      <c r="Q317" s="38"/>
    </row>
    <row r="318" spans="1:17" x14ac:dyDescent="0.2">
      <c r="A318" t="str">
        <f t="shared" si="60"/>
        <v/>
      </c>
      <c r="B318" s="38" t="str">
        <f t="shared" si="56"/>
        <v/>
      </c>
      <c r="C318" s="38" t="str">
        <f t="shared" si="61"/>
        <v/>
      </c>
      <c r="D318" s="38" t="str">
        <f t="shared" si="62"/>
        <v/>
      </c>
      <c r="E318" s="38" t="str">
        <f t="shared" si="63"/>
        <v/>
      </c>
      <c r="F318" s="38" t="str">
        <f t="shared" si="64"/>
        <v/>
      </c>
      <c r="G318" s="38" t="str">
        <f t="shared" si="57"/>
        <v/>
      </c>
      <c r="H318" s="38"/>
      <c r="J318" t="str">
        <f t="shared" si="65"/>
        <v/>
      </c>
      <c r="K318" s="38" t="str">
        <f t="shared" si="58"/>
        <v/>
      </c>
      <c r="L318" s="38" t="str">
        <f t="shared" si="66"/>
        <v/>
      </c>
      <c r="M318" s="38" t="str">
        <f t="shared" si="67"/>
        <v/>
      </c>
      <c r="N318" s="38" t="str">
        <f t="shared" si="68"/>
        <v/>
      </c>
      <c r="O318" s="38" t="str">
        <f t="shared" si="69"/>
        <v/>
      </c>
      <c r="P318" s="38" t="str">
        <f t="shared" si="59"/>
        <v/>
      </c>
      <c r="Q318" s="38"/>
    </row>
    <row r="319" spans="1:17" x14ac:dyDescent="0.2">
      <c r="A319" t="str">
        <f t="shared" si="60"/>
        <v/>
      </c>
      <c r="B319" s="38" t="str">
        <f t="shared" si="56"/>
        <v/>
      </c>
      <c r="C319" s="38" t="str">
        <f t="shared" si="61"/>
        <v/>
      </c>
      <c r="D319" s="38" t="str">
        <f t="shared" si="62"/>
        <v/>
      </c>
      <c r="E319" s="38" t="str">
        <f t="shared" si="63"/>
        <v/>
      </c>
      <c r="F319" s="38" t="str">
        <f t="shared" si="64"/>
        <v/>
      </c>
      <c r="G319" s="38" t="str">
        <f t="shared" si="57"/>
        <v/>
      </c>
      <c r="H319" s="38"/>
      <c r="J319" t="str">
        <f t="shared" si="65"/>
        <v/>
      </c>
      <c r="K319" s="38" t="str">
        <f t="shared" si="58"/>
        <v/>
      </c>
      <c r="L319" s="38" t="str">
        <f t="shared" si="66"/>
        <v/>
      </c>
      <c r="M319" s="38" t="str">
        <f t="shared" si="67"/>
        <v/>
      </c>
      <c r="N319" s="38" t="str">
        <f t="shared" si="68"/>
        <v/>
      </c>
      <c r="O319" s="38" t="str">
        <f t="shared" si="69"/>
        <v/>
      </c>
      <c r="P319" s="38" t="str">
        <f t="shared" si="59"/>
        <v/>
      </c>
      <c r="Q319" s="38"/>
    </row>
    <row r="320" spans="1:17" x14ac:dyDescent="0.2">
      <c r="A320" t="str">
        <f t="shared" si="60"/>
        <v/>
      </c>
      <c r="B320" s="38" t="str">
        <f t="shared" si="56"/>
        <v/>
      </c>
      <c r="C320" s="38" t="str">
        <f t="shared" si="61"/>
        <v/>
      </c>
      <c r="D320" s="38" t="str">
        <f t="shared" si="62"/>
        <v/>
      </c>
      <c r="E320" s="38" t="str">
        <f t="shared" si="63"/>
        <v/>
      </c>
      <c r="F320" s="38" t="str">
        <f t="shared" si="64"/>
        <v/>
      </c>
      <c r="G320" s="38" t="str">
        <f t="shared" si="57"/>
        <v/>
      </c>
      <c r="H320" s="38"/>
      <c r="J320" t="str">
        <f t="shared" si="65"/>
        <v/>
      </c>
      <c r="K320" s="38" t="str">
        <f t="shared" si="58"/>
        <v/>
      </c>
      <c r="L320" s="38" t="str">
        <f t="shared" si="66"/>
        <v/>
      </c>
      <c r="M320" s="38" t="str">
        <f t="shared" si="67"/>
        <v/>
      </c>
      <c r="N320" s="38" t="str">
        <f t="shared" si="68"/>
        <v/>
      </c>
      <c r="O320" s="38" t="str">
        <f t="shared" si="69"/>
        <v/>
      </c>
      <c r="P320" s="38" t="str">
        <f t="shared" si="59"/>
        <v/>
      </c>
      <c r="Q320" s="38"/>
    </row>
    <row r="321" spans="1:17" x14ac:dyDescent="0.2">
      <c r="A321" t="str">
        <f t="shared" si="60"/>
        <v/>
      </c>
      <c r="B321" s="38" t="str">
        <f t="shared" si="56"/>
        <v/>
      </c>
      <c r="C321" s="38" t="str">
        <f t="shared" si="61"/>
        <v/>
      </c>
      <c r="D321" s="38" t="str">
        <f t="shared" si="62"/>
        <v/>
      </c>
      <c r="E321" s="38" t="str">
        <f t="shared" si="63"/>
        <v/>
      </c>
      <c r="F321" s="38" t="str">
        <f t="shared" si="64"/>
        <v/>
      </c>
      <c r="G321" s="38" t="str">
        <f t="shared" si="57"/>
        <v/>
      </c>
      <c r="H321" s="38"/>
      <c r="J321" t="str">
        <f t="shared" si="65"/>
        <v/>
      </c>
      <c r="K321" s="38" t="str">
        <f t="shared" si="58"/>
        <v/>
      </c>
      <c r="L321" s="38" t="str">
        <f t="shared" si="66"/>
        <v/>
      </c>
      <c r="M321" s="38" t="str">
        <f t="shared" si="67"/>
        <v/>
      </c>
      <c r="N321" s="38" t="str">
        <f t="shared" si="68"/>
        <v/>
      </c>
      <c r="O321" s="38" t="str">
        <f t="shared" si="69"/>
        <v/>
      </c>
      <c r="P321" s="38" t="str">
        <f t="shared" si="59"/>
        <v/>
      </c>
      <c r="Q321" s="38"/>
    </row>
    <row r="322" spans="1:17" x14ac:dyDescent="0.2">
      <c r="A322" t="str">
        <f t="shared" si="60"/>
        <v/>
      </c>
      <c r="B322" s="38" t="str">
        <f t="shared" si="56"/>
        <v/>
      </c>
      <c r="C322" s="38" t="str">
        <f t="shared" si="61"/>
        <v/>
      </c>
      <c r="D322" s="38" t="str">
        <f t="shared" si="62"/>
        <v/>
      </c>
      <c r="E322" s="38" t="str">
        <f t="shared" si="63"/>
        <v/>
      </c>
      <c r="F322" s="38" t="str">
        <f t="shared" si="64"/>
        <v/>
      </c>
      <c r="G322" s="38" t="str">
        <f t="shared" si="57"/>
        <v/>
      </c>
      <c r="H322" s="38"/>
      <c r="J322" t="str">
        <f t="shared" si="65"/>
        <v/>
      </c>
      <c r="K322" s="38" t="str">
        <f t="shared" si="58"/>
        <v/>
      </c>
      <c r="L322" s="38" t="str">
        <f t="shared" si="66"/>
        <v/>
      </c>
      <c r="M322" s="38" t="str">
        <f t="shared" si="67"/>
        <v/>
      </c>
      <c r="N322" s="38" t="str">
        <f t="shared" si="68"/>
        <v/>
      </c>
      <c r="O322" s="38" t="str">
        <f t="shared" si="69"/>
        <v/>
      </c>
      <c r="P322" s="38" t="str">
        <f t="shared" si="59"/>
        <v/>
      </c>
      <c r="Q322" s="38"/>
    </row>
    <row r="323" spans="1:17" x14ac:dyDescent="0.2">
      <c r="A323" t="str">
        <f t="shared" si="60"/>
        <v/>
      </c>
      <c r="B323" s="38" t="str">
        <f t="shared" si="56"/>
        <v/>
      </c>
      <c r="C323" s="38" t="str">
        <f t="shared" si="61"/>
        <v/>
      </c>
      <c r="D323" s="38" t="str">
        <f t="shared" si="62"/>
        <v/>
      </c>
      <c r="E323" s="38" t="str">
        <f t="shared" si="63"/>
        <v/>
      </c>
      <c r="F323" s="38" t="str">
        <f t="shared" si="64"/>
        <v/>
      </c>
      <c r="G323" s="38" t="str">
        <f t="shared" si="57"/>
        <v/>
      </c>
      <c r="H323" s="38"/>
      <c r="J323" t="str">
        <f t="shared" si="65"/>
        <v/>
      </c>
      <c r="K323" s="38" t="str">
        <f t="shared" si="58"/>
        <v/>
      </c>
      <c r="L323" s="38" t="str">
        <f t="shared" si="66"/>
        <v/>
      </c>
      <c r="M323" s="38" t="str">
        <f t="shared" si="67"/>
        <v/>
      </c>
      <c r="N323" s="38" t="str">
        <f t="shared" si="68"/>
        <v/>
      </c>
      <c r="O323" s="38" t="str">
        <f t="shared" si="69"/>
        <v/>
      </c>
      <c r="P323" s="38" t="str">
        <f t="shared" si="59"/>
        <v/>
      </c>
      <c r="Q323" s="38"/>
    </row>
    <row r="324" spans="1:17" x14ac:dyDescent="0.2">
      <c r="A324" t="str">
        <f t="shared" si="60"/>
        <v/>
      </c>
      <c r="B324" s="38" t="str">
        <f t="shared" si="56"/>
        <v/>
      </c>
      <c r="C324" s="38" t="str">
        <f t="shared" si="61"/>
        <v/>
      </c>
      <c r="D324" s="38" t="str">
        <f t="shared" si="62"/>
        <v/>
      </c>
      <c r="E324" s="38" t="str">
        <f t="shared" si="63"/>
        <v/>
      </c>
      <c r="F324" s="38" t="str">
        <f t="shared" si="64"/>
        <v/>
      </c>
      <c r="G324" s="38" t="str">
        <f t="shared" si="57"/>
        <v/>
      </c>
      <c r="H324" s="38"/>
      <c r="J324" t="str">
        <f t="shared" si="65"/>
        <v/>
      </c>
      <c r="K324" s="38" t="str">
        <f t="shared" si="58"/>
        <v/>
      </c>
      <c r="L324" s="38" t="str">
        <f t="shared" si="66"/>
        <v/>
      </c>
      <c r="M324" s="38" t="str">
        <f t="shared" si="67"/>
        <v/>
      </c>
      <c r="N324" s="38" t="str">
        <f t="shared" si="68"/>
        <v/>
      </c>
      <c r="O324" s="38" t="str">
        <f t="shared" si="69"/>
        <v/>
      </c>
      <c r="P324" s="38" t="str">
        <f t="shared" si="59"/>
        <v/>
      </c>
      <c r="Q324" s="38"/>
    </row>
    <row r="325" spans="1:17" x14ac:dyDescent="0.2">
      <c r="A325" t="str">
        <f t="shared" si="60"/>
        <v/>
      </c>
      <c r="B325" s="38" t="str">
        <f t="shared" si="56"/>
        <v/>
      </c>
      <c r="C325" s="38" t="str">
        <f t="shared" si="61"/>
        <v/>
      </c>
      <c r="D325" s="38" t="str">
        <f t="shared" si="62"/>
        <v/>
      </c>
      <c r="E325" s="38" t="str">
        <f t="shared" si="63"/>
        <v/>
      </c>
      <c r="F325" s="38" t="str">
        <f t="shared" si="64"/>
        <v/>
      </c>
      <c r="G325" s="38" t="str">
        <f t="shared" si="57"/>
        <v/>
      </c>
      <c r="H325" s="38"/>
      <c r="J325" t="str">
        <f t="shared" si="65"/>
        <v/>
      </c>
      <c r="K325" s="38" t="str">
        <f t="shared" si="58"/>
        <v/>
      </c>
      <c r="L325" s="38" t="str">
        <f t="shared" si="66"/>
        <v/>
      </c>
      <c r="M325" s="38" t="str">
        <f t="shared" si="67"/>
        <v/>
      </c>
      <c r="N325" s="38" t="str">
        <f t="shared" si="68"/>
        <v/>
      </c>
      <c r="O325" s="38" t="str">
        <f t="shared" si="69"/>
        <v/>
      </c>
      <c r="P325" s="38" t="str">
        <f t="shared" si="59"/>
        <v/>
      </c>
      <c r="Q325" s="38"/>
    </row>
    <row r="326" spans="1:17" x14ac:dyDescent="0.2">
      <c r="A326" t="str">
        <f t="shared" si="60"/>
        <v/>
      </c>
      <c r="B326" s="38" t="str">
        <f t="shared" si="56"/>
        <v/>
      </c>
      <c r="C326" s="38" t="str">
        <f t="shared" si="61"/>
        <v/>
      </c>
      <c r="D326" s="38" t="str">
        <f t="shared" si="62"/>
        <v/>
      </c>
      <c r="E326" s="38" t="str">
        <f t="shared" si="63"/>
        <v/>
      </c>
      <c r="F326" s="38" t="str">
        <f t="shared" si="64"/>
        <v/>
      </c>
      <c r="G326" s="38" t="str">
        <f t="shared" si="57"/>
        <v/>
      </c>
      <c r="H326" s="38"/>
      <c r="J326" t="str">
        <f t="shared" si="65"/>
        <v/>
      </c>
      <c r="K326" s="38" t="str">
        <f t="shared" si="58"/>
        <v/>
      </c>
      <c r="L326" s="38" t="str">
        <f t="shared" si="66"/>
        <v/>
      </c>
      <c r="M326" s="38" t="str">
        <f t="shared" si="67"/>
        <v/>
      </c>
      <c r="N326" s="38" t="str">
        <f t="shared" si="68"/>
        <v/>
      </c>
      <c r="O326" s="38" t="str">
        <f t="shared" si="69"/>
        <v/>
      </c>
      <c r="P326" s="38" t="str">
        <f t="shared" si="59"/>
        <v/>
      </c>
      <c r="Q326" s="38"/>
    </row>
    <row r="327" spans="1:17" x14ac:dyDescent="0.2">
      <c r="A327" t="str">
        <f t="shared" si="60"/>
        <v/>
      </c>
      <c r="B327" s="38" t="str">
        <f t="shared" si="56"/>
        <v/>
      </c>
      <c r="C327" s="38" t="str">
        <f t="shared" si="61"/>
        <v/>
      </c>
      <c r="D327" s="38" t="str">
        <f t="shared" si="62"/>
        <v/>
      </c>
      <c r="E327" s="38" t="str">
        <f t="shared" si="63"/>
        <v/>
      </c>
      <c r="F327" s="38" t="str">
        <f t="shared" si="64"/>
        <v/>
      </c>
      <c r="G327" s="38" t="str">
        <f t="shared" si="57"/>
        <v/>
      </c>
      <c r="H327" s="38"/>
      <c r="J327" t="str">
        <f t="shared" si="65"/>
        <v/>
      </c>
      <c r="K327" s="38" t="str">
        <f t="shared" si="58"/>
        <v/>
      </c>
      <c r="L327" s="38" t="str">
        <f t="shared" si="66"/>
        <v/>
      </c>
      <c r="M327" s="38" t="str">
        <f t="shared" si="67"/>
        <v/>
      </c>
      <c r="N327" s="38" t="str">
        <f t="shared" si="68"/>
        <v/>
      </c>
      <c r="O327" s="38" t="str">
        <f t="shared" si="69"/>
        <v/>
      </c>
      <c r="P327" s="38" t="str">
        <f t="shared" si="59"/>
        <v/>
      </c>
      <c r="Q327" s="38"/>
    </row>
    <row r="328" spans="1:17" x14ac:dyDescent="0.2">
      <c r="A328" t="str">
        <f t="shared" si="60"/>
        <v/>
      </c>
      <c r="B328" s="38" t="str">
        <f t="shared" si="56"/>
        <v/>
      </c>
      <c r="C328" s="38" t="str">
        <f t="shared" si="61"/>
        <v/>
      </c>
      <c r="D328" s="38" t="str">
        <f t="shared" si="62"/>
        <v/>
      </c>
      <c r="E328" s="38" t="str">
        <f t="shared" si="63"/>
        <v/>
      </c>
      <c r="F328" s="38" t="str">
        <f t="shared" si="64"/>
        <v/>
      </c>
      <c r="G328" s="38" t="str">
        <f t="shared" si="57"/>
        <v/>
      </c>
      <c r="H328" s="38"/>
      <c r="J328" t="str">
        <f t="shared" si="65"/>
        <v/>
      </c>
      <c r="K328" s="38" t="str">
        <f t="shared" si="58"/>
        <v/>
      </c>
      <c r="L328" s="38" t="str">
        <f t="shared" si="66"/>
        <v/>
      </c>
      <c r="M328" s="38" t="str">
        <f t="shared" si="67"/>
        <v/>
      </c>
      <c r="N328" s="38" t="str">
        <f t="shared" si="68"/>
        <v/>
      </c>
      <c r="O328" s="38" t="str">
        <f t="shared" si="69"/>
        <v/>
      </c>
      <c r="P328" s="38" t="str">
        <f t="shared" si="59"/>
        <v/>
      </c>
      <c r="Q328" s="38"/>
    </row>
    <row r="329" spans="1:17" x14ac:dyDescent="0.2">
      <c r="A329" t="str">
        <f t="shared" si="60"/>
        <v/>
      </c>
      <c r="B329" s="38" t="str">
        <f t="shared" si="56"/>
        <v/>
      </c>
      <c r="C329" s="38" t="str">
        <f t="shared" si="61"/>
        <v/>
      </c>
      <c r="D329" s="38" t="str">
        <f t="shared" si="62"/>
        <v/>
      </c>
      <c r="E329" s="38" t="str">
        <f t="shared" si="63"/>
        <v/>
      </c>
      <c r="F329" s="38" t="str">
        <f t="shared" si="64"/>
        <v/>
      </c>
      <c r="G329" s="38" t="str">
        <f t="shared" si="57"/>
        <v/>
      </c>
      <c r="H329" s="38"/>
      <c r="J329" t="str">
        <f t="shared" si="65"/>
        <v/>
      </c>
      <c r="K329" s="38" t="str">
        <f t="shared" si="58"/>
        <v/>
      </c>
      <c r="L329" s="38" t="str">
        <f t="shared" si="66"/>
        <v/>
      </c>
      <c r="M329" s="38" t="str">
        <f t="shared" si="67"/>
        <v/>
      </c>
      <c r="N329" s="38" t="str">
        <f t="shared" si="68"/>
        <v/>
      </c>
      <c r="O329" s="38" t="str">
        <f t="shared" si="69"/>
        <v/>
      </c>
      <c r="P329" s="38" t="str">
        <f t="shared" si="59"/>
        <v/>
      </c>
      <c r="Q329" s="38"/>
    </row>
    <row r="330" spans="1:17" x14ac:dyDescent="0.2">
      <c r="A330" t="str">
        <f t="shared" si="60"/>
        <v/>
      </c>
      <c r="B330" s="38" t="str">
        <f t="shared" si="56"/>
        <v/>
      </c>
      <c r="C330" s="38" t="str">
        <f t="shared" si="61"/>
        <v/>
      </c>
      <c r="D330" s="38" t="str">
        <f t="shared" si="62"/>
        <v/>
      </c>
      <c r="E330" s="38" t="str">
        <f t="shared" si="63"/>
        <v/>
      </c>
      <c r="F330" s="38" t="str">
        <f t="shared" si="64"/>
        <v/>
      </c>
      <c r="G330" s="38" t="str">
        <f t="shared" si="57"/>
        <v/>
      </c>
      <c r="H330" s="38"/>
      <c r="J330" t="str">
        <f t="shared" si="65"/>
        <v/>
      </c>
      <c r="K330" s="38" t="str">
        <f t="shared" si="58"/>
        <v/>
      </c>
      <c r="L330" s="38" t="str">
        <f t="shared" si="66"/>
        <v/>
      </c>
      <c r="M330" s="38" t="str">
        <f t="shared" si="67"/>
        <v/>
      </c>
      <c r="N330" s="38" t="str">
        <f t="shared" si="68"/>
        <v/>
      </c>
      <c r="O330" s="38" t="str">
        <f t="shared" si="69"/>
        <v/>
      </c>
      <c r="P330" s="38" t="str">
        <f t="shared" si="59"/>
        <v/>
      </c>
      <c r="Q330" s="38"/>
    </row>
    <row r="331" spans="1:17" x14ac:dyDescent="0.2">
      <c r="A331" t="str">
        <f t="shared" si="60"/>
        <v/>
      </c>
      <c r="B331" s="38" t="str">
        <f t="shared" si="56"/>
        <v/>
      </c>
      <c r="C331" s="38" t="str">
        <f t="shared" si="61"/>
        <v/>
      </c>
      <c r="D331" s="38" t="str">
        <f t="shared" si="62"/>
        <v/>
      </c>
      <c r="E331" s="38" t="str">
        <f t="shared" si="63"/>
        <v/>
      </c>
      <c r="F331" s="38" t="str">
        <f t="shared" si="64"/>
        <v/>
      </c>
      <c r="G331" s="38" t="str">
        <f t="shared" si="57"/>
        <v/>
      </c>
      <c r="H331" s="38"/>
      <c r="J331" t="str">
        <f t="shared" si="65"/>
        <v/>
      </c>
      <c r="K331" s="38" t="str">
        <f t="shared" si="58"/>
        <v/>
      </c>
      <c r="L331" s="38" t="str">
        <f t="shared" si="66"/>
        <v/>
      </c>
      <c r="M331" s="38" t="str">
        <f t="shared" si="67"/>
        <v/>
      </c>
      <c r="N331" s="38" t="str">
        <f t="shared" si="68"/>
        <v/>
      </c>
      <c r="O331" s="38" t="str">
        <f t="shared" si="69"/>
        <v/>
      </c>
      <c r="P331" s="38" t="str">
        <f t="shared" si="59"/>
        <v/>
      </c>
      <c r="Q331" s="38"/>
    </row>
    <row r="332" spans="1:17" x14ac:dyDescent="0.2">
      <c r="A332" t="str">
        <f t="shared" si="60"/>
        <v/>
      </c>
      <c r="B332" s="38" t="str">
        <f t="shared" si="56"/>
        <v/>
      </c>
      <c r="C332" s="38" t="str">
        <f t="shared" si="61"/>
        <v/>
      </c>
      <c r="D332" s="38" t="str">
        <f t="shared" si="62"/>
        <v/>
      </c>
      <c r="E332" s="38" t="str">
        <f t="shared" si="63"/>
        <v/>
      </c>
      <c r="F332" s="38" t="str">
        <f t="shared" si="64"/>
        <v/>
      </c>
      <c r="G332" s="38" t="str">
        <f t="shared" si="57"/>
        <v/>
      </c>
      <c r="H332" s="38"/>
      <c r="J332" t="str">
        <f t="shared" si="65"/>
        <v/>
      </c>
      <c r="K332" s="38" t="str">
        <f t="shared" si="58"/>
        <v/>
      </c>
      <c r="L332" s="38" t="str">
        <f t="shared" si="66"/>
        <v/>
      </c>
      <c r="M332" s="38" t="str">
        <f t="shared" si="67"/>
        <v/>
      </c>
      <c r="N332" s="38" t="str">
        <f t="shared" si="68"/>
        <v/>
      </c>
      <c r="O332" s="38" t="str">
        <f t="shared" si="69"/>
        <v/>
      </c>
      <c r="P332" s="38" t="str">
        <f t="shared" si="59"/>
        <v/>
      </c>
      <c r="Q332" s="38"/>
    </row>
    <row r="333" spans="1:17" x14ac:dyDescent="0.2">
      <c r="A333" t="str">
        <f t="shared" si="60"/>
        <v/>
      </c>
      <c r="B333" s="38" t="str">
        <f t="shared" si="56"/>
        <v/>
      </c>
      <c r="C333" s="38" t="str">
        <f t="shared" si="61"/>
        <v/>
      </c>
      <c r="D333" s="38" t="str">
        <f t="shared" si="62"/>
        <v/>
      </c>
      <c r="E333" s="38" t="str">
        <f t="shared" si="63"/>
        <v/>
      </c>
      <c r="F333" s="38" t="str">
        <f t="shared" si="64"/>
        <v/>
      </c>
      <c r="G333" s="38" t="str">
        <f t="shared" si="57"/>
        <v/>
      </c>
      <c r="H333" s="38"/>
      <c r="J333" t="str">
        <f t="shared" si="65"/>
        <v/>
      </c>
      <c r="K333" s="38" t="str">
        <f t="shared" si="58"/>
        <v/>
      </c>
      <c r="L333" s="38" t="str">
        <f t="shared" si="66"/>
        <v/>
      </c>
      <c r="M333" s="38" t="str">
        <f t="shared" si="67"/>
        <v/>
      </c>
      <c r="N333" s="38" t="str">
        <f t="shared" si="68"/>
        <v/>
      </c>
      <c r="O333" s="38" t="str">
        <f t="shared" si="69"/>
        <v/>
      </c>
      <c r="P333" s="38" t="str">
        <f t="shared" si="59"/>
        <v/>
      </c>
      <c r="Q333" s="38"/>
    </row>
    <row r="334" spans="1:17" x14ac:dyDescent="0.2">
      <c r="A334" t="str">
        <f t="shared" si="60"/>
        <v/>
      </c>
      <c r="B334" s="38" t="str">
        <f t="shared" si="56"/>
        <v/>
      </c>
      <c r="C334" s="38" t="str">
        <f t="shared" si="61"/>
        <v/>
      </c>
      <c r="D334" s="38" t="str">
        <f t="shared" si="62"/>
        <v/>
      </c>
      <c r="E334" s="38" t="str">
        <f t="shared" si="63"/>
        <v/>
      </c>
      <c r="F334" s="38" t="str">
        <f t="shared" si="64"/>
        <v/>
      </c>
      <c r="G334" s="38" t="str">
        <f t="shared" si="57"/>
        <v/>
      </c>
      <c r="H334" s="38"/>
      <c r="J334" t="str">
        <f t="shared" si="65"/>
        <v/>
      </c>
      <c r="K334" s="38" t="str">
        <f t="shared" si="58"/>
        <v/>
      </c>
      <c r="L334" s="38" t="str">
        <f t="shared" si="66"/>
        <v/>
      </c>
      <c r="M334" s="38" t="str">
        <f t="shared" si="67"/>
        <v/>
      </c>
      <c r="N334" s="38" t="str">
        <f t="shared" si="68"/>
        <v/>
      </c>
      <c r="O334" s="38" t="str">
        <f t="shared" si="69"/>
        <v/>
      </c>
      <c r="P334" s="38" t="str">
        <f t="shared" si="59"/>
        <v/>
      </c>
      <c r="Q334" s="38"/>
    </row>
    <row r="335" spans="1:17" x14ac:dyDescent="0.2">
      <c r="A335" t="str">
        <f t="shared" si="60"/>
        <v/>
      </c>
      <c r="B335" s="38" t="str">
        <f t="shared" si="56"/>
        <v/>
      </c>
      <c r="C335" s="38" t="str">
        <f t="shared" si="61"/>
        <v/>
      </c>
      <c r="D335" s="38" t="str">
        <f t="shared" si="62"/>
        <v/>
      </c>
      <c r="E335" s="38" t="str">
        <f t="shared" si="63"/>
        <v/>
      </c>
      <c r="F335" s="38" t="str">
        <f t="shared" si="64"/>
        <v/>
      </c>
      <c r="G335" s="38" t="str">
        <f t="shared" si="57"/>
        <v/>
      </c>
      <c r="H335" s="38"/>
      <c r="J335" t="str">
        <f t="shared" si="65"/>
        <v/>
      </c>
      <c r="K335" s="38" t="str">
        <f t="shared" si="58"/>
        <v/>
      </c>
      <c r="L335" s="38" t="str">
        <f t="shared" si="66"/>
        <v/>
      </c>
      <c r="M335" s="38" t="str">
        <f t="shared" si="67"/>
        <v/>
      </c>
      <c r="N335" s="38" t="str">
        <f t="shared" si="68"/>
        <v/>
      </c>
      <c r="O335" s="38" t="str">
        <f t="shared" si="69"/>
        <v/>
      </c>
      <c r="P335" s="38" t="str">
        <f t="shared" si="59"/>
        <v/>
      </c>
      <c r="Q335" s="38"/>
    </row>
    <row r="336" spans="1:17" x14ac:dyDescent="0.2">
      <c r="A336" t="str">
        <f t="shared" si="60"/>
        <v/>
      </c>
      <c r="B336" s="38" t="str">
        <f t="shared" si="56"/>
        <v/>
      </c>
      <c r="C336" s="38" t="str">
        <f t="shared" si="61"/>
        <v/>
      </c>
      <c r="D336" s="38" t="str">
        <f t="shared" si="62"/>
        <v/>
      </c>
      <c r="E336" s="38" t="str">
        <f t="shared" si="63"/>
        <v/>
      </c>
      <c r="F336" s="38" t="str">
        <f t="shared" si="64"/>
        <v/>
      </c>
      <c r="G336" s="38" t="str">
        <f t="shared" si="57"/>
        <v/>
      </c>
      <c r="H336" s="38"/>
      <c r="J336" t="str">
        <f t="shared" si="65"/>
        <v/>
      </c>
      <c r="K336" s="38" t="str">
        <f t="shared" si="58"/>
        <v/>
      </c>
      <c r="L336" s="38" t="str">
        <f t="shared" si="66"/>
        <v/>
      </c>
      <c r="M336" s="38" t="str">
        <f t="shared" si="67"/>
        <v/>
      </c>
      <c r="N336" s="38" t="str">
        <f t="shared" si="68"/>
        <v/>
      </c>
      <c r="O336" s="38" t="str">
        <f t="shared" si="69"/>
        <v/>
      </c>
      <c r="P336" s="38" t="str">
        <f t="shared" si="59"/>
        <v/>
      </c>
      <c r="Q336" s="38"/>
    </row>
    <row r="337" spans="1:17" x14ac:dyDescent="0.2">
      <c r="A337" t="str">
        <f t="shared" si="60"/>
        <v/>
      </c>
      <c r="B337" s="38" t="str">
        <f t="shared" si="56"/>
        <v/>
      </c>
      <c r="C337" s="38" t="str">
        <f t="shared" si="61"/>
        <v/>
      </c>
      <c r="D337" s="38" t="str">
        <f t="shared" si="62"/>
        <v/>
      </c>
      <c r="E337" s="38" t="str">
        <f t="shared" si="63"/>
        <v/>
      </c>
      <c r="F337" s="38" t="str">
        <f t="shared" si="64"/>
        <v/>
      </c>
      <c r="G337" s="38" t="str">
        <f t="shared" si="57"/>
        <v/>
      </c>
      <c r="H337" s="38"/>
      <c r="J337" t="str">
        <f t="shared" si="65"/>
        <v/>
      </c>
      <c r="K337" s="38" t="str">
        <f t="shared" si="58"/>
        <v/>
      </c>
      <c r="L337" s="38" t="str">
        <f t="shared" si="66"/>
        <v/>
      </c>
      <c r="M337" s="38" t="str">
        <f t="shared" si="67"/>
        <v/>
      </c>
      <c r="N337" s="38" t="str">
        <f t="shared" si="68"/>
        <v/>
      </c>
      <c r="O337" s="38" t="str">
        <f t="shared" si="69"/>
        <v/>
      </c>
      <c r="P337" s="38" t="str">
        <f t="shared" si="59"/>
        <v/>
      </c>
      <c r="Q337" s="38"/>
    </row>
    <row r="338" spans="1:17" x14ac:dyDescent="0.2">
      <c r="A338" t="str">
        <f t="shared" si="60"/>
        <v/>
      </c>
      <c r="B338" s="38" t="str">
        <f t="shared" si="56"/>
        <v/>
      </c>
      <c r="C338" s="38" t="str">
        <f t="shared" si="61"/>
        <v/>
      </c>
      <c r="D338" s="38" t="str">
        <f t="shared" si="62"/>
        <v/>
      </c>
      <c r="E338" s="38" t="str">
        <f t="shared" si="63"/>
        <v/>
      </c>
      <c r="F338" s="38" t="str">
        <f t="shared" si="64"/>
        <v/>
      </c>
      <c r="G338" s="38" t="str">
        <f t="shared" si="57"/>
        <v/>
      </c>
      <c r="H338" s="38"/>
      <c r="J338" t="str">
        <f t="shared" si="65"/>
        <v/>
      </c>
      <c r="K338" s="38" t="str">
        <f t="shared" si="58"/>
        <v/>
      </c>
      <c r="L338" s="38" t="str">
        <f t="shared" si="66"/>
        <v/>
      </c>
      <c r="M338" s="38" t="str">
        <f t="shared" si="67"/>
        <v/>
      </c>
      <c r="N338" s="38" t="str">
        <f t="shared" si="68"/>
        <v/>
      </c>
      <c r="O338" s="38" t="str">
        <f t="shared" si="69"/>
        <v/>
      </c>
      <c r="P338" s="38" t="str">
        <f t="shared" si="59"/>
        <v/>
      </c>
      <c r="Q338" s="38"/>
    </row>
    <row r="339" spans="1:17" x14ac:dyDescent="0.2">
      <c r="A339" t="str">
        <f t="shared" si="60"/>
        <v/>
      </c>
      <c r="B339" s="38" t="str">
        <f t="shared" si="56"/>
        <v/>
      </c>
      <c r="C339" s="38" t="str">
        <f t="shared" si="61"/>
        <v/>
      </c>
      <c r="D339" s="38" t="str">
        <f t="shared" si="62"/>
        <v/>
      </c>
      <c r="E339" s="38" t="str">
        <f t="shared" si="63"/>
        <v/>
      </c>
      <c r="F339" s="38" t="str">
        <f t="shared" si="64"/>
        <v/>
      </c>
      <c r="G339" s="38" t="str">
        <f t="shared" si="57"/>
        <v/>
      </c>
      <c r="H339" s="38"/>
      <c r="J339" t="str">
        <f t="shared" si="65"/>
        <v/>
      </c>
      <c r="K339" s="38" t="str">
        <f t="shared" si="58"/>
        <v/>
      </c>
      <c r="L339" s="38" t="str">
        <f t="shared" si="66"/>
        <v/>
      </c>
      <c r="M339" s="38" t="str">
        <f t="shared" si="67"/>
        <v/>
      </c>
      <c r="N339" s="38" t="str">
        <f t="shared" si="68"/>
        <v/>
      </c>
      <c r="O339" s="38" t="str">
        <f t="shared" si="69"/>
        <v/>
      </c>
      <c r="P339" s="38" t="str">
        <f t="shared" si="59"/>
        <v/>
      </c>
      <c r="Q339" s="38"/>
    </row>
    <row r="340" spans="1:17" x14ac:dyDescent="0.2">
      <c r="A340" t="str">
        <f t="shared" si="60"/>
        <v/>
      </c>
      <c r="B340" s="38" t="str">
        <f t="shared" si="56"/>
        <v/>
      </c>
      <c r="C340" s="38" t="str">
        <f t="shared" si="61"/>
        <v/>
      </c>
      <c r="D340" s="38" t="str">
        <f t="shared" si="62"/>
        <v/>
      </c>
      <c r="E340" s="38" t="str">
        <f t="shared" si="63"/>
        <v/>
      </c>
      <c r="F340" s="38" t="str">
        <f t="shared" si="64"/>
        <v/>
      </c>
      <c r="G340" s="38" t="str">
        <f t="shared" si="57"/>
        <v/>
      </c>
      <c r="H340" s="38"/>
      <c r="J340" t="str">
        <f t="shared" si="65"/>
        <v/>
      </c>
      <c r="K340" s="38" t="str">
        <f t="shared" si="58"/>
        <v/>
      </c>
      <c r="L340" s="38" t="str">
        <f t="shared" si="66"/>
        <v/>
      </c>
      <c r="M340" s="38" t="str">
        <f t="shared" si="67"/>
        <v/>
      </c>
      <c r="N340" s="38" t="str">
        <f t="shared" si="68"/>
        <v/>
      </c>
      <c r="O340" s="38" t="str">
        <f t="shared" si="69"/>
        <v/>
      </c>
      <c r="P340" s="38" t="str">
        <f t="shared" si="59"/>
        <v/>
      </c>
      <c r="Q340" s="38"/>
    </row>
    <row r="341" spans="1:17" x14ac:dyDescent="0.2">
      <c r="A341" t="str">
        <f t="shared" si="60"/>
        <v/>
      </c>
      <c r="B341" s="38" t="str">
        <f t="shared" si="56"/>
        <v/>
      </c>
      <c r="C341" s="38" t="str">
        <f t="shared" si="61"/>
        <v/>
      </c>
      <c r="D341" s="38" t="str">
        <f t="shared" si="62"/>
        <v/>
      </c>
      <c r="E341" s="38" t="str">
        <f t="shared" si="63"/>
        <v/>
      </c>
      <c r="F341" s="38" t="str">
        <f t="shared" si="64"/>
        <v/>
      </c>
      <c r="G341" s="38" t="str">
        <f t="shared" si="57"/>
        <v/>
      </c>
      <c r="H341" s="38"/>
      <c r="J341" t="str">
        <f t="shared" si="65"/>
        <v/>
      </c>
      <c r="K341" s="38" t="str">
        <f t="shared" si="58"/>
        <v/>
      </c>
      <c r="L341" s="38" t="str">
        <f t="shared" si="66"/>
        <v/>
      </c>
      <c r="M341" s="38" t="str">
        <f t="shared" si="67"/>
        <v/>
      </c>
      <c r="N341" s="38" t="str">
        <f t="shared" si="68"/>
        <v/>
      </c>
      <c r="O341" s="38" t="str">
        <f t="shared" si="69"/>
        <v/>
      </c>
      <c r="P341" s="38" t="str">
        <f t="shared" si="59"/>
        <v/>
      </c>
      <c r="Q341" s="38"/>
    </row>
    <row r="342" spans="1:17" x14ac:dyDescent="0.2">
      <c r="A342" t="str">
        <f t="shared" si="60"/>
        <v/>
      </c>
      <c r="B342" s="38" t="str">
        <f t="shared" si="56"/>
        <v/>
      </c>
      <c r="C342" s="38" t="str">
        <f t="shared" si="61"/>
        <v/>
      </c>
      <c r="D342" s="38" t="str">
        <f t="shared" si="62"/>
        <v/>
      </c>
      <c r="E342" s="38" t="str">
        <f t="shared" si="63"/>
        <v/>
      </c>
      <c r="F342" s="38" t="str">
        <f t="shared" si="64"/>
        <v/>
      </c>
      <c r="G342" s="38" t="str">
        <f t="shared" si="57"/>
        <v/>
      </c>
      <c r="H342" s="38"/>
      <c r="J342" t="str">
        <f t="shared" si="65"/>
        <v/>
      </c>
      <c r="K342" s="38" t="str">
        <f t="shared" si="58"/>
        <v/>
      </c>
      <c r="L342" s="38" t="str">
        <f t="shared" si="66"/>
        <v/>
      </c>
      <c r="M342" s="38" t="str">
        <f t="shared" si="67"/>
        <v/>
      </c>
      <c r="N342" s="38" t="str">
        <f t="shared" si="68"/>
        <v/>
      </c>
      <c r="O342" s="38" t="str">
        <f t="shared" si="69"/>
        <v/>
      </c>
      <c r="P342" s="38" t="str">
        <f t="shared" si="59"/>
        <v/>
      </c>
      <c r="Q342" s="38"/>
    </row>
    <row r="343" spans="1:17" x14ac:dyDescent="0.2">
      <c r="A343" t="str">
        <f t="shared" si="60"/>
        <v/>
      </c>
      <c r="B343" s="38" t="str">
        <f t="shared" ref="B343:B406" si="70">IF(A343="","",F342)</f>
        <v/>
      </c>
      <c r="C343" s="38" t="str">
        <f t="shared" si="61"/>
        <v/>
      </c>
      <c r="D343" s="38" t="str">
        <f t="shared" si="62"/>
        <v/>
      </c>
      <c r="E343" s="38" t="str">
        <f t="shared" si="63"/>
        <v/>
      </c>
      <c r="F343" s="38" t="str">
        <f t="shared" si="64"/>
        <v/>
      </c>
      <c r="G343" s="38" t="str">
        <f t="shared" ref="G343:G406" si="71">IF(A343="","", (G342+C343))</f>
        <v/>
      </c>
      <c r="H343" s="38"/>
      <c r="J343" t="str">
        <f t="shared" si="65"/>
        <v/>
      </c>
      <c r="K343" s="38" t="str">
        <f t="shared" ref="K343:K406" si="72">IF(J343="","",O342)</f>
        <v/>
      </c>
      <c r="L343" s="38" t="str">
        <f t="shared" si="66"/>
        <v/>
      </c>
      <c r="M343" s="38" t="str">
        <f t="shared" si="67"/>
        <v/>
      </c>
      <c r="N343" s="38" t="str">
        <f t="shared" si="68"/>
        <v/>
      </c>
      <c r="O343" s="38" t="str">
        <f t="shared" si="69"/>
        <v/>
      </c>
      <c r="P343" s="38" t="str">
        <f t="shared" ref="P343:P406" si="73">IF(J343="","", (P342+L343))</f>
        <v/>
      </c>
      <c r="Q343" s="38"/>
    </row>
    <row r="344" spans="1:17" x14ac:dyDescent="0.2">
      <c r="A344" t="str">
        <f t="shared" ref="A344:A407" si="74">IF(A343&lt;($B$7*$B$8),A343+1,"")</f>
        <v/>
      </c>
      <c r="B344" s="38" t="str">
        <f t="shared" si="70"/>
        <v/>
      </c>
      <c r="C344" s="38" t="str">
        <f t="shared" ref="C344:C407" si="75">IF(A344="","",(B344*$B$6))</f>
        <v/>
      </c>
      <c r="D344" s="38" t="str">
        <f t="shared" ref="D344:D407" si="76">IF(A344="","", $B$3)</f>
        <v/>
      </c>
      <c r="E344" s="38" t="str">
        <f t="shared" ref="E344:E407" si="77">IF(D344="","",(D344-C344))</f>
        <v/>
      </c>
      <c r="F344" s="38" t="str">
        <f t="shared" ref="F344:F407" si="78">IF(A344="","", B344+C344+D344)</f>
        <v/>
      </c>
      <c r="G344" s="38" t="str">
        <f t="shared" si="71"/>
        <v/>
      </c>
      <c r="H344" s="38"/>
      <c r="J344" t="str">
        <f t="shared" ref="J344:J407" si="79">IF(J343&lt;($B$7*$B$8),J343+1,"")</f>
        <v/>
      </c>
      <c r="K344" s="38" t="str">
        <f t="shared" si="72"/>
        <v/>
      </c>
      <c r="L344" s="38" t="str">
        <f t="shared" ref="L344:L407" si="80">IF(J344="","",((K344 + M344)*$B$6))</f>
        <v/>
      </c>
      <c r="M344" s="38" t="str">
        <f t="shared" ref="M344:M407" si="81">IF(J344="","", $B$3)</f>
        <v/>
      </c>
      <c r="N344" s="38" t="str">
        <f t="shared" ref="N344:N407" si="82">IF(M344="","",(M344-L344))</f>
        <v/>
      </c>
      <c r="O344" s="38" t="str">
        <f t="shared" ref="O344:O407" si="83">IF(J344="","", K344+L344+M344)</f>
        <v/>
      </c>
      <c r="P344" s="38" t="str">
        <f t="shared" si="73"/>
        <v/>
      </c>
      <c r="Q344" s="38"/>
    </row>
    <row r="345" spans="1:17" x14ac:dyDescent="0.2">
      <c r="A345" t="str">
        <f t="shared" si="74"/>
        <v/>
      </c>
      <c r="B345" s="38" t="str">
        <f t="shared" si="70"/>
        <v/>
      </c>
      <c r="C345" s="38" t="str">
        <f t="shared" si="75"/>
        <v/>
      </c>
      <c r="D345" s="38" t="str">
        <f t="shared" si="76"/>
        <v/>
      </c>
      <c r="E345" s="38" t="str">
        <f t="shared" si="77"/>
        <v/>
      </c>
      <c r="F345" s="38" t="str">
        <f t="shared" si="78"/>
        <v/>
      </c>
      <c r="G345" s="38" t="str">
        <f t="shared" si="71"/>
        <v/>
      </c>
      <c r="H345" s="38"/>
      <c r="J345" t="str">
        <f t="shared" si="79"/>
        <v/>
      </c>
      <c r="K345" s="38" t="str">
        <f t="shared" si="72"/>
        <v/>
      </c>
      <c r="L345" s="38" t="str">
        <f t="shared" si="80"/>
        <v/>
      </c>
      <c r="M345" s="38" t="str">
        <f t="shared" si="81"/>
        <v/>
      </c>
      <c r="N345" s="38" t="str">
        <f t="shared" si="82"/>
        <v/>
      </c>
      <c r="O345" s="38" t="str">
        <f t="shared" si="83"/>
        <v/>
      </c>
      <c r="P345" s="38" t="str">
        <f t="shared" si="73"/>
        <v/>
      </c>
      <c r="Q345" s="38"/>
    </row>
    <row r="346" spans="1:17" x14ac:dyDescent="0.2">
      <c r="A346" t="str">
        <f t="shared" si="74"/>
        <v/>
      </c>
      <c r="B346" s="38" t="str">
        <f t="shared" si="70"/>
        <v/>
      </c>
      <c r="C346" s="38" t="str">
        <f t="shared" si="75"/>
        <v/>
      </c>
      <c r="D346" s="38" t="str">
        <f t="shared" si="76"/>
        <v/>
      </c>
      <c r="E346" s="38" t="str">
        <f t="shared" si="77"/>
        <v/>
      </c>
      <c r="F346" s="38" t="str">
        <f t="shared" si="78"/>
        <v/>
      </c>
      <c r="G346" s="38" t="str">
        <f t="shared" si="71"/>
        <v/>
      </c>
      <c r="H346" s="38"/>
      <c r="J346" t="str">
        <f t="shared" si="79"/>
        <v/>
      </c>
      <c r="K346" s="38" t="str">
        <f t="shared" si="72"/>
        <v/>
      </c>
      <c r="L346" s="38" t="str">
        <f t="shared" si="80"/>
        <v/>
      </c>
      <c r="M346" s="38" t="str">
        <f t="shared" si="81"/>
        <v/>
      </c>
      <c r="N346" s="38" t="str">
        <f t="shared" si="82"/>
        <v/>
      </c>
      <c r="O346" s="38" t="str">
        <f t="shared" si="83"/>
        <v/>
      </c>
      <c r="P346" s="38" t="str">
        <f t="shared" si="73"/>
        <v/>
      </c>
      <c r="Q346" s="38"/>
    </row>
    <row r="347" spans="1:17" x14ac:dyDescent="0.2">
      <c r="A347" t="str">
        <f t="shared" si="74"/>
        <v/>
      </c>
      <c r="B347" s="38" t="str">
        <f t="shared" si="70"/>
        <v/>
      </c>
      <c r="C347" s="38" t="str">
        <f t="shared" si="75"/>
        <v/>
      </c>
      <c r="D347" s="38" t="str">
        <f t="shared" si="76"/>
        <v/>
      </c>
      <c r="E347" s="38" t="str">
        <f t="shared" si="77"/>
        <v/>
      </c>
      <c r="F347" s="38" t="str">
        <f t="shared" si="78"/>
        <v/>
      </c>
      <c r="G347" s="38" t="str">
        <f t="shared" si="71"/>
        <v/>
      </c>
      <c r="H347" s="38"/>
      <c r="J347" t="str">
        <f t="shared" si="79"/>
        <v/>
      </c>
      <c r="K347" s="38" t="str">
        <f t="shared" si="72"/>
        <v/>
      </c>
      <c r="L347" s="38" t="str">
        <f t="shared" si="80"/>
        <v/>
      </c>
      <c r="M347" s="38" t="str">
        <f t="shared" si="81"/>
        <v/>
      </c>
      <c r="N347" s="38" t="str">
        <f t="shared" si="82"/>
        <v/>
      </c>
      <c r="O347" s="38" t="str">
        <f t="shared" si="83"/>
        <v/>
      </c>
      <c r="P347" s="38" t="str">
        <f t="shared" si="73"/>
        <v/>
      </c>
      <c r="Q347" s="38"/>
    </row>
    <row r="348" spans="1:17" x14ac:dyDescent="0.2">
      <c r="A348" t="str">
        <f t="shared" si="74"/>
        <v/>
      </c>
      <c r="B348" s="38" t="str">
        <f t="shared" si="70"/>
        <v/>
      </c>
      <c r="C348" s="38" t="str">
        <f t="shared" si="75"/>
        <v/>
      </c>
      <c r="D348" s="38" t="str">
        <f t="shared" si="76"/>
        <v/>
      </c>
      <c r="E348" s="38" t="str">
        <f t="shared" si="77"/>
        <v/>
      </c>
      <c r="F348" s="38" t="str">
        <f t="shared" si="78"/>
        <v/>
      </c>
      <c r="G348" s="38" t="str">
        <f t="shared" si="71"/>
        <v/>
      </c>
      <c r="H348" s="38"/>
      <c r="J348" t="str">
        <f t="shared" si="79"/>
        <v/>
      </c>
      <c r="K348" s="38" t="str">
        <f t="shared" si="72"/>
        <v/>
      </c>
      <c r="L348" s="38" t="str">
        <f t="shared" si="80"/>
        <v/>
      </c>
      <c r="M348" s="38" t="str">
        <f t="shared" si="81"/>
        <v/>
      </c>
      <c r="N348" s="38" t="str">
        <f t="shared" si="82"/>
        <v/>
      </c>
      <c r="O348" s="38" t="str">
        <f t="shared" si="83"/>
        <v/>
      </c>
      <c r="P348" s="38" t="str">
        <f t="shared" si="73"/>
        <v/>
      </c>
      <c r="Q348" s="38"/>
    </row>
    <row r="349" spans="1:17" x14ac:dyDescent="0.2">
      <c r="A349" t="str">
        <f t="shared" si="74"/>
        <v/>
      </c>
      <c r="B349" s="38" t="str">
        <f t="shared" si="70"/>
        <v/>
      </c>
      <c r="C349" s="38" t="str">
        <f t="shared" si="75"/>
        <v/>
      </c>
      <c r="D349" s="38" t="str">
        <f t="shared" si="76"/>
        <v/>
      </c>
      <c r="E349" s="38" t="str">
        <f t="shared" si="77"/>
        <v/>
      </c>
      <c r="F349" s="38" t="str">
        <f t="shared" si="78"/>
        <v/>
      </c>
      <c r="G349" s="38" t="str">
        <f t="shared" si="71"/>
        <v/>
      </c>
      <c r="H349" s="38"/>
      <c r="J349" t="str">
        <f t="shared" si="79"/>
        <v/>
      </c>
      <c r="K349" s="38" t="str">
        <f t="shared" si="72"/>
        <v/>
      </c>
      <c r="L349" s="38" t="str">
        <f t="shared" si="80"/>
        <v/>
      </c>
      <c r="M349" s="38" t="str">
        <f t="shared" si="81"/>
        <v/>
      </c>
      <c r="N349" s="38" t="str">
        <f t="shared" si="82"/>
        <v/>
      </c>
      <c r="O349" s="38" t="str">
        <f t="shared" si="83"/>
        <v/>
      </c>
      <c r="P349" s="38" t="str">
        <f t="shared" si="73"/>
        <v/>
      </c>
      <c r="Q349" s="38"/>
    </row>
    <row r="350" spans="1:17" x14ac:dyDescent="0.2">
      <c r="A350" t="str">
        <f t="shared" si="74"/>
        <v/>
      </c>
      <c r="B350" s="38" t="str">
        <f t="shared" si="70"/>
        <v/>
      </c>
      <c r="C350" s="38" t="str">
        <f t="shared" si="75"/>
        <v/>
      </c>
      <c r="D350" s="38" t="str">
        <f t="shared" si="76"/>
        <v/>
      </c>
      <c r="E350" s="38" t="str">
        <f t="shared" si="77"/>
        <v/>
      </c>
      <c r="F350" s="38" t="str">
        <f t="shared" si="78"/>
        <v/>
      </c>
      <c r="G350" s="38" t="str">
        <f t="shared" si="71"/>
        <v/>
      </c>
      <c r="H350" s="38"/>
      <c r="J350" t="str">
        <f t="shared" si="79"/>
        <v/>
      </c>
      <c r="K350" s="38" t="str">
        <f t="shared" si="72"/>
        <v/>
      </c>
      <c r="L350" s="38" t="str">
        <f t="shared" si="80"/>
        <v/>
      </c>
      <c r="M350" s="38" t="str">
        <f t="shared" si="81"/>
        <v/>
      </c>
      <c r="N350" s="38" t="str">
        <f t="shared" si="82"/>
        <v/>
      </c>
      <c r="O350" s="38" t="str">
        <f t="shared" si="83"/>
        <v/>
      </c>
      <c r="P350" s="38" t="str">
        <f t="shared" si="73"/>
        <v/>
      </c>
      <c r="Q350" s="38"/>
    </row>
    <row r="351" spans="1:17" x14ac:dyDescent="0.2">
      <c r="A351" t="str">
        <f t="shared" si="74"/>
        <v/>
      </c>
      <c r="B351" s="38" t="str">
        <f t="shared" si="70"/>
        <v/>
      </c>
      <c r="C351" s="38" t="str">
        <f t="shared" si="75"/>
        <v/>
      </c>
      <c r="D351" s="38" t="str">
        <f t="shared" si="76"/>
        <v/>
      </c>
      <c r="E351" s="38" t="str">
        <f t="shared" si="77"/>
        <v/>
      </c>
      <c r="F351" s="38" t="str">
        <f t="shared" si="78"/>
        <v/>
      </c>
      <c r="G351" s="38" t="str">
        <f t="shared" si="71"/>
        <v/>
      </c>
      <c r="H351" s="38"/>
      <c r="J351" t="str">
        <f t="shared" si="79"/>
        <v/>
      </c>
      <c r="K351" s="38" t="str">
        <f t="shared" si="72"/>
        <v/>
      </c>
      <c r="L351" s="38" t="str">
        <f t="shared" si="80"/>
        <v/>
      </c>
      <c r="M351" s="38" t="str">
        <f t="shared" si="81"/>
        <v/>
      </c>
      <c r="N351" s="38" t="str">
        <f t="shared" si="82"/>
        <v/>
      </c>
      <c r="O351" s="38" t="str">
        <f t="shared" si="83"/>
        <v/>
      </c>
      <c r="P351" s="38" t="str">
        <f t="shared" si="73"/>
        <v/>
      </c>
      <c r="Q351" s="38"/>
    </row>
    <row r="352" spans="1:17" x14ac:dyDescent="0.2">
      <c r="A352" t="str">
        <f t="shared" si="74"/>
        <v/>
      </c>
      <c r="B352" s="38" t="str">
        <f t="shared" si="70"/>
        <v/>
      </c>
      <c r="C352" s="38" t="str">
        <f t="shared" si="75"/>
        <v/>
      </c>
      <c r="D352" s="38" t="str">
        <f t="shared" si="76"/>
        <v/>
      </c>
      <c r="E352" s="38" t="str">
        <f t="shared" si="77"/>
        <v/>
      </c>
      <c r="F352" s="38" t="str">
        <f t="shared" si="78"/>
        <v/>
      </c>
      <c r="G352" s="38" t="str">
        <f t="shared" si="71"/>
        <v/>
      </c>
      <c r="H352" s="38"/>
      <c r="J352" t="str">
        <f t="shared" si="79"/>
        <v/>
      </c>
      <c r="K352" s="38" t="str">
        <f t="shared" si="72"/>
        <v/>
      </c>
      <c r="L352" s="38" t="str">
        <f t="shared" si="80"/>
        <v/>
      </c>
      <c r="M352" s="38" t="str">
        <f t="shared" si="81"/>
        <v/>
      </c>
      <c r="N352" s="38" t="str">
        <f t="shared" si="82"/>
        <v/>
      </c>
      <c r="O352" s="38" t="str">
        <f t="shared" si="83"/>
        <v/>
      </c>
      <c r="P352" s="38" t="str">
        <f t="shared" si="73"/>
        <v/>
      </c>
      <c r="Q352" s="38"/>
    </row>
    <row r="353" spans="1:17" x14ac:dyDescent="0.2">
      <c r="A353" t="str">
        <f t="shared" si="74"/>
        <v/>
      </c>
      <c r="B353" s="38" t="str">
        <f t="shared" si="70"/>
        <v/>
      </c>
      <c r="C353" s="38" t="str">
        <f t="shared" si="75"/>
        <v/>
      </c>
      <c r="D353" s="38" t="str">
        <f t="shared" si="76"/>
        <v/>
      </c>
      <c r="E353" s="38" t="str">
        <f t="shared" si="77"/>
        <v/>
      </c>
      <c r="F353" s="38" t="str">
        <f t="shared" si="78"/>
        <v/>
      </c>
      <c r="G353" s="38" t="str">
        <f t="shared" si="71"/>
        <v/>
      </c>
      <c r="H353" s="38"/>
      <c r="J353" t="str">
        <f t="shared" si="79"/>
        <v/>
      </c>
      <c r="K353" s="38" t="str">
        <f t="shared" si="72"/>
        <v/>
      </c>
      <c r="L353" s="38" t="str">
        <f t="shared" si="80"/>
        <v/>
      </c>
      <c r="M353" s="38" t="str">
        <f t="shared" si="81"/>
        <v/>
      </c>
      <c r="N353" s="38" t="str">
        <f t="shared" si="82"/>
        <v/>
      </c>
      <c r="O353" s="38" t="str">
        <f t="shared" si="83"/>
        <v/>
      </c>
      <c r="P353" s="38" t="str">
        <f t="shared" si="73"/>
        <v/>
      </c>
      <c r="Q353" s="38"/>
    </row>
    <row r="354" spans="1:17" x14ac:dyDescent="0.2">
      <c r="A354" t="str">
        <f t="shared" si="74"/>
        <v/>
      </c>
      <c r="B354" s="38" t="str">
        <f t="shared" si="70"/>
        <v/>
      </c>
      <c r="C354" s="38" t="str">
        <f t="shared" si="75"/>
        <v/>
      </c>
      <c r="D354" s="38" t="str">
        <f t="shared" si="76"/>
        <v/>
      </c>
      <c r="E354" s="38" t="str">
        <f t="shared" si="77"/>
        <v/>
      </c>
      <c r="F354" s="38" t="str">
        <f t="shared" si="78"/>
        <v/>
      </c>
      <c r="G354" s="38" t="str">
        <f t="shared" si="71"/>
        <v/>
      </c>
      <c r="H354" s="38"/>
      <c r="J354" t="str">
        <f t="shared" si="79"/>
        <v/>
      </c>
      <c r="K354" s="38" t="str">
        <f t="shared" si="72"/>
        <v/>
      </c>
      <c r="L354" s="38" t="str">
        <f t="shared" si="80"/>
        <v/>
      </c>
      <c r="M354" s="38" t="str">
        <f t="shared" si="81"/>
        <v/>
      </c>
      <c r="N354" s="38" t="str">
        <f t="shared" si="82"/>
        <v/>
      </c>
      <c r="O354" s="38" t="str">
        <f t="shared" si="83"/>
        <v/>
      </c>
      <c r="P354" s="38" t="str">
        <f t="shared" si="73"/>
        <v/>
      </c>
      <c r="Q354" s="38"/>
    </row>
    <row r="355" spans="1:17" x14ac:dyDescent="0.2">
      <c r="A355" t="str">
        <f t="shared" si="74"/>
        <v/>
      </c>
      <c r="B355" s="38" t="str">
        <f t="shared" si="70"/>
        <v/>
      </c>
      <c r="C355" s="38" t="str">
        <f t="shared" si="75"/>
        <v/>
      </c>
      <c r="D355" s="38" t="str">
        <f t="shared" si="76"/>
        <v/>
      </c>
      <c r="E355" s="38" t="str">
        <f t="shared" si="77"/>
        <v/>
      </c>
      <c r="F355" s="38" t="str">
        <f t="shared" si="78"/>
        <v/>
      </c>
      <c r="G355" s="38" t="str">
        <f t="shared" si="71"/>
        <v/>
      </c>
      <c r="H355" s="38"/>
      <c r="J355" t="str">
        <f t="shared" si="79"/>
        <v/>
      </c>
      <c r="K355" s="38" t="str">
        <f t="shared" si="72"/>
        <v/>
      </c>
      <c r="L355" s="38" t="str">
        <f t="shared" si="80"/>
        <v/>
      </c>
      <c r="M355" s="38" t="str">
        <f t="shared" si="81"/>
        <v/>
      </c>
      <c r="N355" s="38" t="str">
        <f t="shared" si="82"/>
        <v/>
      </c>
      <c r="O355" s="38" t="str">
        <f t="shared" si="83"/>
        <v/>
      </c>
      <c r="P355" s="38" t="str">
        <f t="shared" si="73"/>
        <v/>
      </c>
      <c r="Q355" s="38"/>
    </row>
    <row r="356" spans="1:17" x14ac:dyDescent="0.2">
      <c r="A356" t="str">
        <f t="shared" si="74"/>
        <v/>
      </c>
      <c r="B356" s="38" t="str">
        <f t="shared" si="70"/>
        <v/>
      </c>
      <c r="C356" s="38" t="str">
        <f t="shared" si="75"/>
        <v/>
      </c>
      <c r="D356" s="38" t="str">
        <f t="shared" si="76"/>
        <v/>
      </c>
      <c r="E356" s="38" t="str">
        <f t="shared" si="77"/>
        <v/>
      </c>
      <c r="F356" s="38" t="str">
        <f t="shared" si="78"/>
        <v/>
      </c>
      <c r="G356" s="38" t="str">
        <f t="shared" si="71"/>
        <v/>
      </c>
      <c r="H356" s="38"/>
      <c r="J356" t="str">
        <f t="shared" si="79"/>
        <v/>
      </c>
      <c r="K356" s="38" t="str">
        <f t="shared" si="72"/>
        <v/>
      </c>
      <c r="L356" s="38" t="str">
        <f t="shared" si="80"/>
        <v/>
      </c>
      <c r="M356" s="38" t="str">
        <f t="shared" si="81"/>
        <v/>
      </c>
      <c r="N356" s="38" t="str">
        <f t="shared" si="82"/>
        <v/>
      </c>
      <c r="O356" s="38" t="str">
        <f t="shared" si="83"/>
        <v/>
      </c>
      <c r="P356" s="38" t="str">
        <f t="shared" si="73"/>
        <v/>
      </c>
      <c r="Q356" s="38"/>
    </row>
    <row r="357" spans="1:17" x14ac:dyDescent="0.2">
      <c r="A357" t="str">
        <f t="shared" si="74"/>
        <v/>
      </c>
      <c r="B357" s="38" t="str">
        <f t="shared" si="70"/>
        <v/>
      </c>
      <c r="C357" s="38" t="str">
        <f t="shared" si="75"/>
        <v/>
      </c>
      <c r="D357" s="38" t="str">
        <f t="shared" si="76"/>
        <v/>
      </c>
      <c r="E357" s="38" t="str">
        <f t="shared" si="77"/>
        <v/>
      </c>
      <c r="F357" s="38" t="str">
        <f t="shared" si="78"/>
        <v/>
      </c>
      <c r="G357" s="38" t="str">
        <f t="shared" si="71"/>
        <v/>
      </c>
      <c r="H357" s="38"/>
      <c r="J357" t="str">
        <f t="shared" si="79"/>
        <v/>
      </c>
      <c r="K357" s="38" t="str">
        <f t="shared" si="72"/>
        <v/>
      </c>
      <c r="L357" s="38" t="str">
        <f t="shared" si="80"/>
        <v/>
      </c>
      <c r="M357" s="38" t="str">
        <f t="shared" si="81"/>
        <v/>
      </c>
      <c r="N357" s="38" t="str">
        <f t="shared" si="82"/>
        <v/>
      </c>
      <c r="O357" s="38" t="str">
        <f t="shared" si="83"/>
        <v/>
      </c>
      <c r="P357" s="38" t="str">
        <f t="shared" si="73"/>
        <v/>
      </c>
      <c r="Q357" s="38"/>
    </row>
    <row r="358" spans="1:17" x14ac:dyDescent="0.2">
      <c r="A358" t="str">
        <f t="shared" si="74"/>
        <v/>
      </c>
      <c r="B358" s="38" t="str">
        <f t="shared" si="70"/>
        <v/>
      </c>
      <c r="C358" s="38" t="str">
        <f t="shared" si="75"/>
        <v/>
      </c>
      <c r="D358" s="38" t="str">
        <f t="shared" si="76"/>
        <v/>
      </c>
      <c r="E358" s="38" t="str">
        <f t="shared" si="77"/>
        <v/>
      </c>
      <c r="F358" s="38" t="str">
        <f t="shared" si="78"/>
        <v/>
      </c>
      <c r="G358" s="38" t="str">
        <f t="shared" si="71"/>
        <v/>
      </c>
      <c r="H358" s="38"/>
      <c r="J358" t="str">
        <f t="shared" si="79"/>
        <v/>
      </c>
      <c r="K358" s="38" t="str">
        <f t="shared" si="72"/>
        <v/>
      </c>
      <c r="L358" s="38" t="str">
        <f t="shared" si="80"/>
        <v/>
      </c>
      <c r="M358" s="38" t="str">
        <f t="shared" si="81"/>
        <v/>
      </c>
      <c r="N358" s="38" t="str">
        <f t="shared" si="82"/>
        <v/>
      </c>
      <c r="O358" s="38" t="str">
        <f t="shared" si="83"/>
        <v/>
      </c>
      <c r="P358" s="38" t="str">
        <f t="shared" si="73"/>
        <v/>
      </c>
      <c r="Q358" s="38"/>
    </row>
    <row r="359" spans="1:17" x14ac:dyDescent="0.2">
      <c r="A359" t="str">
        <f t="shared" si="74"/>
        <v/>
      </c>
      <c r="B359" s="38" t="str">
        <f t="shared" si="70"/>
        <v/>
      </c>
      <c r="C359" s="38" t="str">
        <f t="shared" si="75"/>
        <v/>
      </c>
      <c r="D359" s="38" t="str">
        <f t="shared" si="76"/>
        <v/>
      </c>
      <c r="E359" s="38" t="str">
        <f t="shared" si="77"/>
        <v/>
      </c>
      <c r="F359" s="38" t="str">
        <f t="shared" si="78"/>
        <v/>
      </c>
      <c r="G359" s="38" t="str">
        <f t="shared" si="71"/>
        <v/>
      </c>
      <c r="H359" s="38"/>
      <c r="J359" t="str">
        <f t="shared" si="79"/>
        <v/>
      </c>
      <c r="K359" s="38" t="str">
        <f t="shared" si="72"/>
        <v/>
      </c>
      <c r="L359" s="38" t="str">
        <f t="shared" si="80"/>
        <v/>
      </c>
      <c r="M359" s="38" t="str">
        <f t="shared" si="81"/>
        <v/>
      </c>
      <c r="N359" s="38" t="str">
        <f t="shared" si="82"/>
        <v/>
      </c>
      <c r="O359" s="38" t="str">
        <f t="shared" si="83"/>
        <v/>
      </c>
      <c r="P359" s="38" t="str">
        <f t="shared" si="73"/>
        <v/>
      </c>
      <c r="Q359" s="38"/>
    </row>
    <row r="360" spans="1:17" x14ac:dyDescent="0.2">
      <c r="A360" t="str">
        <f t="shared" si="74"/>
        <v/>
      </c>
      <c r="B360" s="38" t="str">
        <f t="shared" si="70"/>
        <v/>
      </c>
      <c r="C360" s="38" t="str">
        <f t="shared" si="75"/>
        <v/>
      </c>
      <c r="D360" s="38" t="str">
        <f t="shared" si="76"/>
        <v/>
      </c>
      <c r="E360" s="38" t="str">
        <f t="shared" si="77"/>
        <v/>
      </c>
      <c r="F360" s="38" t="str">
        <f t="shared" si="78"/>
        <v/>
      </c>
      <c r="G360" s="38" t="str">
        <f t="shared" si="71"/>
        <v/>
      </c>
      <c r="H360" s="38"/>
      <c r="J360" t="str">
        <f t="shared" si="79"/>
        <v/>
      </c>
      <c r="K360" s="38" t="str">
        <f t="shared" si="72"/>
        <v/>
      </c>
      <c r="L360" s="38" t="str">
        <f t="shared" si="80"/>
        <v/>
      </c>
      <c r="M360" s="38" t="str">
        <f t="shared" si="81"/>
        <v/>
      </c>
      <c r="N360" s="38" t="str">
        <f t="shared" si="82"/>
        <v/>
      </c>
      <c r="O360" s="38" t="str">
        <f t="shared" si="83"/>
        <v/>
      </c>
      <c r="P360" s="38" t="str">
        <f t="shared" si="73"/>
        <v/>
      </c>
      <c r="Q360" s="38"/>
    </row>
    <row r="361" spans="1:17" x14ac:dyDescent="0.2">
      <c r="A361" t="str">
        <f t="shared" si="74"/>
        <v/>
      </c>
      <c r="B361" s="38" t="str">
        <f t="shared" si="70"/>
        <v/>
      </c>
      <c r="C361" s="38" t="str">
        <f t="shared" si="75"/>
        <v/>
      </c>
      <c r="D361" s="38" t="str">
        <f t="shared" si="76"/>
        <v/>
      </c>
      <c r="E361" s="38" t="str">
        <f t="shared" si="77"/>
        <v/>
      </c>
      <c r="F361" s="38" t="str">
        <f t="shared" si="78"/>
        <v/>
      </c>
      <c r="G361" s="38" t="str">
        <f t="shared" si="71"/>
        <v/>
      </c>
      <c r="H361" s="38"/>
      <c r="J361" t="str">
        <f t="shared" si="79"/>
        <v/>
      </c>
      <c r="K361" s="38" t="str">
        <f t="shared" si="72"/>
        <v/>
      </c>
      <c r="L361" s="38" t="str">
        <f t="shared" si="80"/>
        <v/>
      </c>
      <c r="M361" s="38" t="str">
        <f t="shared" si="81"/>
        <v/>
      </c>
      <c r="N361" s="38" t="str">
        <f t="shared" si="82"/>
        <v/>
      </c>
      <c r="O361" s="38" t="str">
        <f t="shared" si="83"/>
        <v/>
      </c>
      <c r="P361" s="38" t="str">
        <f t="shared" si="73"/>
        <v/>
      </c>
      <c r="Q361" s="38"/>
    </row>
    <row r="362" spans="1:17" x14ac:dyDescent="0.2">
      <c r="A362" t="str">
        <f t="shared" si="74"/>
        <v/>
      </c>
      <c r="B362" s="38" t="str">
        <f t="shared" si="70"/>
        <v/>
      </c>
      <c r="C362" s="38" t="str">
        <f t="shared" si="75"/>
        <v/>
      </c>
      <c r="D362" s="38" t="str">
        <f t="shared" si="76"/>
        <v/>
      </c>
      <c r="E362" s="38" t="str">
        <f t="shared" si="77"/>
        <v/>
      </c>
      <c r="F362" s="38" t="str">
        <f t="shared" si="78"/>
        <v/>
      </c>
      <c r="G362" s="38" t="str">
        <f t="shared" si="71"/>
        <v/>
      </c>
      <c r="H362" s="38"/>
      <c r="J362" t="str">
        <f t="shared" si="79"/>
        <v/>
      </c>
      <c r="K362" s="38" t="str">
        <f t="shared" si="72"/>
        <v/>
      </c>
      <c r="L362" s="38" t="str">
        <f t="shared" si="80"/>
        <v/>
      </c>
      <c r="M362" s="38" t="str">
        <f t="shared" si="81"/>
        <v/>
      </c>
      <c r="N362" s="38" t="str">
        <f t="shared" si="82"/>
        <v/>
      </c>
      <c r="O362" s="38" t="str">
        <f t="shared" si="83"/>
        <v/>
      </c>
      <c r="P362" s="38" t="str">
        <f t="shared" si="73"/>
        <v/>
      </c>
      <c r="Q362" s="38"/>
    </row>
    <row r="363" spans="1:17" x14ac:dyDescent="0.2">
      <c r="A363" t="str">
        <f t="shared" si="74"/>
        <v/>
      </c>
      <c r="B363" s="38" t="str">
        <f t="shared" si="70"/>
        <v/>
      </c>
      <c r="C363" s="38" t="str">
        <f t="shared" si="75"/>
        <v/>
      </c>
      <c r="D363" s="38" t="str">
        <f t="shared" si="76"/>
        <v/>
      </c>
      <c r="E363" s="38" t="str">
        <f t="shared" si="77"/>
        <v/>
      </c>
      <c r="F363" s="38" t="str">
        <f t="shared" si="78"/>
        <v/>
      </c>
      <c r="G363" s="38" t="str">
        <f t="shared" si="71"/>
        <v/>
      </c>
      <c r="H363" s="38"/>
      <c r="J363" t="str">
        <f t="shared" si="79"/>
        <v/>
      </c>
      <c r="K363" s="38" t="str">
        <f t="shared" si="72"/>
        <v/>
      </c>
      <c r="L363" s="38" t="str">
        <f t="shared" si="80"/>
        <v/>
      </c>
      <c r="M363" s="38" t="str">
        <f t="shared" si="81"/>
        <v/>
      </c>
      <c r="N363" s="38" t="str">
        <f t="shared" si="82"/>
        <v/>
      </c>
      <c r="O363" s="38" t="str">
        <f t="shared" si="83"/>
        <v/>
      </c>
      <c r="P363" s="38" t="str">
        <f t="shared" si="73"/>
        <v/>
      </c>
      <c r="Q363" s="38"/>
    </row>
    <row r="364" spans="1:17" x14ac:dyDescent="0.2">
      <c r="A364" t="str">
        <f t="shared" si="74"/>
        <v/>
      </c>
      <c r="B364" s="38" t="str">
        <f t="shared" si="70"/>
        <v/>
      </c>
      <c r="C364" s="38" t="str">
        <f t="shared" si="75"/>
        <v/>
      </c>
      <c r="D364" s="38" t="str">
        <f t="shared" si="76"/>
        <v/>
      </c>
      <c r="E364" s="38" t="str">
        <f t="shared" si="77"/>
        <v/>
      </c>
      <c r="F364" s="38" t="str">
        <f t="shared" si="78"/>
        <v/>
      </c>
      <c r="G364" s="38" t="str">
        <f t="shared" si="71"/>
        <v/>
      </c>
      <c r="H364" s="38"/>
      <c r="J364" t="str">
        <f t="shared" si="79"/>
        <v/>
      </c>
      <c r="K364" s="38" t="str">
        <f t="shared" si="72"/>
        <v/>
      </c>
      <c r="L364" s="38" t="str">
        <f t="shared" si="80"/>
        <v/>
      </c>
      <c r="M364" s="38" t="str">
        <f t="shared" si="81"/>
        <v/>
      </c>
      <c r="N364" s="38" t="str">
        <f t="shared" si="82"/>
        <v/>
      </c>
      <c r="O364" s="38" t="str">
        <f t="shared" si="83"/>
        <v/>
      </c>
      <c r="P364" s="38" t="str">
        <f t="shared" si="73"/>
        <v/>
      </c>
      <c r="Q364" s="38"/>
    </row>
    <row r="365" spans="1:17" x14ac:dyDescent="0.2">
      <c r="A365" t="str">
        <f t="shared" si="74"/>
        <v/>
      </c>
      <c r="B365" s="38" t="str">
        <f t="shared" si="70"/>
        <v/>
      </c>
      <c r="C365" s="38" t="str">
        <f t="shared" si="75"/>
        <v/>
      </c>
      <c r="D365" s="38" t="str">
        <f t="shared" si="76"/>
        <v/>
      </c>
      <c r="E365" s="38" t="str">
        <f t="shared" si="77"/>
        <v/>
      </c>
      <c r="F365" s="38" t="str">
        <f t="shared" si="78"/>
        <v/>
      </c>
      <c r="G365" s="38" t="str">
        <f t="shared" si="71"/>
        <v/>
      </c>
      <c r="H365" s="38"/>
      <c r="J365" t="str">
        <f t="shared" si="79"/>
        <v/>
      </c>
      <c r="K365" s="38" t="str">
        <f t="shared" si="72"/>
        <v/>
      </c>
      <c r="L365" s="38" t="str">
        <f t="shared" si="80"/>
        <v/>
      </c>
      <c r="M365" s="38" t="str">
        <f t="shared" si="81"/>
        <v/>
      </c>
      <c r="N365" s="38" t="str">
        <f t="shared" si="82"/>
        <v/>
      </c>
      <c r="O365" s="38" t="str">
        <f t="shared" si="83"/>
        <v/>
      </c>
      <c r="P365" s="38" t="str">
        <f t="shared" si="73"/>
        <v/>
      </c>
      <c r="Q365" s="38"/>
    </row>
    <row r="366" spans="1:17" x14ac:dyDescent="0.2">
      <c r="A366" t="str">
        <f t="shared" si="74"/>
        <v/>
      </c>
      <c r="B366" s="38" t="str">
        <f t="shared" si="70"/>
        <v/>
      </c>
      <c r="C366" s="38" t="str">
        <f t="shared" si="75"/>
        <v/>
      </c>
      <c r="D366" s="38" t="str">
        <f t="shared" si="76"/>
        <v/>
      </c>
      <c r="E366" s="38" t="str">
        <f t="shared" si="77"/>
        <v/>
      </c>
      <c r="F366" s="38" t="str">
        <f t="shared" si="78"/>
        <v/>
      </c>
      <c r="G366" s="38" t="str">
        <f t="shared" si="71"/>
        <v/>
      </c>
      <c r="H366" s="38"/>
      <c r="J366" t="str">
        <f t="shared" si="79"/>
        <v/>
      </c>
      <c r="K366" s="38" t="str">
        <f t="shared" si="72"/>
        <v/>
      </c>
      <c r="L366" s="38" t="str">
        <f t="shared" si="80"/>
        <v/>
      </c>
      <c r="M366" s="38" t="str">
        <f t="shared" si="81"/>
        <v/>
      </c>
      <c r="N366" s="38" t="str">
        <f t="shared" si="82"/>
        <v/>
      </c>
      <c r="O366" s="38" t="str">
        <f t="shared" si="83"/>
        <v/>
      </c>
      <c r="P366" s="38" t="str">
        <f t="shared" si="73"/>
        <v/>
      </c>
      <c r="Q366" s="38"/>
    </row>
    <row r="367" spans="1:17" x14ac:dyDescent="0.2">
      <c r="A367" t="str">
        <f t="shared" si="74"/>
        <v/>
      </c>
      <c r="B367" s="38" t="str">
        <f t="shared" si="70"/>
        <v/>
      </c>
      <c r="C367" s="38" t="str">
        <f t="shared" si="75"/>
        <v/>
      </c>
      <c r="D367" s="38" t="str">
        <f t="shared" si="76"/>
        <v/>
      </c>
      <c r="E367" s="38" t="str">
        <f t="shared" si="77"/>
        <v/>
      </c>
      <c r="F367" s="38" t="str">
        <f t="shared" si="78"/>
        <v/>
      </c>
      <c r="G367" s="38" t="str">
        <f t="shared" si="71"/>
        <v/>
      </c>
      <c r="H367" s="38"/>
      <c r="J367" t="str">
        <f t="shared" si="79"/>
        <v/>
      </c>
      <c r="K367" s="38" t="str">
        <f t="shared" si="72"/>
        <v/>
      </c>
      <c r="L367" s="38" t="str">
        <f t="shared" si="80"/>
        <v/>
      </c>
      <c r="M367" s="38" t="str">
        <f t="shared" si="81"/>
        <v/>
      </c>
      <c r="N367" s="38" t="str">
        <f t="shared" si="82"/>
        <v/>
      </c>
      <c r="O367" s="38" t="str">
        <f t="shared" si="83"/>
        <v/>
      </c>
      <c r="P367" s="38" t="str">
        <f t="shared" si="73"/>
        <v/>
      </c>
      <c r="Q367" s="38"/>
    </row>
    <row r="368" spans="1:17" x14ac:dyDescent="0.2">
      <c r="A368" t="str">
        <f t="shared" si="74"/>
        <v/>
      </c>
      <c r="B368" s="38" t="str">
        <f t="shared" si="70"/>
        <v/>
      </c>
      <c r="C368" s="38" t="str">
        <f t="shared" si="75"/>
        <v/>
      </c>
      <c r="D368" s="38" t="str">
        <f t="shared" si="76"/>
        <v/>
      </c>
      <c r="E368" s="38" t="str">
        <f t="shared" si="77"/>
        <v/>
      </c>
      <c r="F368" s="38" t="str">
        <f t="shared" si="78"/>
        <v/>
      </c>
      <c r="G368" s="38" t="str">
        <f t="shared" si="71"/>
        <v/>
      </c>
      <c r="H368" s="38"/>
      <c r="J368" t="str">
        <f t="shared" si="79"/>
        <v/>
      </c>
      <c r="K368" s="38" t="str">
        <f t="shared" si="72"/>
        <v/>
      </c>
      <c r="L368" s="38" t="str">
        <f t="shared" si="80"/>
        <v/>
      </c>
      <c r="M368" s="38" t="str">
        <f t="shared" si="81"/>
        <v/>
      </c>
      <c r="N368" s="38" t="str">
        <f t="shared" si="82"/>
        <v/>
      </c>
      <c r="O368" s="38" t="str">
        <f t="shared" si="83"/>
        <v/>
      </c>
      <c r="P368" s="38" t="str">
        <f t="shared" si="73"/>
        <v/>
      </c>
      <c r="Q368" s="38"/>
    </row>
    <row r="369" spans="1:17" x14ac:dyDescent="0.2">
      <c r="A369" t="str">
        <f t="shared" si="74"/>
        <v/>
      </c>
      <c r="B369" s="38" t="str">
        <f t="shared" si="70"/>
        <v/>
      </c>
      <c r="C369" s="38" t="str">
        <f t="shared" si="75"/>
        <v/>
      </c>
      <c r="D369" s="38" t="str">
        <f t="shared" si="76"/>
        <v/>
      </c>
      <c r="E369" s="38" t="str">
        <f t="shared" si="77"/>
        <v/>
      </c>
      <c r="F369" s="38" t="str">
        <f t="shared" si="78"/>
        <v/>
      </c>
      <c r="G369" s="38" t="str">
        <f t="shared" si="71"/>
        <v/>
      </c>
      <c r="H369" s="38"/>
      <c r="J369" t="str">
        <f t="shared" si="79"/>
        <v/>
      </c>
      <c r="K369" s="38" t="str">
        <f t="shared" si="72"/>
        <v/>
      </c>
      <c r="L369" s="38" t="str">
        <f t="shared" si="80"/>
        <v/>
      </c>
      <c r="M369" s="38" t="str">
        <f t="shared" si="81"/>
        <v/>
      </c>
      <c r="N369" s="38" t="str">
        <f t="shared" si="82"/>
        <v/>
      </c>
      <c r="O369" s="38" t="str">
        <f t="shared" si="83"/>
        <v/>
      </c>
      <c r="P369" s="38" t="str">
        <f t="shared" si="73"/>
        <v/>
      </c>
      <c r="Q369" s="38"/>
    </row>
    <row r="370" spans="1:17" x14ac:dyDescent="0.2">
      <c r="A370" t="str">
        <f t="shared" si="74"/>
        <v/>
      </c>
      <c r="B370" s="38" t="str">
        <f t="shared" si="70"/>
        <v/>
      </c>
      <c r="C370" s="38" t="str">
        <f t="shared" si="75"/>
        <v/>
      </c>
      <c r="D370" s="38" t="str">
        <f t="shared" si="76"/>
        <v/>
      </c>
      <c r="E370" s="38" t="str">
        <f t="shared" si="77"/>
        <v/>
      </c>
      <c r="F370" s="38" t="str">
        <f t="shared" si="78"/>
        <v/>
      </c>
      <c r="G370" s="38" t="str">
        <f t="shared" si="71"/>
        <v/>
      </c>
      <c r="H370" s="38"/>
      <c r="J370" t="str">
        <f t="shared" si="79"/>
        <v/>
      </c>
      <c r="K370" s="38" t="str">
        <f t="shared" si="72"/>
        <v/>
      </c>
      <c r="L370" s="38" t="str">
        <f t="shared" si="80"/>
        <v/>
      </c>
      <c r="M370" s="38" t="str">
        <f t="shared" si="81"/>
        <v/>
      </c>
      <c r="N370" s="38" t="str">
        <f t="shared" si="82"/>
        <v/>
      </c>
      <c r="O370" s="38" t="str">
        <f t="shared" si="83"/>
        <v/>
      </c>
      <c r="P370" s="38" t="str">
        <f t="shared" si="73"/>
        <v/>
      </c>
      <c r="Q370" s="38"/>
    </row>
    <row r="371" spans="1:17" x14ac:dyDescent="0.2">
      <c r="A371" t="str">
        <f t="shared" si="74"/>
        <v/>
      </c>
      <c r="B371" s="38" t="str">
        <f t="shared" si="70"/>
        <v/>
      </c>
      <c r="C371" s="38" t="str">
        <f t="shared" si="75"/>
        <v/>
      </c>
      <c r="D371" s="38" t="str">
        <f t="shared" si="76"/>
        <v/>
      </c>
      <c r="E371" s="38" t="str">
        <f t="shared" si="77"/>
        <v/>
      </c>
      <c r="F371" s="38" t="str">
        <f t="shared" si="78"/>
        <v/>
      </c>
      <c r="G371" s="38" t="str">
        <f t="shared" si="71"/>
        <v/>
      </c>
      <c r="H371" s="38"/>
      <c r="J371" t="str">
        <f t="shared" si="79"/>
        <v/>
      </c>
      <c r="K371" s="38" t="str">
        <f t="shared" si="72"/>
        <v/>
      </c>
      <c r="L371" s="38" t="str">
        <f t="shared" si="80"/>
        <v/>
      </c>
      <c r="M371" s="38" t="str">
        <f t="shared" si="81"/>
        <v/>
      </c>
      <c r="N371" s="38" t="str">
        <f t="shared" si="82"/>
        <v/>
      </c>
      <c r="O371" s="38" t="str">
        <f t="shared" si="83"/>
        <v/>
      </c>
      <c r="P371" s="38" t="str">
        <f t="shared" si="73"/>
        <v/>
      </c>
      <c r="Q371" s="38"/>
    </row>
    <row r="372" spans="1:17" x14ac:dyDescent="0.2">
      <c r="A372" t="str">
        <f t="shared" si="74"/>
        <v/>
      </c>
      <c r="B372" s="38" t="str">
        <f t="shared" si="70"/>
        <v/>
      </c>
      <c r="C372" s="38" t="str">
        <f t="shared" si="75"/>
        <v/>
      </c>
      <c r="D372" s="38" t="str">
        <f t="shared" si="76"/>
        <v/>
      </c>
      <c r="E372" s="38" t="str">
        <f t="shared" si="77"/>
        <v/>
      </c>
      <c r="F372" s="38" t="str">
        <f t="shared" si="78"/>
        <v/>
      </c>
      <c r="G372" s="38" t="str">
        <f t="shared" si="71"/>
        <v/>
      </c>
      <c r="H372" s="38"/>
      <c r="J372" t="str">
        <f t="shared" si="79"/>
        <v/>
      </c>
      <c r="K372" s="38" t="str">
        <f t="shared" si="72"/>
        <v/>
      </c>
      <c r="L372" s="38" t="str">
        <f t="shared" si="80"/>
        <v/>
      </c>
      <c r="M372" s="38" t="str">
        <f t="shared" si="81"/>
        <v/>
      </c>
      <c r="N372" s="38" t="str">
        <f t="shared" si="82"/>
        <v/>
      </c>
      <c r="O372" s="38" t="str">
        <f t="shared" si="83"/>
        <v/>
      </c>
      <c r="P372" s="38" t="str">
        <f t="shared" si="73"/>
        <v/>
      </c>
      <c r="Q372" s="38"/>
    </row>
    <row r="373" spans="1:17" x14ac:dyDescent="0.2">
      <c r="A373" t="str">
        <f t="shared" si="74"/>
        <v/>
      </c>
      <c r="B373" s="38" t="str">
        <f t="shared" si="70"/>
        <v/>
      </c>
      <c r="C373" s="38" t="str">
        <f t="shared" si="75"/>
        <v/>
      </c>
      <c r="D373" s="38" t="str">
        <f t="shared" si="76"/>
        <v/>
      </c>
      <c r="E373" s="38" t="str">
        <f t="shared" si="77"/>
        <v/>
      </c>
      <c r="F373" s="38" t="str">
        <f t="shared" si="78"/>
        <v/>
      </c>
      <c r="G373" s="38" t="str">
        <f t="shared" si="71"/>
        <v/>
      </c>
      <c r="H373" s="38"/>
      <c r="J373" t="str">
        <f t="shared" si="79"/>
        <v/>
      </c>
      <c r="K373" s="38" t="str">
        <f t="shared" si="72"/>
        <v/>
      </c>
      <c r="L373" s="38" t="str">
        <f t="shared" si="80"/>
        <v/>
      </c>
      <c r="M373" s="38" t="str">
        <f t="shared" si="81"/>
        <v/>
      </c>
      <c r="N373" s="38" t="str">
        <f t="shared" si="82"/>
        <v/>
      </c>
      <c r="O373" s="38" t="str">
        <f t="shared" si="83"/>
        <v/>
      </c>
      <c r="P373" s="38" t="str">
        <f t="shared" si="73"/>
        <v/>
      </c>
      <c r="Q373" s="38"/>
    </row>
    <row r="374" spans="1:17" x14ac:dyDescent="0.2">
      <c r="A374" t="str">
        <f t="shared" si="74"/>
        <v/>
      </c>
      <c r="B374" s="38" t="str">
        <f t="shared" si="70"/>
        <v/>
      </c>
      <c r="C374" s="38" t="str">
        <f t="shared" si="75"/>
        <v/>
      </c>
      <c r="D374" s="38" t="str">
        <f t="shared" si="76"/>
        <v/>
      </c>
      <c r="E374" s="38" t="str">
        <f t="shared" si="77"/>
        <v/>
      </c>
      <c r="F374" s="38" t="str">
        <f t="shared" si="78"/>
        <v/>
      </c>
      <c r="G374" s="38" t="str">
        <f t="shared" si="71"/>
        <v/>
      </c>
      <c r="H374" s="38"/>
      <c r="J374" t="str">
        <f t="shared" si="79"/>
        <v/>
      </c>
      <c r="K374" s="38" t="str">
        <f t="shared" si="72"/>
        <v/>
      </c>
      <c r="L374" s="38" t="str">
        <f t="shared" si="80"/>
        <v/>
      </c>
      <c r="M374" s="38" t="str">
        <f t="shared" si="81"/>
        <v/>
      </c>
      <c r="N374" s="38" t="str">
        <f t="shared" si="82"/>
        <v/>
      </c>
      <c r="O374" s="38" t="str">
        <f t="shared" si="83"/>
        <v/>
      </c>
      <c r="P374" s="38" t="str">
        <f t="shared" si="73"/>
        <v/>
      </c>
      <c r="Q374" s="38"/>
    </row>
    <row r="375" spans="1:17" x14ac:dyDescent="0.2">
      <c r="A375" t="str">
        <f t="shared" si="74"/>
        <v/>
      </c>
      <c r="B375" s="38" t="str">
        <f t="shared" si="70"/>
        <v/>
      </c>
      <c r="C375" s="38" t="str">
        <f t="shared" si="75"/>
        <v/>
      </c>
      <c r="D375" s="38" t="str">
        <f t="shared" si="76"/>
        <v/>
      </c>
      <c r="E375" s="38" t="str">
        <f t="shared" si="77"/>
        <v/>
      </c>
      <c r="F375" s="38" t="str">
        <f t="shared" si="78"/>
        <v/>
      </c>
      <c r="G375" s="38" t="str">
        <f t="shared" si="71"/>
        <v/>
      </c>
      <c r="H375" s="38"/>
      <c r="J375" t="str">
        <f t="shared" si="79"/>
        <v/>
      </c>
      <c r="K375" s="38" t="str">
        <f t="shared" si="72"/>
        <v/>
      </c>
      <c r="L375" s="38" t="str">
        <f t="shared" si="80"/>
        <v/>
      </c>
      <c r="M375" s="38" t="str">
        <f t="shared" si="81"/>
        <v/>
      </c>
      <c r="N375" s="38" t="str">
        <f t="shared" si="82"/>
        <v/>
      </c>
      <c r="O375" s="38" t="str">
        <f t="shared" si="83"/>
        <v/>
      </c>
      <c r="P375" s="38" t="str">
        <f t="shared" si="73"/>
        <v/>
      </c>
      <c r="Q375" s="38"/>
    </row>
    <row r="376" spans="1:17" x14ac:dyDescent="0.2">
      <c r="A376" t="str">
        <f t="shared" si="74"/>
        <v/>
      </c>
      <c r="B376" s="38" t="str">
        <f t="shared" si="70"/>
        <v/>
      </c>
      <c r="C376" s="38" t="str">
        <f t="shared" si="75"/>
        <v/>
      </c>
      <c r="D376" s="38" t="str">
        <f t="shared" si="76"/>
        <v/>
      </c>
      <c r="E376" s="38" t="str">
        <f t="shared" si="77"/>
        <v/>
      </c>
      <c r="F376" s="38" t="str">
        <f t="shared" si="78"/>
        <v/>
      </c>
      <c r="G376" s="38" t="str">
        <f t="shared" si="71"/>
        <v/>
      </c>
      <c r="H376" s="38"/>
      <c r="J376" t="str">
        <f t="shared" si="79"/>
        <v/>
      </c>
      <c r="K376" s="38" t="str">
        <f t="shared" si="72"/>
        <v/>
      </c>
      <c r="L376" s="38" t="str">
        <f t="shared" si="80"/>
        <v/>
      </c>
      <c r="M376" s="38" t="str">
        <f t="shared" si="81"/>
        <v/>
      </c>
      <c r="N376" s="38" t="str">
        <f t="shared" si="82"/>
        <v/>
      </c>
      <c r="O376" s="38" t="str">
        <f t="shared" si="83"/>
        <v/>
      </c>
      <c r="P376" s="38" t="str">
        <f t="shared" si="73"/>
        <v/>
      </c>
      <c r="Q376" s="38"/>
    </row>
    <row r="377" spans="1:17" x14ac:dyDescent="0.2">
      <c r="A377" t="str">
        <f t="shared" si="74"/>
        <v/>
      </c>
      <c r="B377" s="38" t="str">
        <f t="shared" si="70"/>
        <v/>
      </c>
      <c r="C377" s="38" t="str">
        <f t="shared" si="75"/>
        <v/>
      </c>
      <c r="D377" s="38" t="str">
        <f t="shared" si="76"/>
        <v/>
      </c>
      <c r="E377" s="38" t="str">
        <f t="shared" si="77"/>
        <v/>
      </c>
      <c r="F377" s="38" t="str">
        <f t="shared" si="78"/>
        <v/>
      </c>
      <c r="G377" s="38" t="str">
        <f t="shared" si="71"/>
        <v/>
      </c>
      <c r="H377" s="38"/>
      <c r="J377" t="str">
        <f t="shared" si="79"/>
        <v/>
      </c>
      <c r="K377" s="38" t="str">
        <f t="shared" si="72"/>
        <v/>
      </c>
      <c r="L377" s="38" t="str">
        <f t="shared" si="80"/>
        <v/>
      </c>
      <c r="M377" s="38" t="str">
        <f t="shared" si="81"/>
        <v/>
      </c>
      <c r="N377" s="38" t="str">
        <f t="shared" si="82"/>
        <v/>
      </c>
      <c r="O377" s="38" t="str">
        <f t="shared" si="83"/>
        <v/>
      </c>
      <c r="P377" s="38" t="str">
        <f t="shared" si="73"/>
        <v/>
      </c>
      <c r="Q377" s="38"/>
    </row>
    <row r="378" spans="1:17" x14ac:dyDescent="0.2">
      <c r="A378" t="str">
        <f t="shared" si="74"/>
        <v/>
      </c>
      <c r="B378" s="38" t="str">
        <f t="shared" si="70"/>
        <v/>
      </c>
      <c r="C378" s="38" t="str">
        <f t="shared" si="75"/>
        <v/>
      </c>
      <c r="D378" s="38" t="str">
        <f t="shared" si="76"/>
        <v/>
      </c>
      <c r="E378" s="38" t="str">
        <f t="shared" si="77"/>
        <v/>
      </c>
      <c r="F378" s="38" t="str">
        <f t="shared" si="78"/>
        <v/>
      </c>
      <c r="G378" s="38" t="str">
        <f t="shared" si="71"/>
        <v/>
      </c>
      <c r="H378" s="38"/>
      <c r="J378" t="str">
        <f t="shared" si="79"/>
        <v/>
      </c>
      <c r="K378" s="38" t="str">
        <f t="shared" si="72"/>
        <v/>
      </c>
      <c r="L378" s="38" t="str">
        <f t="shared" si="80"/>
        <v/>
      </c>
      <c r="M378" s="38" t="str">
        <f t="shared" si="81"/>
        <v/>
      </c>
      <c r="N378" s="38" t="str">
        <f t="shared" si="82"/>
        <v/>
      </c>
      <c r="O378" s="38" t="str">
        <f t="shared" si="83"/>
        <v/>
      </c>
      <c r="P378" s="38" t="str">
        <f t="shared" si="73"/>
        <v/>
      </c>
      <c r="Q378" s="38"/>
    </row>
    <row r="379" spans="1:17" x14ac:dyDescent="0.2">
      <c r="A379" t="str">
        <f t="shared" si="74"/>
        <v/>
      </c>
      <c r="B379" s="38" t="str">
        <f t="shared" si="70"/>
        <v/>
      </c>
      <c r="C379" s="38" t="str">
        <f t="shared" si="75"/>
        <v/>
      </c>
      <c r="D379" s="38" t="str">
        <f t="shared" si="76"/>
        <v/>
      </c>
      <c r="E379" s="38" t="str">
        <f t="shared" si="77"/>
        <v/>
      </c>
      <c r="F379" s="38" t="str">
        <f t="shared" si="78"/>
        <v/>
      </c>
      <c r="G379" s="38" t="str">
        <f t="shared" si="71"/>
        <v/>
      </c>
      <c r="H379" s="38"/>
      <c r="J379" t="str">
        <f t="shared" si="79"/>
        <v/>
      </c>
      <c r="K379" s="38" t="str">
        <f t="shared" si="72"/>
        <v/>
      </c>
      <c r="L379" s="38" t="str">
        <f t="shared" si="80"/>
        <v/>
      </c>
      <c r="M379" s="38" t="str">
        <f t="shared" si="81"/>
        <v/>
      </c>
      <c r="N379" s="38" t="str">
        <f t="shared" si="82"/>
        <v/>
      </c>
      <c r="O379" s="38" t="str">
        <f t="shared" si="83"/>
        <v/>
      </c>
      <c r="P379" s="38" t="str">
        <f t="shared" si="73"/>
        <v/>
      </c>
      <c r="Q379" s="38"/>
    </row>
    <row r="380" spans="1:17" x14ac:dyDescent="0.2">
      <c r="A380" t="str">
        <f t="shared" si="74"/>
        <v/>
      </c>
      <c r="B380" s="38" t="str">
        <f t="shared" si="70"/>
        <v/>
      </c>
      <c r="C380" s="38" t="str">
        <f t="shared" si="75"/>
        <v/>
      </c>
      <c r="D380" s="38" t="str">
        <f t="shared" si="76"/>
        <v/>
      </c>
      <c r="E380" s="38" t="str">
        <f t="shared" si="77"/>
        <v/>
      </c>
      <c r="F380" s="38" t="str">
        <f t="shared" si="78"/>
        <v/>
      </c>
      <c r="G380" s="38" t="str">
        <f t="shared" si="71"/>
        <v/>
      </c>
      <c r="H380" s="38"/>
      <c r="J380" t="str">
        <f t="shared" si="79"/>
        <v/>
      </c>
      <c r="K380" s="38" t="str">
        <f t="shared" si="72"/>
        <v/>
      </c>
      <c r="L380" s="38" t="str">
        <f t="shared" si="80"/>
        <v/>
      </c>
      <c r="M380" s="38" t="str">
        <f t="shared" si="81"/>
        <v/>
      </c>
      <c r="N380" s="38" t="str">
        <f t="shared" si="82"/>
        <v/>
      </c>
      <c r="O380" s="38" t="str">
        <f t="shared" si="83"/>
        <v/>
      </c>
      <c r="P380" s="38" t="str">
        <f t="shared" si="73"/>
        <v/>
      </c>
      <c r="Q380" s="38"/>
    </row>
    <row r="381" spans="1:17" x14ac:dyDescent="0.2">
      <c r="A381" t="str">
        <f t="shared" si="74"/>
        <v/>
      </c>
      <c r="B381" s="38" t="str">
        <f t="shared" si="70"/>
        <v/>
      </c>
      <c r="C381" s="38" t="str">
        <f t="shared" si="75"/>
        <v/>
      </c>
      <c r="D381" s="38" t="str">
        <f t="shared" si="76"/>
        <v/>
      </c>
      <c r="E381" s="38" t="str">
        <f t="shared" si="77"/>
        <v/>
      </c>
      <c r="F381" s="38" t="str">
        <f t="shared" si="78"/>
        <v/>
      </c>
      <c r="G381" s="38" t="str">
        <f t="shared" si="71"/>
        <v/>
      </c>
      <c r="H381" s="38"/>
      <c r="J381" t="str">
        <f t="shared" si="79"/>
        <v/>
      </c>
      <c r="K381" s="38" t="str">
        <f t="shared" si="72"/>
        <v/>
      </c>
      <c r="L381" s="38" t="str">
        <f t="shared" si="80"/>
        <v/>
      </c>
      <c r="M381" s="38" t="str">
        <f t="shared" si="81"/>
        <v/>
      </c>
      <c r="N381" s="38" t="str">
        <f t="shared" si="82"/>
        <v/>
      </c>
      <c r="O381" s="38" t="str">
        <f t="shared" si="83"/>
        <v/>
      </c>
      <c r="P381" s="38" t="str">
        <f t="shared" si="73"/>
        <v/>
      </c>
      <c r="Q381" s="38"/>
    </row>
    <row r="382" spans="1:17" x14ac:dyDescent="0.2">
      <c r="A382" t="str">
        <f t="shared" si="74"/>
        <v/>
      </c>
      <c r="B382" s="38" t="str">
        <f t="shared" si="70"/>
        <v/>
      </c>
      <c r="C382" s="38" t="str">
        <f t="shared" si="75"/>
        <v/>
      </c>
      <c r="D382" s="38" t="str">
        <f t="shared" si="76"/>
        <v/>
      </c>
      <c r="E382" s="38" t="str">
        <f t="shared" si="77"/>
        <v/>
      </c>
      <c r="F382" s="38" t="str">
        <f t="shared" si="78"/>
        <v/>
      </c>
      <c r="G382" s="38" t="str">
        <f t="shared" si="71"/>
        <v/>
      </c>
      <c r="H382" s="38"/>
      <c r="J382" t="str">
        <f t="shared" si="79"/>
        <v/>
      </c>
      <c r="K382" s="38" t="str">
        <f t="shared" si="72"/>
        <v/>
      </c>
      <c r="L382" s="38" t="str">
        <f t="shared" si="80"/>
        <v/>
      </c>
      <c r="M382" s="38" t="str">
        <f t="shared" si="81"/>
        <v/>
      </c>
      <c r="N382" s="38" t="str">
        <f t="shared" si="82"/>
        <v/>
      </c>
      <c r="O382" s="38" t="str">
        <f t="shared" si="83"/>
        <v/>
      </c>
      <c r="P382" s="38" t="str">
        <f t="shared" si="73"/>
        <v/>
      </c>
      <c r="Q382" s="38"/>
    </row>
    <row r="383" spans="1:17" x14ac:dyDescent="0.2">
      <c r="A383" t="str">
        <f t="shared" si="74"/>
        <v/>
      </c>
      <c r="B383" s="38" t="str">
        <f t="shared" si="70"/>
        <v/>
      </c>
      <c r="C383" s="38" t="str">
        <f t="shared" si="75"/>
        <v/>
      </c>
      <c r="D383" s="38" t="str">
        <f t="shared" si="76"/>
        <v/>
      </c>
      <c r="E383" s="38" t="str">
        <f t="shared" si="77"/>
        <v/>
      </c>
      <c r="F383" s="38" t="str">
        <f t="shared" si="78"/>
        <v/>
      </c>
      <c r="G383" s="38" t="str">
        <f t="shared" si="71"/>
        <v/>
      </c>
      <c r="H383" s="38"/>
      <c r="J383" t="str">
        <f t="shared" si="79"/>
        <v/>
      </c>
      <c r="K383" s="38" t="str">
        <f t="shared" si="72"/>
        <v/>
      </c>
      <c r="L383" s="38" t="str">
        <f t="shared" si="80"/>
        <v/>
      </c>
      <c r="M383" s="38" t="str">
        <f t="shared" si="81"/>
        <v/>
      </c>
      <c r="N383" s="38" t="str">
        <f t="shared" si="82"/>
        <v/>
      </c>
      <c r="O383" s="38" t="str">
        <f t="shared" si="83"/>
        <v/>
      </c>
      <c r="P383" s="38" t="str">
        <f t="shared" si="73"/>
        <v/>
      </c>
      <c r="Q383" s="38"/>
    </row>
    <row r="384" spans="1:17" x14ac:dyDescent="0.2">
      <c r="A384" t="str">
        <f t="shared" si="74"/>
        <v/>
      </c>
      <c r="B384" s="38" t="str">
        <f t="shared" si="70"/>
        <v/>
      </c>
      <c r="C384" s="38" t="str">
        <f t="shared" si="75"/>
        <v/>
      </c>
      <c r="D384" s="38" t="str">
        <f t="shared" si="76"/>
        <v/>
      </c>
      <c r="E384" s="38" t="str">
        <f t="shared" si="77"/>
        <v/>
      </c>
      <c r="F384" s="38" t="str">
        <f t="shared" si="78"/>
        <v/>
      </c>
      <c r="G384" s="38" t="str">
        <f t="shared" si="71"/>
        <v/>
      </c>
      <c r="H384" s="38"/>
      <c r="J384" t="str">
        <f t="shared" si="79"/>
        <v/>
      </c>
      <c r="K384" s="38" t="str">
        <f t="shared" si="72"/>
        <v/>
      </c>
      <c r="L384" s="38" t="str">
        <f t="shared" si="80"/>
        <v/>
      </c>
      <c r="M384" s="38" t="str">
        <f t="shared" si="81"/>
        <v/>
      </c>
      <c r="N384" s="38" t="str">
        <f t="shared" si="82"/>
        <v/>
      </c>
      <c r="O384" s="38" t="str">
        <f t="shared" si="83"/>
        <v/>
      </c>
      <c r="P384" s="38" t="str">
        <f t="shared" si="73"/>
        <v/>
      </c>
      <c r="Q384" s="38"/>
    </row>
    <row r="385" spans="1:17" x14ac:dyDescent="0.2">
      <c r="A385" t="str">
        <f t="shared" si="74"/>
        <v/>
      </c>
      <c r="B385" s="38" t="str">
        <f t="shared" si="70"/>
        <v/>
      </c>
      <c r="C385" s="38" t="str">
        <f t="shared" si="75"/>
        <v/>
      </c>
      <c r="D385" s="38" t="str">
        <f t="shared" si="76"/>
        <v/>
      </c>
      <c r="E385" s="38" t="str">
        <f t="shared" si="77"/>
        <v/>
      </c>
      <c r="F385" s="38" t="str">
        <f t="shared" si="78"/>
        <v/>
      </c>
      <c r="G385" s="38" t="str">
        <f t="shared" si="71"/>
        <v/>
      </c>
      <c r="H385" s="38"/>
      <c r="J385" t="str">
        <f t="shared" si="79"/>
        <v/>
      </c>
      <c r="K385" s="38" t="str">
        <f t="shared" si="72"/>
        <v/>
      </c>
      <c r="L385" s="38" t="str">
        <f t="shared" si="80"/>
        <v/>
      </c>
      <c r="M385" s="38" t="str">
        <f t="shared" si="81"/>
        <v/>
      </c>
      <c r="N385" s="38" t="str">
        <f t="shared" si="82"/>
        <v/>
      </c>
      <c r="O385" s="38" t="str">
        <f t="shared" si="83"/>
        <v/>
      </c>
      <c r="P385" s="38" t="str">
        <f t="shared" si="73"/>
        <v/>
      </c>
      <c r="Q385" s="38"/>
    </row>
    <row r="386" spans="1:17" x14ac:dyDescent="0.2">
      <c r="A386" t="str">
        <f t="shared" si="74"/>
        <v/>
      </c>
      <c r="B386" s="38" t="str">
        <f t="shared" si="70"/>
        <v/>
      </c>
      <c r="C386" s="38" t="str">
        <f t="shared" si="75"/>
        <v/>
      </c>
      <c r="D386" s="38" t="str">
        <f t="shared" si="76"/>
        <v/>
      </c>
      <c r="E386" s="38" t="str">
        <f t="shared" si="77"/>
        <v/>
      </c>
      <c r="F386" s="38" t="str">
        <f t="shared" si="78"/>
        <v/>
      </c>
      <c r="G386" s="38" t="str">
        <f t="shared" si="71"/>
        <v/>
      </c>
      <c r="H386" s="38"/>
      <c r="J386" t="str">
        <f t="shared" si="79"/>
        <v/>
      </c>
      <c r="K386" s="38" t="str">
        <f t="shared" si="72"/>
        <v/>
      </c>
      <c r="L386" s="38" t="str">
        <f t="shared" si="80"/>
        <v/>
      </c>
      <c r="M386" s="38" t="str">
        <f t="shared" si="81"/>
        <v/>
      </c>
      <c r="N386" s="38" t="str">
        <f t="shared" si="82"/>
        <v/>
      </c>
      <c r="O386" s="38" t="str">
        <f t="shared" si="83"/>
        <v/>
      </c>
      <c r="P386" s="38" t="str">
        <f t="shared" si="73"/>
        <v/>
      </c>
      <c r="Q386" s="38"/>
    </row>
    <row r="387" spans="1:17" x14ac:dyDescent="0.2">
      <c r="A387" t="str">
        <f t="shared" si="74"/>
        <v/>
      </c>
      <c r="B387" s="38" t="str">
        <f t="shared" si="70"/>
        <v/>
      </c>
      <c r="C387" s="38" t="str">
        <f t="shared" si="75"/>
        <v/>
      </c>
      <c r="D387" s="38" t="str">
        <f t="shared" si="76"/>
        <v/>
      </c>
      <c r="E387" s="38" t="str">
        <f t="shared" si="77"/>
        <v/>
      </c>
      <c r="F387" s="38" t="str">
        <f t="shared" si="78"/>
        <v/>
      </c>
      <c r="G387" s="38" t="str">
        <f t="shared" si="71"/>
        <v/>
      </c>
      <c r="H387" s="38"/>
      <c r="J387" t="str">
        <f t="shared" si="79"/>
        <v/>
      </c>
      <c r="K387" s="38" t="str">
        <f t="shared" si="72"/>
        <v/>
      </c>
      <c r="L387" s="38" t="str">
        <f t="shared" si="80"/>
        <v/>
      </c>
      <c r="M387" s="38" t="str">
        <f t="shared" si="81"/>
        <v/>
      </c>
      <c r="N387" s="38" t="str">
        <f t="shared" si="82"/>
        <v/>
      </c>
      <c r="O387" s="38" t="str">
        <f t="shared" si="83"/>
        <v/>
      </c>
      <c r="P387" s="38" t="str">
        <f t="shared" si="73"/>
        <v/>
      </c>
      <c r="Q387" s="38"/>
    </row>
    <row r="388" spans="1:17" x14ac:dyDescent="0.2">
      <c r="A388" t="str">
        <f t="shared" si="74"/>
        <v/>
      </c>
      <c r="B388" s="38" t="str">
        <f t="shared" si="70"/>
        <v/>
      </c>
      <c r="C388" s="38" t="str">
        <f t="shared" si="75"/>
        <v/>
      </c>
      <c r="D388" s="38" t="str">
        <f t="shared" si="76"/>
        <v/>
      </c>
      <c r="E388" s="38" t="str">
        <f t="shared" si="77"/>
        <v/>
      </c>
      <c r="F388" s="38" t="str">
        <f t="shared" si="78"/>
        <v/>
      </c>
      <c r="G388" s="38" t="str">
        <f t="shared" si="71"/>
        <v/>
      </c>
      <c r="H388" s="38"/>
      <c r="J388" t="str">
        <f t="shared" si="79"/>
        <v/>
      </c>
      <c r="K388" s="38" t="str">
        <f t="shared" si="72"/>
        <v/>
      </c>
      <c r="L388" s="38" t="str">
        <f t="shared" si="80"/>
        <v/>
      </c>
      <c r="M388" s="38" t="str">
        <f t="shared" si="81"/>
        <v/>
      </c>
      <c r="N388" s="38" t="str">
        <f t="shared" si="82"/>
        <v/>
      </c>
      <c r="O388" s="38" t="str">
        <f t="shared" si="83"/>
        <v/>
      </c>
      <c r="P388" s="38" t="str">
        <f t="shared" si="73"/>
        <v/>
      </c>
      <c r="Q388" s="38"/>
    </row>
    <row r="389" spans="1:17" x14ac:dyDescent="0.2">
      <c r="A389" t="str">
        <f t="shared" si="74"/>
        <v/>
      </c>
      <c r="B389" s="38" t="str">
        <f t="shared" si="70"/>
        <v/>
      </c>
      <c r="C389" s="38" t="str">
        <f t="shared" si="75"/>
        <v/>
      </c>
      <c r="D389" s="38" t="str">
        <f t="shared" si="76"/>
        <v/>
      </c>
      <c r="E389" s="38" t="str">
        <f t="shared" si="77"/>
        <v/>
      </c>
      <c r="F389" s="38" t="str">
        <f t="shared" si="78"/>
        <v/>
      </c>
      <c r="G389" s="38" t="str">
        <f t="shared" si="71"/>
        <v/>
      </c>
      <c r="H389" s="38"/>
      <c r="J389" t="str">
        <f t="shared" si="79"/>
        <v/>
      </c>
      <c r="K389" s="38" t="str">
        <f t="shared" si="72"/>
        <v/>
      </c>
      <c r="L389" s="38" t="str">
        <f t="shared" si="80"/>
        <v/>
      </c>
      <c r="M389" s="38" t="str">
        <f t="shared" si="81"/>
        <v/>
      </c>
      <c r="N389" s="38" t="str">
        <f t="shared" si="82"/>
        <v/>
      </c>
      <c r="O389" s="38" t="str">
        <f t="shared" si="83"/>
        <v/>
      </c>
      <c r="P389" s="38" t="str">
        <f t="shared" si="73"/>
        <v/>
      </c>
      <c r="Q389" s="38"/>
    </row>
    <row r="390" spans="1:17" x14ac:dyDescent="0.2">
      <c r="A390" t="str">
        <f t="shared" si="74"/>
        <v/>
      </c>
      <c r="B390" s="38" t="str">
        <f t="shared" si="70"/>
        <v/>
      </c>
      <c r="C390" s="38" t="str">
        <f t="shared" si="75"/>
        <v/>
      </c>
      <c r="D390" s="38" t="str">
        <f t="shared" si="76"/>
        <v/>
      </c>
      <c r="E390" s="38" t="str">
        <f t="shared" si="77"/>
        <v/>
      </c>
      <c r="F390" s="38" t="str">
        <f t="shared" si="78"/>
        <v/>
      </c>
      <c r="G390" s="38" t="str">
        <f t="shared" si="71"/>
        <v/>
      </c>
      <c r="H390" s="38"/>
      <c r="J390" t="str">
        <f t="shared" si="79"/>
        <v/>
      </c>
      <c r="K390" s="38" t="str">
        <f t="shared" si="72"/>
        <v/>
      </c>
      <c r="L390" s="38" t="str">
        <f t="shared" si="80"/>
        <v/>
      </c>
      <c r="M390" s="38" t="str">
        <f t="shared" si="81"/>
        <v/>
      </c>
      <c r="N390" s="38" t="str">
        <f t="shared" si="82"/>
        <v/>
      </c>
      <c r="O390" s="38" t="str">
        <f t="shared" si="83"/>
        <v/>
      </c>
      <c r="P390" s="38" t="str">
        <f t="shared" si="73"/>
        <v/>
      </c>
      <c r="Q390" s="38"/>
    </row>
    <row r="391" spans="1:17" x14ac:dyDescent="0.2">
      <c r="A391" t="str">
        <f t="shared" si="74"/>
        <v/>
      </c>
      <c r="B391" s="38" t="str">
        <f t="shared" si="70"/>
        <v/>
      </c>
      <c r="C391" s="38" t="str">
        <f t="shared" si="75"/>
        <v/>
      </c>
      <c r="D391" s="38" t="str">
        <f t="shared" si="76"/>
        <v/>
      </c>
      <c r="E391" s="38" t="str">
        <f t="shared" si="77"/>
        <v/>
      </c>
      <c r="F391" s="38" t="str">
        <f t="shared" si="78"/>
        <v/>
      </c>
      <c r="G391" s="38" t="str">
        <f t="shared" si="71"/>
        <v/>
      </c>
      <c r="H391" s="38"/>
      <c r="J391" t="str">
        <f t="shared" si="79"/>
        <v/>
      </c>
      <c r="K391" s="38" t="str">
        <f t="shared" si="72"/>
        <v/>
      </c>
      <c r="L391" s="38" t="str">
        <f t="shared" si="80"/>
        <v/>
      </c>
      <c r="M391" s="38" t="str">
        <f t="shared" si="81"/>
        <v/>
      </c>
      <c r="N391" s="38" t="str">
        <f t="shared" si="82"/>
        <v/>
      </c>
      <c r="O391" s="38" t="str">
        <f t="shared" si="83"/>
        <v/>
      </c>
      <c r="P391" s="38" t="str">
        <f t="shared" si="73"/>
        <v/>
      </c>
      <c r="Q391" s="38"/>
    </row>
    <row r="392" spans="1:17" x14ac:dyDescent="0.2">
      <c r="A392" t="str">
        <f t="shared" si="74"/>
        <v/>
      </c>
      <c r="B392" s="38" t="str">
        <f t="shared" si="70"/>
        <v/>
      </c>
      <c r="C392" s="38" t="str">
        <f t="shared" si="75"/>
        <v/>
      </c>
      <c r="D392" s="38" t="str">
        <f t="shared" si="76"/>
        <v/>
      </c>
      <c r="E392" s="38" t="str">
        <f t="shared" si="77"/>
        <v/>
      </c>
      <c r="F392" s="38" t="str">
        <f t="shared" si="78"/>
        <v/>
      </c>
      <c r="G392" s="38" t="str">
        <f t="shared" si="71"/>
        <v/>
      </c>
      <c r="H392" s="38"/>
      <c r="J392" t="str">
        <f t="shared" si="79"/>
        <v/>
      </c>
      <c r="K392" s="38" t="str">
        <f t="shared" si="72"/>
        <v/>
      </c>
      <c r="L392" s="38" t="str">
        <f t="shared" si="80"/>
        <v/>
      </c>
      <c r="M392" s="38" t="str">
        <f t="shared" si="81"/>
        <v/>
      </c>
      <c r="N392" s="38" t="str">
        <f t="shared" si="82"/>
        <v/>
      </c>
      <c r="O392" s="38" t="str">
        <f t="shared" si="83"/>
        <v/>
      </c>
      <c r="P392" s="38" t="str">
        <f t="shared" si="73"/>
        <v/>
      </c>
      <c r="Q392" s="38"/>
    </row>
    <row r="393" spans="1:17" x14ac:dyDescent="0.2">
      <c r="A393" t="str">
        <f t="shared" si="74"/>
        <v/>
      </c>
      <c r="B393" s="38" t="str">
        <f t="shared" si="70"/>
        <v/>
      </c>
      <c r="C393" s="38" t="str">
        <f t="shared" si="75"/>
        <v/>
      </c>
      <c r="D393" s="38" t="str">
        <f t="shared" si="76"/>
        <v/>
      </c>
      <c r="E393" s="38" t="str">
        <f t="shared" si="77"/>
        <v/>
      </c>
      <c r="F393" s="38" t="str">
        <f t="shared" si="78"/>
        <v/>
      </c>
      <c r="G393" s="38" t="str">
        <f t="shared" si="71"/>
        <v/>
      </c>
      <c r="H393" s="38"/>
      <c r="J393" t="str">
        <f t="shared" si="79"/>
        <v/>
      </c>
      <c r="K393" s="38" t="str">
        <f t="shared" si="72"/>
        <v/>
      </c>
      <c r="L393" s="38" t="str">
        <f t="shared" si="80"/>
        <v/>
      </c>
      <c r="M393" s="38" t="str">
        <f t="shared" si="81"/>
        <v/>
      </c>
      <c r="N393" s="38" t="str">
        <f t="shared" si="82"/>
        <v/>
      </c>
      <c r="O393" s="38" t="str">
        <f t="shared" si="83"/>
        <v/>
      </c>
      <c r="P393" s="38" t="str">
        <f t="shared" si="73"/>
        <v/>
      </c>
      <c r="Q393" s="38"/>
    </row>
    <row r="394" spans="1:17" x14ac:dyDescent="0.2">
      <c r="A394" t="str">
        <f t="shared" si="74"/>
        <v/>
      </c>
      <c r="B394" s="38" t="str">
        <f t="shared" si="70"/>
        <v/>
      </c>
      <c r="C394" s="38" t="str">
        <f t="shared" si="75"/>
        <v/>
      </c>
      <c r="D394" s="38" t="str">
        <f t="shared" si="76"/>
        <v/>
      </c>
      <c r="E394" s="38" t="str">
        <f t="shared" si="77"/>
        <v/>
      </c>
      <c r="F394" s="38" t="str">
        <f t="shared" si="78"/>
        <v/>
      </c>
      <c r="G394" s="38" t="str">
        <f t="shared" si="71"/>
        <v/>
      </c>
      <c r="H394" s="38"/>
      <c r="J394" t="str">
        <f t="shared" si="79"/>
        <v/>
      </c>
      <c r="K394" s="38" t="str">
        <f t="shared" si="72"/>
        <v/>
      </c>
      <c r="L394" s="38" t="str">
        <f t="shared" si="80"/>
        <v/>
      </c>
      <c r="M394" s="38" t="str">
        <f t="shared" si="81"/>
        <v/>
      </c>
      <c r="N394" s="38" t="str">
        <f t="shared" si="82"/>
        <v/>
      </c>
      <c r="O394" s="38" t="str">
        <f t="shared" si="83"/>
        <v/>
      </c>
      <c r="P394" s="38" t="str">
        <f t="shared" si="73"/>
        <v/>
      </c>
      <c r="Q394" s="38"/>
    </row>
    <row r="395" spans="1:17" x14ac:dyDescent="0.2">
      <c r="A395" t="str">
        <f t="shared" si="74"/>
        <v/>
      </c>
      <c r="B395" s="38" t="str">
        <f t="shared" si="70"/>
        <v/>
      </c>
      <c r="C395" s="38" t="str">
        <f t="shared" si="75"/>
        <v/>
      </c>
      <c r="D395" s="38" t="str">
        <f t="shared" si="76"/>
        <v/>
      </c>
      <c r="E395" s="38" t="str">
        <f t="shared" si="77"/>
        <v/>
      </c>
      <c r="F395" s="38" t="str">
        <f t="shared" si="78"/>
        <v/>
      </c>
      <c r="G395" s="38" t="str">
        <f t="shared" si="71"/>
        <v/>
      </c>
      <c r="H395" s="38"/>
      <c r="J395" t="str">
        <f t="shared" si="79"/>
        <v/>
      </c>
      <c r="K395" s="38" t="str">
        <f t="shared" si="72"/>
        <v/>
      </c>
      <c r="L395" s="38" t="str">
        <f t="shared" si="80"/>
        <v/>
      </c>
      <c r="M395" s="38" t="str">
        <f t="shared" si="81"/>
        <v/>
      </c>
      <c r="N395" s="38" t="str">
        <f t="shared" si="82"/>
        <v/>
      </c>
      <c r="O395" s="38" t="str">
        <f t="shared" si="83"/>
        <v/>
      </c>
      <c r="P395" s="38" t="str">
        <f t="shared" si="73"/>
        <v/>
      </c>
      <c r="Q395" s="38"/>
    </row>
    <row r="396" spans="1:17" x14ac:dyDescent="0.2">
      <c r="A396" t="str">
        <f t="shared" si="74"/>
        <v/>
      </c>
      <c r="B396" s="38" t="str">
        <f t="shared" si="70"/>
        <v/>
      </c>
      <c r="C396" s="38" t="str">
        <f t="shared" si="75"/>
        <v/>
      </c>
      <c r="D396" s="38" t="str">
        <f t="shared" si="76"/>
        <v/>
      </c>
      <c r="E396" s="38" t="str">
        <f t="shared" si="77"/>
        <v/>
      </c>
      <c r="F396" s="38" t="str">
        <f t="shared" si="78"/>
        <v/>
      </c>
      <c r="G396" s="38" t="str">
        <f t="shared" si="71"/>
        <v/>
      </c>
      <c r="H396" s="38"/>
      <c r="J396" t="str">
        <f t="shared" si="79"/>
        <v/>
      </c>
      <c r="K396" s="38" t="str">
        <f t="shared" si="72"/>
        <v/>
      </c>
      <c r="L396" s="38" t="str">
        <f t="shared" si="80"/>
        <v/>
      </c>
      <c r="M396" s="38" t="str">
        <f t="shared" si="81"/>
        <v/>
      </c>
      <c r="N396" s="38" t="str">
        <f t="shared" si="82"/>
        <v/>
      </c>
      <c r="O396" s="38" t="str">
        <f t="shared" si="83"/>
        <v/>
      </c>
      <c r="P396" s="38" t="str">
        <f t="shared" si="73"/>
        <v/>
      </c>
      <c r="Q396" s="38"/>
    </row>
    <row r="397" spans="1:17" x14ac:dyDescent="0.2">
      <c r="A397" t="str">
        <f t="shared" si="74"/>
        <v/>
      </c>
      <c r="B397" s="38" t="str">
        <f t="shared" si="70"/>
        <v/>
      </c>
      <c r="C397" s="38" t="str">
        <f t="shared" si="75"/>
        <v/>
      </c>
      <c r="D397" s="38" t="str">
        <f t="shared" si="76"/>
        <v/>
      </c>
      <c r="E397" s="38" t="str">
        <f t="shared" si="77"/>
        <v/>
      </c>
      <c r="F397" s="38" t="str">
        <f t="shared" si="78"/>
        <v/>
      </c>
      <c r="G397" s="38" t="str">
        <f t="shared" si="71"/>
        <v/>
      </c>
      <c r="H397" s="38"/>
      <c r="J397" t="str">
        <f t="shared" si="79"/>
        <v/>
      </c>
      <c r="K397" s="38" t="str">
        <f t="shared" si="72"/>
        <v/>
      </c>
      <c r="L397" s="38" t="str">
        <f t="shared" si="80"/>
        <v/>
      </c>
      <c r="M397" s="38" t="str">
        <f t="shared" si="81"/>
        <v/>
      </c>
      <c r="N397" s="38" t="str">
        <f t="shared" si="82"/>
        <v/>
      </c>
      <c r="O397" s="38" t="str">
        <f t="shared" si="83"/>
        <v/>
      </c>
      <c r="P397" s="38" t="str">
        <f t="shared" si="73"/>
        <v/>
      </c>
      <c r="Q397" s="38"/>
    </row>
    <row r="398" spans="1:17" x14ac:dyDescent="0.2">
      <c r="A398" t="str">
        <f t="shared" si="74"/>
        <v/>
      </c>
      <c r="B398" s="38" t="str">
        <f t="shared" si="70"/>
        <v/>
      </c>
      <c r="C398" s="38" t="str">
        <f t="shared" si="75"/>
        <v/>
      </c>
      <c r="D398" s="38" t="str">
        <f t="shared" si="76"/>
        <v/>
      </c>
      <c r="E398" s="38" t="str">
        <f t="shared" si="77"/>
        <v/>
      </c>
      <c r="F398" s="38" t="str">
        <f t="shared" si="78"/>
        <v/>
      </c>
      <c r="G398" s="38" t="str">
        <f t="shared" si="71"/>
        <v/>
      </c>
      <c r="H398" s="38"/>
      <c r="J398" t="str">
        <f t="shared" si="79"/>
        <v/>
      </c>
      <c r="K398" s="38" t="str">
        <f t="shared" si="72"/>
        <v/>
      </c>
      <c r="L398" s="38" t="str">
        <f t="shared" si="80"/>
        <v/>
      </c>
      <c r="M398" s="38" t="str">
        <f t="shared" si="81"/>
        <v/>
      </c>
      <c r="N398" s="38" t="str">
        <f t="shared" si="82"/>
        <v/>
      </c>
      <c r="O398" s="38" t="str">
        <f t="shared" si="83"/>
        <v/>
      </c>
      <c r="P398" s="38" t="str">
        <f t="shared" si="73"/>
        <v/>
      </c>
      <c r="Q398" s="38"/>
    </row>
    <row r="399" spans="1:17" x14ac:dyDescent="0.2">
      <c r="A399" t="str">
        <f t="shared" si="74"/>
        <v/>
      </c>
      <c r="B399" s="38" t="str">
        <f t="shared" si="70"/>
        <v/>
      </c>
      <c r="C399" s="38" t="str">
        <f t="shared" si="75"/>
        <v/>
      </c>
      <c r="D399" s="38" t="str">
        <f t="shared" si="76"/>
        <v/>
      </c>
      <c r="E399" s="38" t="str">
        <f t="shared" si="77"/>
        <v/>
      </c>
      <c r="F399" s="38" t="str">
        <f t="shared" si="78"/>
        <v/>
      </c>
      <c r="G399" s="38" t="str">
        <f t="shared" si="71"/>
        <v/>
      </c>
      <c r="H399" s="38"/>
      <c r="J399" t="str">
        <f t="shared" si="79"/>
        <v/>
      </c>
      <c r="K399" s="38" t="str">
        <f t="shared" si="72"/>
        <v/>
      </c>
      <c r="L399" s="38" t="str">
        <f t="shared" si="80"/>
        <v/>
      </c>
      <c r="M399" s="38" t="str">
        <f t="shared" si="81"/>
        <v/>
      </c>
      <c r="N399" s="38" t="str">
        <f t="shared" si="82"/>
        <v/>
      </c>
      <c r="O399" s="38" t="str">
        <f t="shared" si="83"/>
        <v/>
      </c>
      <c r="P399" s="38" t="str">
        <f t="shared" si="73"/>
        <v/>
      </c>
      <c r="Q399" s="38"/>
    </row>
    <row r="400" spans="1:17" x14ac:dyDescent="0.2">
      <c r="A400" t="str">
        <f t="shared" si="74"/>
        <v/>
      </c>
      <c r="B400" s="38" t="str">
        <f t="shared" si="70"/>
        <v/>
      </c>
      <c r="C400" s="38" t="str">
        <f t="shared" si="75"/>
        <v/>
      </c>
      <c r="D400" s="38" t="str">
        <f t="shared" si="76"/>
        <v/>
      </c>
      <c r="E400" s="38" t="str">
        <f t="shared" si="77"/>
        <v/>
      </c>
      <c r="F400" s="38" t="str">
        <f t="shared" si="78"/>
        <v/>
      </c>
      <c r="G400" s="38" t="str">
        <f t="shared" si="71"/>
        <v/>
      </c>
      <c r="H400" s="38"/>
      <c r="J400" t="str">
        <f t="shared" si="79"/>
        <v/>
      </c>
      <c r="K400" s="38" t="str">
        <f t="shared" si="72"/>
        <v/>
      </c>
      <c r="L400" s="38" t="str">
        <f t="shared" si="80"/>
        <v/>
      </c>
      <c r="M400" s="38" t="str">
        <f t="shared" si="81"/>
        <v/>
      </c>
      <c r="N400" s="38" t="str">
        <f t="shared" si="82"/>
        <v/>
      </c>
      <c r="O400" s="38" t="str">
        <f t="shared" si="83"/>
        <v/>
      </c>
      <c r="P400" s="38" t="str">
        <f t="shared" si="73"/>
        <v/>
      </c>
      <c r="Q400" s="38"/>
    </row>
    <row r="401" spans="1:17" x14ac:dyDescent="0.2">
      <c r="A401" t="str">
        <f t="shared" si="74"/>
        <v/>
      </c>
      <c r="B401" s="38" t="str">
        <f t="shared" si="70"/>
        <v/>
      </c>
      <c r="C401" s="38" t="str">
        <f t="shared" si="75"/>
        <v/>
      </c>
      <c r="D401" s="38" t="str">
        <f t="shared" si="76"/>
        <v/>
      </c>
      <c r="E401" s="38" t="str">
        <f t="shared" si="77"/>
        <v/>
      </c>
      <c r="F401" s="38" t="str">
        <f t="shared" si="78"/>
        <v/>
      </c>
      <c r="G401" s="38" t="str">
        <f t="shared" si="71"/>
        <v/>
      </c>
      <c r="H401" s="38"/>
      <c r="J401" t="str">
        <f t="shared" si="79"/>
        <v/>
      </c>
      <c r="K401" s="38" t="str">
        <f t="shared" si="72"/>
        <v/>
      </c>
      <c r="L401" s="38" t="str">
        <f t="shared" si="80"/>
        <v/>
      </c>
      <c r="M401" s="38" t="str">
        <f t="shared" si="81"/>
        <v/>
      </c>
      <c r="N401" s="38" t="str">
        <f t="shared" si="82"/>
        <v/>
      </c>
      <c r="O401" s="38" t="str">
        <f t="shared" si="83"/>
        <v/>
      </c>
      <c r="P401" s="38" t="str">
        <f t="shared" si="73"/>
        <v/>
      </c>
      <c r="Q401" s="38"/>
    </row>
    <row r="402" spans="1:17" x14ac:dyDescent="0.2">
      <c r="A402" t="str">
        <f t="shared" si="74"/>
        <v/>
      </c>
      <c r="B402" s="38" t="str">
        <f t="shared" si="70"/>
        <v/>
      </c>
      <c r="C402" s="38" t="str">
        <f t="shared" si="75"/>
        <v/>
      </c>
      <c r="D402" s="38" t="str">
        <f t="shared" si="76"/>
        <v/>
      </c>
      <c r="E402" s="38" t="str">
        <f t="shared" si="77"/>
        <v/>
      </c>
      <c r="F402" s="38" t="str">
        <f t="shared" si="78"/>
        <v/>
      </c>
      <c r="G402" s="38" t="str">
        <f t="shared" si="71"/>
        <v/>
      </c>
      <c r="H402" s="38"/>
      <c r="J402" t="str">
        <f t="shared" si="79"/>
        <v/>
      </c>
      <c r="K402" s="38" t="str">
        <f t="shared" si="72"/>
        <v/>
      </c>
      <c r="L402" s="38" t="str">
        <f t="shared" si="80"/>
        <v/>
      </c>
      <c r="M402" s="38" t="str">
        <f t="shared" si="81"/>
        <v/>
      </c>
      <c r="N402" s="38" t="str">
        <f t="shared" si="82"/>
        <v/>
      </c>
      <c r="O402" s="38" t="str">
        <f t="shared" si="83"/>
        <v/>
      </c>
      <c r="P402" s="38" t="str">
        <f t="shared" si="73"/>
        <v/>
      </c>
      <c r="Q402" s="38"/>
    </row>
    <row r="403" spans="1:17" x14ac:dyDescent="0.2">
      <c r="A403" t="str">
        <f t="shared" si="74"/>
        <v/>
      </c>
      <c r="B403" s="38" t="str">
        <f t="shared" si="70"/>
        <v/>
      </c>
      <c r="C403" s="38" t="str">
        <f t="shared" si="75"/>
        <v/>
      </c>
      <c r="D403" s="38" t="str">
        <f t="shared" si="76"/>
        <v/>
      </c>
      <c r="E403" s="38" t="str">
        <f t="shared" si="77"/>
        <v/>
      </c>
      <c r="F403" s="38" t="str">
        <f t="shared" si="78"/>
        <v/>
      </c>
      <c r="G403" s="38" t="str">
        <f t="shared" si="71"/>
        <v/>
      </c>
      <c r="H403" s="38"/>
      <c r="J403" t="str">
        <f t="shared" si="79"/>
        <v/>
      </c>
      <c r="K403" s="38" t="str">
        <f t="shared" si="72"/>
        <v/>
      </c>
      <c r="L403" s="38" t="str">
        <f t="shared" si="80"/>
        <v/>
      </c>
      <c r="M403" s="38" t="str">
        <f t="shared" si="81"/>
        <v/>
      </c>
      <c r="N403" s="38" t="str">
        <f t="shared" si="82"/>
        <v/>
      </c>
      <c r="O403" s="38" t="str">
        <f t="shared" si="83"/>
        <v/>
      </c>
      <c r="P403" s="38" t="str">
        <f t="shared" si="73"/>
        <v/>
      </c>
      <c r="Q403" s="38"/>
    </row>
    <row r="404" spans="1:17" x14ac:dyDescent="0.2">
      <c r="A404" t="str">
        <f t="shared" si="74"/>
        <v/>
      </c>
      <c r="B404" s="38" t="str">
        <f t="shared" si="70"/>
        <v/>
      </c>
      <c r="C404" s="38" t="str">
        <f t="shared" si="75"/>
        <v/>
      </c>
      <c r="D404" s="38" t="str">
        <f t="shared" si="76"/>
        <v/>
      </c>
      <c r="E404" s="38" t="str">
        <f t="shared" si="77"/>
        <v/>
      </c>
      <c r="F404" s="38" t="str">
        <f t="shared" si="78"/>
        <v/>
      </c>
      <c r="G404" s="38" t="str">
        <f t="shared" si="71"/>
        <v/>
      </c>
      <c r="H404" s="38"/>
      <c r="J404" t="str">
        <f t="shared" si="79"/>
        <v/>
      </c>
      <c r="K404" s="38" t="str">
        <f t="shared" si="72"/>
        <v/>
      </c>
      <c r="L404" s="38" t="str">
        <f t="shared" si="80"/>
        <v/>
      </c>
      <c r="M404" s="38" t="str">
        <f t="shared" si="81"/>
        <v/>
      </c>
      <c r="N404" s="38" t="str">
        <f t="shared" si="82"/>
        <v/>
      </c>
      <c r="O404" s="38" t="str">
        <f t="shared" si="83"/>
        <v/>
      </c>
      <c r="P404" s="38" t="str">
        <f t="shared" si="73"/>
        <v/>
      </c>
      <c r="Q404" s="38"/>
    </row>
    <row r="405" spans="1:17" x14ac:dyDescent="0.2">
      <c r="A405" t="str">
        <f t="shared" si="74"/>
        <v/>
      </c>
      <c r="B405" s="38" t="str">
        <f t="shared" si="70"/>
        <v/>
      </c>
      <c r="C405" s="38" t="str">
        <f t="shared" si="75"/>
        <v/>
      </c>
      <c r="D405" s="38" t="str">
        <f t="shared" si="76"/>
        <v/>
      </c>
      <c r="E405" s="38" t="str">
        <f t="shared" si="77"/>
        <v/>
      </c>
      <c r="F405" s="38" t="str">
        <f t="shared" si="78"/>
        <v/>
      </c>
      <c r="G405" s="38" t="str">
        <f t="shared" si="71"/>
        <v/>
      </c>
      <c r="H405" s="38"/>
      <c r="J405" t="str">
        <f t="shared" si="79"/>
        <v/>
      </c>
      <c r="K405" s="38" t="str">
        <f t="shared" si="72"/>
        <v/>
      </c>
      <c r="L405" s="38" t="str">
        <f t="shared" si="80"/>
        <v/>
      </c>
      <c r="M405" s="38" t="str">
        <f t="shared" si="81"/>
        <v/>
      </c>
      <c r="N405" s="38" t="str">
        <f t="shared" si="82"/>
        <v/>
      </c>
      <c r="O405" s="38" t="str">
        <f t="shared" si="83"/>
        <v/>
      </c>
      <c r="P405" s="38" t="str">
        <f t="shared" si="73"/>
        <v/>
      </c>
      <c r="Q405" s="38"/>
    </row>
    <row r="406" spans="1:17" x14ac:dyDescent="0.2">
      <c r="A406" t="str">
        <f t="shared" si="74"/>
        <v/>
      </c>
      <c r="B406" s="38" t="str">
        <f t="shared" si="70"/>
        <v/>
      </c>
      <c r="C406" s="38" t="str">
        <f t="shared" si="75"/>
        <v/>
      </c>
      <c r="D406" s="38" t="str">
        <f t="shared" si="76"/>
        <v/>
      </c>
      <c r="E406" s="38" t="str">
        <f t="shared" si="77"/>
        <v/>
      </c>
      <c r="F406" s="38" t="str">
        <f t="shared" si="78"/>
        <v/>
      </c>
      <c r="G406" s="38" t="str">
        <f t="shared" si="71"/>
        <v/>
      </c>
      <c r="H406" s="38"/>
      <c r="J406" t="str">
        <f t="shared" si="79"/>
        <v/>
      </c>
      <c r="K406" s="38" t="str">
        <f t="shared" si="72"/>
        <v/>
      </c>
      <c r="L406" s="38" t="str">
        <f t="shared" si="80"/>
        <v/>
      </c>
      <c r="M406" s="38" t="str">
        <f t="shared" si="81"/>
        <v/>
      </c>
      <c r="N406" s="38" t="str">
        <f t="shared" si="82"/>
        <v/>
      </c>
      <c r="O406" s="38" t="str">
        <f t="shared" si="83"/>
        <v/>
      </c>
      <c r="P406" s="38" t="str">
        <f t="shared" si="73"/>
        <v/>
      </c>
      <c r="Q406" s="38"/>
    </row>
    <row r="407" spans="1:17" x14ac:dyDescent="0.2">
      <c r="A407" t="str">
        <f t="shared" si="74"/>
        <v/>
      </c>
      <c r="B407" s="38" t="str">
        <f t="shared" ref="B407:B470" si="84">IF(A407="","",F406)</f>
        <v/>
      </c>
      <c r="C407" s="38" t="str">
        <f t="shared" si="75"/>
        <v/>
      </c>
      <c r="D407" s="38" t="str">
        <f t="shared" si="76"/>
        <v/>
      </c>
      <c r="E407" s="38" t="str">
        <f t="shared" si="77"/>
        <v/>
      </c>
      <c r="F407" s="38" t="str">
        <f t="shared" si="78"/>
        <v/>
      </c>
      <c r="G407" s="38" t="str">
        <f t="shared" ref="G407:G470" si="85">IF(A407="","", (G406+C407))</f>
        <v/>
      </c>
      <c r="H407" s="38"/>
      <c r="J407" t="str">
        <f t="shared" si="79"/>
        <v/>
      </c>
      <c r="K407" s="38" t="str">
        <f t="shared" ref="K407:K470" si="86">IF(J407="","",O406)</f>
        <v/>
      </c>
      <c r="L407" s="38" t="str">
        <f t="shared" si="80"/>
        <v/>
      </c>
      <c r="M407" s="38" t="str">
        <f t="shared" si="81"/>
        <v/>
      </c>
      <c r="N407" s="38" t="str">
        <f t="shared" si="82"/>
        <v/>
      </c>
      <c r="O407" s="38" t="str">
        <f t="shared" si="83"/>
        <v/>
      </c>
      <c r="P407" s="38" t="str">
        <f t="shared" ref="P407:P470" si="87">IF(J407="","", (P406+L407))</f>
        <v/>
      </c>
      <c r="Q407" s="38"/>
    </row>
    <row r="408" spans="1:17" x14ac:dyDescent="0.2">
      <c r="A408" t="str">
        <f t="shared" ref="A408:A471" si="88">IF(A407&lt;($B$7*$B$8),A407+1,"")</f>
        <v/>
      </c>
      <c r="B408" s="38" t="str">
        <f t="shared" si="84"/>
        <v/>
      </c>
      <c r="C408" s="38" t="str">
        <f t="shared" ref="C408:C471" si="89">IF(A408="","",(B408*$B$6))</f>
        <v/>
      </c>
      <c r="D408" s="38" t="str">
        <f t="shared" ref="D408:D471" si="90">IF(A408="","", $B$3)</f>
        <v/>
      </c>
      <c r="E408" s="38" t="str">
        <f t="shared" ref="E408:E471" si="91">IF(D408="","",(D408-C408))</f>
        <v/>
      </c>
      <c r="F408" s="38" t="str">
        <f t="shared" ref="F408:F471" si="92">IF(A408="","", B408+C408+D408)</f>
        <v/>
      </c>
      <c r="G408" s="38" t="str">
        <f t="shared" si="85"/>
        <v/>
      </c>
      <c r="H408" s="38"/>
      <c r="J408" t="str">
        <f t="shared" ref="J408:J471" si="93">IF(J407&lt;($B$7*$B$8),J407+1,"")</f>
        <v/>
      </c>
      <c r="K408" s="38" t="str">
        <f t="shared" si="86"/>
        <v/>
      </c>
      <c r="L408" s="38" t="str">
        <f t="shared" ref="L408:L471" si="94">IF(J408="","",((K408 + M408)*$B$6))</f>
        <v/>
      </c>
      <c r="M408" s="38" t="str">
        <f t="shared" ref="M408:M471" si="95">IF(J408="","", $B$3)</f>
        <v/>
      </c>
      <c r="N408" s="38" t="str">
        <f t="shared" ref="N408:N471" si="96">IF(M408="","",(M408-L408))</f>
        <v/>
      </c>
      <c r="O408" s="38" t="str">
        <f t="shared" ref="O408:O471" si="97">IF(J408="","", K408+L408+M408)</f>
        <v/>
      </c>
      <c r="P408" s="38" t="str">
        <f t="shared" si="87"/>
        <v/>
      </c>
      <c r="Q408" s="38"/>
    </row>
    <row r="409" spans="1:17" x14ac:dyDescent="0.2">
      <c r="A409" t="str">
        <f t="shared" si="88"/>
        <v/>
      </c>
      <c r="B409" s="38" t="str">
        <f t="shared" si="84"/>
        <v/>
      </c>
      <c r="C409" s="38" t="str">
        <f t="shared" si="89"/>
        <v/>
      </c>
      <c r="D409" s="38" t="str">
        <f t="shared" si="90"/>
        <v/>
      </c>
      <c r="E409" s="38" t="str">
        <f t="shared" si="91"/>
        <v/>
      </c>
      <c r="F409" s="38" t="str">
        <f t="shared" si="92"/>
        <v/>
      </c>
      <c r="G409" s="38" t="str">
        <f t="shared" si="85"/>
        <v/>
      </c>
      <c r="H409" s="38"/>
      <c r="J409" t="str">
        <f t="shared" si="93"/>
        <v/>
      </c>
      <c r="K409" s="38" t="str">
        <f t="shared" si="86"/>
        <v/>
      </c>
      <c r="L409" s="38" t="str">
        <f t="shared" si="94"/>
        <v/>
      </c>
      <c r="M409" s="38" t="str">
        <f t="shared" si="95"/>
        <v/>
      </c>
      <c r="N409" s="38" t="str">
        <f t="shared" si="96"/>
        <v/>
      </c>
      <c r="O409" s="38" t="str">
        <f t="shared" si="97"/>
        <v/>
      </c>
      <c r="P409" s="38" t="str">
        <f t="shared" si="87"/>
        <v/>
      </c>
      <c r="Q409" s="38"/>
    </row>
    <row r="410" spans="1:17" x14ac:dyDescent="0.2">
      <c r="A410" t="str">
        <f t="shared" si="88"/>
        <v/>
      </c>
      <c r="B410" s="38" t="str">
        <f t="shared" si="84"/>
        <v/>
      </c>
      <c r="C410" s="38" t="str">
        <f t="shared" si="89"/>
        <v/>
      </c>
      <c r="D410" s="38" t="str">
        <f t="shared" si="90"/>
        <v/>
      </c>
      <c r="E410" s="38" t="str">
        <f t="shared" si="91"/>
        <v/>
      </c>
      <c r="F410" s="38" t="str">
        <f t="shared" si="92"/>
        <v/>
      </c>
      <c r="G410" s="38" t="str">
        <f t="shared" si="85"/>
        <v/>
      </c>
      <c r="H410" s="38"/>
      <c r="J410" t="str">
        <f t="shared" si="93"/>
        <v/>
      </c>
      <c r="K410" s="38" t="str">
        <f t="shared" si="86"/>
        <v/>
      </c>
      <c r="L410" s="38" t="str">
        <f t="shared" si="94"/>
        <v/>
      </c>
      <c r="M410" s="38" t="str">
        <f t="shared" si="95"/>
        <v/>
      </c>
      <c r="N410" s="38" t="str">
        <f t="shared" si="96"/>
        <v/>
      </c>
      <c r="O410" s="38" t="str">
        <f t="shared" si="97"/>
        <v/>
      </c>
      <c r="P410" s="38" t="str">
        <f t="shared" si="87"/>
        <v/>
      </c>
      <c r="Q410" s="38"/>
    </row>
    <row r="411" spans="1:17" x14ac:dyDescent="0.2">
      <c r="A411" t="str">
        <f t="shared" si="88"/>
        <v/>
      </c>
      <c r="B411" s="38" t="str">
        <f t="shared" si="84"/>
        <v/>
      </c>
      <c r="C411" s="38" t="str">
        <f t="shared" si="89"/>
        <v/>
      </c>
      <c r="D411" s="38" t="str">
        <f t="shared" si="90"/>
        <v/>
      </c>
      <c r="E411" s="38" t="str">
        <f t="shared" si="91"/>
        <v/>
      </c>
      <c r="F411" s="38" t="str">
        <f t="shared" si="92"/>
        <v/>
      </c>
      <c r="G411" s="38" t="str">
        <f t="shared" si="85"/>
        <v/>
      </c>
      <c r="H411" s="38"/>
      <c r="J411" t="str">
        <f t="shared" si="93"/>
        <v/>
      </c>
      <c r="K411" s="38" t="str">
        <f t="shared" si="86"/>
        <v/>
      </c>
      <c r="L411" s="38" t="str">
        <f t="shared" si="94"/>
        <v/>
      </c>
      <c r="M411" s="38" t="str">
        <f t="shared" si="95"/>
        <v/>
      </c>
      <c r="N411" s="38" t="str">
        <f t="shared" si="96"/>
        <v/>
      </c>
      <c r="O411" s="38" t="str">
        <f t="shared" si="97"/>
        <v/>
      </c>
      <c r="P411" s="38" t="str">
        <f t="shared" si="87"/>
        <v/>
      </c>
      <c r="Q411" s="38"/>
    </row>
    <row r="412" spans="1:17" x14ac:dyDescent="0.2">
      <c r="A412" t="str">
        <f t="shared" si="88"/>
        <v/>
      </c>
      <c r="B412" s="38" t="str">
        <f t="shared" si="84"/>
        <v/>
      </c>
      <c r="C412" s="38" t="str">
        <f t="shared" si="89"/>
        <v/>
      </c>
      <c r="D412" s="38" t="str">
        <f t="shared" si="90"/>
        <v/>
      </c>
      <c r="E412" s="38" t="str">
        <f t="shared" si="91"/>
        <v/>
      </c>
      <c r="F412" s="38" t="str">
        <f t="shared" si="92"/>
        <v/>
      </c>
      <c r="G412" s="38" t="str">
        <f t="shared" si="85"/>
        <v/>
      </c>
      <c r="H412" s="38"/>
      <c r="J412" t="str">
        <f t="shared" si="93"/>
        <v/>
      </c>
      <c r="K412" s="38" t="str">
        <f t="shared" si="86"/>
        <v/>
      </c>
      <c r="L412" s="38" t="str">
        <f t="shared" si="94"/>
        <v/>
      </c>
      <c r="M412" s="38" t="str">
        <f t="shared" si="95"/>
        <v/>
      </c>
      <c r="N412" s="38" t="str">
        <f t="shared" si="96"/>
        <v/>
      </c>
      <c r="O412" s="38" t="str">
        <f t="shared" si="97"/>
        <v/>
      </c>
      <c r="P412" s="38" t="str">
        <f t="shared" si="87"/>
        <v/>
      </c>
      <c r="Q412" s="38"/>
    </row>
    <row r="413" spans="1:17" x14ac:dyDescent="0.2">
      <c r="A413" t="str">
        <f t="shared" si="88"/>
        <v/>
      </c>
      <c r="B413" s="38" t="str">
        <f t="shared" si="84"/>
        <v/>
      </c>
      <c r="C413" s="38" t="str">
        <f t="shared" si="89"/>
        <v/>
      </c>
      <c r="D413" s="38" t="str">
        <f t="shared" si="90"/>
        <v/>
      </c>
      <c r="E413" s="38" t="str">
        <f t="shared" si="91"/>
        <v/>
      </c>
      <c r="F413" s="38" t="str">
        <f t="shared" si="92"/>
        <v/>
      </c>
      <c r="G413" s="38" t="str">
        <f t="shared" si="85"/>
        <v/>
      </c>
      <c r="H413" s="38"/>
      <c r="J413" t="str">
        <f t="shared" si="93"/>
        <v/>
      </c>
      <c r="K413" s="38" t="str">
        <f t="shared" si="86"/>
        <v/>
      </c>
      <c r="L413" s="38" t="str">
        <f t="shared" si="94"/>
        <v/>
      </c>
      <c r="M413" s="38" t="str">
        <f t="shared" si="95"/>
        <v/>
      </c>
      <c r="N413" s="38" t="str">
        <f t="shared" si="96"/>
        <v/>
      </c>
      <c r="O413" s="38" t="str">
        <f t="shared" si="97"/>
        <v/>
      </c>
      <c r="P413" s="38" t="str">
        <f t="shared" si="87"/>
        <v/>
      </c>
      <c r="Q413" s="38"/>
    </row>
    <row r="414" spans="1:17" x14ac:dyDescent="0.2">
      <c r="A414" t="str">
        <f t="shared" si="88"/>
        <v/>
      </c>
      <c r="B414" s="38" t="str">
        <f t="shared" si="84"/>
        <v/>
      </c>
      <c r="C414" s="38" t="str">
        <f t="shared" si="89"/>
        <v/>
      </c>
      <c r="D414" s="38" t="str">
        <f t="shared" si="90"/>
        <v/>
      </c>
      <c r="E414" s="38" t="str">
        <f t="shared" si="91"/>
        <v/>
      </c>
      <c r="F414" s="38" t="str">
        <f t="shared" si="92"/>
        <v/>
      </c>
      <c r="G414" s="38" t="str">
        <f t="shared" si="85"/>
        <v/>
      </c>
      <c r="H414" s="38"/>
      <c r="J414" t="str">
        <f t="shared" si="93"/>
        <v/>
      </c>
      <c r="K414" s="38" t="str">
        <f t="shared" si="86"/>
        <v/>
      </c>
      <c r="L414" s="38" t="str">
        <f t="shared" si="94"/>
        <v/>
      </c>
      <c r="M414" s="38" t="str">
        <f t="shared" si="95"/>
        <v/>
      </c>
      <c r="N414" s="38" t="str">
        <f t="shared" si="96"/>
        <v/>
      </c>
      <c r="O414" s="38" t="str">
        <f t="shared" si="97"/>
        <v/>
      </c>
      <c r="P414" s="38" t="str">
        <f t="shared" si="87"/>
        <v/>
      </c>
      <c r="Q414" s="38"/>
    </row>
    <row r="415" spans="1:17" x14ac:dyDescent="0.2">
      <c r="A415" t="str">
        <f t="shared" si="88"/>
        <v/>
      </c>
      <c r="B415" s="38" t="str">
        <f t="shared" si="84"/>
        <v/>
      </c>
      <c r="C415" s="38" t="str">
        <f t="shared" si="89"/>
        <v/>
      </c>
      <c r="D415" s="38" t="str">
        <f t="shared" si="90"/>
        <v/>
      </c>
      <c r="E415" s="38" t="str">
        <f t="shared" si="91"/>
        <v/>
      </c>
      <c r="F415" s="38" t="str">
        <f t="shared" si="92"/>
        <v/>
      </c>
      <c r="G415" s="38" t="str">
        <f t="shared" si="85"/>
        <v/>
      </c>
      <c r="H415" s="38"/>
      <c r="J415" t="str">
        <f t="shared" si="93"/>
        <v/>
      </c>
      <c r="K415" s="38" t="str">
        <f t="shared" si="86"/>
        <v/>
      </c>
      <c r="L415" s="38" t="str">
        <f t="shared" si="94"/>
        <v/>
      </c>
      <c r="M415" s="38" t="str">
        <f t="shared" si="95"/>
        <v/>
      </c>
      <c r="N415" s="38" t="str">
        <f t="shared" si="96"/>
        <v/>
      </c>
      <c r="O415" s="38" t="str">
        <f t="shared" si="97"/>
        <v/>
      </c>
      <c r="P415" s="38" t="str">
        <f t="shared" si="87"/>
        <v/>
      </c>
      <c r="Q415" s="38"/>
    </row>
    <row r="416" spans="1:17" x14ac:dyDescent="0.2">
      <c r="A416" t="str">
        <f t="shared" si="88"/>
        <v/>
      </c>
      <c r="B416" s="38" t="str">
        <f t="shared" si="84"/>
        <v/>
      </c>
      <c r="C416" s="38" t="str">
        <f t="shared" si="89"/>
        <v/>
      </c>
      <c r="D416" s="38" t="str">
        <f t="shared" si="90"/>
        <v/>
      </c>
      <c r="E416" s="38" t="str">
        <f t="shared" si="91"/>
        <v/>
      </c>
      <c r="F416" s="38" t="str">
        <f t="shared" si="92"/>
        <v/>
      </c>
      <c r="G416" s="38" t="str">
        <f t="shared" si="85"/>
        <v/>
      </c>
      <c r="H416" s="38"/>
      <c r="J416" t="str">
        <f t="shared" si="93"/>
        <v/>
      </c>
      <c r="K416" s="38" t="str">
        <f t="shared" si="86"/>
        <v/>
      </c>
      <c r="L416" s="38" t="str">
        <f t="shared" si="94"/>
        <v/>
      </c>
      <c r="M416" s="38" t="str">
        <f t="shared" si="95"/>
        <v/>
      </c>
      <c r="N416" s="38" t="str">
        <f t="shared" si="96"/>
        <v/>
      </c>
      <c r="O416" s="38" t="str">
        <f t="shared" si="97"/>
        <v/>
      </c>
      <c r="P416" s="38" t="str">
        <f t="shared" si="87"/>
        <v/>
      </c>
      <c r="Q416" s="38"/>
    </row>
    <row r="417" spans="1:17" x14ac:dyDescent="0.2">
      <c r="A417" t="str">
        <f t="shared" si="88"/>
        <v/>
      </c>
      <c r="B417" s="38" t="str">
        <f t="shared" si="84"/>
        <v/>
      </c>
      <c r="C417" s="38" t="str">
        <f t="shared" si="89"/>
        <v/>
      </c>
      <c r="D417" s="38" t="str">
        <f t="shared" si="90"/>
        <v/>
      </c>
      <c r="E417" s="38" t="str">
        <f t="shared" si="91"/>
        <v/>
      </c>
      <c r="F417" s="38" t="str">
        <f t="shared" si="92"/>
        <v/>
      </c>
      <c r="G417" s="38" t="str">
        <f t="shared" si="85"/>
        <v/>
      </c>
      <c r="H417" s="38"/>
      <c r="J417" t="str">
        <f t="shared" si="93"/>
        <v/>
      </c>
      <c r="K417" s="38" t="str">
        <f t="shared" si="86"/>
        <v/>
      </c>
      <c r="L417" s="38" t="str">
        <f t="shared" si="94"/>
        <v/>
      </c>
      <c r="M417" s="38" t="str">
        <f t="shared" si="95"/>
        <v/>
      </c>
      <c r="N417" s="38" t="str">
        <f t="shared" si="96"/>
        <v/>
      </c>
      <c r="O417" s="38" t="str">
        <f t="shared" si="97"/>
        <v/>
      </c>
      <c r="P417" s="38" t="str">
        <f t="shared" si="87"/>
        <v/>
      </c>
      <c r="Q417" s="38"/>
    </row>
    <row r="418" spans="1:17" x14ac:dyDescent="0.2">
      <c r="A418" t="str">
        <f t="shared" si="88"/>
        <v/>
      </c>
      <c r="B418" s="38" t="str">
        <f t="shared" si="84"/>
        <v/>
      </c>
      <c r="C418" s="38" t="str">
        <f t="shared" si="89"/>
        <v/>
      </c>
      <c r="D418" s="38" t="str">
        <f t="shared" si="90"/>
        <v/>
      </c>
      <c r="E418" s="38" t="str">
        <f t="shared" si="91"/>
        <v/>
      </c>
      <c r="F418" s="38" t="str">
        <f t="shared" si="92"/>
        <v/>
      </c>
      <c r="G418" s="38" t="str">
        <f t="shared" si="85"/>
        <v/>
      </c>
      <c r="H418" s="38"/>
      <c r="J418" t="str">
        <f t="shared" si="93"/>
        <v/>
      </c>
      <c r="K418" s="38" t="str">
        <f t="shared" si="86"/>
        <v/>
      </c>
      <c r="L418" s="38" t="str">
        <f t="shared" si="94"/>
        <v/>
      </c>
      <c r="M418" s="38" t="str">
        <f t="shared" si="95"/>
        <v/>
      </c>
      <c r="N418" s="38" t="str">
        <f t="shared" si="96"/>
        <v/>
      </c>
      <c r="O418" s="38" t="str">
        <f t="shared" si="97"/>
        <v/>
      </c>
      <c r="P418" s="38" t="str">
        <f t="shared" si="87"/>
        <v/>
      </c>
      <c r="Q418" s="38"/>
    </row>
    <row r="419" spans="1:17" x14ac:dyDescent="0.2">
      <c r="A419" t="str">
        <f t="shared" si="88"/>
        <v/>
      </c>
      <c r="B419" s="38" t="str">
        <f t="shared" si="84"/>
        <v/>
      </c>
      <c r="C419" s="38" t="str">
        <f t="shared" si="89"/>
        <v/>
      </c>
      <c r="D419" s="38" t="str">
        <f t="shared" si="90"/>
        <v/>
      </c>
      <c r="E419" s="38" t="str">
        <f t="shared" si="91"/>
        <v/>
      </c>
      <c r="F419" s="38" t="str">
        <f t="shared" si="92"/>
        <v/>
      </c>
      <c r="G419" s="38" t="str">
        <f t="shared" si="85"/>
        <v/>
      </c>
      <c r="H419" s="38"/>
      <c r="J419" t="str">
        <f t="shared" si="93"/>
        <v/>
      </c>
      <c r="K419" s="38" t="str">
        <f t="shared" si="86"/>
        <v/>
      </c>
      <c r="L419" s="38" t="str">
        <f t="shared" si="94"/>
        <v/>
      </c>
      <c r="M419" s="38" t="str">
        <f t="shared" si="95"/>
        <v/>
      </c>
      <c r="N419" s="38" t="str">
        <f t="shared" si="96"/>
        <v/>
      </c>
      <c r="O419" s="38" t="str">
        <f t="shared" si="97"/>
        <v/>
      </c>
      <c r="P419" s="38" t="str">
        <f t="shared" si="87"/>
        <v/>
      </c>
      <c r="Q419" s="38"/>
    </row>
    <row r="420" spans="1:17" x14ac:dyDescent="0.2">
      <c r="A420" t="str">
        <f t="shared" si="88"/>
        <v/>
      </c>
      <c r="B420" s="38" t="str">
        <f t="shared" si="84"/>
        <v/>
      </c>
      <c r="C420" s="38" t="str">
        <f t="shared" si="89"/>
        <v/>
      </c>
      <c r="D420" s="38" t="str">
        <f t="shared" si="90"/>
        <v/>
      </c>
      <c r="E420" s="38" t="str">
        <f t="shared" si="91"/>
        <v/>
      </c>
      <c r="F420" s="38" t="str">
        <f t="shared" si="92"/>
        <v/>
      </c>
      <c r="G420" s="38" t="str">
        <f t="shared" si="85"/>
        <v/>
      </c>
      <c r="H420" s="38"/>
      <c r="J420" t="str">
        <f t="shared" si="93"/>
        <v/>
      </c>
      <c r="K420" s="38" t="str">
        <f t="shared" si="86"/>
        <v/>
      </c>
      <c r="L420" s="38" t="str">
        <f t="shared" si="94"/>
        <v/>
      </c>
      <c r="M420" s="38" t="str">
        <f t="shared" si="95"/>
        <v/>
      </c>
      <c r="N420" s="38" t="str">
        <f t="shared" si="96"/>
        <v/>
      </c>
      <c r="O420" s="38" t="str">
        <f t="shared" si="97"/>
        <v/>
      </c>
      <c r="P420" s="38" t="str">
        <f t="shared" si="87"/>
        <v/>
      </c>
      <c r="Q420" s="38"/>
    </row>
    <row r="421" spans="1:17" x14ac:dyDescent="0.2">
      <c r="A421" t="str">
        <f t="shared" si="88"/>
        <v/>
      </c>
      <c r="B421" s="38" t="str">
        <f t="shared" si="84"/>
        <v/>
      </c>
      <c r="C421" s="38" t="str">
        <f t="shared" si="89"/>
        <v/>
      </c>
      <c r="D421" s="38" t="str">
        <f t="shared" si="90"/>
        <v/>
      </c>
      <c r="E421" s="38" t="str">
        <f t="shared" si="91"/>
        <v/>
      </c>
      <c r="F421" s="38" t="str">
        <f t="shared" si="92"/>
        <v/>
      </c>
      <c r="G421" s="38" t="str">
        <f t="shared" si="85"/>
        <v/>
      </c>
      <c r="H421" s="38"/>
      <c r="J421" t="str">
        <f t="shared" si="93"/>
        <v/>
      </c>
      <c r="K421" s="38" t="str">
        <f t="shared" si="86"/>
        <v/>
      </c>
      <c r="L421" s="38" t="str">
        <f t="shared" si="94"/>
        <v/>
      </c>
      <c r="M421" s="38" t="str">
        <f t="shared" si="95"/>
        <v/>
      </c>
      <c r="N421" s="38" t="str">
        <f t="shared" si="96"/>
        <v/>
      </c>
      <c r="O421" s="38" t="str">
        <f t="shared" si="97"/>
        <v/>
      </c>
      <c r="P421" s="38" t="str">
        <f t="shared" si="87"/>
        <v/>
      </c>
      <c r="Q421" s="38"/>
    </row>
    <row r="422" spans="1:17" x14ac:dyDescent="0.2">
      <c r="A422" t="str">
        <f t="shared" si="88"/>
        <v/>
      </c>
      <c r="B422" s="38" t="str">
        <f t="shared" si="84"/>
        <v/>
      </c>
      <c r="C422" s="38" t="str">
        <f t="shared" si="89"/>
        <v/>
      </c>
      <c r="D422" s="38" t="str">
        <f t="shared" si="90"/>
        <v/>
      </c>
      <c r="E422" s="38" t="str">
        <f t="shared" si="91"/>
        <v/>
      </c>
      <c r="F422" s="38" t="str">
        <f t="shared" si="92"/>
        <v/>
      </c>
      <c r="G422" s="38" t="str">
        <f t="shared" si="85"/>
        <v/>
      </c>
      <c r="H422" s="38"/>
      <c r="J422" t="str">
        <f t="shared" si="93"/>
        <v/>
      </c>
      <c r="K422" s="38" t="str">
        <f t="shared" si="86"/>
        <v/>
      </c>
      <c r="L422" s="38" t="str">
        <f t="shared" si="94"/>
        <v/>
      </c>
      <c r="M422" s="38" t="str">
        <f t="shared" si="95"/>
        <v/>
      </c>
      <c r="N422" s="38" t="str">
        <f t="shared" si="96"/>
        <v/>
      </c>
      <c r="O422" s="38" t="str">
        <f t="shared" si="97"/>
        <v/>
      </c>
      <c r="P422" s="38" t="str">
        <f t="shared" si="87"/>
        <v/>
      </c>
      <c r="Q422" s="38"/>
    </row>
    <row r="423" spans="1:17" x14ac:dyDescent="0.2">
      <c r="A423" t="str">
        <f t="shared" si="88"/>
        <v/>
      </c>
      <c r="B423" s="38" t="str">
        <f t="shared" si="84"/>
        <v/>
      </c>
      <c r="C423" s="38" t="str">
        <f t="shared" si="89"/>
        <v/>
      </c>
      <c r="D423" s="38" t="str">
        <f t="shared" si="90"/>
        <v/>
      </c>
      <c r="E423" s="38" t="str">
        <f t="shared" si="91"/>
        <v/>
      </c>
      <c r="F423" s="38" t="str">
        <f t="shared" si="92"/>
        <v/>
      </c>
      <c r="G423" s="38" t="str">
        <f t="shared" si="85"/>
        <v/>
      </c>
      <c r="H423" s="38"/>
      <c r="J423" t="str">
        <f t="shared" si="93"/>
        <v/>
      </c>
      <c r="K423" s="38" t="str">
        <f t="shared" si="86"/>
        <v/>
      </c>
      <c r="L423" s="38" t="str">
        <f t="shared" si="94"/>
        <v/>
      </c>
      <c r="M423" s="38" t="str">
        <f t="shared" si="95"/>
        <v/>
      </c>
      <c r="N423" s="38" t="str">
        <f t="shared" si="96"/>
        <v/>
      </c>
      <c r="O423" s="38" t="str">
        <f t="shared" si="97"/>
        <v/>
      </c>
      <c r="P423" s="38" t="str">
        <f t="shared" si="87"/>
        <v/>
      </c>
      <c r="Q423" s="38"/>
    </row>
    <row r="424" spans="1:17" x14ac:dyDescent="0.2">
      <c r="A424" t="str">
        <f t="shared" si="88"/>
        <v/>
      </c>
      <c r="B424" s="38" t="str">
        <f t="shared" si="84"/>
        <v/>
      </c>
      <c r="C424" s="38" t="str">
        <f t="shared" si="89"/>
        <v/>
      </c>
      <c r="D424" s="38" t="str">
        <f t="shared" si="90"/>
        <v/>
      </c>
      <c r="E424" s="38" t="str">
        <f t="shared" si="91"/>
        <v/>
      </c>
      <c r="F424" s="38" t="str">
        <f t="shared" si="92"/>
        <v/>
      </c>
      <c r="G424" s="38" t="str">
        <f t="shared" si="85"/>
        <v/>
      </c>
      <c r="H424" s="38"/>
      <c r="J424" t="str">
        <f t="shared" si="93"/>
        <v/>
      </c>
      <c r="K424" s="38" t="str">
        <f t="shared" si="86"/>
        <v/>
      </c>
      <c r="L424" s="38" t="str">
        <f t="shared" si="94"/>
        <v/>
      </c>
      <c r="M424" s="38" t="str">
        <f t="shared" si="95"/>
        <v/>
      </c>
      <c r="N424" s="38" t="str">
        <f t="shared" si="96"/>
        <v/>
      </c>
      <c r="O424" s="38" t="str">
        <f t="shared" si="97"/>
        <v/>
      </c>
      <c r="P424" s="38" t="str">
        <f t="shared" si="87"/>
        <v/>
      </c>
      <c r="Q424" s="38"/>
    </row>
    <row r="425" spans="1:17" x14ac:dyDescent="0.2">
      <c r="A425" t="str">
        <f t="shared" si="88"/>
        <v/>
      </c>
      <c r="B425" s="38" t="str">
        <f t="shared" si="84"/>
        <v/>
      </c>
      <c r="C425" s="38" t="str">
        <f t="shared" si="89"/>
        <v/>
      </c>
      <c r="D425" s="38" t="str">
        <f t="shared" si="90"/>
        <v/>
      </c>
      <c r="E425" s="38" t="str">
        <f t="shared" si="91"/>
        <v/>
      </c>
      <c r="F425" s="38" t="str">
        <f t="shared" si="92"/>
        <v/>
      </c>
      <c r="G425" s="38" t="str">
        <f t="shared" si="85"/>
        <v/>
      </c>
      <c r="H425" s="38"/>
      <c r="J425" t="str">
        <f t="shared" si="93"/>
        <v/>
      </c>
      <c r="K425" s="38" t="str">
        <f t="shared" si="86"/>
        <v/>
      </c>
      <c r="L425" s="38" t="str">
        <f t="shared" si="94"/>
        <v/>
      </c>
      <c r="M425" s="38" t="str">
        <f t="shared" si="95"/>
        <v/>
      </c>
      <c r="N425" s="38" t="str">
        <f t="shared" si="96"/>
        <v/>
      </c>
      <c r="O425" s="38" t="str">
        <f t="shared" si="97"/>
        <v/>
      </c>
      <c r="P425" s="38" t="str">
        <f t="shared" si="87"/>
        <v/>
      </c>
      <c r="Q425" s="38"/>
    </row>
    <row r="426" spans="1:17" x14ac:dyDescent="0.2">
      <c r="A426" t="str">
        <f t="shared" si="88"/>
        <v/>
      </c>
      <c r="B426" s="38" t="str">
        <f t="shared" si="84"/>
        <v/>
      </c>
      <c r="C426" s="38" t="str">
        <f t="shared" si="89"/>
        <v/>
      </c>
      <c r="D426" s="38" t="str">
        <f t="shared" si="90"/>
        <v/>
      </c>
      <c r="E426" s="38" t="str">
        <f t="shared" si="91"/>
        <v/>
      </c>
      <c r="F426" s="38" t="str">
        <f t="shared" si="92"/>
        <v/>
      </c>
      <c r="G426" s="38" t="str">
        <f t="shared" si="85"/>
        <v/>
      </c>
      <c r="H426" s="38"/>
      <c r="J426" t="str">
        <f t="shared" si="93"/>
        <v/>
      </c>
      <c r="K426" s="38" t="str">
        <f t="shared" si="86"/>
        <v/>
      </c>
      <c r="L426" s="38" t="str">
        <f t="shared" si="94"/>
        <v/>
      </c>
      <c r="M426" s="38" t="str">
        <f t="shared" si="95"/>
        <v/>
      </c>
      <c r="N426" s="38" t="str">
        <f t="shared" si="96"/>
        <v/>
      </c>
      <c r="O426" s="38" t="str">
        <f t="shared" si="97"/>
        <v/>
      </c>
      <c r="P426" s="38" t="str">
        <f t="shared" si="87"/>
        <v/>
      </c>
      <c r="Q426" s="38"/>
    </row>
    <row r="427" spans="1:17" x14ac:dyDescent="0.2">
      <c r="A427" t="str">
        <f t="shared" si="88"/>
        <v/>
      </c>
      <c r="B427" s="38" t="str">
        <f t="shared" si="84"/>
        <v/>
      </c>
      <c r="C427" s="38" t="str">
        <f t="shared" si="89"/>
        <v/>
      </c>
      <c r="D427" s="38" t="str">
        <f t="shared" si="90"/>
        <v/>
      </c>
      <c r="E427" s="38" t="str">
        <f t="shared" si="91"/>
        <v/>
      </c>
      <c r="F427" s="38" t="str">
        <f t="shared" si="92"/>
        <v/>
      </c>
      <c r="G427" s="38" t="str">
        <f t="shared" si="85"/>
        <v/>
      </c>
      <c r="H427" s="38"/>
      <c r="J427" t="str">
        <f t="shared" si="93"/>
        <v/>
      </c>
      <c r="K427" s="38" t="str">
        <f t="shared" si="86"/>
        <v/>
      </c>
      <c r="L427" s="38" t="str">
        <f t="shared" si="94"/>
        <v/>
      </c>
      <c r="M427" s="38" t="str">
        <f t="shared" si="95"/>
        <v/>
      </c>
      <c r="N427" s="38" t="str">
        <f t="shared" si="96"/>
        <v/>
      </c>
      <c r="O427" s="38" t="str">
        <f t="shared" si="97"/>
        <v/>
      </c>
      <c r="P427" s="38" t="str">
        <f t="shared" si="87"/>
        <v/>
      </c>
      <c r="Q427" s="38"/>
    </row>
    <row r="428" spans="1:17" x14ac:dyDescent="0.2">
      <c r="A428" t="str">
        <f t="shared" si="88"/>
        <v/>
      </c>
      <c r="B428" s="38" t="str">
        <f t="shared" si="84"/>
        <v/>
      </c>
      <c r="C428" s="38" t="str">
        <f t="shared" si="89"/>
        <v/>
      </c>
      <c r="D428" s="38" t="str">
        <f t="shared" si="90"/>
        <v/>
      </c>
      <c r="E428" s="38" t="str">
        <f t="shared" si="91"/>
        <v/>
      </c>
      <c r="F428" s="38" t="str">
        <f t="shared" si="92"/>
        <v/>
      </c>
      <c r="G428" s="38" t="str">
        <f t="shared" si="85"/>
        <v/>
      </c>
      <c r="H428" s="38"/>
      <c r="J428" t="str">
        <f t="shared" si="93"/>
        <v/>
      </c>
      <c r="K428" s="38" t="str">
        <f t="shared" si="86"/>
        <v/>
      </c>
      <c r="L428" s="38" t="str">
        <f t="shared" si="94"/>
        <v/>
      </c>
      <c r="M428" s="38" t="str">
        <f t="shared" si="95"/>
        <v/>
      </c>
      <c r="N428" s="38" t="str">
        <f t="shared" si="96"/>
        <v/>
      </c>
      <c r="O428" s="38" t="str">
        <f t="shared" si="97"/>
        <v/>
      </c>
      <c r="P428" s="38" t="str">
        <f t="shared" si="87"/>
        <v/>
      </c>
      <c r="Q428" s="38"/>
    </row>
    <row r="429" spans="1:17" x14ac:dyDescent="0.2">
      <c r="A429" t="str">
        <f t="shared" si="88"/>
        <v/>
      </c>
      <c r="B429" s="38" t="str">
        <f t="shared" si="84"/>
        <v/>
      </c>
      <c r="C429" s="38" t="str">
        <f t="shared" si="89"/>
        <v/>
      </c>
      <c r="D429" s="38" t="str">
        <f t="shared" si="90"/>
        <v/>
      </c>
      <c r="E429" s="38" t="str">
        <f t="shared" si="91"/>
        <v/>
      </c>
      <c r="F429" s="38" t="str">
        <f t="shared" si="92"/>
        <v/>
      </c>
      <c r="G429" s="38" t="str">
        <f t="shared" si="85"/>
        <v/>
      </c>
      <c r="H429" s="38"/>
      <c r="J429" t="str">
        <f t="shared" si="93"/>
        <v/>
      </c>
      <c r="K429" s="38" t="str">
        <f t="shared" si="86"/>
        <v/>
      </c>
      <c r="L429" s="38" t="str">
        <f t="shared" si="94"/>
        <v/>
      </c>
      <c r="M429" s="38" t="str">
        <f t="shared" si="95"/>
        <v/>
      </c>
      <c r="N429" s="38" t="str">
        <f t="shared" si="96"/>
        <v/>
      </c>
      <c r="O429" s="38" t="str">
        <f t="shared" si="97"/>
        <v/>
      </c>
      <c r="P429" s="38" t="str">
        <f t="shared" si="87"/>
        <v/>
      </c>
      <c r="Q429" s="38"/>
    </row>
    <row r="430" spans="1:17" x14ac:dyDescent="0.2">
      <c r="A430" t="str">
        <f t="shared" si="88"/>
        <v/>
      </c>
      <c r="B430" s="38" t="str">
        <f t="shared" si="84"/>
        <v/>
      </c>
      <c r="C430" s="38" t="str">
        <f t="shared" si="89"/>
        <v/>
      </c>
      <c r="D430" s="38" t="str">
        <f t="shared" si="90"/>
        <v/>
      </c>
      <c r="E430" s="38" t="str">
        <f t="shared" si="91"/>
        <v/>
      </c>
      <c r="F430" s="38" t="str">
        <f t="shared" si="92"/>
        <v/>
      </c>
      <c r="G430" s="38" t="str">
        <f t="shared" si="85"/>
        <v/>
      </c>
      <c r="H430" s="38"/>
      <c r="J430" t="str">
        <f t="shared" si="93"/>
        <v/>
      </c>
      <c r="K430" s="38" t="str">
        <f t="shared" si="86"/>
        <v/>
      </c>
      <c r="L430" s="38" t="str">
        <f t="shared" si="94"/>
        <v/>
      </c>
      <c r="M430" s="38" t="str">
        <f t="shared" si="95"/>
        <v/>
      </c>
      <c r="N430" s="38" t="str">
        <f t="shared" si="96"/>
        <v/>
      </c>
      <c r="O430" s="38" t="str">
        <f t="shared" si="97"/>
        <v/>
      </c>
      <c r="P430" s="38" t="str">
        <f t="shared" si="87"/>
        <v/>
      </c>
      <c r="Q430" s="38"/>
    </row>
    <row r="431" spans="1:17" x14ac:dyDescent="0.2">
      <c r="A431" t="str">
        <f t="shared" si="88"/>
        <v/>
      </c>
      <c r="B431" s="38" t="str">
        <f t="shared" si="84"/>
        <v/>
      </c>
      <c r="C431" s="38" t="str">
        <f t="shared" si="89"/>
        <v/>
      </c>
      <c r="D431" s="38" t="str">
        <f t="shared" si="90"/>
        <v/>
      </c>
      <c r="E431" s="38" t="str">
        <f t="shared" si="91"/>
        <v/>
      </c>
      <c r="F431" s="38" t="str">
        <f t="shared" si="92"/>
        <v/>
      </c>
      <c r="G431" s="38" t="str">
        <f t="shared" si="85"/>
        <v/>
      </c>
      <c r="H431" s="38"/>
      <c r="J431" t="str">
        <f t="shared" si="93"/>
        <v/>
      </c>
      <c r="K431" s="38" t="str">
        <f t="shared" si="86"/>
        <v/>
      </c>
      <c r="L431" s="38" t="str">
        <f t="shared" si="94"/>
        <v/>
      </c>
      <c r="M431" s="38" t="str">
        <f t="shared" si="95"/>
        <v/>
      </c>
      <c r="N431" s="38" t="str">
        <f t="shared" si="96"/>
        <v/>
      </c>
      <c r="O431" s="38" t="str">
        <f t="shared" si="97"/>
        <v/>
      </c>
      <c r="P431" s="38" t="str">
        <f t="shared" si="87"/>
        <v/>
      </c>
      <c r="Q431" s="38"/>
    </row>
    <row r="432" spans="1:17" x14ac:dyDescent="0.2">
      <c r="A432" t="str">
        <f t="shared" si="88"/>
        <v/>
      </c>
      <c r="B432" s="38" t="str">
        <f t="shared" si="84"/>
        <v/>
      </c>
      <c r="C432" s="38" t="str">
        <f t="shared" si="89"/>
        <v/>
      </c>
      <c r="D432" s="38" t="str">
        <f t="shared" si="90"/>
        <v/>
      </c>
      <c r="E432" s="38" t="str">
        <f t="shared" si="91"/>
        <v/>
      </c>
      <c r="F432" s="38" t="str">
        <f t="shared" si="92"/>
        <v/>
      </c>
      <c r="G432" s="38" t="str">
        <f t="shared" si="85"/>
        <v/>
      </c>
      <c r="H432" s="38"/>
      <c r="J432" t="str">
        <f t="shared" si="93"/>
        <v/>
      </c>
      <c r="K432" s="38" t="str">
        <f t="shared" si="86"/>
        <v/>
      </c>
      <c r="L432" s="38" t="str">
        <f t="shared" si="94"/>
        <v/>
      </c>
      <c r="M432" s="38" t="str">
        <f t="shared" si="95"/>
        <v/>
      </c>
      <c r="N432" s="38" t="str">
        <f t="shared" si="96"/>
        <v/>
      </c>
      <c r="O432" s="38" t="str">
        <f t="shared" si="97"/>
        <v/>
      </c>
      <c r="P432" s="38" t="str">
        <f t="shared" si="87"/>
        <v/>
      </c>
      <c r="Q432" s="38"/>
    </row>
    <row r="433" spans="1:17" x14ac:dyDescent="0.2">
      <c r="A433" t="str">
        <f t="shared" si="88"/>
        <v/>
      </c>
      <c r="B433" s="38" t="str">
        <f t="shared" si="84"/>
        <v/>
      </c>
      <c r="C433" s="38" t="str">
        <f t="shared" si="89"/>
        <v/>
      </c>
      <c r="D433" s="38" t="str">
        <f t="shared" si="90"/>
        <v/>
      </c>
      <c r="E433" s="38" t="str">
        <f t="shared" si="91"/>
        <v/>
      </c>
      <c r="F433" s="38" t="str">
        <f t="shared" si="92"/>
        <v/>
      </c>
      <c r="G433" s="38" t="str">
        <f t="shared" si="85"/>
        <v/>
      </c>
      <c r="H433" s="38"/>
      <c r="J433" t="str">
        <f t="shared" si="93"/>
        <v/>
      </c>
      <c r="K433" s="38" t="str">
        <f t="shared" si="86"/>
        <v/>
      </c>
      <c r="L433" s="38" t="str">
        <f t="shared" si="94"/>
        <v/>
      </c>
      <c r="M433" s="38" t="str">
        <f t="shared" si="95"/>
        <v/>
      </c>
      <c r="N433" s="38" t="str">
        <f t="shared" si="96"/>
        <v/>
      </c>
      <c r="O433" s="38" t="str">
        <f t="shared" si="97"/>
        <v/>
      </c>
      <c r="P433" s="38" t="str">
        <f t="shared" si="87"/>
        <v/>
      </c>
      <c r="Q433" s="38"/>
    </row>
    <row r="434" spans="1:17" x14ac:dyDescent="0.2">
      <c r="A434" t="str">
        <f t="shared" si="88"/>
        <v/>
      </c>
      <c r="B434" s="38" t="str">
        <f t="shared" si="84"/>
        <v/>
      </c>
      <c r="C434" s="38" t="str">
        <f t="shared" si="89"/>
        <v/>
      </c>
      <c r="D434" s="38" t="str">
        <f t="shared" si="90"/>
        <v/>
      </c>
      <c r="E434" s="38" t="str">
        <f t="shared" si="91"/>
        <v/>
      </c>
      <c r="F434" s="38" t="str">
        <f t="shared" si="92"/>
        <v/>
      </c>
      <c r="G434" s="38" t="str">
        <f t="shared" si="85"/>
        <v/>
      </c>
      <c r="H434" s="38"/>
      <c r="J434" t="str">
        <f t="shared" si="93"/>
        <v/>
      </c>
      <c r="K434" s="38" t="str">
        <f t="shared" si="86"/>
        <v/>
      </c>
      <c r="L434" s="38" t="str">
        <f t="shared" si="94"/>
        <v/>
      </c>
      <c r="M434" s="38" t="str">
        <f t="shared" si="95"/>
        <v/>
      </c>
      <c r="N434" s="38" t="str">
        <f t="shared" si="96"/>
        <v/>
      </c>
      <c r="O434" s="38" t="str">
        <f t="shared" si="97"/>
        <v/>
      </c>
      <c r="P434" s="38" t="str">
        <f t="shared" si="87"/>
        <v/>
      </c>
      <c r="Q434" s="38"/>
    </row>
    <row r="435" spans="1:17" x14ac:dyDescent="0.2">
      <c r="A435" t="str">
        <f t="shared" si="88"/>
        <v/>
      </c>
      <c r="B435" s="38" t="str">
        <f t="shared" si="84"/>
        <v/>
      </c>
      <c r="C435" s="38" t="str">
        <f t="shared" si="89"/>
        <v/>
      </c>
      <c r="D435" s="38" t="str">
        <f t="shared" si="90"/>
        <v/>
      </c>
      <c r="E435" s="38" t="str">
        <f t="shared" si="91"/>
        <v/>
      </c>
      <c r="F435" s="38" t="str">
        <f t="shared" si="92"/>
        <v/>
      </c>
      <c r="G435" s="38" t="str">
        <f t="shared" si="85"/>
        <v/>
      </c>
      <c r="H435" s="38"/>
      <c r="J435" t="str">
        <f t="shared" si="93"/>
        <v/>
      </c>
      <c r="K435" s="38" t="str">
        <f t="shared" si="86"/>
        <v/>
      </c>
      <c r="L435" s="38" t="str">
        <f t="shared" si="94"/>
        <v/>
      </c>
      <c r="M435" s="38" t="str">
        <f t="shared" si="95"/>
        <v/>
      </c>
      <c r="N435" s="38" t="str">
        <f t="shared" si="96"/>
        <v/>
      </c>
      <c r="O435" s="38" t="str">
        <f t="shared" si="97"/>
        <v/>
      </c>
      <c r="P435" s="38" t="str">
        <f t="shared" si="87"/>
        <v/>
      </c>
      <c r="Q435" s="38"/>
    </row>
    <row r="436" spans="1:17" x14ac:dyDescent="0.2">
      <c r="A436" t="str">
        <f t="shared" si="88"/>
        <v/>
      </c>
      <c r="B436" s="38" t="str">
        <f t="shared" si="84"/>
        <v/>
      </c>
      <c r="C436" s="38" t="str">
        <f t="shared" si="89"/>
        <v/>
      </c>
      <c r="D436" s="38" t="str">
        <f t="shared" si="90"/>
        <v/>
      </c>
      <c r="E436" s="38" t="str">
        <f t="shared" si="91"/>
        <v/>
      </c>
      <c r="F436" s="38" t="str">
        <f t="shared" si="92"/>
        <v/>
      </c>
      <c r="G436" s="38" t="str">
        <f t="shared" si="85"/>
        <v/>
      </c>
      <c r="H436" s="38"/>
      <c r="J436" t="str">
        <f t="shared" si="93"/>
        <v/>
      </c>
      <c r="K436" s="38" t="str">
        <f t="shared" si="86"/>
        <v/>
      </c>
      <c r="L436" s="38" t="str">
        <f t="shared" si="94"/>
        <v/>
      </c>
      <c r="M436" s="38" t="str">
        <f t="shared" si="95"/>
        <v/>
      </c>
      <c r="N436" s="38" t="str">
        <f t="shared" si="96"/>
        <v/>
      </c>
      <c r="O436" s="38" t="str">
        <f t="shared" si="97"/>
        <v/>
      </c>
      <c r="P436" s="38" t="str">
        <f t="shared" si="87"/>
        <v/>
      </c>
      <c r="Q436" s="38"/>
    </row>
    <row r="437" spans="1:17" x14ac:dyDescent="0.2">
      <c r="A437" t="str">
        <f t="shared" si="88"/>
        <v/>
      </c>
      <c r="B437" s="38" t="str">
        <f t="shared" si="84"/>
        <v/>
      </c>
      <c r="C437" s="38" t="str">
        <f t="shared" si="89"/>
        <v/>
      </c>
      <c r="D437" s="38" t="str">
        <f t="shared" si="90"/>
        <v/>
      </c>
      <c r="E437" s="38" t="str">
        <f t="shared" si="91"/>
        <v/>
      </c>
      <c r="F437" s="38" t="str">
        <f t="shared" si="92"/>
        <v/>
      </c>
      <c r="G437" s="38" t="str">
        <f t="shared" si="85"/>
        <v/>
      </c>
      <c r="H437" s="38"/>
      <c r="J437" t="str">
        <f t="shared" si="93"/>
        <v/>
      </c>
      <c r="K437" s="38" t="str">
        <f t="shared" si="86"/>
        <v/>
      </c>
      <c r="L437" s="38" t="str">
        <f t="shared" si="94"/>
        <v/>
      </c>
      <c r="M437" s="38" t="str">
        <f t="shared" si="95"/>
        <v/>
      </c>
      <c r="N437" s="38" t="str">
        <f t="shared" si="96"/>
        <v/>
      </c>
      <c r="O437" s="38" t="str">
        <f t="shared" si="97"/>
        <v/>
      </c>
      <c r="P437" s="38" t="str">
        <f t="shared" si="87"/>
        <v/>
      </c>
      <c r="Q437" s="38"/>
    </row>
    <row r="438" spans="1:17" x14ac:dyDescent="0.2">
      <c r="A438" t="str">
        <f t="shared" si="88"/>
        <v/>
      </c>
      <c r="B438" s="38" t="str">
        <f t="shared" si="84"/>
        <v/>
      </c>
      <c r="C438" s="38" t="str">
        <f t="shared" si="89"/>
        <v/>
      </c>
      <c r="D438" s="38" t="str">
        <f t="shared" si="90"/>
        <v/>
      </c>
      <c r="E438" s="38" t="str">
        <f t="shared" si="91"/>
        <v/>
      </c>
      <c r="F438" s="38" t="str">
        <f t="shared" si="92"/>
        <v/>
      </c>
      <c r="G438" s="38" t="str">
        <f t="shared" si="85"/>
        <v/>
      </c>
      <c r="H438" s="38"/>
      <c r="J438" t="str">
        <f t="shared" si="93"/>
        <v/>
      </c>
      <c r="K438" s="38" t="str">
        <f t="shared" si="86"/>
        <v/>
      </c>
      <c r="L438" s="38" t="str">
        <f t="shared" si="94"/>
        <v/>
      </c>
      <c r="M438" s="38" t="str">
        <f t="shared" si="95"/>
        <v/>
      </c>
      <c r="N438" s="38" t="str">
        <f t="shared" si="96"/>
        <v/>
      </c>
      <c r="O438" s="38" t="str">
        <f t="shared" si="97"/>
        <v/>
      </c>
      <c r="P438" s="38" t="str">
        <f t="shared" si="87"/>
        <v/>
      </c>
      <c r="Q438" s="38"/>
    </row>
    <row r="439" spans="1:17" x14ac:dyDescent="0.2">
      <c r="A439" t="str">
        <f t="shared" si="88"/>
        <v/>
      </c>
      <c r="B439" s="38" t="str">
        <f t="shared" si="84"/>
        <v/>
      </c>
      <c r="C439" s="38" t="str">
        <f t="shared" si="89"/>
        <v/>
      </c>
      <c r="D439" s="38" t="str">
        <f t="shared" si="90"/>
        <v/>
      </c>
      <c r="E439" s="38" t="str">
        <f t="shared" si="91"/>
        <v/>
      </c>
      <c r="F439" s="38" t="str">
        <f t="shared" si="92"/>
        <v/>
      </c>
      <c r="G439" s="38" t="str">
        <f t="shared" si="85"/>
        <v/>
      </c>
      <c r="H439" s="38"/>
      <c r="J439" t="str">
        <f t="shared" si="93"/>
        <v/>
      </c>
      <c r="K439" s="38" t="str">
        <f t="shared" si="86"/>
        <v/>
      </c>
      <c r="L439" s="38" t="str">
        <f t="shared" si="94"/>
        <v/>
      </c>
      <c r="M439" s="38" t="str">
        <f t="shared" si="95"/>
        <v/>
      </c>
      <c r="N439" s="38" t="str">
        <f t="shared" si="96"/>
        <v/>
      </c>
      <c r="O439" s="38" t="str">
        <f t="shared" si="97"/>
        <v/>
      </c>
      <c r="P439" s="38" t="str">
        <f t="shared" si="87"/>
        <v/>
      </c>
      <c r="Q439" s="38"/>
    </row>
    <row r="440" spans="1:17" x14ac:dyDescent="0.2">
      <c r="A440" t="str">
        <f t="shared" si="88"/>
        <v/>
      </c>
      <c r="B440" s="38" t="str">
        <f t="shared" si="84"/>
        <v/>
      </c>
      <c r="C440" s="38" t="str">
        <f t="shared" si="89"/>
        <v/>
      </c>
      <c r="D440" s="38" t="str">
        <f t="shared" si="90"/>
        <v/>
      </c>
      <c r="E440" s="38" t="str">
        <f t="shared" si="91"/>
        <v/>
      </c>
      <c r="F440" s="38" t="str">
        <f t="shared" si="92"/>
        <v/>
      </c>
      <c r="G440" s="38" t="str">
        <f t="shared" si="85"/>
        <v/>
      </c>
      <c r="H440" s="38"/>
      <c r="J440" t="str">
        <f t="shared" si="93"/>
        <v/>
      </c>
      <c r="K440" s="38" t="str">
        <f t="shared" si="86"/>
        <v/>
      </c>
      <c r="L440" s="38" t="str">
        <f t="shared" si="94"/>
        <v/>
      </c>
      <c r="M440" s="38" t="str">
        <f t="shared" si="95"/>
        <v/>
      </c>
      <c r="N440" s="38" t="str">
        <f t="shared" si="96"/>
        <v/>
      </c>
      <c r="O440" s="38" t="str">
        <f t="shared" si="97"/>
        <v/>
      </c>
      <c r="P440" s="38" t="str">
        <f t="shared" si="87"/>
        <v/>
      </c>
      <c r="Q440" s="38"/>
    </row>
    <row r="441" spans="1:17" x14ac:dyDescent="0.2">
      <c r="A441" t="str">
        <f t="shared" si="88"/>
        <v/>
      </c>
      <c r="B441" s="38" t="str">
        <f t="shared" si="84"/>
        <v/>
      </c>
      <c r="C441" s="38" t="str">
        <f t="shared" si="89"/>
        <v/>
      </c>
      <c r="D441" s="38" t="str">
        <f t="shared" si="90"/>
        <v/>
      </c>
      <c r="E441" s="38" t="str">
        <f t="shared" si="91"/>
        <v/>
      </c>
      <c r="F441" s="38" t="str">
        <f t="shared" si="92"/>
        <v/>
      </c>
      <c r="G441" s="38" t="str">
        <f t="shared" si="85"/>
        <v/>
      </c>
      <c r="H441" s="38"/>
      <c r="J441" t="str">
        <f t="shared" si="93"/>
        <v/>
      </c>
      <c r="K441" s="38" t="str">
        <f t="shared" si="86"/>
        <v/>
      </c>
      <c r="L441" s="38" t="str">
        <f t="shared" si="94"/>
        <v/>
      </c>
      <c r="M441" s="38" t="str">
        <f t="shared" si="95"/>
        <v/>
      </c>
      <c r="N441" s="38" t="str">
        <f t="shared" si="96"/>
        <v/>
      </c>
      <c r="O441" s="38" t="str">
        <f t="shared" si="97"/>
        <v/>
      </c>
      <c r="P441" s="38" t="str">
        <f t="shared" si="87"/>
        <v/>
      </c>
      <c r="Q441" s="38"/>
    </row>
    <row r="442" spans="1:17" x14ac:dyDescent="0.2">
      <c r="A442" t="str">
        <f t="shared" si="88"/>
        <v/>
      </c>
      <c r="B442" s="38" t="str">
        <f t="shared" si="84"/>
        <v/>
      </c>
      <c r="C442" s="38" t="str">
        <f t="shared" si="89"/>
        <v/>
      </c>
      <c r="D442" s="38" t="str">
        <f t="shared" si="90"/>
        <v/>
      </c>
      <c r="E442" s="38" t="str">
        <f t="shared" si="91"/>
        <v/>
      </c>
      <c r="F442" s="38" t="str">
        <f t="shared" si="92"/>
        <v/>
      </c>
      <c r="G442" s="38" t="str">
        <f t="shared" si="85"/>
        <v/>
      </c>
      <c r="H442" s="38"/>
      <c r="J442" t="str">
        <f t="shared" si="93"/>
        <v/>
      </c>
      <c r="K442" s="38" t="str">
        <f t="shared" si="86"/>
        <v/>
      </c>
      <c r="L442" s="38" t="str">
        <f t="shared" si="94"/>
        <v/>
      </c>
      <c r="M442" s="38" t="str">
        <f t="shared" si="95"/>
        <v/>
      </c>
      <c r="N442" s="38" t="str">
        <f t="shared" si="96"/>
        <v/>
      </c>
      <c r="O442" s="38" t="str">
        <f t="shared" si="97"/>
        <v/>
      </c>
      <c r="P442" s="38" t="str">
        <f t="shared" si="87"/>
        <v/>
      </c>
      <c r="Q442" s="38"/>
    </row>
    <row r="443" spans="1:17" x14ac:dyDescent="0.2">
      <c r="A443" t="str">
        <f t="shared" si="88"/>
        <v/>
      </c>
      <c r="B443" s="38" t="str">
        <f t="shared" si="84"/>
        <v/>
      </c>
      <c r="C443" s="38" t="str">
        <f t="shared" si="89"/>
        <v/>
      </c>
      <c r="D443" s="38" t="str">
        <f t="shared" si="90"/>
        <v/>
      </c>
      <c r="E443" s="38" t="str">
        <f t="shared" si="91"/>
        <v/>
      </c>
      <c r="F443" s="38" t="str">
        <f t="shared" si="92"/>
        <v/>
      </c>
      <c r="G443" s="38" t="str">
        <f t="shared" si="85"/>
        <v/>
      </c>
      <c r="H443" s="38"/>
      <c r="J443" t="str">
        <f t="shared" si="93"/>
        <v/>
      </c>
      <c r="K443" s="38" t="str">
        <f t="shared" si="86"/>
        <v/>
      </c>
      <c r="L443" s="38" t="str">
        <f t="shared" si="94"/>
        <v/>
      </c>
      <c r="M443" s="38" t="str">
        <f t="shared" si="95"/>
        <v/>
      </c>
      <c r="N443" s="38" t="str">
        <f t="shared" si="96"/>
        <v/>
      </c>
      <c r="O443" s="38" t="str">
        <f t="shared" si="97"/>
        <v/>
      </c>
      <c r="P443" s="38" t="str">
        <f t="shared" si="87"/>
        <v/>
      </c>
      <c r="Q443" s="38"/>
    </row>
    <row r="444" spans="1:17" x14ac:dyDescent="0.2">
      <c r="A444" t="str">
        <f t="shared" si="88"/>
        <v/>
      </c>
      <c r="B444" s="38" t="str">
        <f t="shared" si="84"/>
        <v/>
      </c>
      <c r="C444" s="38" t="str">
        <f t="shared" si="89"/>
        <v/>
      </c>
      <c r="D444" s="38" t="str">
        <f t="shared" si="90"/>
        <v/>
      </c>
      <c r="E444" s="38" t="str">
        <f t="shared" si="91"/>
        <v/>
      </c>
      <c r="F444" s="38" t="str">
        <f t="shared" si="92"/>
        <v/>
      </c>
      <c r="G444" s="38" t="str">
        <f t="shared" si="85"/>
        <v/>
      </c>
      <c r="H444" s="38"/>
      <c r="J444" t="str">
        <f t="shared" si="93"/>
        <v/>
      </c>
      <c r="K444" s="38" t="str">
        <f t="shared" si="86"/>
        <v/>
      </c>
      <c r="L444" s="38" t="str">
        <f t="shared" si="94"/>
        <v/>
      </c>
      <c r="M444" s="38" t="str">
        <f t="shared" si="95"/>
        <v/>
      </c>
      <c r="N444" s="38" t="str">
        <f t="shared" si="96"/>
        <v/>
      </c>
      <c r="O444" s="38" t="str">
        <f t="shared" si="97"/>
        <v/>
      </c>
      <c r="P444" s="38" t="str">
        <f t="shared" si="87"/>
        <v/>
      </c>
      <c r="Q444" s="38"/>
    </row>
    <row r="445" spans="1:17" x14ac:dyDescent="0.2">
      <c r="A445" t="str">
        <f t="shared" si="88"/>
        <v/>
      </c>
      <c r="B445" s="38" t="str">
        <f t="shared" si="84"/>
        <v/>
      </c>
      <c r="C445" s="38" t="str">
        <f t="shared" si="89"/>
        <v/>
      </c>
      <c r="D445" s="38" t="str">
        <f t="shared" si="90"/>
        <v/>
      </c>
      <c r="E445" s="38" t="str">
        <f t="shared" si="91"/>
        <v/>
      </c>
      <c r="F445" s="38" t="str">
        <f t="shared" si="92"/>
        <v/>
      </c>
      <c r="G445" s="38" t="str">
        <f t="shared" si="85"/>
        <v/>
      </c>
      <c r="H445" s="38"/>
      <c r="J445" t="str">
        <f t="shared" si="93"/>
        <v/>
      </c>
      <c r="K445" s="38" t="str">
        <f t="shared" si="86"/>
        <v/>
      </c>
      <c r="L445" s="38" t="str">
        <f t="shared" si="94"/>
        <v/>
      </c>
      <c r="M445" s="38" t="str">
        <f t="shared" si="95"/>
        <v/>
      </c>
      <c r="N445" s="38" t="str">
        <f t="shared" si="96"/>
        <v/>
      </c>
      <c r="O445" s="38" t="str">
        <f t="shared" si="97"/>
        <v/>
      </c>
      <c r="P445" s="38" t="str">
        <f t="shared" si="87"/>
        <v/>
      </c>
      <c r="Q445" s="38"/>
    </row>
    <row r="446" spans="1:17" x14ac:dyDescent="0.2">
      <c r="A446" t="str">
        <f t="shared" si="88"/>
        <v/>
      </c>
      <c r="B446" s="38" t="str">
        <f t="shared" si="84"/>
        <v/>
      </c>
      <c r="C446" s="38" t="str">
        <f t="shared" si="89"/>
        <v/>
      </c>
      <c r="D446" s="38" t="str">
        <f t="shared" si="90"/>
        <v/>
      </c>
      <c r="E446" s="38" t="str">
        <f t="shared" si="91"/>
        <v/>
      </c>
      <c r="F446" s="38" t="str">
        <f t="shared" si="92"/>
        <v/>
      </c>
      <c r="G446" s="38" t="str">
        <f t="shared" si="85"/>
        <v/>
      </c>
      <c r="H446" s="38"/>
      <c r="J446" t="str">
        <f t="shared" si="93"/>
        <v/>
      </c>
      <c r="K446" s="38" t="str">
        <f t="shared" si="86"/>
        <v/>
      </c>
      <c r="L446" s="38" t="str">
        <f t="shared" si="94"/>
        <v/>
      </c>
      <c r="M446" s="38" t="str">
        <f t="shared" si="95"/>
        <v/>
      </c>
      <c r="N446" s="38" t="str">
        <f t="shared" si="96"/>
        <v/>
      </c>
      <c r="O446" s="38" t="str">
        <f t="shared" si="97"/>
        <v/>
      </c>
      <c r="P446" s="38" t="str">
        <f t="shared" si="87"/>
        <v/>
      </c>
      <c r="Q446" s="38"/>
    </row>
    <row r="447" spans="1:17" x14ac:dyDescent="0.2">
      <c r="A447" t="str">
        <f t="shared" si="88"/>
        <v/>
      </c>
      <c r="B447" s="38" t="str">
        <f t="shared" si="84"/>
        <v/>
      </c>
      <c r="C447" s="38" t="str">
        <f t="shared" si="89"/>
        <v/>
      </c>
      <c r="D447" s="38" t="str">
        <f t="shared" si="90"/>
        <v/>
      </c>
      <c r="E447" s="38" t="str">
        <f t="shared" si="91"/>
        <v/>
      </c>
      <c r="F447" s="38" t="str">
        <f t="shared" si="92"/>
        <v/>
      </c>
      <c r="G447" s="38" t="str">
        <f t="shared" si="85"/>
        <v/>
      </c>
      <c r="H447" s="38"/>
      <c r="J447" t="str">
        <f t="shared" si="93"/>
        <v/>
      </c>
      <c r="K447" s="38" t="str">
        <f t="shared" si="86"/>
        <v/>
      </c>
      <c r="L447" s="38" t="str">
        <f t="shared" si="94"/>
        <v/>
      </c>
      <c r="M447" s="38" t="str">
        <f t="shared" si="95"/>
        <v/>
      </c>
      <c r="N447" s="38" t="str">
        <f t="shared" si="96"/>
        <v/>
      </c>
      <c r="O447" s="38" t="str">
        <f t="shared" si="97"/>
        <v/>
      </c>
      <c r="P447" s="38" t="str">
        <f t="shared" si="87"/>
        <v/>
      </c>
      <c r="Q447" s="38"/>
    </row>
    <row r="448" spans="1:17" x14ac:dyDescent="0.2">
      <c r="A448" t="str">
        <f t="shared" si="88"/>
        <v/>
      </c>
      <c r="B448" s="38" t="str">
        <f t="shared" si="84"/>
        <v/>
      </c>
      <c r="C448" s="38" t="str">
        <f t="shared" si="89"/>
        <v/>
      </c>
      <c r="D448" s="38" t="str">
        <f t="shared" si="90"/>
        <v/>
      </c>
      <c r="E448" s="38" t="str">
        <f t="shared" si="91"/>
        <v/>
      </c>
      <c r="F448" s="38" t="str">
        <f t="shared" si="92"/>
        <v/>
      </c>
      <c r="G448" s="38" t="str">
        <f t="shared" si="85"/>
        <v/>
      </c>
      <c r="H448" s="38"/>
      <c r="J448" t="str">
        <f t="shared" si="93"/>
        <v/>
      </c>
      <c r="K448" s="38" t="str">
        <f t="shared" si="86"/>
        <v/>
      </c>
      <c r="L448" s="38" t="str">
        <f t="shared" si="94"/>
        <v/>
      </c>
      <c r="M448" s="38" t="str">
        <f t="shared" si="95"/>
        <v/>
      </c>
      <c r="N448" s="38" t="str">
        <f t="shared" si="96"/>
        <v/>
      </c>
      <c r="O448" s="38" t="str">
        <f t="shared" si="97"/>
        <v/>
      </c>
      <c r="P448" s="38" t="str">
        <f t="shared" si="87"/>
        <v/>
      </c>
      <c r="Q448" s="38"/>
    </row>
    <row r="449" spans="1:17" x14ac:dyDescent="0.2">
      <c r="A449" t="str">
        <f t="shared" si="88"/>
        <v/>
      </c>
      <c r="B449" s="38" t="str">
        <f t="shared" si="84"/>
        <v/>
      </c>
      <c r="C449" s="38" t="str">
        <f t="shared" si="89"/>
        <v/>
      </c>
      <c r="D449" s="38" t="str">
        <f t="shared" si="90"/>
        <v/>
      </c>
      <c r="E449" s="38" t="str">
        <f t="shared" si="91"/>
        <v/>
      </c>
      <c r="F449" s="38" t="str">
        <f t="shared" si="92"/>
        <v/>
      </c>
      <c r="G449" s="38" t="str">
        <f t="shared" si="85"/>
        <v/>
      </c>
      <c r="H449" s="38"/>
      <c r="J449" t="str">
        <f t="shared" si="93"/>
        <v/>
      </c>
      <c r="K449" s="38" t="str">
        <f t="shared" si="86"/>
        <v/>
      </c>
      <c r="L449" s="38" t="str">
        <f t="shared" si="94"/>
        <v/>
      </c>
      <c r="M449" s="38" t="str">
        <f t="shared" si="95"/>
        <v/>
      </c>
      <c r="N449" s="38" t="str">
        <f t="shared" si="96"/>
        <v/>
      </c>
      <c r="O449" s="38" t="str">
        <f t="shared" si="97"/>
        <v/>
      </c>
      <c r="P449" s="38" t="str">
        <f t="shared" si="87"/>
        <v/>
      </c>
      <c r="Q449" s="38"/>
    </row>
    <row r="450" spans="1:17" x14ac:dyDescent="0.2">
      <c r="A450" t="str">
        <f t="shared" si="88"/>
        <v/>
      </c>
      <c r="B450" s="38" t="str">
        <f t="shared" si="84"/>
        <v/>
      </c>
      <c r="C450" s="38" t="str">
        <f t="shared" si="89"/>
        <v/>
      </c>
      <c r="D450" s="38" t="str">
        <f t="shared" si="90"/>
        <v/>
      </c>
      <c r="E450" s="38" t="str">
        <f t="shared" si="91"/>
        <v/>
      </c>
      <c r="F450" s="38" t="str">
        <f t="shared" si="92"/>
        <v/>
      </c>
      <c r="G450" s="38" t="str">
        <f t="shared" si="85"/>
        <v/>
      </c>
      <c r="H450" s="38"/>
      <c r="J450" t="str">
        <f t="shared" si="93"/>
        <v/>
      </c>
      <c r="K450" s="38" t="str">
        <f t="shared" si="86"/>
        <v/>
      </c>
      <c r="L450" s="38" t="str">
        <f t="shared" si="94"/>
        <v/>
      </c>
      <c r="M450" s="38" t="str">
        <f t="shared" si="95"/>
        <v/>
      </c>
      <c r="N450" s="38" t="str">
        <f t="shared" si="96"/>
        <v/>
      </c>
      <c r="O450" s="38" t="str">
        <f t="shared" si="97"/>
        <v/>
      </c>
      <c r="P450" s="38" t="str">
        <f t="shared" si="87"/>
        <v/>
      </c>
      <c r="Q450" s="38"/>
    </row>
    <row r="451" spans="1:17" x14ac:dyDescent="0.2">
      <c r="A451" t="str">
        <f t="shared" si="88"/>
        <v/>
      </c>
      <c r="B451" s="38" t="str">
        <f t="shared" si="84"/>
        <v/>
      </c>
      <c r="C451" s="38" t="str">
        <f t="shared" si="89"/>
        <v/>
      </c>
      <c r="D451" s="38" t="str">
        <f t="shared" si="90"/>
        <v/>
      </c>
      <c r="E451" s="38" t="str">
        <f t="shared" si="91"/>
        <v/>
      </c>
      <c r="F451" s="38" t="str">
        <f t="shared" si="92"/>
        <v/>
      </c>
      <c r="G451" s="38" t="str">
        <f t="shared" si="85"/>
        <v/>
      </c>
      <c r="H451" s="38"/>
      <c r="J451" t="str">
        <f t="shared" si="93"/>
        <v/>
      </c>
      <c r="K451" s="38" t="str">
        <f t="shared" si="86"/>
        <v/>
      </c>
      <c r="L451" s="38" t="str">
        <f t="shared" si="94"/>
        <v/>
      </c>
      <c r="M451" s="38" t="str">
        <f t="shared" si="95"/>
        <v/>
      </c>
      <c r="N451" s="38" t="str">
        <f t="shared" si="96"/>
        <v/>
      </c>
      <c r="O451" s="38" t="str">
        <f t="shared" si="97"/>
        <v/>
      </c>
      <c r="P451" s="38" t="str">
        <f t="shared" si="87"/>
        <v/>
      </c>
      <c r="Q451" s="38"/>
    </row>
    <row r="452" spans="1:17" x14ac:dyDescent="0.2">
      <c r="A452" t="str">
        <f t="shared" si="88"/>
        <v/>
      </c>
      <c r="B452" s="38" t="str">
        <f t="shared" si="84"/>
        <v/>
      </c>
      <c r="C452" s="38" t="str">
        <f t="shared" si="89"/>
        <v/>
      </c>
      <c r="D452" s="38" t="str">
        <f t="shared" si="90"/>
        <v/>
      </c>
      <c r="E452" s="38" t="str">
        <f t="shared" si="91"/>
        <v/>
      </c>
      <c r="F452" s="38" t="str">
        <f t="shared" si="92"/>
        <v/>
      </c>
      <c r="G452" s="38" t="str">
        <f t="shared" si="85"/>
        <v/>
      </c>
      <c r="H452" s="38"/>
      <c r="J452" t="str">
        <f t="shared" si="93"/>
        <v/>
      </c>
      <c r="K452" s="38" t="str">
        <f t="shared" si="86"/>
        <v/>
      </c>
      <c r="L452" s="38" t="str">
        <f t="shared" si="94"/>
        <v/>
      </c>
      <c r="M452" s="38" t="str">
        <f t="shared" si="95"/>
        <v/>
      </c>
      <c r="N452" s="38" t="str">
        <f t="shared" si="96"/>
        <v/>
      </c>
      <c r="O452" s="38" t="str">
        <f t="shared" si="97"/>
        <v/>
      </c>
      <c r="P452" s="38" t="str">
        <f t="shared" si="87"/>
        <v/>
      </c>
      <c r="Q452" s="38"/>
    </row>
    <row r="453" spans="1:17" x14ac:dyDescent="0.2">
      <c r="A453" t="str">
        <f t="shared" si="88"/>
        <v/>
      </c>
      <c r="B453" s="38" t="str">
        <f t="shared" si="84"/>
        <v/>
      </c>
      <c r="C453" s="38" t="str">
        <f t="shared" si="89"/>
        <v/>
      </c>
      <c r="D453" s="38" t="str">
        <f t="shared" si="90"/>
        <v/>
      </c>
      <c r="E453" s="38" t="str">
        <f t="shared" si="91"/>
        <v/>
      </c>
      <c r="F453" s="38" t="str">
        <f t="shared" si="92"/>
        <v/>
      </c>
      <c r="G453" s="38" t="str">
        <f t="shared" si="85"/>
        <v/>
      </c>
      <c r="H453" s="38"/>
      <c r="J453" t="str">
        <f t="shared" si="93"/>
        <v/>
      </c>
      <c r="K453" s="38" t="str">
        <f t="shared" si="86"/>
        <v/>
      </c>
      <c r="L453" s="38" t="str">
        <f t="shared" si="94"/>
        <v/>
      </c>
      <c r="M453" s="38" t="str">
        <f t="shared" si="95"/>
        <v/>
      </c>
      <c r="N453" s="38" t="str">
        <f t="shared" si="96"/>
        <v/>
      </c>
      <c r="O453" s="38" t="str">
        <f t="shared" si="97"/>
        <v/>
      </c>
      <c r="P453" s="38" t="str">
        <f t="shared" si="87"/>
        <v/>
      </c>
      <c r="Q453" s="38"/>
    </row>
    <row r="454" spans="1:17" x14ac:dyDescent="0.2">
      <c r="A454" t="str">
        <f t="shared" si="88"/>
        <v/>
      </c>
      <c r="B454" s="38" t="str">
        <f t="shared" si="84"/>
        <v/>
      </c>
      <c r="C454" s="38" t="str">
        <f t="shared" si="89"/>
        <v/>
      </c>
      <c r="D454" s="38" t="str">
        <f t="shared" si="90"/>
        <v/>
      </c>
      <c r="E454" s="38" t="str">
        <f t="shared" si="91"/>
        <v/>
      </c>
      <c r="F454" s="38" t="str">
        <f t="shared" si="92"/>
        <v/>
      </c>
      <c r="G454" s="38" t="str">
        <f t="shared" si="85"/>
        <v/>
      </c>
      <c r="H454" s="38"/>
      <c r="J454" t="str">
        <f t="shared" si="93"/>
        <v/>
      </c>
      <c r="K454" s="38" t="str">
        <f t="shared" si="86"/>
        <v/>
      </c>
      <c r="L454" s="38" t="str">
        <f t="shared" si="94"/>
        <v/>
      </c>
      <c r="M454" s="38" t="str">
        <f t="shared" si="95"/>
        <v/>
      </c>
      <c r="N454" s="38" t="str">
        <f t="shared" si="96"/>
        <v/>
      </c>
      <c r="O454" s="38" t="str">
        <f t="shared" si="97"/>
        <v/>
      </c>
      <c r="P454" s="38" t="str">
        <f t="shared" si="87"/>
        <v/>
      </c>
      <c r="Q454" s="38"/>
    </row>
    <row r="455" spans="1:17" x14ac:dyDescent="0.2">
      <c r="A455" t="str">
        <f t="shared" si="88"/>
        <v/>
      </c>
      <c r="B455" s="38" t="str">
        <f t="shared" si="84"/>
        <v/>
      </c>
      <c r="C455" s="38" t="str">
        <f t="shared" si="89"/>
        <v/>
      </c>
      <c r="D455" s="38" t="str">
        <f t="shared" si="90"/>
        <v/>
      </c>
      <c r="E455" s="38" t="str">
        <f t="shared" si="91"/>
        <v/>
      </c>
      <c r="F455" s="38" t="str">
        <f t="shared" si="92"/>
        <v/>
      </c>
      <c r="G455" s="38" t="str">
        <f t="shared" si="85"/>
        <v/>
      </c>
      <c r="H455" s="38"/>
      <c r="J455" t="str">
        <f t="shared" si="93"/>
        <v/>
      </c>
      <c r="K455" s="38" t="str">
        <f t="shared" si="86"/>
        <v/>
      </c>
      <c r="L455" s="38" t="str">
        <f t="shared" si="94"/>
        <v/>
      </c>
      <c r="M455" s="38" t="str">
        <f t="shared" si="95"/>
        <v/>
      </c>
      <c r="N455" s="38" t="str">
        <f t="shared" si="96"/>
        <v/>
      </c>
      <c r="O455" s="38" t="str">
        <f t="shared" si="97"/>
        <v/>
      </c>
      <c r="P455" s="38" t="str">
        <f t="shared" si="87"/>
        <v/>
      </c>
      <c r="Q455" s="38"/>
    </row>
    <row r="456" spans="1:17" x14ac:dyDescent="0.2">
      <c r="A456" t="str">
        <f t="shared" si="88"/>
        <v/>
      </c>
      <c r="B456" s="38" t="str">
        <f t="shared" si="84"/>
        <v/>
      </c>
      <c r="C456" s="38" t="str">
        <f t="shared" si="89"/>
        <v/>
      </c>
      <c r="D456" s="38" t="str">
        <f t="shared" si="90"/>
        <v/>
      </c>
      <c r="E456" s="38" t="str">
        <f t="shared" si="91"/>
        <v/>
      </c>
      <c r="F456" s="38" t="str">
        <f t="shared" si="92"/>
        <v/>
      </c>
      <c r="G456" s="38" t="str">
        <f t="shared" si="85"/>
        <v/>
      </c>
      <c r="H456" s="38"/>
      <c r="J456" t="str">
        <f t="shared" si="93"/>
        <v/>
      </c>
      <c r="K456" s="38" t="str">
        <f t="shared" si="86"/>
        <v/>
      </c>
      <c r="L456" s="38" t="str">
        <f t="shared" si="94"/>
        <v/>
      </c>
      <c r="M456" s="38" t="str">
        <f t="shared" si="95"/>
        <v/>
      </c>
      <c r="N456" s="38" t="str">
        <f t="shared" si="96"/>
        <v/>
      </c>
      <c r="O456" s="38" t="str">
        <f t="shared" si="97"/>
        <v/>
      </c>
      <c r="P456" s="38" t="str">
        <f t="shared" si="87"/>
        <v/>
      </c>
      <c r="Q456" s="38"/>
    </row>
    <row r="457" spans="1:17" x14ac:dyDescent="0.2">
      <c r="A457" t="str">
        <f t="shared" si="88"/>
        <v/>
      </c>
      <c r="B457" s="38" t="str">
        <f t="shared" si="84"/>
        <v/>
      </c>
      <c r="C457" s="38" t="str">
        <f t="shared" si="89"/>
        <v/>
      </c>
      <c r="D457" s="38" t="str">
        <f t="shared" si="90"/>
        <v/>
      </c>
      <c r="E457" s="38" t="str">
        <f t="shared" si="91"/>
        <v/>
      </c>
      <c r="F457" s="38" t="str">
        <f t="shared" si="92"/>
        <v/>
      </c>
      <c r="G457" s="38" t="str">
        <f t="shared" si="85"/>
        <v/>
      </c>
      <c r="H457" s="38"/>
      <c r="J457" t="str">
        <f t="shared" si="93"/>
        <v/>
      </c>
      <c r="K457" s="38" t="str">
        <f t="shared" si="86"/>
        <v/>
      </c>
      <c r="L457" s="38" t="str">
        <f t="shared" si="94"/>
        <v/>
      </c>
      <c r="M457" s="38" t="str">
        <f t="shared" si="95"/>
        <v/>
      </c>
      <c r="N457" s="38" t="str">
        <f t="shared" si="96"/>
        <v/>
      </c>
      <c r="O457" s="38" t="str">
        <f t="shared" si="97"/>
        <v/>
      </c>
      <c r="P457" s="38" t="str">
        <f t="shared" si="87"/>
        <v/>
      </c>
      <c r="Q457" s="38"/>
    </row>
    <row r="458" spans="1:17" x14ac:dyDescent="0.2">
      <c r="A458" t="str">
        <f t="shared" si="88"/>
        <v/>
      </c>
      <c r="B458" s="38" t="str">
        <f t="shared" si="84"/>
        <v/>
      </c>
      <c r="C458" s="38" t="str">
        <f t="shared" si="89"/>
        <v/>
      </c>
      <c r="D458" s="38" t="str">
        <f t="shared" si="90"/>
        <v/>
      </c>
      <c r="E458" s="38" t="str">
        <f t="shared" si="91"/>
        <v/>
      </c>
      <c r="F458" s="38" t="str">
        <f t="shared" si="92"/>
        <v/>
      </c>
      <c r="G458" s="38" t="str">
        <f t="shared" si="85"/>
        <v/>
      </c>
      <c r="H458" s="38"/>
      <c r="J458" t="str">
        <f t="shared" si="93"/>
        <v/>
      </c>
      <c r="K458" s="38" t="str">
        <f t="shared" si="86"/>
        <v/>
      </c>
      <c r="L458" s="38" t="str">
        <f t="shared" si="94"/>
        <v/>
      </c>
      <c r="M458" s="38" t="str">
        <f t="shared" si="95"/>
        <v/>
      </c>
      <c r="N458" s="38" t="str">
        <f t="shared" si="96"/>
        <v/>
      </c>
      <c r="O458" s="38" t="str">
        <f t="shared" si="97"/>
        <v/>
      </c>
      <c r="P458" s="38" t="str">
        <f t="shared" si="87"/>
        <v/>
      </c>
      <c r="Q458" s="38"/>
    </row>
    <row r="459" spans="1:17" x14ac:dyDescent="0.2">
      <c r="A459" t="str">
        <f t="shared" si="88"/>
        <v/>
      </c>
      <c r="B459" s="38" t="str">
        <f t="shared" si="84"/>
        <v/>
      </c>
      <c r="C459" s="38" t="str">
        <f t="shared" si="89"/>
        <v/>
      </c>
      <c r="D459" s="38" t="str">
        <f t="shared" si="90"/>
        <v/>
      </c>
      <c r="E459" s="38" t="str">
        <f t="shared" si="91"/>
        <v/>
      </c>
      <c r="F459" s="38" t="str">
        <f t="shared" si="92"/>
        <v/>
      </c>
      <c r="G459" s="38" t="str">
        <f t="shared" si="85"/>
        <v/>
      </c>
      <c r="H459" s="38"/>
      <c r="J459" t="str">
        <f t="shared" si="93"/>
        <v/>
      </c>
      <c r="K459" s="38" t="str">
        <f t="shared" si="86"/>
        <v/>
      </c>
      <c r="L459" s="38" t="str">
        <f t="shared" si="94"/>
        <v/>
      </c>
      <c r="M459" s="38" t="str">
        <f t="shared" si="95"/>
        <v/>
      </c>
      <c r="N459" s="38" t="str">
        <f t="shared" si="96"/>
        <v/>
      </c>
      <c r="O459" s="38" t="str">
        <f t="shared" si="97"/>
        <v/>
      </c>
      <c r="P459" s="38" t="str">
        <f t="shared" si="87"/>
        <v/>
      </c>
      <c r="Q459" s="38"/>
    </row>
    <row r="460" spans="1:17" x14ac:dyDescent="0.2">
      <c r="A460" t="str">
        <f t="shared" si="88"/>
        <v/>
      </c>
      <c r="B460" s="38" t="str">
        <f t="shared" si="84"/>
        <v/>
      </c>
      <c r="C460" s="38" t="str">
        <f t="shared" si="89"/>
        <v/>
      </c>
      <c r="D460" s="38" t="str">
        <f t="shared" si="90"/>
        <v/>
      </c>
      <c r="E460" s="38" t="str">
        <f t="shared" si="91"/>
        <v/>
      </c>
      <c r="F460" s="38" t="str">
        <f t="shared" si="92"/>
        <v/>
      </c>
      <c r="G460" s="38" t="str">
        <f t="shared" si="85"/>
        <v/>
      </c>
      <c r="H460" s="38"/>
      <c r="J460" t="str">
        <f t="shared" si="93"/>
        <v/>
      </c>
      <c r="K460" s="38" t="str">
        <f t="shared" si="86"/>
        <v/>
      </c>
      <c r="L460" s="38" t="str">
        <f t="shared" si="94"/>
        <v/>
      </c>
      <c r="M460" s="38" t="str">
        <f t="shared" si="95"/>
        <v/>
      </c>
      <c r="N460" s="38" t="str">
        <f t="shared" si="96"/>
        <v/>
      </c>
      <c r="O460" s="38" t="str">
        <f t="shared" si="97"/>
        <v/>
      </c>
      <c r="P460" s="38" t="str">
        <f t="shared" si="87"/>
        <v/>
      </c>
      <c r="Q460" s="38"/>
    </row>
    <row r="461" spans="1:17" x14ac:dyDescent="0.2">
      <c r="A461" t="str">
        <f t="shared" si="88"/>
        <v/>
      </c>
      <c r="B461" s="38" t="str">
        <f t="shared" si="84"/>
        <v/>
      </c>
      <c r="C461" s="38" t="str">
        <f t="shared" si="89"/>
        <v/>
      </c>
      <c r="D461" s="38" t="str">
        <f t="shared" si="90"/>
        <v/>
      </c>
      <c r="E461" s="38" t="str">
        <f t="shared" si="91"/>
        <v/>
      </c>
      <c r="F461" s="38" t="str">
        <f t="shared" si="92"/>
        <v/>
      </c>
      <c r="G461" s="38" t="str">
        <f t="shared" si="85"/>
        <v/>
      </c>
      <c r="H461" s="38"/>
      <c r="J461" t="str">
        <f t="shared" si="93"/>
        <v/>
      </c>
      <c r="K461" s="38" t="str">
        <f t="shared" si="86"/>
        <v/>
      </c>
      <c r="L461" s="38" t="str">
        <f t="shared" si="94"/>
        <v/>
      </c>
      <c r="M461" s="38" t="str">
        <f t="shared" si="95"/>
        <v/>
      </c>
      <c r="N461" s="38" t="str">
        <f t="shared" si="96"/>
        <v/>
      </c>
      <c r="O461" s="38" t="str">
        <f t="shared" si="97"/>
        <v/>
      </c>
      <c r="P461" s="38" t="str">
        <f t="shared" si="87"/>
        <v/>
      </c>
      <c r="Q461" s="38"/>
    </row>
    <row r="462" spans="1:17" x14ac:dyDescent="0.2">
      <c r="A462" t="str">
        <f t="shared" si="88"/>
        <v/>
      </c>
      <c r="B462" s="38" t="str">
        <f t="shared" si="84"/>
        <v/>
      </c>
      <c r="C462" s="38" t="str">
        <f t="shared" si="89"/>
        <v/>
      </c>
      <c r="D462" s="38" t="str">
        <f t="shared" si="90"/>
        <v/>
      </c>
      <c r="E462" s="38" t="str">
        <f t="shared" si="91"/>
        <v/>
      </c>
      <c r="F462" s="38" t="str">
        <f t="shared" si="92"/>
        <v/>
      </c>
      <c r="G462" s="38" t="str">
        <f t="shared" si="85"/>
        <v/>
      </c>
      <c r="H462" s="38"/>
      <c r="J462" t="str">
        <f t="shared" si="93"/>
        <v/>
      </c>
      <c r="K462" s="38" t="str">
        <f t="shared" si="86"/>
        <v/>
      </c>
      <c r="L462" s="38" t="str">
        <f t="shared" si="94"/>
        <v/>
      </c>
      <c r="M462" s="38" t="str">
        <f t="shared" si="95"/>
        <v/>
      </c>
      <c r="N462" s="38" t="str">
        <f t="shared" si="96"/>
        <v/>
      </c>
      <c r="O462" s="38" t="str">
        <f t="shared" si="97"/>
        <v/>
      </c>
      <c r="P462" s="38" t="str">
        <f t="shared" si="87"/>
        <v/>
      </c>
      <c r="Q462" s="38"/>
    </row>
    <row r="463" spans="1:17" x14ac:dyDescent="0.2">
      <c r="A463" t="str">
        <f t="shared" si="88"/>
        <v/>
      </c>
      <c r="B463" s="38" t="str">
        <f t="shared" si="84"/>
        <v/>
      </c>
      <c r="C463" s="38" t="str">
        <f t="shared" si="89"/>
        <v/>
      </c>
      <c r="D463" s="38" t="str">
        <f t="shared" si="90"/>
        <v/>
      </c>
      <c r="E463" s="38" t="str">
        <f t="shared" si="91"/>
        <v/>
      </c>
      <c r="F463" s="38" t="str">
        <f t="shared" si="92"/>
        <v/>
      </c>
      <c r="G463" s="38" t="str">
        <f t="shared" si="85"/>
        <v/>
      </c>
      <c r="H463" s="38"/>
      <c r="J463" t="str">
        <f t="shared" si="93"/>
        <v/>
      </c>
      <c r="K463" s="38" t="str">
        <f t="shared" si="86"/>
        <v/>
      </c>
      <c r="L463" s="38" t="str">
        <f t="shared" si="94"/>
        <v/>
      </c>
      <c r="M463" s="38" t="str">
        <f t="shared" si="95"/>
        <v/>
      </c>
      <c r="N463" s="38" t="str">
        <f t="shared" si="96"/>
        <v/>
      </c>
      <c r="O463" s="38" t="str">
        <f t="shared" si="97"/>
        <v/>
      </c>
      <c r="P463" s="38" t="str">
        <f t="shared" si="87"/>
        <v/>
      </c>
      <c r="Q463" s="38"/>
    </row>
    <row r="464" spans="1:17" x14ac:dyDescent="0.2">
      <c r="A464" t="str">
        <f t="shared" si="88"/>
        <v/>
      </c>
      <c r="B464" s="38" t="str">
        <f t="shared" si="84"/>
        <v/>
      </c>
      <c r="C464" s="38" t="str">
        <f t="shared" si="89"/>
        <v/>
      </c>
      <c r="D464" s="38" t="str">
        <f t="shared" si="90"/>
        <v/>
      </c>
      <c r="E464" s="38" t="str">
        <f t="shared" si="91"/>
        <v/>
      </c>
      <c r="F464" s="38" t="str">
        <f t="shared" si="92"/>
        <v/>
      </c>
      <c r="G464" s="38" t="str">
        <f t="shared" si="85"/>
        <v/>
      </c>
      <c r="H464" s="38"/>
      <c r="J464" t="str">
        <f t="shared" si="93"/>
        <v/>
      </c>
      <c r="K464" s="38" t="str">
        <f t="shared" si="86"/>
        <v/>
      </c>
      <c r="L464" s="38" t="str">
        <f t="shared" si="94"/>
        <v/>
      </c>
      <c r="M464" s="38" t="str">
        <f t="shared" si="95"/>
        <v/>
      </c>
      <c r="N464" s="38" t="str">
        <f t="shared" si="96"/>
        <v/>
      </c>
      <c r="O464" s="38" t="str">
        <f t="shared" si="97"/>
        <v/>
      </c>
      <c r="P464" s="38" t="str">
        <f t="shared" si="87"/>
        <v/>
      </c>
      <c r="Q464" s="38"/>
    </row>
    <row r="465" spans="1:17" x14ac:dyDescent="0.2">
      <c r="A465" t="str">
        <f t="shared" si="88"/>
        <v/>
      </c>
      <c r="B465" s="38" t="str">
        <f t="shared" si="84"/>
        <v/>
      </c>
      <c r="C465" s="38" t="str">
        <f t="shared" si="89"/>
        <v/>
      </c>
      <c r="D465" s="38" t="str">
        <f t="shared" si="90"/>
        <v/>
      </c>
      <c r="E465" s="38" t="str">
        <f t="shared" si="91"/>
        <v/>
      </c>
      <c r="F465" s="38" t="str">
        <f t="shared" si="92"/>
        <v/>
      </c>
      <c r="G465" s="38" t="str">
        <f t="shared" si="85"/>
        <v/>
      </c>
      <c r="H465" s="38"/>
      <c r="J465" t="str">
        <f t="shared" si="93"/>
        <v/>
      </c>
      <c r="K465" s="38" t="str">
        <f t="shared" si="86"/>
        <v/>
      </c>
      <c r="L465" s="38" t="str">
        <f t="shared" si="94"/>
        <v/>
      </c>
      <c r="M465" s="38" t="str">
        <f t="shared" si="95"/>
        <v/>
      </c>
      <c r="N465" s="38" t="str">
        <f t="shared" si="96"/>
        <v/>
      </c>
      <c r="O465" s="38" t="str">
        <f t="shared" si="97"/>
        <v/>
      </c>
      <c r="P465" s="38" t="str">
        <f t="shared" si="87"/>
        <v/>
      </c>
      <c r="Q465" s="38"/>
    </row>
    <row r="466" spans="1:17" x14ac:dyDescent="0.2">
      <c r="A466" t="str">
        <f t="shared" si="88"/>
        <v/>
      </c>
      <c r="B466" s="38" t="str">
        <f t="shared" si="84"/>
        <v/>
      </c>
      <c r="C466" s="38" t="str">
        <f t="shared" si="89"/>
        <v/>
      </c>
      <c r="D466" s="38" t="str">
        <f t="shared" si="90"/>
        <v/>
      </c>
      <c r="E466" s="38" t="str">
        <f t="shared" si="91"/>
        <v/>
      </c>
      <c r="F466" s="38" t="str">
        <f t="shared" si="92"/>
        <v/>
      </c>
      <c r="G466" s="38" t="str">
        <f t="shared" si="85"/>
        <v/>
      </c>
      <c r="H466" s="38"/>
      <c r="J466" t="str">
        <f t="shared" si="93"/>
        <v/>
      </c>
      <c r="K466" s="38" t="str">
        <f t="shared" si="86"/>
        <v/>
      </c>
      <c r="L466" s="38" t="str">
        <f t="shared" si="94"/>
        <v/>
      </c>
      <c r="M466" s="38" t="str">
        <f t="shared" si="95"/>
        <v/>
      </c>
      <c r="N466" s="38" t="str">
        <f t="shared" si="96"/>
        <v/>
      </c>
      <c r="O466" s="38" t="str">
        <f t="shared" si="97"/>
        <v/>
      </c>
      <c r="P466" s="38" t="str">
        <f t="shared" si="87"/>
        <v/>
      </c>
      <c r="Q466" s="38"/>
    </row>
    <row r="467" spans="1:17" x14ac:dyDescent="0.2">
      <c r="A467" t="str">
        <f t="shared" si="88"/>
        <v/>
      </c>
      <c r="B467" s="38" t="str">
        <f t="shared" si="84"/>
        <v/>
      </c>
      <c r="C467" s="38" t="str">
        <f t="shared" si="89"/>
        <v/>
      </c>
      <c r="D467" s="38" t="str">
        <f t="shared" si="90"/>
        <v/>
      </c>
      <c r="E467" s="38" t="str">
        <f t="shared" si="91"/>
        <v/>
      </c>
      <c r="F467" s="38" t="str">
        <f t="shared" si="92"/>
        <v/>
      </c>
      <c r="G467" s="38" t="str">
        <f t="shared" si="85"/>
        <v/>
      </c>
      <c r="H467" s="38"/>
      <c r="J467" t="str">
        <f t="shared" si="93"/>
        <v/>
      </c>
      <c r="K467" s="38" t="str">
        <f t="shared" si="86"/>
        <v/>
      </c>
      <c r="L467" s="38" t="str">
        <f t="shared" si="94"/>
        <v/>
      </c>
      <c r="M467" s="38" t="str">
        <f t="shared" si="95"/>
        <v/>
      </c>
      <c r="N467" s="38" t="str">
        <f t="shared" si="96"/>
        <v/>
      </c>
      <c r="O467" s="38" t="str">
        <f t="shared" si="97"/>
        <v/>
      </c>
      <c r="P467" s="38" t="str">
        <f t="shared" si="87"/>
        <v/>
      </c>
      <c r="Q467" s="38"/>
    </row>
    <row r="468" spans="1:17" x14ac:dyDescent="0.2">
      <c r="A468" t="str">
        <f t="shared" si="88"/>
        <v/>
      </c>
      <c r="B468" s="38" t="str">
        <f t="shared" si="84"/>
        <v/>
      </c>
      <c r="C468" s="38" t="str">
        <f t="shared" si="89"/>
        <v/>
      </c>
      <c r="D468" s="38" t="str">
        <f t="shared" si="90"/>
        <v/>
      </c>
      <c r="E468" s="38" t="str">
        <f t="shared" si="91"/>
        <v/>
      </c>
      <c r="F468" s="38" t="str">
        <f t="shared" si="92"/>
        <v/>
      </c>
      <c r="G468" s="38" t="str">
        <f t="shared" si="85"/>
        <v/>
      </c>
      <c r="H468" s="38"/>
      <c r="J468" t="str">
        <f t="shared" si="93"/>
        <v/>
      </c>
      <c r="K468" s="38" t="str">
        <f t="shared" si="86"/>
        <v/>
      </c>
      <c r="L468" s="38" t="str">
        <f t="shared" si="94"/>
        <v/>
      </c>
      <c r="M468" s="38" t="str">
        <f t="shared" si="95"/>
        <v/>
      </c>
      <c r="N468" s="38" t="str">
        <f t="shared" si="96"/>
        <v/>
      </c>
      <c r="O468" s="38" t="str">
        <f t="shared" si="97"/>
        <v/>
      </c>
      <c r="P468" s="38" t="str">
        <f t="shared" si="87"/>
        <v/>
      </c>
      <c r="Q468" s="38"/>
    </row>
    <row r="469" spans="1:17" x14ac:dyDescent="0.2">
      <c r="A469" t="str">
        <f t="shared" si="88"/>
        <v/>
      </c>
      <c r="B469" s="38" t="str">
        <f t="shared" si="84"/>
        <v/>
      </c>
      <c r="C469" s="38" t="str">
        <f t="shared" si="89"/>
        <v/>
      </c>
      <c r="D469" s="38" t="str">
        <f t="shared" si="90"/>
        <v/>
      </c>
      <c r="E469" s="38" t="str">
        <f t="shared" si="91"/>
        <v/>
      </c>
      <c r="F469" s="38" t="str">
        <f t="shared" si="92"/>
        <v/>
      </c>
      <c r="G469" s="38" t="str">
        <f t="shared" si="85"/>
        <v/>
      </c>
      <c r="H469" s="38"/>
      <c r="J469" t="str">
        <f t="shared" si="93"/>
        <v/>
      </c>
      <c r="K469" s="38" t="str">
        <f t="shared" si="86"/>
        <v/>
      </c>
      <c r="L469" s="38" t="str">
        <f t="shared" si="94"/>
        <v/>
      </c>
      <c r="M469" s="38" t="str">
        <f t="shared" si="95"/>
        <v/>
      </c>
      <c r="N469" s="38" t="str">
        <f t="shared" si="96"/>
        <v/>
      </c>
      <c r="O469" s="38" t="str">
        <f t="shared" si="97"/>
        <v/>
      </c>
      <c r="P469" s="38" t="str">
        <f t="shared" si="87"/>
        <v/>
      </c>
      <c r="Q469" s="38"/>
    </row>
    <row r="470" spans="1:17" x14ac:dyDescent="0.2">
      <c r="A470" t="str">
        <f t="shared" si="88"/>
        <v/>
      </c>
      <c r="B470" s="38" t="str">
        <f t="shared" si="84"/>
        <v/>
      </c>
      <c r="C470" s="38" t="str">
        <f t="shared" si="89"/>
        <v/>
      </c>
      <c r="D470" s="38" t="str">
        <f t="shared" si="90"/>
        <v/>
      </c>
      <c r="E470" s="38" t="str">
        <f t="shared" si="91"/>
        <v/>
      </c>
      <c r="F470" s="38" t="str">
        <f t="shared" si="92"/>
        <v/>
      </c>
      <c r="G470" s="38" t="str">
        <f t="shared" si="85"/>
        <v/>
      </c>
      <c r="H470" s="38"/>
      <c r="J470" t="str">
        <f t="shared" si="93"/>
        <v/>
      </c>
      <c r="K470" s="38" t="str">
        <f t="shared" si="86"/>
        <v/>
      </c>
      <c r="L470" s="38" t="str">
        <f t="shared" si="94"/>
        <v/>
      </c>
      <c r="M470" s="38" t="str">
        <f t="shared" si="95"/>
        <v/>
      </c>
      <c r="N470" s="38" t="str">
        <f t="shared" si="96"/>
        <v/>
      </c>
      <c r="O470" s="38" t="str">
        <f t="shared" si="97"/>
        <v/>
      </c>
      <c r="P470" s="38" t="str">
        <f t="shared" si="87"/>
        <v/>
      </c>
      <c r="Q470" s="38"/>
    </row>
    <row r="471" spans="1:17" x14ac:dyDescent="0.2">
      <c r="A471" t="str">
        <f t="shared" si="88"/>
        <v/>
      </c>
      <c r="B471" s="38" t="str">
        <f t="shared" ref="B471:B534" si="98">IF(A471="","",F470)</f>
        <v/>
      </c>
      <c r="C471" s="38" t="str">
        <f t="shared" si="89"/>
        <v/>
      </c>
      <c r="D471" s="38" t="str">
        <f t="shared" si="90"/>
        <v/>
      </c>
      <c r="E471" s="38" t="str">
        <f t="shared" si="91"/>
        <v/>
      </c>
      <c r="F471" s="38" t="str">
        <f t="shared" si="92"/>
        <v/>
      </c>
      <c r="G471" s="38" t="str">
        <f t="shared" ref="G471:G534" si="99">IF(A471="","", (G470+C471))</f>
        <v/>
      </c>
      <c r="H471" s="38"/>
      <c r="J471" t="str">
        <f t="shared" si="93"/>
        <v/>
      </c>
      <c r="K471" s="38" t="str">
        <f t="shared" ref="K471:K534" si="100">IF(J471="","",O470)</f>
        <v/>
      </c>
      <c r="L471" s="38" t="str">
        <f t="shared" si="94"/>
        <v/>
      </c>
      <c r="M471" s="38" t="str">
        <f t="shared" si="95"/>
        <v/>
      </c>
      <c r="N471" s="38" t="str">
        <f t="shared" si="96"/>
        <v/>
      </c>
      <c r="O471" s="38" t="str">
        <f t="shared" si="97"/>
        <v/>
      </c>
      <c r="P471" s="38" t="str">
        <f t="shared" ref="P471:P534" si="101">IF(J471="","", (P470+L471))</f>
        <v/>
      </c>
      <c r="Q471" s="38"/>
    </row>
    <row r="472" spans="1:17" x14ac:dyDescent="0.2">
      <c r="A472" t="str">
        <f t="shared" ref="A472:A535" si="102">IF(A471&lt;($B$7*$B$8),A471+1,"")</f>
        <v/>
      </c>
      <c r="B472" s="38" t="str">
        <f t="shared" si="98"/>
        <v/>
      </c>
      <c r="C472" s="38" t="str">
        <f t="shared" ref="C472:C535" si="103">IF(A472="","",(B472*$B$6))</f>
        <v/>
      </c>
      <c r="D472" s="38" t="str">
        <f t="shared" ref="D472:D535" si="104">IF(A472="","", $B$3)</f>
        <v/>
      </c>
      <c r="E472" s="38" t="str">
        <f t="shared" ref="E472:E535" si="105">IF(D472="","",(D472-C472))</f>
        <v/>
      </c>
      <c r="F472" s="38" t="str">
        <f t="shared" ref="F472:F535" si="106">IF(A472="","", B472+C472+D472)</f>
        <v/>
      </c>
      <c r="G472" s="38" t="str">
        <f t="shared" si="99"/>
        <v/>
      </c>
      <c r="H472" s="38"/>
      <c r="J472" t="str">
        <f t="shared" ref="J472:J535" si="107">IF(J471&lt;($B$7*$B$8),J471+1,"")</f>
        <v/>
      </c>
      <c r="K472" s="38" t="str">
        <f t="shared" si="100"/>
        <v/>
      </c>
      <c r="L472" s="38" t="str">
        <f t="shared" ref="L472:L525" si="108">IF(J472="","",((K472 + M472)*$B$6))</f>
        <v/>
      </c>
      <c r="M472" s="38" t="str">
        <f t="shared" ref="M472:M535" si="109">IF(J472="","", $B$3)</f>
        <v/>
      </c>
      <c r="N472" s="38" t="str">
        <f t="shared" ref="N472:N535" si="110">IF(M472="","",(M472-L472))</f>
        <v/>
      </c>
      <c r="O472" s="38" t="str">
        <f t="shared" ref="O472:O535" si="111">IF(J472="","", K472+L472+M472)</f>
        <v/>
      </c>
      <c r="P472" s="38" t="str">
        <f t="shared" si="101"/>
        <v/>
      </c>
      <c r="Q472" s="38"/>
    </row>
    <row r="473" spans="1:17" x14ac:dyDescent="0.2">
      <c r="A473" t="str">
        <f t="shared" si="102"/>
        <v/>
      </c>
      <c r="B473" s="38" t="str">
        <f t="shared" si="98"/>
        <v/>
      </c>
      <c r="C473" s="38" t="str">
        <f t="shared" si="103"/>
        <v/>
      </c>
      <c r="D473" s="38" t="str">
        <f t="shared" si="104"/>
        <v/>
      </c>
      <c r="E473" s="38" t="str">
        <f t="shared" si="105"/>
        <v/>
      </c>
      <c r="F473" s="38" t="str">
        <f t="shared" si="106"/>
        <v/>
      </c>
      <c r="G473" s="38" t="str">
        <f t="shared" si="99"/>
        <v/>
      </c>
      <c r="H473" s="38"/>
      <c r="J473" t="str">
        <f t="shared" si="107"/>
        <v/>
      </c>
      <c r="K473" s="38" t="str">
        <f t="shared" si="100"/>
        <v/>
      </c>
      <c r="L473" s="38" t="str">
        <f t="shared" si="108"/>
        <v/>
      </c>
      <c r="M473" s="38" t="str">
        <f t="shared" si="109"/>
        <v/>
      </c>
      <c r="N473" s="38" t="str">
        <f t="shared" si="110"/>
        <v/>
      </c>
      <c r="O473" s="38" t="str">
        <f t="shared" si="111"/>
        <v/>
      </c>
      <c r="P473" s="38" t="str">
        <f t="shared" si="101"/>
        <v/>
      </c>
      <c r="Q473" s="38"/>
    </row>
    <row r="474" spans="1:17" x14ac:dyDescent="0.2">
      <c r="A474" t="str">
        <f t="shared" si="102"/>
        <v/>
      </c>
      <c r="B474" s="38" t="str">
        <f t="shared" si="98"/>
        <v/>
      </c>
      <c r="C474" s="38" t="str">
        <f t="shared" si="103"/>
        <v/>
      </c>
      <c r="D474" s="38" t="str">
        <f t="shared" si="104"/>
        <v/>
      </c>
      <c r="E474" s="38" t="str">
        <f t="shared" si="105"/>
        <v/>
      </c>
      <c r="F474" s="38" t="str">
        <f t="shared" si="106"/>
        <v/>
      </c>
      <c r="G474" s="38" t="str">
        <f t="shared" si="99"/>
        <v/>
      </c>
      <c r="H474" s="38"/>
      <c r="J474" t="str">
        <f t="shared" si="107"/>
        <v/>
      </c>
      <c r="K474" s="38" t="str">
        <f t="shared" si="100"/>
        <v/>
      </c>
      <c r="L474" s="38" t="str">
        <f t="shared" si="108"/>
        <v/>
      </c>
      <c r="M474" s="38" t="str">
        <f t="shared" si="109"/>
        <v/>
      </c>
      <c r="N474" s="38" t="str">
        <f t="shared" si="110"/>
        <v/>
      </c>
      <c r="O474" s="38" t="str">
        <f t="shared" si="111"/>
        <v/>
      </c>
      <c r="P474" s="38" t="str">
        <f t="shared" si="101"/>
        <v/>
      </c>
      <c r="Q474" s="38"/>
    </row>
    <row r="475" spans="1:17" x14ac:dyDescent="0.2">
      <c r="A475" t="str">
        <f t="shared" si="102"/>
        <v/>
      </c>
      <c r="B475" s="38" t="str">
        <f t="shared" si="98"/>
        <v/>
      </c>
      <c r="C475" s="38" t="str">
        <f t="shared" si="103"/>
        <v/>
      </c>
      <c r="D475" s="38" t="str">
        <f t="shared" si="104"/>
        <v/>
      </c>
      <c r="E475" s="38" t="str">
        <f t="shared" si="105"/>
        <v/>
      </c>
      <c r="F475" s="38" t="str">
        <f t="shared" si="106"/>
        <v/>
      </c>
      <c r="G475" s="38" t="str">
        <f t="shared" si="99"/>
        <v/>
      </c>
      <c r="H475" s="38"/>
      <c r="J475" t="str">
        <f t="shared" si="107"/>
        <v/>
      </c>
      <c r="K475" s="38" t="str">
        <f t="shared" si="100"/>
        <v/>
      </c>
      <c r="L475" s="38" t="str">
        <f t="shared" si="108"/>
        <v/>
      </c>
      <c r="M475" s="38" t="str">
        <f t="shared" si="109"/>
        <v/>
      </c>
      <c r="N475" s="38" t="str">
        <f t="shared" si="110"/>
        <v/>
      </c>
      <c r="O475" s="38" t="str">
        <f t="shared" si="111"/>
        <v/>
      </c>
      <c r="P475" s="38" t="str">
        <f t="shared" si="101"/>
        <v/>
      </c>
      <c r="Q475" s="38"/>
    </row>
    <row r="476" spans="1:17" x14ac:dyDescent="0.2">
      <c r="A476" t="str">
        <f t="shared" si="102"/>
        <v/>
      </c>
      <c r="B476" s="38" t="str">
        <f t="shared" si="98"/>
        <v/>
      </c>
      <c r="C476" s="38" t="str">
        <f t="shared" si="103"/>
        <v/>
      </c>
      <c r="D476" s="38" t="str">
        <f t="shared" si="104"/>
        <v/>
      </c>
      <c r="E476" s="38" t="str">
        <f t="shared" si="105"/>
        <v/>
      </c>
      <c r="F476" s="38" t="str">
        <f t="shared" si="106"/>
        <v/>
      </c>
      <c r="G476" s="38" t="str">
        <f t="shared" si="99"/>
        <v/>
      </c>
      <c r="H476" s="38"/>
      <c r="J476" t="str">
        <f t="shared" si="107"/>
        <v/>
      </c>
      <c r="K476" s="38" t="str">
        <f t="shared" si="100"/>
        <v/>
      </c>
      <c r="L476" s="38" t="str">
        <f t="shared" si="108"/>
        <v/>
      </c>
      <c r="M476" s="38" t="str">
        <f t="shared" si="109"/>
        <v/>
      </c>
      <c r="N476" s="38" t="str">
        <f t="shared" si="110"/>
        <v/>
      </c>
      <c r="O476" s="38" t="str">
        <f t="shared" si="111"/>
        <v/>
      </c>
      <c r="P476" s="38" t="str">
        <f t="shared" si="101"/>
        <v/>
      </c>
      <c r="Q476" s="38"/>
    </row>
    <row r="477" spans="1:17" x14ac:dyDescent="0.2">
      <c r="A477" t="str">
        <f t="shared" si="102"/>
        <v/>
      </c>
      <c r="B477" s="38" t="str">
        <f t="shared" si="98"/>
        <v/>
      </c>
      <c r="C477" s="38" t="str">
        <f t="shared" si="103"/>
        <v/>
      </c>
      <c r="D477" s="38" t="str">
        <f t="shared" si="104"/>
        <v/>
      </c>
      <c r="E477" s="38" t="str">
        <f t="shared" si="105"/>
        <v/>
      </c>
      <c r="F477" s="38" t="str">
        <f t="shared" si="106"/>
        <v/>
      </c>
      <c r="G477" s="38" t="str">
        <f t="shared" si="99"/>
        <v/>
      </c>
      <c r="H477" s="38"/>
      <c r="J477" t="str">
        <f t="shared" si="107"/>
        <v/>
      </c>
      <c r="K477" s="38" t="str">
        <f t="shared" si="100"/>
        <v/>
      </c>
      <c r="L477" s="38" t="str">
        <f t="shared" si="108"/>
        <v/>
      </c>
      <c r="M477" s="38" t="str">
        <f t="shared" si="109"/>
        <v/>
      </c>
      <c r="N477" s="38" t="str">
        <f t="shared" si="110"/>
        <v/>
      </c>
      <c r="O477" s="38" t="str">
        <f t="shared" si="111"/>
        <v/>
      </c>
      <c r="P477" s="38" t="str">
        <f t="shared" si="101"/>
        <v/>
      </c>
      <c r="Q477" s="38"/>
    </row>
    <row r="478" spans="1:17" x14ac:dyDescent="0.2">
      <c r="A478" t="str">
        <f t="shared" si="102"/>
        <v/>
      </c>
      <c r="B478" s="38" t="str">
        <f t="shared" si="98"/>
        <v/>
      </c>
      <c r="C478" s="38" t="str">
        <f t="shared" si="103"/>
        <v/>
      </c>
      <c r="D478" s="38" t="str">
        <f t="shared" si="104"/>
        <v/>
      </c>
      <c r="E478" s="38" t="str">
        <f t="shared" si="105"/>
        <v/>
      </c>
      <c r="F478" s="38" t="str">
        <f t="shared" si="106"/>
        <v/>
      </c>
      <c r="G478" s="38" t="str">
        <f t="shared" si="99"/>
        <v/>
      </c>
      <c r="H478" s="38"/>
      <c r="J478" t="str">
        <f t="shared" si="107"/>
        <v/>
      </c>
      <c r="K478" s="38" t="str">
        <f t="shared" si="100"/>
        <v/>
      </c>
      <c r="L478" s="38" t="str">
        <f t="shared" si="108"/>
        <v/>
      </c>
      <c r="M478" s="38" t="str">
        <f t="shared" si="109"/>
        <v/>
      </c>
      <c r="N478" s="38" t="str">
        <f t="shared" si="110"/>
        <v/>
      </c>
      <c r="O478" s="38" t="str">
        <f t="shared" si="111"/>
        <v/>
      </c>
      <c r="P478" s="38" t="str">
        <f t="shared" si="101"/>
        <v/>
      </c>
      <c r="Q478" s="38"/>
    </row>
    <row r="479" spans="1:17" x14ac:dyDescent="0.2">
      <c r="A479" t="str">
        <f t="shared" si="102"/>
        <v/>
      </c>
      <c r="B479" s="38" t="str">
        <f t="shared" si="98"/>
        <v/>
      </c>
      <c r="C479" s="38" t="str">
        <f t="shared" si="103"/>
        <v/>
      </c>
      <c r="D479" s="38" t="str">
        <f t="shared" si="104"/>
        <v/>
      </c>
      <c r="E479" s="38" t="str">
        <f t="shared" si="105"/>
        <v/>
      </c>
      <c r="F479" s="38" t="str">
        <f t="shared" si="106"/>
        <v/>
      </c>
      <c r="G479" s="38" t="str">
        <f t="shared" si="99"/>
        <v/>
      </c>
      <c r="H479" s="38"/>
      <c r="J479" t="str">
        <f t="shared" si="107"/>
        <v/>
      </c>
      <c r="K479" s="38" t="str">
        <f t="shared" si="100"/>
        <v/>
      </c>
      <c r="L479" s="38" t="str">
        <f t="shared" si="108"/>
        <v/>
      </c>
      <c r="M479" s="38" t="str">
        <f t="shared" si="109"/>
        <v/>
      </c>
      <c r="N479" s="38" t="str">
        <f t="shared" si="110"/>
        <v/>
      </c>
      <c r="O479" s="38" t="str">
        <f t="shared" si="111"/>
        <v/>
      </c>
      <c r="P479" s="38" t="str">
        <f t="shared" si="101"/>
        <v/>
      </c>
      <c r="Q479" s="38"/>
    </row>
    <row r="480" spans="1:17" x14ac:dyDescent="0.2">
      <c r="A480" t="str">
        <f t="shared" si="102"/>
        <v/>
      </c>
      <c r="B480" s="38" t="str">
        <f t="shared" si="98"/>
        <v/>
      </c>
      <c r="C480" s="38" t="str">
        <f t="shared" si="103"/>
        <v/>
      </c>
      <c r="D480" s="38" t="str">
        <f t="shared" si="104"/>
        <v/>
      </c>
      <c r="E480" s="38" t="str">
        <f t="shared" si="105"/>
        <v/>
      </c>
      <c r="F480" s="38" t="str">
        <f t="shared" si="106"/>
        <v/>
      </c>
      <c r="G480" s="38" t="str">
        <f t="shared" si="99"/>
        <v/>
      </c>
      <c r="H480" s="38"/>
      <c r="J480" t="str">
        <f t="shared" si="107"/>
        <v/>
      </c>
      <c r="K480" s="38" t="str">
        <f t="shared" si="100"/>
        <v/>
      </c>
      <c r="L480" s="38" t="str">
        <f t="shared" si="108"/>
        <v/>
      </c>
      <c r="M480" s="38" t="str">
        <f t="shared" si="109"/>
        <v/>
      </c>
      <c r="N480" s="38" t="str">
        <f t="shared" si="110"/>
        <v/>
      </c>
      <c r="O480" s="38" t="str">
        <f t="shared" si="111"/>
        <v/>
      </c>
      <c r="P480" s="38" t="str">
        <f t="shared" si="101"/>
        <v/>
      </c>
      <c r="Q480" s="38"/>
    </row>
    <row r="481" spans="1:17" x14ac:dyDescent="0.2">
      <c r="A481" t="str">
        <f t="shared" si="102"/>
        <v/>
      </c>
      <c r="B481" s="38" t="str">
        <f t="shared" si="98"/>
        <v/>
      </c>
      <c r="C481" s="38" t="str">
        <f t="shared" si="103"/>
        <v/>
      </c>
      <c r="D481" s="38" t="str">
        <f t="shared" si="104"/>
        <v/>
      </c>
      <c r="E481" s="38" t="str">
        <f t="shared" si="105"/>
        <v/>
      </c>
      <c r="F481" s="38" t="str">
        <f t="shared" si="106"/>
        <v/>
      </c>
      <c r="G481" s="38" t="str">
        <f t="shared" si="99"/>
        <v/>
      </c>
      <c r="H481" s="38"/>
      <c r="J481" t="str">
        <f t="shared" si="107"/>
        <v/>
      </c>
      <c r="K481" s="38" t="str">
        <f t="shared" si="100"/>
        <v/>
      </c>
      <c r="L481" s="38" t="str">
        <f t="shared" si="108"/>
        <v/>
      </c>
      <c r="M481" s="38" t="str">
        <f t="shared" si="109"/>
        <v/>
      </c>
      <c r="N481" s="38" t="str">
        <f t="shared" si="110"/>
        <v/>
      </c>
      <c r="O481" s="38" t="str">
        <f t="shared" si="111"/>
        <v/>
      </c>
      <c r="P481" s="38" t="str">
        <f t="shared" si="101"/>
        <v/>
      </c>
      <c r="Q481" s="38"/>
    </row>
    <row r="482" spans="1:17" x14ac:dyDescent="0.2">
      <c r="A482" t="str">
        <f t="shared" si="102"/>
        <v/>
      </c>
      <c r="B482" s="38" t="str">
        <f t="shared" si="98"/>
        <v/>
      </c>
      <c r="C482" s="38" t="str">
        <f t="shared" si="103"/>
        <v/>
      </c>
      <c r="D482" s="38" t="str">
        <f t="shared" si="104"/>
        <v/>
      </c>
      <c r="E482" s="38" t="str">
        <f t="shared" si="105"/>
        <v/>
      </c>
      <c r="F482" s="38" t="str">
        <f t="shared" si="106"/>
        <v/>
      </c>
      <c r="G482" s="38" t="str">
        <f t="shared" si="99"/>
        <v/>
      </c>
      <c r="H482" s="38"/>
      <c r="J482" t="str">
        <f t="shared" si="107"/>
        <v/>
      </c>
      <c r="K482" s="38" t="str">
        <f t="shared" si="100"/>
        <v/>
      </c>
      <c r="L482" s="38" t="str">
        <f t="shared" si="108"/>
        <v/>
      </c>
      <c r="M482" s="38" t="str">
        <f t="shared" si="109"/>
        <v/>
      </c>
      <c r="N482" s="38" t="str">
        <f t="shared" si="110"/>
        <v/>
      </c>
      <c r="O482" s="38" t="str">
        <f t="shared" si="111"/>
        <v/>
      </c>
      <c r="P482" s="38" t="str">
        <f t="shared" si="101"/>
        <v/>
      </c>
      <c r="Q482" s="38"/>
    </row>
    <row r="483" spans="1:17" x14ac:dyDescent="0.2">
      <c r="A483" t="str">
        <f t="shared" si="102"/>
        <v/>
      </c>
      <c r="B483" s="38" t="str">
        <f t="shared" si="98"/>
        <v/>
      </c>
      <c r="C483" s="38" t="str">
        <f t="shared" si="103"/>
        <v/>
      </c>
      <c r="D483" s="38" t="str">
        <f t="shared" si="104"/>
        <v/>
      </c>
      <c r="E483" s="38" t="str">
        <f t="shared" si="105"/>
        <v/>
      </c>
      <c r="F483" s="38" t="str">
        <f t="shared" si="106"/>
        <v/>
      </c>
      <c r="G483" s="38" t="str">
        <f t="shared" si="99"/>
        <v/>
      </c>
      <c r="H483" s="38"/>
      <c r="J483" t="str">
        <f t="shared" si="107"/>
        <v/>
      </c>
      <c r="K483" s="38" t="str">
        <f t="shared" si="100"/>
        <v/>
      </c>
      <c r="L483" s="38" t="str">
        <f t="shared" si="108"/>
        <v/>
      </c>
      <c r="M483" s="38" t="str">
        <f t="shared" si="109"/>
        <v/>
      </c>
      <c r="N483" s="38" t="str">
        <f t="shared" si="110"/>
        <v/>
      </c>
      <c r="O483" s="38" t="str">
        <f t="shared" si="111"/>
        <v/>
      </c>
      <c r="P483" s="38" t="str">
        <f t="shared" si="101"/>
        <v/>
      </c>
      <c r="Q483" s="38"/>
    </row>
    <row r="484" spans="1:17" x14ac:dyDescent="0.2">
      <c r="A484" t="str">
        <f t="shared" si="102"/>
        <v/>
      </c>
      <c r="B484" s="38" t="str">
        <f t="shared" si="98"/>
        <v/>
      </c>
      <c r="C484" s="38" t="str">
        <f t="shared" si="103"/>
        <v/>
      </c>
      <c r="D484" s="38" t="str">
        <f t="shared" si="104"/>
        <v/>
      </c>
      <c r="E484" s="38" t="str">
        <f t="shared" si="105"/>
        <v/>
      </c>
      <c r="F484" s="38" t="str">
        <f t="shared" si="106"/>
        <v/>
      </c>
      <c r="G484" s="38" t="str">
        <f t="shared" si="99"/>
        <v/>
      </c>
      <c r="H484" s="38"/>
      <c r="J484" t="str">
        <f t="shared" si="107"/>
        <v/>
      </c>
      <c r="K484" s="38" t="str">
        <f t="shared" si="100"/>
        <v/>
      </c>
      <c r="L484" s="38" t="str">
        <f t="shared" si="108"/>
        <v/>
      </c>
      <c r="M484" s="38" t="str">
        <f t="shared" si="109"/>
        <v/>
      </c>
      <c r="N484" s="38" t="str">
        <f t="shared" si="110"/>
        <v/>
      </c>
      <c r="O484" s="38" t="str">
        <f t="shared" si="111"/>
        <v/>
      </c>
      <c r="P484" s="38" t="str">
        <f t="shared" si="101"/>
        <v/>
      </c>
      <c r="Q484" s="38"/>
    </row>
    <row r="485" spans="1:17" x14ac:dyDescent="0.2">
      <c r="A485" t="str">
        <f t="shared" si="102"/>
        <v/>
      </c>
      <c r="B485" s="38" t="str">
        <f t="shared" si="98"/>
        <v/>
      </c>
      <c r="C485" s="38" t="str">
        <f t="shared" si="103"/>
        <v/>
      </c>
      <c r="D485" s="38" t="str">
        <f t="shared" si="104"/>
        <v/>
      </c>
      <c r="E485" s="38" t="str">
        <f t="shared" si="105"/>
        <v/>
      </c>
      <c r="F485" s="38" t="str">
        <f t="shared" si="106"/>
        <v/>
      </c>
      <c r="G485" s="38" t="str">
        <f t="shared" si="99"/>
        <v/>
      </c>
      <c r="H485" s="38"/>
      <c r="J485" t="str">
        <f t="shared" si="107"/>
        <v/>
      </c>
      <c r="K485" s="38" t="str">
        <f t="shared" si="100"/>
        <v/>
      </c>
      <c r="L485" s="38" t="str">
        <f t="shared" si="108"/>
        <v/>
      </c>
      <c r="M485" s="38" t="str">
        <f t="shared" si="109"/>
        <v/>
      </c>
      <c r="N485" s="38" t="str">
        <f t="shared" si="110"/>
        <v/>
      </c>
      <c r="O485" s="38" t="str">
        <f t="shared" si="111"/>
        <v/>
      </c>
      <c r="P485" s="38" t="str">
        <f t="shared" si="101"/>
        <v/>
      </c>
      <c r="Q485" s="38"/>
    </row>
    <row r="486" spans="1:17" x14ac:dyDescent="0.2">
      <c r="A486" t="str">
        <f t="shared" si="102"/>
        <v/>
      </c>
      <c r="B486" s="38" t="str">
        <f t="shared" si="98"/>
        <v/>
      </c>
      <c r="C486" s="38" t="str">
        <f t="shared" si="103"/>
        <v/>
      </c>
      <c r="D486" s="38" t="str">
        <f t="shared" si="104"/>
        <v/>
      </c>
      <c r="E486" s="38" t="str">
        <f t="shared" si="105"/>
        <v/>
      </c>
      <c r="F486" s="38" t="str">
        <f t="shared" si="106"/>
        <v/>
      </c>
      <c r="G486" s="38" t="str">
        <f t="shared" si="99"/>
        <v/>
      </c>
      <c r="H486" s="38"/>
      <c r="J486" t="str">
        <f t="shared" si="107"/>
        <v/>
      </c>
      <c r="K486" s="38" t="str">
        <f t="shared" si="100"/>
        <v/>
      </c>
      <c r="L486" s="38" t="str">
        <f t="shared" si="108"/>
        <v/>
      </c>
      <c r="M486" s="38" t="str">
        <f t="shared" si="109"/>
        <v/>
      </c>
      <c r="N486" s="38" t="str">
        <f t="shared" si="110"/>
        <v/>
      </c>
      <c r="O486" s="38" t="str">
        <f t="shared" si="111"/>
        <v/>
      </c>
      <c r="P486" s="38" t="str">
        <f t="shared" si="101"/>
        <v/>
      </c>
      <c r="Q486" s="38"/>
    </row>
    <row r="487" spans="1:17" x14ac:dyDescent="0.2">
      <c r="A487" t="str">
        <f t="shared" si="102"/>
        <v/>
      </c>
      <c r="B487" s="38" t="str">
        <f t="shared" si="98"/>
        <v/>
      </c>
      <c r="C487" s="38" t="str">
        <f t="shared" si="103"/>
        <v/>
      </c>
      <c r="D487" s="38" t="str">
        <f t="shared" si="104"/>
        <v/>
      </c>
      <c r="E487" s="38" t="str">
        <f t="shared" si="105"/>
        <v/>
      </c>
      <c r="F487" s="38" t="str">
        <f t="shared" si="106"/>
        <v/>
      </c>
      <c r="G487" s="38" t="str">
        <f t="shared" si="99"/>
        <v/>
      </c>
      <c r="H487" s="38"/>
      <c r="J487" t="str">
        <f t="shared" si="107"/>
        <v/>
      </c>
      <c r="K487" s="38" t="str">
        <f t="shared" si="100"/>
        <v/>
      </c>
      <c r="L487" s="38" t="str">
        <f t="shared" si="108"/>
        <v/>
      </c>
      <c r="M487" s="38" t="str">
        <f t="shared" si="109"/>
        <v/>
      </c>
      <c r="N487" s="38" t="str">
        <f t="shared" si="110"/>
        <v/>
      </c>
      <c r="O487" s="38" t="str">
        <f t="shared" si="111"/>
        <v/>
      </c>
      <c r="P487" s="38" t="str">
        <f t="shared" si="101"/>
        <v/>
      </c>
      <c r="Q487" s="38"/>
    </row>
    <row r="488" spans="1:17" x14ac:dyDescent="0.2">
      <c r="A488" t="str">
        <f t="shared" si="102"/>
        <v/>
      </c>
      <c r="B488" s="38" t="str">
        <f t="shared" si="98"/>
        <v/>
      </c>
      <c r="C488" s="38" t="str">
        <f t="shared" si="103"/>
        <v/>
      </c>
      <c r="D488" s="38" t="str">
        <f t="shared" si="104"/>
        <v/>
      </c>
      <c r="E488" s="38" t="str">
        <f t="shared" si="105"/>
        <v/>
      </c>
      <c r="F488" s="38" t="str">
        <f t="shared" si="106"/>
        <v/>
      </c>
      <c r="G488" s="38" t="str">
        <f t="shared" si="99"/>
        <v/>
      </c>
      <c r="H488" s="38"/>
      <c r="J488" t="str">
        <f t="shared" si="107"/>
        <v/>
      </c>
      <c r="K488" s="38" t="str">
        <f t="shared" si="100"/>
        <v/>
      </c>
      <c r="L488" s="38" t="str">
        <f t="shared" si="108"/>
        <v/>
      </c>
      <c r="M488" s="38" t="str">
        <f t="shared" si="109"/>
        <v/>
      </c>
      <c r="N488" s="38" t="str">
        <f t="shared" si="110"/>
        <v/>
      </c>
      <c r="O488" s="38" t="str">
        <f t="shared" si="111"/>
        <v/>
      </c>
      <c r="P488" s="38" t="str">
        <f t="shared" si="101"/>
        <v/>
      </c>
      <c r="Q488" s="38"/>
    </row>
    <row r="489" spans="1:17" x14ac:dyDescent="0.2">
      <c r="A489" t="str">
        <f t="shared" si="102"/>
        <v/>
      </c>
      <c r="B489" s="38" t="str">
        <f t="shared" si="98"/>
        <v/>
      </c>
      <c r="C489" s="38" t="str">
        <f t="shared" si="103"/>
        <v/>
      </c>
      <c r="D489" s="38" t="str">
        <f t="shared" si="104"/>
        <v/>
      </c>
      <c r="E489" s="38" t="str">
        <f t="shared" si="105"/>
        <v/>
      </c>
      <c r="F489" s="38" t="str">
        <f t="shared" si="106"/>
        <v/>
      </c>
      <c r="G489" s="38" t="str">
        <f t="shared" si="99"/>
        <v/>
      </c>
      <c r="H489" s="38"/>
      <c r="J489" t="str">
        <f t="shared" si="107"/>
        <v/>
      </c>
      <c r="K489" s="38" t="str">
        <f t="shared" si="100"/>
        <v/>
      </c>
      <c r="L489" s="38" t="str">
        <f t="shared" si="108"/>
        <v/>
      </c>
      <c r="M489" s="38" t="str">
        <f t="shared" si="109"/>
        <v/>
      </c>
      <c r="N489" s="38" t="str">
        <f t="shared" si="110"/>
        <v/>
      </c>
      <c r="O489" s="38" t="str">
        <f t="shared" si="111"/>
        <v/>
      </c>
      <c r="P489" s="38" t="str">
        <f t="shared" si="101"/>
        <v/>
      </c>
      <c r="Q489" s="38"/>
    </row>
    <row r="490" spans="1:17" x14ac:dyDescent="0.2">
      <c r="A490" t="str">
        <f t="shared" si="102"/>
        <v/>
      </c>
      <c r="B490" s="38" t="str">
        <f t="shared" si="98"/>
        <v/>
      </c>
      <c r="C490" s="38" t="str">
        <f t="shared" si="103"/>
        <v/>
      </c>
      <c r="D490" s="38" t="str">
        <f t="shared" si="104"/>
        <v/>
      </c>
      <c r="E490" s="38" t="str">
        <f t="shared" si="105"/>
        <v/>
      </c>
      <c r="F490" s="38" t="str">
        <f t="shared" si="106"/>
        <v/>
      </c>
      <c r="G490" s="38" t="str">
        <f t="shared" si="99"/>
        <v/>
      </c>
      <c r="H490" s="38"/>
      <c r="J490" t="str">
        <f t="shared" si="107"/>
        <v/>
      </c>
      <c r="K490" s="38" t="str">
        <f t="shared" si="100"/>
        <v/>
      </c>
      <c r="L490" s="38" t="str">
        <f t="shared" si="108"/>
        <v/>
      </c>
      <c r="M490" s="38" t="str">
        <f t="shared" si="109"/>
        <v/>
      </c>
      <c r="N490" s="38" t="str">
        <f t="shared" si="110"/>
        <v/>
      </c>
      <c r="O490" s="38" t="str">
        <f t="shared" si="111"/>
        <v/>
      </c>
      <c r="P490" s="38" t="str">
        <f t="shared" si="101"/>
        <v/>
      </c>
      <c r="Q490" s="38"/>
    </row>
    <row r="491" spans="1:17" x14ac:dyDescent="0.2">
      <c r="A491" t="str">
        <f t="shared" si="102"/>
        <v/>
      </c>
      <c r="B491" s="38" t="str">
        <f t="shared" si="98"/>
        <v/>
      </c>
      <c r="C491" s="38" t="str">
        <f t="shared" si="103"/>
        <v/>
      </c>
      <c r="D491" s="38" t="str">
        <f t="shared" si="104"/>
        <v/>
      </c>
      <c r="E491" s="38" t="str">
        <f t="shared" si="105"/>
        <v/>
      </c>
      <c r="F491" s="38" t="str">
        <f t="shared" si="106"/>
        <v/>
      </c>
      <c r="G491" s="38" t="str">
        <f t="shared" si="99"/>
        <v/>
      </c>
      <c r="H491" s="38"/>
      <c r="J491" t="str">
        <f t="shared" si="107"/>
        <v/>
      </c>
      <c r="K491" s="38" t="str">
        <f t="shared" si="100"/>
        <v/>
      </c>
      <c r="L491" s="38" t="str">
        <f t="shared" si="108"/>
        <v/>
      </c>
      <c r="M491" s="38" t="str">
        <f t="shared" si="109"/>
        <v/>
      </c>
      <c r="N491" s="38" t="str">
        <f t="shared" si="110"/>
        <v/>
      </c>
      <c r="O491" s="38" t="str">
        <f t="shared" si="111"/>
        <v/>
      </c>
      <c r="P491" s="38" t="str">
        <f t="shared" si="101"/>
        <v/>
      </c>
      <c r="Q491" s="38"/>
    </row>
    <row r="492" spans="1:17" x14ac:dyDescent="0.2">
      <c r="A492" t="str">
        <f t="shared" si="102"/>
        <v/>
      </c>
      <c r="B492" s="38" t="str">
        <f t="shared" si="98"/>
        <v/>
      </c>
      <c r="C492" s="38" t="str">
        <f t="shared" si="103"/>
        <v/>
      </c>
      <c r="D492" s="38" t="str">
        <f t="shared" si="104"/>
        <v/>
      </c>
      <c r="E492" s="38" t="str">
        <f t="shared" si="105"/>
        <v/>
      </c>
      <c r="F492" s="38" t="str">
        <f t="shared" si="106"/>
        <v/>
      </c>
      <c r="G492" s="38" t="str">
        <f t="shared" si="99"/>
        <v/>
      </c>
      <c r="H492" s="38"/>
      <c r="J492" t="str">
        <f t="shared" si="107"/>
        <v/>
      </c>
      <c r="K492" s="38" t="str">
        <f t="shared" si="100"/>
        <v/>
      </c>
      <c r="L492" s="38" t="str">
        <f t="shared" si="108"/>
        <v/>
      </c>
      <c r="M492" s="38" t="str">
        <f t="shared" si="109"/>
        <v/>
      </c>
      <c r="N492" s="38" t="str">
        <f t="shared" si="110"/>
        <v/>
      </c>
      <c r="O492" s="38" t="str">
        <f t="shared" si="111"/>
        <v/>
      </c>
      <c r="P492" s="38" t="str">
        <f t="shared" si="101"/>
        <v/>
      </c>
      <c r="Q492" s="38"/>
    </row>
    <row r="493" spans="1:17" x14ac:dyDescent="0.2">
      <c r="A493" t="str">
        <f t="shared" si="102"/>
        <v/>
      </c>
      <c r="B493" s="38" t="str">
        <f t="shared" si="98"/>
        <v/>
      </c>
      <c r="C493" s="38" t="str">
        <f t="shared" si="103"/>
        <v/>
      </c>
      <c r="D493" s="38" t="str">
        <f t="shared" si="104"/>
        <v/>
      </c>
      <c r="E493" s="38" t="str">
        <f t="shared" si="105"/>
        <v/>
      </c>
      <c r="F493" s="38" t="str">
        <f t="shared" si="106"/>
        <v/>
      </c>
      <c r="G493" s="38" t="str">
        <f t="shared" si="99"/>
        <v/>
      </c>
      <c r="H493" s="38"/>
      <c r="J493" t="str">
        <f t="shared" si="107"/>
        <v/>
      </c>
      <c r="K493" s="38" t="str">
        <f t="shared" si="100"/>
        <v/>
      </c>
      <c r="L493" s="38" t="str">
        <f t="shared" si="108"/>
        <v/>
      </c>
      <c r="M493" s="38" t="str">
        <f t="shared" si="109"/>
        <v/>
      </c>
      <c r="N493" s="38" t="str">
        <f t="shared" si="110"/>
        <v/>
      </c>
      <c r="O493" s="38" t="str">
        <f t="shared" si="111"/>
        <v/>
      </c>
      <c r="P493" s="38" t="str">
        <f t="shared" si="101"/>
        <v/>
      </c>
      <c r="Q493" s="38"/>
    </row>
    <row r="494" spans="1:17" x14ac:dyDescent="0.2">
      <c r="A494" t="str">
        <f t="shared" si="102"/>
        <v/>
      </c>
      <c r="B494" s="38" t="str">
        <f t="shared" si="98"/>
        <v/>
      </c>
      <c r="C494" s="38" t="str">
        <f t="shared" si="103"/>
        <v/>
      </c>
      <c r="D494" s="38" t="str">
        <f t="shared" si="104"/>
        <v/>
      </c>
      <c r="E494" s="38" t="str">
        <f t="shared" si="105"/>
        <v/>
      </c>
      <c r="F494" s="38" t="str">
        <f t="shared" si="106"/>
        <v/>
      </c>
      <c r="G494" s="38" t="str">
        <f t="shared" si="99"/>
        <v/>
      </c>
      <c r="H494" s="38"/>
      <c r="J494" t="str">
        <f t="shared" si="107"/>
        <v/>
      </c>
      <c r="K494" s="38" t="str">
        <f t="shared" si="100"/>
        <v/>
      </c>
      <c r="L494" s="38" t="str">
        <f t="shared" si="108"/>
        <v/>
      </c>
      <c r="M494" s="38" t="str">
        <f t="shared" si="109"/>
        <v/>
      </c>
      <c r="N494" s="38" t="str">
        <f t="shared" si="110"/>
        <v/>
      </c>
      <c r="O494" s="38" t="str">
        <f t="shared" si="111"/>
        <v/>
      </c>
      <c r="P494" s="38" t="str">
        <f t="shared" si="101"/>
        <v/>
      </c>
      <c r="Q494" s="38"/>
    </row>
    <row r="495" spans="1:17" x14ac:dyDescent="0.2">
      <c r="A495" t="str">
        <f t="shared" si="102"/>
        <v/>
      </c>
      <c r="B495" s="38" t="str">
        <f t="shared" si="98"/>
        <v/>
      </c>
      <c r="C495" s="38" t="str">
        <f t="shared" si="103"/>
        <v/>
      </c>
      <c r="D495" s="38" t="str">
        <f t="shared" si="104"/>
        <v/>
      </c>
      <c r="E495" s="38" t="str">
        <f t="shared" si="105"/>
        <v/>
      </c>
      <c r="F495" s="38" t="str">
        <f t="shared" si="106"/>
        <v/>
      </c>
      <c r="G495" s="38" t="str">
        <f t="shared" si="99"/>
        <v/>
      </c>
      <c r="H495" s="38"/>
      <c r="J495" t="str">
        <f t="shared" si="107"/>
        <v/>
      </c>
      <c r="K495" s="38" t="str">
        <f t="shared" si="100"/>
        <v/>
      </c>
      <c r="L495" s="38" t="str">
        <f t="shared" si="108"/>
        <v/>
      </c>
      <c r="M495" s="38" t="str">
        <f t="shared" si="109"/>
        <v/>
      </c>
      <c r="N495" s="38" t="str">
        <f t="shared" si="110"/>
        <v/>
      </c>
      <c r="O495" s="38" t="str">
        <f t="shared" si="111"/>
        <v/>
      </c>
      <c r="P495" s="38" t="str">
        <f t="shared" si="101"/>
        <v/>
      </c>
      <c r="Q495" s="38"/>
    </row>
    <row r="496" spans="1:17" x14ac:dyDescent="0.2">
      <c r="A496" t="str">
        <f t="shared" si="102"/>
        <v/>
      </c>
      <c r="B496" s="38" t="str">
        <f t="shared" si="98"/>
        <v/>
      </c>
      <c r="C496" s="38" t="str">
        <f t="shared" si="103"/>
        <v/>
      </c>
      <c r="D496" s="38" t="str">
        <f t="shared" si="104"/>
        <v/>
      </c>
      <c r="E496" s="38" t="str">
        <f t="shared" si="105"/>
        <v/>
      </c>
      <c r="F496" s="38" t="str">
        <f t="shared" si="106"/>
        <v/>
      </c>
      <c r="G496" s="38" t="str">
        <f t="shared" si="99"/>
        <v/>
      </c>
      <c r="H496" s="38"/>
      <c r="J496" t="str">
        <f t="shared" si="107"/>
        <v/>
      </c>
      <c r="K496" s="38" t="str">
        <f t="shared" si="100"/>
        <v/>
      </c>
      <c r="L496" s="38" t="str">
        <f t="shared" si="108"/>
        <v/>
      </c>
      <c r="M496" s="38" t="str">
        <f t="shared" si="109"/>
        <v/>
      </c>
      <c r="N496" s="38" t="str">
        <f t="shared" si="110"/>
        <v/>
      </c>
      <c r="O496" s="38" t="str">
        <f t="shared" si="111"/>
        <v/>
      </c>
      <c r="P496" s="38" t="str">
        <f t="shared" si="101"/>
        <v/>
      </c>
      <c r="Q496" s="38"/>
    </row>
    <row r="497" spans="1:17" x14ac:dyDescent="0.2">
      <c r="A497" t="str">
        <f t="shared" si="102"/>
        <v/>
      </c>
      <c r="B497" s="38" t="str">
        <f t="shared" si="98"/>
        <v/>
      </c>
      <c r="C497" s="38" t="str">
        <f t="shared" si="103"/>
        <v/>
      </c>
      <c r="D497" s="38" t="str">
        <f t="shared" si="104"/>
        <v/>
      </c>
      <c r="E497" s="38" t="str">
        <f t="shared" si="105"/>
        <v/>
      </c>
      <c r="F497" s="38" t="str">
        <f t="shared" si="106"/>
        <v/>
      </c>
      <c r="G497" s="38" t="str">
        <f t="shared" si="99"/>
        <v/>
      </c>
      <c r="H497" s="38"/>
      <c r="J497" t="str">
        <f t="shared" si="107"/>
        <v/>
      </c>
      <c r="K497" s="38" t="str">
        <f t="shared" si="100"/>
        <v/>
      </c>
      <c r="L497" s="38" t="str">
        <f t="shared" si="108"/>
        <v/>
      </c>
      <c r="M497" s="38" t="str">
        <f t="shared" si="109"/>
        <v/>
      </c>
      <c r="N497" s="38" t="str">
        <f t="shared" si="110"/>
        <v/>
      </c>
      <c r="O497" s="38" t="str">
        <f t="shared" si="111"/>
        <v/>
      </c>
      <c r="P497" s="38" t="str">
        <f t="shared" si="101"/>
        <v/>
      </c>
      <c r="Q497" s="38"/>
    </row>
    <row r="498" spans="1:17" x14ac:dyDescent="0.2">
      <c r="A498" t="str">
        <f t="shared" si="102"/>
        <v/>
      </c>
      <c r="B498" s="38" t="str">
        <f t="shared" si="98"/>
        <v/>
      </c>
      <c r="C498" s="38" t="str">
        <f t="shared" si="103"/>
        <v/>
      </c>
      <c r="D498" s="38" t="str">
        <f t="shared" si="104"/>
        <v/>
      </c>
      <c r="E498" s="38" t="str">
        <f t="shared" si="105"/>
        <v/>
      </c>
      <c r="F498" s="38" t="str">
        <f t="shared" si="106"/>
        <v/>
      </c>
      <c r="G498" s="38" t="str">
        <f t="shared" si="99"/>
        <v/>
      </c>
      <c r="H498" s="38"/>
      <c r="J498" t="str">
        <f t="shared" si="107"/>
        <v/>
      </c>
      <c r="K498" s="38" t="str">
        <f t="shared" si="100"/>
        <v/>
      </c>
      <c r="L498" s="38" t="str">
        <f t="shared" si="108"/>
        <v/>
      </c>
      <c r="M498" s="38" t="str">
        <f t="shared" si="109"/>
        <v/>
      </c>
      <c r="N498" s="38" t="str">
        <f t="shared" si="110"/>
        <v/>
      </c>
      <c r="O498" s="38" t="str">
        <f t="shared" si="111"/>
        <v/>
      </c>
      <c r="P498" s="38" t="str">
        <f t="shared" si="101"/>
        <v/>
      </c>
      <c r="Q498" s="38"/>
    </row>
    <row r="499" spans="1:17" x14ac:dyDescent="0.2">
      <c r="A499" t="str">
        <f t="shared" si="102"/>
        <v/>
      </c>
      <c r="B499" s="38" t="str">
        <f t="shared" si="98"/>
        <v/>
      </c>
      <c r="C499" s="38" t="str">
        <f t="shared" si="103"/>
        <v/>
      </c>
      <c r="D499" s="38" t="str">
        <f t="shared" si="104"/>
        <v/>
      </c>
      <c r="E499" s="38" t="str">
        <f t="shared" si="105"/>
        <v/>
      </c>
      <c r="F499" s="38" t="str">
        <f t="shared" si="106"/>
        <v/>
      </c>
      <c r="G499" s="38" t="str">
        <f t="shared" si="99"/>
        <v/>
      </c>
      <c r="H499" s="38"/>
      <c r="J499" t="str">
        <f t="shared" si="107"/>
        <v/>
      </c>
      <c r="K499" s="38" t="str">
        <f t="shared" si="100"/>
        <v/>
      </c>
      <c r="L499" s="38" t="str">
        <f t="shared" si="108"/>
        <v/>
      </c>
      <c r="M499" s="38" t="str">
        <f t="shared" si="109"/>
        <v/>
      </c>
      <c r="N499" s="38" t="str">
        <f t="shared" si="110"/>
        <v/>
      </c>
      <c r="O499" s="38" t="str">
        <f t="shared" si="111"/>
        <v/>
      </c>
      <c r="P499" s="38" t="str">
        <f t="shared" si="101"/>
        <v/>
      </c>
      <c r="Q499" s="38"/>
    </row>
    <row r="500" spans="1:17" x14ac:dyDescent="0.2">
      <c r="A500" t="str">
        <f t="shared" si="102"/>
        <v/>
      </c>
      <c r="B500" s="38" t="str">
        <f t="shared" si="98"/>
        <v/>
      </c>
      <c r="C500" s="38" t="str">
        <f t="shared" si="103"/>
        <v/>
      </c>
      <c r="D500" s="38" t="str">
        <f t="shared" si="104"/>
        <v/>
      </c>
      <c r="E500" s="38" t="str">
        <f t="shared" si="105"/>
        <v/>
      </c>
      <c r="F500" s="38" t="str">
        <f t="shared" si="106"/>
        <v/>
      </c>
      <c r="G500" s="38" t="str">
        <f t="shared" si="99"/>
        <v/>
      </c>
      <c r="H500" s="38"/>
      <c r="J500" t="str">
        <f t="shared" si="107"/>
        <v/>
      </c>
      <c r="K500" s="38" t="str">
        <f t="shared" si="100"/>
        <v/>
      </c>
      <c r="L500" s="38" t="str">
        <f t="shared" si="108"/>
        <v/>
      </c>
      <c r="M500" s="38" t="str">
        <f t="shared" si="109"/>
        <v/>
      </c>
      <c r="N500" s="38" t="str">
        <f t="shared" si="110"/>
        <v/>
      </c>
      <c r="O500" s="38" t="str">
        <f t="shared" si="111"/>
        <v/>
      </c>
      <c r="P500" s="38" t="str">
        <f t="shared" si="101"/>
        <v/>
      </c>
      <c r="Q500" s="38"/>
    </row>
    <row r="501" spans="1:17" x14ac:dyDescent="0.2">
      <c r="A501" t="str">
        <f t="shared" si="102"/>
        <v/>
      </c>
      <c r="B501" s="38" t="str">
        <f t="shared" si="98"/>
        <v/>
      </c>
      <c r="C501" s="38" t="str">
        <f t="shared" si="103"/>
        <v/>
      </c>
      <c r="D501" s="38" t="str">
        <f t="shared" si="104"/>
        <v/>
      </c>
      <c r="E501" s="38" t="str">
        <f t="shared" si="105"/>
        <v/>
      </c>
      <c r="F501" s="38" t="str">
        <f t="shared" si="106"/>
        <v/>
      </c>
      <c r="G501" s="38" t="str">
        <f t="shared" si="99"/>
        <v/>
      </c>
      <c r="H501" s="38"/>
      <c r="J501" t="str">
        <f t="shared" si="107"/>
        <v/>
      </c>
      <c r="K501" s="38" t="str">
        <f t="shared" si="100"/>
        <v/>
      </c>
      <c r="L501" s="38" t="str">
        <f t="shared" si="108"/>
        <v/>
      </c>
      <c r="M501" s="38" t="str">
        <f t="shared" si="109"/>
        <v/>
      </c>
      <c r="N501" s="38" t="str">
        <f t="shared" si="110"/>
        <v/>
      </c>
      <c r="O501" s="38" t="str">
        <f t="shared" si="111"/>
        <v/>
      </c>
      <c r="P501" s="38" t="str">
        <f t="shared" si="101"/>
        <v/>
      </c>
      <c r="Q501" s="38"/>
    </row>
    <row r="502" spans="1:17" x14ac:dyDescent="0.2">
      <c r="A502" t="str">
        <f t="shared" si="102"/>
        <v/>
      </c>
      <c r="B502" s="38" t="str">
        <f t="shared" si="98"/>
        <v/>
      </c>
      <c r="C502" s="38" t="str">
        <f t="shared" si="103"/>
        <v/>
      </c>
      <c r="D502" s="38" t="str">
        <f t="shared" si="104"/>
        <v/>
      </c>
      <c r="E502" s="38" t="str">
        <f t="shared" si="105"/>
        <v/>
      </c>
      <c r="F502" s="38" t="str">
        <f t="shared" si="106"/>
        <v/>
      </c>
      <c r="G502" s="38" t="str">
        <f t="shared" si="99"/>
        <v/>
      </c>
      <c r="H502" s="38"/>
      <c r="J502" t="str">
        <f t="shared" si="107"/>
        <v/>
      </c>
      <c r="K502" s="38" t="str">
        <f t="shared" si="100"/>
        <v/>
      </c>
      <c r="L502" s="38" t="str">
        <f t="shared" si="108"/>
        <v/>
      </c>
      <c r="M502" s="38" t="str">
        <f t="shared" si="109"/>
        <v/>
      </c>
      <c r="N502" s="38" t="str">
        <f t="shared" si="110"/>
        <v/>
      </c>
      <c r="O502" s="38" t="str">
        <f t="shared" si="111"/>
        <v/>
      </c>
      <c r="P502" s="38" t="str">
        <f t="shared" si="101"/>
        <v/>
      </c>
      <c r="Q502" s="38"/>
    </row>
    <row r="503" spans="1:17" x14ac:dyDescent="0.2">
      <c r="A503" t="str">
        <f t="shared" si="102"/>
        <v/>
      </c>
      <c r="B503" s="38" t="str">
        <f t="shared" si="98"/>
        <v/>
      </c>
      <c r="C503" s="38" t="str">
        <f t="shared" si="103"/>
        <v/>
      </c>
      <c r="D503" s="38" t="str">
        <f t="shared" si="104"/>
        <v/>
      </c>
      <c r="E503" s="38" t="str">
        <f t="shared" si="105"/>
        <v/>
      </c>
      <c r="F503" s="38" t="str">
        <f t="shared" si="106"/>
        <v/>
      </c>
      <c r="G503" s="38" t="str">
        <f t="shared" si="99"/>
        <v/>
      </c>
      <c r="H503" s="38"/>
      <c r="J503" t="str">
        <f t="shared" si="107"/>
        <v/>
      </c>
      <c r="K503" s="38" t="str">
        <f t="shared" si="100"/>
        <v/>
      </c>
      <c r="L503" s="38" t="str">
        <f t="shared" si="108"/>
        <v/>
      </c>
      <c r="M503" s="38" t="str">
        <f t="shared" si="109"/>
        <v/>
      </c>
      <c r="N503" s="38" t="str">
        <f t="shared" si="110"/>
        <v/>
      </c>
      <c r="O503" s="38" t="str">
        <f t="shared" si="111"/>
        <v/>
      </c>
      <c r="P503" s="38" t="str">
        <f t="shared" si="101"/>
        <v/>
      </c>
      <c r="Q503" s="38"/>
    </row>
    <row r="504" spans="1:17" x14ac:dyDescent="0.2">
      <c r="A504" t="str">
        <f t="shared" si="102"/>
        <v/>
      </c>
      <c r="B504" s="38" t="str">
        <f t="shared" si="98"/>
        <v/>
      </c>
      <c r="C504" s="38" t="str">
        <f t="shared" si="103"/>
        <v/>
      </c>
      <c r="D504" s="38" t="str">
        <f t="shared" si="104"/>
        <v/>
      </c>
      <c r="E504" s="38" t="str">
        <f t="shared" si="105"/>
        <v/>
      </c>
      <c r="F504" s="38" t="str">
        <f t="shared" si="106"/>
        <v/>
      </c>
      <c r="G504" s="38" t="str">
        <f t="shared" si="99"/>
        <v/>
      </c>
      <c r="H504" s="38"/>
      <c r="J504" t="str">
        <f t="shared" si="107"/>
        <v/>
      </c>
      <c r="K504" s="38" t="str">
        <f t="shared" si="100"/>
        <v/>
      </c>
      <c r="L504" s="38" t="str">
        <f t="shared" si="108"/>
        <v/>
      </c>
      <c r="M504" s="38" t="str">
        <f t="shared" si="109"/>
        <v/>
      </c>
      <c r="N504" s="38" t="str">
        <f t="shared" si="110"/>
        <v/>
      </c>
      <c r="O504" s="38" t="str">
        <f t="shared" si="111"/>
        <v/>
      </c>
      <c r="P504" s="38" t="str">
        <f t="shared" si="101"/>
        <v/>
      </c>
      <c r="Q504" s="38"/>
    </row>
    <row r="505" spans="1:17" x14ac:dyDescent="0.2">
      <c r="A505" t="str">
        <f t="shared" si="102"/>
        <v/>
      </c>
      <c r="B505" s="38" t="str">
        <f t="shared" si="98"/>
        <v/>
      </c>
      <c r="C505" s="38" t="str">
        <f t="shared" si="103"/>
        <v/>
      </c>
      <c r="D505" s="38" t="str">
        <f t="shared" si="104"/>
        <v/>
      </c>
      <c r="E505" s="38" t="str">
        <f t="shared" si="105"/>
        <v/>
      </c>
      <c r="F505" s="38" t="str">
        <f t="shared" si="106"/>
        <v/>
      </c>
      <c r="G505" s="38" t="str">
        <f t="shared" si="99"/>
        <v/>
      </c>
      <c r="H505" s="38"/>
      <c r="J505" t="str">
        <f t="shared" si="107"/>
        <v/>
      </c>
      <c r="K505" s="38" t="str">
        <f t="shared" si="100"/>
        <v/>
      </c>
      <c r="L505" s="38" t="str">
        <f t="shared" si="108"/>
        <v/>
      </c>
      <c r="M505" s="38" t="str">
        <f t="shared" si="109"/>
        <v/>
      </c>
      <c r="N505" s="38" t="str">
        <f t="shared" si="110"/>
        <v/>
      </c>
      <c r="O505" s="38" t="str">
        <f t="shared" si="111"/>
        <v/>
      </c>
      <c r="P505" s="38" t="str">
        <f t="shared" si="101"/>
        <v/>
      </c>
      <c r="Q505" s="38"/>
    </row>
    <row r="506" spans="1:17" x14ac:dyDescent="0.2">
      <c r="A506" t="str">
        <f t="shared" si="102"/>
        <v/>
      </c>
      <c r="B506" s="38" t="str">
        <f t="shared" si="98"/>
        <v/>
      </c>
      <c r="C506" s="38" t="str">
        <f t="shared" si="103"/>
        <v/>
      </c>
      <c r="D506" s="38" t="str">
        <f t="shared" si="104"/>
        <v/>
      </c>
      <c r="E506" s="38" t="str">
        <f t="shared" si="105"/>
        <v/>
      </c>
      <c r="F506" s="38" t="str">
        <f t="shared" si="106"/>
        <v/>
      </c>
      <c r="G506" s="38" t="str">
        <f t="shared" si="99"/>
        <v/>
      </c>
      <c r="H506" s="38"/>
      <c r="J506" t="str">
        <f t="shared" si="107"/>
        <v/>
      </c>
      <c r="K506" s="38" t="str">
        <f t="shared" si="100"/>
        <v/>
      </c>
      <c r="L506" s="38" t="str">
        <f t="shared" si="108"/>
        <v/>
      </c>
      <c r="M506" s="38" t="str">
        <f t="shared" si="109"/>
        <v/>
      </c>
      <c r="N506" s="38" t="str">
        <f t="shared" si="110"/>
        <v/>
      </c>
      <c r="O506" s="38" t="str">
        <f t="shared" si="111"/>
        <v/>
      </c>
      <c r="P506" s="38" t="str">
        <f t="shared" si="101"/>
        <v/>
      </c>
      <c r="Q506" s="38"/>
    </row>
    <row r="507" spans="1:17" x14ac:dyDescent="0.2">
      <c r="A507" t="str">
        <f t="shared" si="102"/>
        <v/>
      </c>
      <c r="B507" s="38" t="str">
        <f t="shared" si="98"/>
        <v/>
      </c>
      <c r="C507" s="38" t="str">
        <f t="shared" si="103"/>
        <v/>
      </c>
      <c r="D507" s="38" t="str">
        <f t="shared" si="104"/>
        <v/>
      </c>
      <c r="E507" s="38" t="str">
        <f t="shared" si="105"/>
        <v/>
      </c>
      <c r="F507" s="38" t="str">
        <f t="shared" si="106"/>
        <v/>
      </c>
      <c r="G507" s="38" t="str">
        <f t="shared" si="99"/>
        <v/>
      </c>
      <c r="H507" s="38"/>
      <c r="J507" t="str">
        <f t="shared" si="107"/>
        <v/>
      </c>
      <c r="K507" s="38" t="str">
        <f t="shared" si="100"/>
        <v/>
      </c>
      <c r="L507" s="38" t="str">
        <f t="shared" si="108"/>
        <v/>
      </c>
      <c r="M507" s="38" t="str">
        <f t="shared" si="109"/>
        <v/>
      </c>
      <c r="N507" s="38" t="str">
        <f t="shared" si="110"/>
        <v/>
      </c>
      <c r="O507" s="38" t="str">
        <f t="shared" si="111"/>
        <v/>
      </c>
      <c r="P507" s="38" t="str">
        <f t="shared" si="101"/>
        <v/>
      </c>
      <c r="Q507" s="38"/>
    </row>
    <row r="508" spans="1:17" x14ac:dyDescent="0.2">
      <c r="A508" t="str">
        <f t="shared" si="102"/>
        <v/>
      </c>
      <c r="B508" s="38" t="str">
        <f t="shared" si="98"/>
        <v/>
      </c>
      <c r="C508" s="38" t="str">
        <f t="shared" si="103"/>
        <v/>
      </c>
      <c r="D508" s="38" t="str">
        <f t="shared" si="104"/>
        <v/>
      </c>
      <c r="E508" s="38" t="str">
        <f t="shared" si="105"/>
        <v/>
      </c>
      <c r="F508" s="38" t="str">
        <f t="shared" si="106"/>
        <v/>
      </c>
      <c r="G508" s="38" t="str">
        <f t="shared" si="99"/>
        <v/>
      </c>
      <c r="H508" s="38"/>
      <c r="J508" t="str">
        <f t="shared" si="107"/>
        <v/>
      </c>
      <c r="K508" s="38" t="str">
        <f t="shared" si="100"/>
        <v/>
      </c>
      <c r="L508" s="38" t="str">
        <f t="shared" si="108"/>
        <v/>
      </c>
      <c r="M508" s="38" t="str">
        <f t="shared" si="109"/>
        <v/>
      </c>
      <c r="N508" s="38" t="str">
        <f t="shared" si="110"/>
        <v/>
      </c>
      <c r="O508" s="38" t="str">
        <f t="shared" si="111"/>
        <v/>
      </c>
      <c r="P508" s="38" t="str">
        <f t="shared" si="101"/>
        <v/>
      </c>
      <c r="Q508" s="38"/>
    </row>
    <row r="509" spans="1:17" x14ac:dyDescent="0.2">
      <c r="A509" t="str">
        <f t="shared" si="102"/>
        <v/>
      </c>
      <c r="B509" s="38" t="str">
        <f t="shared" si="98"/>
        <v/>
      </c>
      <c r="C509" s="38" t="str">
        <f t="shared" si="103"/>
        <v/>
      </c>
      <c r="D509" s="38" t="str">
        <f t="shared" si="104"/>
        <v/>
      </c>
      <c r="E509" s="38" t="str">
        <f t="shared" si="105"/>
        <v/>
      </c>
      <c r="F509" s="38" t="str">
        <f t="shared" si="106"/>
        <v/>
      </c>
      <c r="G509" s="38" t="str">
        <f t="shared" si="99"/>
        <v/>
      </c>
      <c r="H509" s="38"/>
      <c r="J509" t="str">
        <f t="shared" si="107"/>
        <v/>
      </c>
      <c r="K509" s="38" t="str">
        <f t="shared" si="100"/>
        <v/>
      </c>
      <c r="L509" s="38" t="str">
        <f t="shared" si="108"/>
        <v/>
      </c>
      <c r="M509" s="38" t="str">
        <f t="shared" si="109"/>
        <v/>
      </c>
      <c r="N509" s="38" t="str">
        <f t="shared" si="110"/>
        <v/>
      </c>
      <c r="O509" s="38" t="str">
        <f t="shared" si="111"/>
        <v/>
      </c>
      <c r="P509" s="38" t="str">
        <f t="shared" si="101"/>
        <v/>
      </c>
      <c r="Q509" s="38"/>
    </row>
    <row r="510" spans="1:17" x14ac:dyDescent="0.2">
      <c r="A510" t="str">
        <f t="shared" si="102"/>
        <v/>
      </c>
      <c r="B510" s="38" t="str">
        <f t="shared" si="98"/>
        <v/>
      </c>
      <c r="C510" s="38" t="str">
        <f t="shared" si="103"/>
        <v/>
      </c>
      <c r="D510" s="38" t="str">
        <f t="shared" si="104"/>
        <v/>
      </c>
      <c r="E510" s="38" t="str">
        <f t="shared" si="105"/>
        <v/>
      </c>
      <c r="F510" s="38" t="str">
        <f t="shared" si="106"/>
        <v/>
      </c>
      <c r="G510" s="38" t="str">
        <f t="shared" si="99"/>
        <v/>
      </c>
      <c r="H510" s="38"/>
      <c r="J510" t="str">
        <f t="shared" si="107"/>
        <v/>
      </c>
      <c r="K510" s="38" t="str">
        <f t="shared" si="100"/>
        <v/>
      </c>
      <c r="L510" s="38" t="str">
        <f t="shared" si="108"/>
        <v/>
      </c>
      <c r="M510" s="38" t="str">
        <f t="shared" si="109"/>
        <v/>
      </c>
      <c r="N510" s="38" t="str">
        <f t="shared" si="110"/>
        <v/>
      </c>
      <c r="O510" s="38" t="str">
        <f t="shared" si="111"/>
        <v/>
      </c>
      <c r="P510" s="38" t="str">
        <f t="shared" si="101"/>
        <v/>
      </c>
      <c r="Q510" s="38"/>
    </row>
    <row r="511" spans="1:17" x14ac:dyDescent="0.2">
      <c r="A511" t="str">
        <f t="shared" si="102"/>
        <v/>
      </c>
      <c r="B511" s="38" t="str">
        <f t="shared" si="98"/>
        <v/>
      </c>
      <c r="C511" s="38" t="str">
        <f t="shared" si="103"/>
        <v/>
      </c>
      <c r="D511" s="38" t="str">
        <f t="shared" si="104"/>
        <v/>
      </c>
      <c r="E511" s="38" t="str">
        <f t="shared" si="105"/>
        <v/>
      </c>
      <c r="F511" s="38" t="str">
        <f t="shared" si="106"/>
        <v/>
      </c>
      <c r="G511" s="38" t="str">
        <f t="shared" si="99"/>
        <v/>
      </c>
      <c r="H511" s="38"/>
      <c r="J511" t="str">
        <f t="shared" si="107"/>
        <v/>
      </c>
      <c r="K511" s="38" t="str">
        <f t="shared" si="100"/>
        <v/>
      </c>
      <c r="L511" s="38" t="str">
        <f t="shared" si="108"/>
        <v/>
      </c>
      <c r="M511" s="38" t="str">
        <f t="shared" si="109"/>
        <v/>
      </c>
      <c r="N511" s="38" t="str">
        <f t="shared" si="110"/>
        <v/>
      </c>
      <c r="O511" s="38" t="str">
        <f t="shared" si="111"/>
        <v/>
      </c>
      <c r="P511" s="38" t="str">
        <f t="shared" si="101"/>
        <v/>
      </c>
      <c r="Q511" s="38"/>
    </row>
    <row r="512" spans="1:17" x14ac:dyDescent="0.2">
      <c r="A512" t="str">
        <f t="shared" si="102"/>
        <v/>
      </c>
      <c r="B512" s="38" t="str">
        <f t="shared" si="98"/>
        <v/>
      </c>
      <c r="C512" s="38" t="str">
        <f t="shared" si="103"/>
        <v/>
      </c>
      <c r="D512" s="38" t="str">
        <f t="shared" si="104"/>
        <v/>
      </c>
      <c r="E512" s="38" t="str">
        <f t="shared" si="105"/>
        <v/>
      </c>
      <c r="F512" s="38" t="str">
        <f t="shared" si="106"/>
        <v/>
      </c>
      <c r="G512" s="38" t="str">
        <f t="shared" si="99"/>
        <v/>
      </c>
      <c r="H512" s="38"/>
      <c r="J512" t="str">
        <f t="shared" si="107"/>
        <v/>
      </c>
      <c r="K512" s="38" t="str">
        <f t="shared" si="100"/>
        <v/>
      </c>
      <c r="L512" s="38" t="str">
        <f t="shared" si="108"/>
        <v/>
      </c>
      <c r="M512" s="38" t="str">
        <f t="shared" si="109"/>
        <v/>
      </c>
      <c r="N512" s="38" t="str">
        <f t="shared" si="110"/>
        <v/>
      </c>
      <c r="O512" s="38" t="str">
        <f t="shared" si="111"/>
        <v/>
      </c>
      <c r="P512" s="38" t="str">
        <f t="shared" si="101"/>
        <v/>
      </c>
      <c r="Q512" s="38"/>
    </row>
    <row r="513" spans="1:17" x14ac:dyDescent="0.2">
      <c r="A513" t="str">
        <f t="shared" si="102"/>
        <v/>
      </c>
      <c r="B513" s="38" t="str">
        <f t="shared" si="98"/>
        <v/>
      </c>
      <c r="C513" s="38" t="str">
        <f t="shared" si="103"/>
        <v/>
      </c>
      <c r="D513" s="38" t="str">
        <f t="shared" si="104"/>
        <v/>
      </c>
      <c r="E513" s="38" t="str">
        <f t="shared" si="105"/>
        <v/>
      </c>
      <c r="F513" s="38" t="str">
        <f t="shared" si="106"/>
        <v/>
      </c>
      <c r="G513" s="38" t="str">
        <f t="shared" si="99"/>
        <v/>
      </c>
      <c r="H513" s="38"/>
      <c r="J513" t="str">
        <f t="shared" si="107"/>
        <v/>
      </c>
      <c r="K513" s="38" t="str">
        <f t="shared" si="100"/>
        <v/>
      </c>
      <c r="L513" s="38" t="str">
        <f t="shared" si="108"/>
        <v/>
      </c>
      <c r="M513" s="38" t="str">
        <f t="shared" si="109"/>
        <v/>
      </c>
      <c r="N513" s="38" t="str">
        <f t="shared" si="110"/>
        <v/>
      </c>
      <c r="O513" s="38" t="str">
        <f t="shared" si="111"/>
        <v/>
      </c>
      <c r="P513" s="38" t="str">
        <f t="shared" si="101"/>
        <v/>
      </c>
      <c r="Q513" s="38"/>
    </row>
    <row r="514" spans="1:17" x14ac:dyDescent="0.2">
      <c r="A514" t="str">
        <f t="shared" si="102"/>
        <v/>
      </c>
      <c r="B514" s="38" t="str">
        <f t="shared" si="98"/>
        <v/>
      </c>
      <c r="C514" s="38" t="str">
        <f t="shared" si="103"/>
        <v/>
      </c>
      <c r="D514" s="38" t="str">
        <f t="shared" si="104"/>
        <v/>
      </c>
      <c r="E514" s="38" t="str">
        <f t="shared" si="105"/>
        <v/>
      </c>
      <c r="F514" s="38" t="str">
        <f t="shared" si="106"/>
        <v/>
      </c>
      <c r="G514" s="38" t="str">
        <f t="shared" si="99"/>
        <v/>
      </c>
      <c r="H514" s="38"/>
      <c r="J514" t="str">
        <f t="shared" si="107"/>
        <v/>
      </c>
      <c r="K514" s="38" t="str">
        <f t="shared" si="100"/>
        <v/>
      </c>
      <c r="L514" s="38" t="str">
        <f t="shared" si="108"/>
        <v/>
      </c>
      <c r="M514" s="38" t="str">
        <f t="shared" si="109"/>
        <v/>
      </c>
      <c r="N514" s="38" t="str">
        <f t="shared" si="110"/>
        <v/>
      </c>
      <c r="O514" s="38" t="str">
        <f t="shared" si="111"/>
        <v/>
      </c>
      <c r="P514" s="38" t="str">
        <f t="shared" si="101"/>
        <v/>
      </c>
      <c r="Q514" s="38"/>
    </row>
    <row r="515" spans="1:17" x14ac:dyDescent="0.2">
      <c r="A515" t="str">
        <f t="shared" si="102"/>
        <v/>
      </c>
      <c r="B515" s="38" t="str">
        <f t="shared" si="98"/>
        <v/>
      </c>
      <c r="C515" s="38" t="str">
        <f t="shared" si="103"/>
        <v/>
      </c>
      <c r="D515" s="38" t="str">
        <f t="shared" si="104"/>
        <v/>
      </c>
      <c r="E515" s="38" t="str">
        <f t="shared" si="105"/>
        <v/>
      </c>
      <c r="F515" s="38" t="str">
        <f t="shared" si="106"/>
        <v/>
      </c>
      <c r="G515" s="38" t="str">
        <f t="shared" si="99"/>
        <v/>
      </c>
      <c r="H515" s="38"/>
      <c r="J515" t="str">
        <f t="shared" si="107"/>
        <v/>
      </c>
      <c r="K515" s="38" t="str">
        <f t="shared" si="100"/>
        <v/>
      </c>
      <c r="L515" s="38" t="str">
        <f t="shared" si="108"/>
        <v/>
      </c>
      <c r="M515" s="38" t="str">
        <f t="shared" si="109"/>
        <v/>
      </c>
      <c r="N515" s="38" t="str">
        <f t="shared" si="110"/>
        <v/>
      </c>
      <c r="O515" s="38" t="str">
        <f t="shared" si="111"/>
        <v/>
      </c>
      <c r="P515" s="38" t="str">
        <f t="shared" si="101"/>
        <v/>
      </c>
      <c r="Q515" s="38"/>
    </row>
    <row r="516" spans="1:17" x14ac:dyDescent="0.2">
      <c r="A516" t="str">
        <f t="shared" si="102"/>
        <v/>
      </c>
      <c r="B516" s="38" t="str">
        <f t="shared" si="98"/>
        <v/>
      </c>
      <c r="C516" s="38" t="str">
        <f t="shared" si="103"/>
        <v/>
      </c>
      <c r="D516" s="38" t="str">
        <f t="shared" si="104"/>
        <v/>
      </c>
      <c r="E516" s="38" t="str">
        <f t="shared" si="105"/>
        <v/>
      </c>
      <c r="F516" s="38" t="str">
        <f t="shared" si="106"/>
        <v/>
      </c>
      <c r="G516" s="38" t="str">
        <f t="shared" si="99"/>
        <v/>
      </c>
      <c r="H516" s="38"/>
      <c r="J516" t="str">
        <f t="shared" si="107"/>
        <v/>
      </c>
      <c r="K516" s="38" t="str">
        <f t="shared" si="100"/>
        <v/>
      </c>
      <c r="L516" s="38" t="str">
        <f t="shared" si="108"/>
        <v/>
      </c>
      <c r="M516" s="38" t="str">
        <f t="shared" si="109"/>
        <v/>
      </c>
      <c r="N516" s="38" t="str">
        <f t="shared" si="110"/>
        <v/>
      </c>
      <c r="O516" s="38" t="str">
        <f t="shared" si="111"/>
        <v/>
      </c>
      <c r="P516" s="38" t="str">
        <f t="shared" si="101"/>
        <v/>
      </c>
      <c r="Q516" s="38"/>
    </row>
    <row r="517" spans="1:17" x14ac:dyDescent="0.2">
      <c r="A517" t="str">
        <f t="shared" si="102"/>
        <v/>
      </c>
      <c r="B517" s="38" t="str">
        <f t="shared" si="98"/>
        <v/>
      </c>
      <c r="C517" s="38" t="str">
        <f t="shared" si="103"/>
        <v/>
      </c>
      <c r="D517" s="38" t="str">
        <f t="shared" si="104"/>
        <v/>
      </c>
      <c r="E517" s="38" t="str">
        <f t="shared" si="105"/>
        <v/>
      </c>
      <c r="F517" s="38" t="str">
        <f t="shared" si="106"/>
        <v/>
      </c>
      <c r="G517" s="38" t="str">
        <f t="shared" si="99"/>
        <v/>
      </c>
      <c r="H517" s="38"/>
      <c r="J517" t="str">
        <f t="shared" si="107"/>
        <v/>
      </c>
      <c r="K517" s="38" t="str">
        <f t="shared" si="100"/>
        <v/>
      </c>
      <c r="L517" s="38" t="str">
        <f t="shared" si="108"/>
        <v/>
      </c>
      <c r="M517" s="38" t="str">
        <f t="shared" si="109"/>
        <v/>
      </c>
      <c r="N517" s="38" t="str">
        <f t="shared" si="110"/>
        <v/>
      </c>
      <c r="O517" s="38" t="str">
        <f t="shared" si="111"/>
        <v/>
      </c>
      <c r="P517" s="38" t="str">
        <f t="shared" si="101"/>
        <v/>
      </c>
      <c r="Q517" s="38"/>
    </row>
    <row r="518" spans="1:17" x14ac:dyDescent="0.2">
      <c r="A518" t="str">
        <f t="shared" si="102"/>
        <v/>
      </c>
      <c r="B518" s="38" t="str">
        <f t="shared" si="98"/>
        <v/>
      </c>
      <c r="C518" s="38" t="str">
        <f t="shared" si="103"/>
        <v/>
      </c>
      <c r="D518" s="38" t="str">
        <f t="shared" si="104"/>
        <v/>
      </c>
      <c r="E518" s="38" t="str">
        <f t="shared" si="105"/>
        <v/>
      </c>
      <c r="F518" s="38" t="str">
        <f t="shared" si="106"/>
        <v/>
      </c>
      <c r="G518" s="38" t="str">
        <f t="shared" si="99"/>
        <v/>
      </c>
      <c r="H518" s="38"/>
      <c r="J518" t="str">
        <f t="shared" si="107"/>
        <v/>
      </c>
      <c r="K518" s="38" t="str">
        <f t="shared" si="100"/>
        <v/>
      </c>
      <c r="L518" s="38" t="str">
        <f t="shared" si="108"/>
        <v/>
      </c>
      <c r="M518" s="38" t="str">
        <f t="shared" si="109"/>
        <v/>
      </c>
      <c r="N518" s="38" t="str">
        <f t="shared" si="110"/>
        <v/>
      </c>
      <c r="O518" s="38" t="str">
        <f t="shared" si="111"/>
        <v/>
      </c>
      <c r="P518" s="38" t="str">
        <f t="shared" si="101"/>
        <v/>
      </c>
      <c r="Q518" s="38"/>
    </row>
    <row r="519" spans="1:17" x14ac:dyDescent="0.2">
      <c r="A519" t="str">
        <f t="shared" si="102"/>
        <v/>
      </c>
      <c r="B519" s="38" t="str">
        <f t="shared" si="98"/>
        <v/>
      </c>
      <c r="C519" s="38" t="str">
        <f t="shared" si="103"/>
        <v/>
      </c>
      <c r="D519" s="38" t="str">
        <f t="shared" si="104"/>
        <v/>
      </c>
      <c r="E519" s="38" t="str">
        <f t="shared" si="105"/>
        <v/>
      </c>
      <c r="F519" s="38" t="str">
        <f t="shared" si="106"/>
        <v/>
      </c>
      <c r="G519" s="38" t="str">
        <f t="shared" si="99"/>
        <v/>
      </c>
      <c r="H519" s="38"/>
      <c r="J519" t="str">
        <f t="shared" si="107"/>
        <v/>
      </c>
      <c r="K519" s="38" t="str">
        <f t="shared" si="100"/>
        <v/>
      </c>
      <c r="L519" s="38" t="str">
        <f t="shared" si="108"/>
        <v/>
      </c>
      <c r="M519" s="38" t="str">
        <f t="shared" si="109"/>
        <v/>
      </c>
      <c r="N519" s="38" t="str">
        <f t="shared" si="110"/>
        <v/>
      </c>
      <c r="O519" s="38" t="str">
        <f t="shared" si="111"/>
        <v/>
      </c>
      <c r="P519" s="38" t="str">
        <f t="shared" si="101"/>
        <v/>
      </c>
      <c r="Q519" s="38"/>
    </row>
    <row r="520" spans="1:17" x14ac:dyDescent="0.2">
      <c r="A520" t="str">
        <f t="shared" si="102"/>
        <v/>
      </c>
      <c r="B520" s="38" t="str">
        <f t="shared" si="98"/>
        <v/>
      </c>
      <c r="C520" s="38" t="str">
        <f t="shared" si="103"/>
        <v/>
      </c>
      <c r="D520" s="38" t="str">
        <f t="shared" si="104"/>
        <v/>
      </c>
      <c r="E520" s="38" t="str">
        <f t="shared" si="105"/>
        <v/>
      </c>
      <c r="F520" s="38" t="str">
        <f t="shared" si="106"/>
        <v/>
      </c>
      <c r="G520" s="38" t="str">
        <f t="shared" si="99"/>
        <v/>
      </c>
      <c r="H520" s="38"/>
      <c r="J520" t="str">
        <f t="shared" si="107"/>
        <v/>
      </c>
      <c r="K520" s="38" t="str">
        <f t="shared" si="100"/>
        <v/>
      </c>
      <c r="L520" s="38" t="str">
        <f t="shared" si="108"/>
        <v/>
      </c>
      <c r="M520" s="38" t="str">
        <f t="shared" si="109"/>
        <v/>
      </c>
      <c r="N520" s="38" t="str">
        <f t="shared" si="110"/>
        <v/>
      </c>
      <c r="O520" s="38" t="str">
        <f t="shared" si="111"/>
        <v/>
      </c>
      <c r="P520" s="38" t="str">
        <f t="shared" si="101"/>
        <v/>
      </c>
      <c r="Q520" s="38"/>
    </row>
    <row r="521" spans="1:17" x14ac:dyDescent="0.2">
      <c r="A521" t="str">
        <f t="shared" si="102"/>
        <v/>
      </c>
      <c r="B521" s="38" t="str">
        <f t="shared" si="98"/>
        <v/>
      </c>
      <c r="C521" s="38" t="str">
        <f t="shared" si="103"/>
        <v/>
      </c>
      <c r="D521" s="38" t="str">
        <f t="shared" si="104"/>
        <v/>
      </c>
      <c r="E521" s="38" t="str">
        <f t="shared" si="105"/>
        <v/>
      </c>
      <c r="F521" s="38" t="str">
        <f t="shared" si="106"/>
        <v/>
      </c>
      <c r="G521" s="38" t="str">
        <f t="shared" si="99"/>
        <v/>
      </c>
      <c r="H521" s="38"/>
      <c r="J521" t="str">
        <f t="shared" si="107"/>
        <v/>
      </c>
      <c r="K521" s="38" t="str">
        <f t="shared" si="100"/>
        <v/>
      </c>
      <c r="L521" s="38" t="str">
        <f t="shared" si="108"/>
        <v/>
      </c>
      <c r="M521" s="38" t="str">
        <f t="shared" si="109"/>
        <v/>
      </c>
      <c r="N521" s="38" t="str">
        <f t="shared" si="110"/>
        <v/>
      </c>
      <c r="O521" s="38" t="str">
        <f t="shared" si="111"/>
        <v/>
      </c>
      <c r="P521" s="38" t="str">
        <f t="shared" si="101"/>
        <v/>
      </c>
      <c r="Q521" s="38"/>
    </row>
    <row r="522" spans="1:17" x14ac:dyDescent="0.2">
      <c r="A522" t="str">
        <f t="shared" si="102"/>
        <v/>
      </c>
      <c r="B522" s="38" t="str">
        <f t="shared" si="98"/>
        <v/>
      </c>
      <c r="C522" s="38" t="str">
        <f t="shared" si="103"/>
        <v/>
      </c>
      <c r="D522" s="38" t="str">
        <f t="shared" si="104"/>
        <v/>
      </c>
      <c r="E522" s="38" t="str">
        <f t="shared" si="105"/>
        <v/>
      </c>
      <c r="F522" s="38" t="str">
        <f t="shared" si="106"/>
        <v/>
      </c>
      <c r="G522" s="38" t="str">
        <f t="shared" si="99"/>
        <v/>
      </c>
      <c r="H522" s="38"/>
      <c r="J522" t="str">
        <f t="shared" si="107"/>
        <v/>
      </c>
      <c r="K522" s="38" t="str">
        <f t="shared" si="100"/>
        <v/>
      </c>
      <c r="L522" s="38" t="str">
        <f t="shared" si="108"/>
        <v/>
      </c>
      <c r="M522" s="38" t="str">
        <f t="shared" si="109"/>
        <v/>
      </c>
      <c r="N522" s="38" t="str">
        <f t="shared" si="110"/>
        <v/>
      </c>
      <c r="O522" s="38" t="str">
        <f t="shared" si="111"/>
        <v/>
      </c>
      <c r="P522" s="38" t="str">
        <f t="shared" si="101"/>
        <v/>
      </c>
      <c r="Q522" s="38"/>
    </row>
    <row r="523" spans="1:17" x14ac:dyDescent="0.2">
      <c r="A523" t="str">
        <f t="shared" si="102"/>
        <v/>
      </c>
      <c r="B523" s="38" t="str">
        <f t="shared" si="98"/>
        <v/>
      </c>
      <c r="C523" s="38" t="str">
        <f t="shared" si="103"/>
        <v/>
      </c>
      <c r="D523" s="38" t="str">
        <f t="shared" si="104"/>
        <v/>
      </c>
      <c r="E523" s="38" t="str">
        <f t="shared" si="105"/>
        <v/>
      </c>
      <c r="F523" s="38" t="str">
        <f t="shared" si="106"/>
        <v/>
      </c>
      <c r="G523" s="38" t="str">
        <f t="shared" si="99"/>
        <v/>
      </c>
      <c r="H523" s="38"/>
      <c r="J523" t="str">
        <f t="shared" si="107"/>
        <v/>
      </c>
      <c r="K523" s="38" t="str">
        <f t="shared" si="100"/>
        <v/>
      </c>
      <c r="L523" s="38" t="str">
        <f t="shared" si="108"/>
        <v/>
      </c>
      <c r="M523" s="38" t="str">
        <f t="shared" si="109"/>
        <v/>
      </c>
      <c r="N523" s="38" t="str">
        <f t="shared" si="110"/>
        <v/>
      </c>
      <c r="O523" s="38" t="str">
        <f t="shared" si="111"/>
        <v/>
      </c>
      <c r="P523" s="38" t="str">
        <f t="shared" si="101"/>
        <v/>
      </c>
      <c r="Q523" s="38"/>
    </row>
    <row r="524" spans="1:17" x14ac:dyDescent="0.2">
      <c r="A524" t="str">
        <f t="shared" si="102"/>
        <v/>
      </c>
      <c r="B524" s="38" t="str">
        <f t="shared" si="98"/>
        <v/>
      </c>
      <c r="C524" s="38" t="str">
        <f t="shared" si="103"/>
        <v/>
      </c>
      <c r="D524" s="38" t="str">
        <f t="shared" si="104"/>
        <v/>
      </c>
      <c r="E524" s="38" t="str">
        <f t="shared" si="105"/>
        <v/>
      </c>
      <c r="F524" s="38" t="str">
        <f t="shared" si="106"/>
        <v/>
      </c>
      <c r="G524" s="38" t="str">
        <f t="shared" si="99"/>
        <v/>
      </c>
      <c r="H524" s="38"/>
      <c r="J524" t="str">
        <f t="shared" si="107"/>
        <v/>
      </c>
      <c r="K524" s="38" t="str">
        <f t="shared" si="100"/>
        <v/>
      </c>
      <c r="L524" s="38" t="str">
        <f t="shared" si="108"/>
        <v/>
      </c>
      <c r="M524" s="38" t="str">
        <f t="shared" si="109"/>
        <v/>
      </c>
      <c r="N524" s="38" t="str">
        <f t="shared" si="110"/>
        <v/>
      </c>
      <c r="O524" s="38" t="str">
        <f t="shared" si="111"/>
        <v/>
      </c>
      <c r="P524" s="38" t="str">
        <f t="shared" si="101"/>
        <v/>
      </c>
      <c r="Q524" s="38"/>
    </row>
    <row r="525" spans="1:17" x14ac:dyDescent="0.2">
      <c r="A525" t="str">
        <f t="shared" si="102"/>
        <v/>
      </c>
      <c r="B525" s="38" t="str">
        <f t="shared" si="98"/>
        <v/>
      </c>
      <c r="C525" s="38" t="str">
        <f t="shared" si="103"/>
        <v/>
      </c>
      <c r="D525" s="38" t="str">
        <f t="shared" si="104"/>
        <v/>
      </c>
      <c r="E525" s="38" t="str">
        <f t="shared" si="105"/>
        <v/>
      </c>
      <c r="F525" s="38" t="str">
        <f t="shared" si="106"/>
        <v/>
      </c>
      <c r="G525" s="38" t="str">
        <f t="shared" si="99"/>
        <v/>
      </c>
      <c r="H525" s="38"/>
      <c r="J525" t="str">
        <f t="shared" si="107"/>
        <v/>
      </c>
      <c r="K525" s="38" t="str">
        <f t="shared" si="100"/>
        <v/>
      </c>
      <c r="L525" s="38" t="str">
        <f t="shared" si="108"/>
        <v/>
      </c>
      <c r="M525" s="38" t="str">
        <f t="shared" si="109"/>
        <v/>
      </c>
      <c r="N525" s="38" t="str">
        <f t="shared" si="110"/>
        <v/>
      </c>
      <c r="O525" s="38" t="str">
        <f t="shared" si="111"/>
        <v/>
      </c>
      <c r="P525" s="38" t="str">
        <f t="shared" si="101"/>
        <v/>
      </c>
      <c r="Q525" s="38"/>
    </row>
    <row r="526" spans="1:17" x14ac:dyDescent="0.2">
      <c r="A526" t="str">
        <f t="shared" si="102"/>
        <v/>
      </c>
      <c r="B526" s="38" t="str">
        <f t="shared" si="98"/>
        <v/>
      </c>
      <c r="C526" s="38" t="str">
        <f t="shared" si="103"/>
        <v/>
      </c>
      <c r="D526" s="38" t="str">
        <f t="shared" si="104"/>
        <v/>
      </c>
      <c r="E526" s="38" t="str">
        <f t="shared" si="105"/>
        <v/>
      </c>
      <c r="F526" s="38" t="str">
        <f t="shared" si="106"/>
        <v/>
      </c>
      <c r="G526" s="38" t="str">
        <f t="shared" si="99"/>
        <v/>
      </c>
      <c r="H526" s="38"/>
      <c r="J526" t="str">
        <f t="shared" si="107"/>
        <v/>
      </c>
      <c r="K526" s="38" t="str">
        <f t="shared" si="100"/>
        <v/>
      </c>
      <c r="L526" s="38" t="str">
        <f>IF(J526="","",((K526 + M526)*$B$6))</f>
        <v/>
      </c>
      <c r="M526" s="38" t="str">
        <f t="shared" si="109"/>
        <v/>
      </c>
      <c r="N526" s="38" t="str">
        <f t="shared" si="110"/>
        <v/>
      </c>
      <c r="O526" s="38" t="str">
        <f t="shared" si="111"/>
        <v/>
      </c>
      <c r="P526" s="38" t="str">
        <f t="shared" si="101"/>
        <v/>
      </c>
      <c r="Q526" s="38"/>
    </row>
    <row r="527" spans="1:17" x14ac:dyDescent="0.2">
      <c r="A527" t="str">
        <f t="shared" si="102"/>
        <v/>
      </c>
      <c r="B527" s="38" t="str">
        <f t="shared" si="98"/>
        <v/>
      </c>
      <c r="C527" s="38" t="str">
        <f t="shared" si="103"/>
        <v/>
      </c>
      <c r="D527" s="38" t="str">
        <f t="shared" si="104"/>
        <v/>
      </c>
      <c r="E527" s="38" t="str">
        <f t="shared" si="105"/>
        <v/>
      </c>
      <c r="F527" s="38" t="str">
        <f t="shared" si="106"/>
        <v/>
      </c>
      <c r="G527" s="38" t="str">
        <f t="shared" si="99"/>
        <v/>
      </c>
      <c r="H527" s="38"/>
      <c r="J527" t="str">
        <f t="shared" si="107"/>
        <v/>
      </c>
      <c r="K527" s="38" t="str">
        <f t="shared" si="100"/>
        <v/>
      </c>
      <c r="L527" s="38" t="str">
        <f t="shared" ref="L527:L590" si="112">IF(J527="","",((K527 + M527)*$B$6))</f>
        <v/>
      </c>
      <c r="M527" s="38" t="str">
        <f t="shared" si="109"/>
        <v/>
      </c>
      <c r="N527" s="38" t="str">
        <f t="shared" si="110"/>
        <v/>
      </c>
      <c r="O527" s="38" t="str">
        <f t="shared" si="111"/>
        <v/>
      </c>
      <c r="P527" s="38" t="str">
        <f t="shared" si="101"/>
        <v/>
      </c>
      <c r="Q527" s="38"/>
    </row>
    <row r="528" spans="1:17" x14ac:dyDescent="0.2">
      <c r="A528" t="str">
        <f t="shared" si="102"/>
        <v/>
      </c>
      <c r="B528" s="38" t="str">
        <f t="shared" si="98"/>
        <v/>
      </c>
      <c r="C528" s="38" t="str">
        <f t="shared" si="103"/>
        <v/>
      </c>
      <c r="D528" s="38" t="str">
        <f t="shared" si="104"/>
        <v/>
      </c>
      <c r="E528" s="38" t="str">
        <f t="shared" si="105"/>
        <v/>
      </c>
      <c r="F528" s="38" t="str">
        <f t="shared" si="106"/>
        <v/>
      </c>
      <c r="G528" s="38" t="str">
        <f t="shared" si="99"/>
        <v/>
      </c>
      <c r="H528" s="38"/>
      <c r="J528" t="str">
        <f t="shared" si="107"/>
        <v/>
      </c>
      <c r="K528" s="38" t="str">
        <f t="shared" si="100"/>
        <v/>
      </c>
      <c r="L528" s="38" t="str">
        <f t="shared" si="112"/>
        <v/>
      </c>
      <c r="M528" s="38" t="str">
        <f t="shared" si="109"/>
        <v/>
      </c>
      <c r="N528" s="38" t="str">
        <f t="shared" si="110"/>
        <v/>
      </c>
      <c r="O528" s="38" t="str">
        <f t="shared" si="111"/>
        <v/>
      </c>
      <c r="P528" s="38" t="str">
        <f t="shared" si="101"/>
        <v/>
      </c>
      <c r="Q528" s="38"/>
    </row>
    <row r="529" spans="1:17" x14ac:dyDescent="0.2">
      <c r="A529" t="str">
        <f t="shared" si="102"/>
        <v/>
      </c>
      <c r="B529" s="38" t="str">
        <f t="shared" si="98"/>
        <v/>
      </c>
      <c r="C529" s="38" t="str">
        <f t="shared" si="103"/>
        <v/>
      </c>
      <c r="D529" s="38" t="str">
        <f t="shared" si="104"/>
        <v/>
      </c>
      <c r="E529" s="38" t="str">
        <f t="shared" si="105"/>
        <v/>
      </c>
      <c r="F529" s="38" t="str">
        <f t="shared" si="106"/>
        <v/>
      </c>
      <c r="G529" s="38" t="str">
        <f t="shared" si="99"/>
        <v/>
      </c>
      <c r="H529" s="38"/>
      <c r="J529" t="str">
        <f t="shared" si="107"/>
        <v/>
      </c>
      <c r="K529" s="38" t="str">
        <f t="shared" si="100"/>
        <v/>
      </c>
      <c r="L529" s="38" t="str">
        <f t="shared" si="112"/>
        <v/>
      </c>
      <c r="M529" s="38" t="str">
        <f t="shared" si="109"/>
        <v/>
      </c>
      <c r="N529" s="38" t="str">
        <f t="shared" si="110"/>
        <v/>
      </c>
      <c r="O529" s="38" t="str">
        <f t="shared" si="111"/>
        <v/>
      </c>
      <c r="P529" s="38" t="str">
        <f t="shared" si="101"/>
        <v/>
      </c>
      <c r="Q529" s="38"/>
    </row>
    <row r="530" spans="1:17" x14ac:dyDescent="0.2">
      <c r="A530" t="str">
        <f t="shared" si="102"/>
        <v/>
      </c>
      <c r="B530" s="38" t="str">
        <f t="shared" si="98"/>
        <v/>
      </c>
      <c r="C530" s="38" t="str">
        <f t="shared" si="103"/>
        <v/>
      </c>
      <c r="D530" s="38" t="str">
        <f t="shared" si="104"/>
        <v/>
      </c>
      <c r="E530" s="38" t="str">
        <f t="shared" si="105"/>
        <v/>
      </c>
      <c r="F530" s="38" t="str">
        <f t="shared" si="106"/>
        <v/>
      </c>
      <c r="G530" s="38" t="str">
        <f t="shared" si="99"/>
        <v/>
      </c>
      <c r="H530" s="38"/>
      <c r="J530" t="str">
        <f t="shared" si="107"/>
        <v/>
      </c>
      <c r="K530" s="38" t="str">
        <f t="shared" si="100"/>
        <v/>
      </c>
      <c r="L530" s="38" t="str">
        <f t="shared" si="112"/>
        <v/>
      </c>
      <c r="M530" s="38" t="str">
        <f t="shared" si="109"/>
        <v/>
      </c>
      <c r="N530" s="38" t="str">
        <f t="shared" si="110"/>
        <v/>
      </c>
      <c r="O530" s="38" t="str">
        <f t="shared" si="111"/>
        <v/>
      </c>
      <c r="P530" s="38" t="str">
        <f t="shared" si="101"/>
        <v/>
      </c>
      <c r="Q530" s="38"/>
    </row>
    <row r="531" spans="1:17" x14ac:dyDescent="0.2">
      <c r="A531" t="str">
        <f t="shared" si="102"/>
        <v/>
      </c>
      <c r="B531" s="38" t="str">
        <f t="shared" si="98"/>
        <v/>
      </c>
      <c r="C531" s="38" t="str">
        <f t="shared" si="103"/>
        <v/>
      </c>
      <c r="D531" s="38" t="str">
        <f t="shared" si="104"/>
        <v/>
      </c>
      <c r="E531" s="38" t="str">
        <f t="shared" si="105"/>
        <v/>
      </c>
      <c r="F531" s="38" t="str">
        <f t="shared" si="106"/>
        <v/>
      </c>
      <c r="G531" s="38" t="str">
        <f t="shared" si="99"/>
        <v/>
      </c>
      <c r="H531" s="38"/>
      <c r="J531" t="str">
        <f t="shared" si="107"/>
        <v/>
      </c>
      <c r="K531" s="38" t="str">
        <f t="shared" si="100"/>
        <v/>
      </c>
      <c r="L531" s="38" t="str">
        <f t="shared" si="112"/>
        <v/>
      </c>
      <c r="M531" s="38" t="str">
        <f t="shared" si="109"/>
        <v/>
      </c>
      <c r="N531" s="38" t="str">
        <f t="shared" si="110"/>
        <v/>
      </c>
      <c r="O531" s="38" t="str">
        <f t="shared" si="111"/>
        <v/>
      </c>
      <c r="P531" s="38" t="str">
        <f t="shared" si="101"/>
        <v/>
      </c>
      <c r="Q531" s="38"/>
    </row>
    <row r="532" spans="1:17" x14ac:dyDescent="0.2">
      <c r="A532" t="str">
        <f t="shared" si="102"/>
        <v/>
      </c>
      <c r="B532" s="38" t="str">
        <f t="shared" si="98"/>
        <v/>
      </c>
      <c r="C532" s="38" t="str">
        <f t="shared" si="103"/>
        <v/>
      </c>
      <c r="D532" s="38" t="str">
        <f t="shared" si="104"/>
        <v/>
      </c>
      <c r="E532" s="38" t="str">
        <f t="shared" si="105"/>
        <v/>
      </c>
      <c r="F532" s="38" t="str">
        <f t="shared" si="106"/>
        <v/>
      </c>
      <c r="G532" s="38" t="str">
        <f t="shared" si="99"/>
        <v/>
      </c>
      <c r="H532" s="38"/>
      <c r="J532" t="str">
        <f t="shared" si="107"/>
        <v/>
      </c>
      <c r="K532" s="38" t="str">
        <f t="shared" si="100"/>
        <v/>
      </c>
      <c r="L532" s="38" t="str">
        <f t="shared" si="112"/>
        <v/>
      </c>
      <c r="M532" s="38" t="str">
        <f t="shared" si="109"/>
        <v/>
      </c>
      <c r="N532" s="38" t="str">
        <f t="shared" si="110"/>
        <v/>
      </c>
      <c r="O532" s="38" t="str">
        <f t="shared" si="111"/>
        <v/>
      </c>
      <c r="P532" s="38" t="str">
        <f t="shared" si="101"/>
        <v/>
      </c>
      <c r="Q532" s="38"/>
    </row>
    <row r="533" spans="1:17" x14ac:dyDescent="0.2">
      <c r="A533" t="str">
        <f t="shared" si="102"/>
        <v/>
      </c>
      <c r="B533" s="38" t="str">
        <f t="shared" si="98"/>
        <v/>
      </c>
      <c r="C533" s="38" t="str">
        <f t="shared" si="103"/>
        <v/>
      </c>
      <c r="D533" s="38" t="str">
        <f t="shared" si="104"/>
        <v/>
      </c>
      <c r="E533" s="38" t="str">
        <f t="shared" si="105"/>
        <v/>
      </c>
      <c r="F533" s="38" t="str">
        <f t="shared" si="106"/>
        <v/>
      </c>
      <c r="G533" s="38" t="str">
        <f t="shared" si="99"/>
        <v/>
      </c>
      <c r="H533" s="38"/>
      <c r="J533" t="str">
        <f t="shared" si="107"/>
        <v/>
      </c>
      <c r="K533" s="38" t="str">
        <f t="shared" si="100"/>
        <v/>
      </c>
      <c r="L533" s="38" t="str">
        <f t="shared" si="112"/>
        <v/>
      </c>
      <c r="M533" s="38" t="str">
        <f t="shared" si="109"/>
        <v/>
      </c>
      <c r="N533" s="38" t="str">
        <f t="shared" si="110"/>
        <v/>
      </c>
      <c r="O533" s="38" t="str">
        <f t="shared" si="111"/>
        <v/>
      </c>
      <c r="P533" s="38" t="str">
        <f t="shared" si="101"/>
        <v/>
      </c>
      <c r="Q533" s="38"/>
    </row>
    <row r="534" spans="1:17" x14ac:dyDescent="0.2">
      <c r="A534" t="str">
        <f t="shared" si="102"/>
        <v/>
      </c>
      <c r="B534" s="38" t="str">
        <f t="shared" si="98"/>
        <v/>
      </c>
      <c r="C534" s="38" t="str">
        <f t="shared" si="103"/>
        <v/>
      </c>
      <c r="D534" s="38" t="str">
        <f t="shared" si="104"/>
        <v/>
      </c>
      <c r="E534" s="38" t="str">
        <f t="shared" si="105"/>
        <v/>
      </c>
      <c r="F534" s="38" t="str">
        <f t="shared" si="106"/>
        <v/>
      </c>
      <c r="G534" s="38" t="str">
        <f t="shared" si="99"/>
        <v/>
      </c>
      <c r="H534" s="38"/>
      <c r="J534" t="str">
        <f t="shared" si="107"/>
        <v/>
      </c>
      <c r="K534" s="38" t="str">
        <f t="shared" si="100"/>
        <v/>
      </c>
      <c r="L534" s="38" t="str">
        <f t="shared" si="112"/>
        <v/>
      </c>
      <c r="M534" s="38" t="str">
        <f t="shared" si="109"/>
        <v/>
      </c>
      <c r="N534" s="38" t="str">
        <f t="shared" si="110"/>
        <v/>
      </c>
      <c r="O534" s="38" t="str">
        <f t="shared" si="111"/>
        <v/>
      </c>
      <c r="P534" s="38" t="str">
        <f t="shared" si="101"/>
        <v/>
      </c>
      <c r="Q534" s="38"/>
    </row>
    <row r="535" spans="1:17" x14ac:dyDescent="0.2">
      <c r="A535" t="str">
        <f t="shared" si="102"/>
        <v/>
      </c>
      <c r="B535" s="38" t="str">
        <f t="shared" ref="B535:B598" si="113">IF(A535="","",F534)</f>
        <v/>
      </c>
      <c r="C535" s="38" t="str">
        <f t="shared" si="103"/>
        <v/>
      </c>
      <c r="D535" s="38" t="str">
        <f t="shared" si="104"/>
        <v/>
      </c>
      <c r="E535" s="38" t="str">
        <f t="shared" si="105"/>
        <v/>
      </c>
      <c r="F535" s="38" t="str">
        <f t="shared" si="106"/>
        <v/>
      </c>
      <c r="G535" s="38" t="str">
        <f t="shared" ref="G535:G598" si="114">IF(A535="","", (G534+C535))</f>
        <v/>
      </c>
      <c r="H535" s="38"/>
      <c r="J535" t="str">
        <f t="shared" si="107"/>
        <v/>
      </c>
      <c r="K535" s="38" t="str">
        <f t="shared" ref="K535:K598" si="115">IF(J535="","",O534)</f>
        <v/>
      </c>
      <c r="L535" s="38" t="str">
        <f t="shared" si="112"/>
        <v/>
      </c>
      <c r="M535" s="38" t="str">
        <f t="shared" si="109"/>
        <v/>
      </c>
      <c r="N535" s="38" t="str">
        <f t="shared" si="110"/>
        <v/>
      </c>
      <c r="O535" s="38" t="str">
        <f t="shared" si="111"/>
        <v/>
      </c>
      <c r="P535" s="38" t="str">
        <f t="shared" ref="P535:P598" si="116">IF(J535="","", (P534+L535))</f>
        <v/>
      </c>
      <c r="Q535" s="38"/>
    </row>
    <row r="536" spans="1:17" x14ac:dyDescent="0.2">
      <c r="A536" t="str">
        <f t="shared" ref="A536:A565" si="117">IF(A535&lt;($B$7*$B$8),A535+1,"")</f>
        <v/>
      </c>
      <c r="B536" s="38" t="str">
        <f t="shared" si="113"/>
        <v/>
      </c>
      <c r="C536" s="38" t="str">
        <f t="shared" ref="C536:C599" si="118">IF(A536="","",(B536*$B$6))</f>
        <v/>
      </c>
      <c r="D536" s="38" t="str">
        <f t="shared" ref="D536:D599" si="119">IF(A536="","", $B$3)</f>
        <v/>
      </c>
      <c r="E536" s="38" t="str">
        <f t="shared" ref="E536:E599" si="120">IF(D536="","",(D536-C536))</f>
        <v/>
      </c>
      <c r="F536" s="38" t="str">
        <f t="shared" ref="F536:F599" si="121">IF(A536="","", B536+C536+D536)</f>
        <v/>
      </c>
      <c r="G536" s="38" t="str">
        <f t="shared" si="114"/>
        <v/>
      </c>
      <c r="H536" s="38"/>
      <c r="J536" t="str">
        <f t="shared" ref="J536:J565" si="122">IF(J535&lt;($B$7*$B$8),J535+1,"")</f>
        <v/>
      </c>
      <c r="K536" s="38" t="str">
        <f t="shared" si="115"/>
        <v/>
      </c>
      <c r="L536" s="38" t="str">
        <f t="shared" si="112"/>
        <v/>
      </c>
      <c r="M536" s="38" t="str">
        <f t="shared" ref="M536:M599" si="123">IF(J536="","", $B$3)</f>
        <v/>
      </c>
      <c r="N536" s="38" t="str">
        <f t="shared" ref="N536:N599" si="124">IF(M536="","",(M536-L536))</f>
        <v/>
      </c>
      <c r="O536" s="38" t="str">
        <f t="shared" ref="O536:O599" si="125">IF(J536="","", K536+L536+M536)</f>
        <v/>
      </c>
      <c r="P536" s="38" t="str">
        <f t="shared" si="116"/>
        <v/>
      </c>
      <c r="Q536" s="38"/>
    </row>
    <row r="537" spans="1:17" x14ac:dyDescent="0.2">
      <c r="A537" t="str">
        <f t="shared" si="117"/>
        <v/>
      </c>
      <c r="B537" s="38" t="str">
        <f t="shared" si="113"/>
        <v/>
      </c>
      <c r="C537" s="38" t="str">
        <f t="shared" si="118"/>
        <v/>
      </c>
      <c r="D537" s="38" t="str">
        <f t="shared" si="119"/>
        <v/>
      </c>
      <c r="E537" s="38" t="str">
        <f t="shared" si="120"/>
        <v/>
      </c>
      <c r="F537" s="38" t="str">
        <f t="shared" si="121"/>
        <v/>
      </c>
      <c r="G537" s="38" t="str">
        <f t="shared" si="114"/>
        <v/>
      </c>
      <c r="H537" s="38"/>
      <c r="J537" t="str">
        <f t="shared" si="122"/>
        <v/>
      </c>
      <c r="K537" s="38" t="str">
        <f t="shared" si="115"/>
        <v/>
      </c>
      <c r="L537" s="38" t="str">
        <f t="shared" si="112"/>
        <v/>
      </c>
      <c r="M537" s="38" t="str">
        <f t="shared" si="123"/>
        <v/>
      </c>
      <c r="N537" s="38" t="str">
        <f t="shared" si="124"/>
        <v/>
      </c>
      <c r="O537" s="38" t="str">
        <f t="shared" si="125"/>
        <v/>
      </c>
      <c r="P537" s="38" t="str">
        <f t="shared" si="116"/>
        <v/>
      </c>
      <c r="Q537" s="38"/>
    </row>
    <row r="538" spans="1:17" x14ac:dyDescent="0.2">
      <c r="A538" t="str">
        <f t="shared" si="117"/>
        <v/>
      </c>
      <c r="B538" s="38" t="str">
        <f t="shared" si="113"/>
        <v/>
      </c>
      <c r="C538" s="38" t="str">
        <f t="shared" si="118"/>
        <v/>
      </c>
      <c r="D538" s="38" t="str">
        <f t="shared" si="119"/>
        <v/>
      </c>
      <c r="E538" s="38" t="str">
        <f t="shared" si="120"/>
        <v/>
      </c>
      <c r="F538" s="38" t="str">
        <f t="shared" si="121"/>
        <v/>
      </c>
      <c r="G538" s="38" t="str">
        <f t="shared" si="114"/>
        <v/>
      </c>
      <c r="H538" s="38"/>
      <c r="J538" t="str">
        <f t="shared" si="122"/>
        <v/>
      </c>
      <c r="K538" s="38" t="str">
        <f t="shared" si="115"/>
        <v/>
      </c>
      <c r="L538" s="38" t="str">
        <f t="shared" si="112"/>
        <v/>
      </c>
      <c r="M538" s="38" t="str">
        <f t="shared" si="123"/>
        <v/>
      </c>
      <c r="N538" s="38" t="str">
        <f t="shared" si="124"/>
        <v/>
      </c>
      <c r="O538" s="38" t="str">
        <f t="shared" si="125"/>
        <v/>
      </c>
      <c r="P538" s="38" t="str">
        <f t="shared" si="116"/>
        <v/>
      </c>
      <c r="Q538" s="38"/>
    </row>
    <row r="539" spans="1:17" x14ac:dyDescent="0.2">
      <c r="A539" t="str">
        <f t="shared" si="117"/>
        <v/>
      </c>
      <c r="B539" s="38" t="str">
        <f t="shared" si="113"/>
        <v/>
      </c>
      <c r="C539" s="38" t="str">
        <f t="shared" si="118"/>
        <v/>
      </c>
      <c r="D539" s="38" t="str">
        <f t="shared" si="119"/>
        <v/>
      </c>
      <c r="E539" s="38" t="str">
        <f t="shared" si="120"/>
        <v/>
      </c>
      <c r="F539" s="38" t="str">
        <f t="shared" si="121"/>
        <v/>
      </c>
      <c r="G539" s="38" t="str">
        <f t="shared" si="114"/>
        <v/>
      </c>
      <c r="H539" s="38"/>
      <c r="J539" t="str">
        <f t="shared" si="122"/>
        <v/>
      </c>
      <c r="K539" s="38" t="str">
        <f t="shared" si="115"/>
        <v/>
      </c>
      <c r="L539" s="38" t="str">
        <f t="shared" si="112"/>
        <v/>
      </c>
      <c r="M539" s="38" t="str">
        <f t="shared" si="123"/>
        <v/>
      </c>
      <c r="N539" s="38" t="str">
        <f t="shared" si="124"/>
        <v/>
      </c>
      <c r="O539" s="38" t="str">
        <f t="shared" si="125"/>
        <v/>
      </c>
      <c r="P539" s="38" t="str">
        <f t="shared" si="116"/>
        <v/>
      </c>
      <c r="Q539" s="38"/>
    </row>
    <row r="540" spans="1:17" x14ac:dyDescent="0.2">
      <c r="A540" t="str">
        <f t="shared" si="117"/>
        <v/>
      </c>
      <c r="B540" s="38" t="str">
        <f t="shared" si="113"/>
        <v/>
      </c>
      <c r="C540" s="38" t="str">
        <f t="shared" si="118"/>
        <v/>
      </c>
      <c r="D540" s="38" t="str">
        <f t="shared" si="119"/>
        <v/>
      </c>
      <c r="E540" s="38" t="str">
        <f t="shared" si="120"/>
        <v/>
      </c>
      <c r="F540" s="38" t="str">
        <f t="shared" si="121"/>
        <v/>
      </c>
      <c r="G540" s="38" t="str">
        <f t="shared" si="114"/>
        <v/>
      </c>
      <c r="H540" s="38"/>
      <c r="J540" t="str">
        <f t="shared" si="122"/>
        <v/>
      </c>
      <c r="K540" s="38" t="str">
        <f t="shared" si="115"/>
        <v/>
      </c>
      <c r="L540" s="38" t="str">
        <f t="shared" si="112"/>
        <v/>
      </c>
      <c r="M540" s="38" t="str">
        <f t="shared" si="123"/>
        <v/>
      </c>
      <c r="N540" s="38" t="str">
        <f t="shared" si="124"/>
        <v/>
      </c>
      <c r="O540" s="38" t="str">
        <f t="shared" si="125"/>
        <v/>
      </c>
      <c r="P540" s="38" t="str">
        <f t="shared" si="116"/>
        <v/>
      </c>
      <c r="Q540" s="38"/>
    </row>
    <row r="541" spans="1:17" x14ac:dyDescent="0.2">
      <c r="A541" t="str">
        <f t="shared" si="117"/>
        <v/>
      </c>
      <c r="B541" s="38" t="str">
        <f t="shared" si="113"/>
        <v/>
      </c>
      <c r="C541" s="38" t="str">
        <f t="shared" si="118"/>
        <v/>
      </c>
      <c r="D541" s="38" t="str">
        <f t="shared" si="119"/>
        <v/>
      </c>
      <c r="E541" s="38" t="str">
        <f t="shared" si="120"/>
        <v/>
      </c>
      <c r="F541" s="38" t="str">
        <f t="shared" si="121"/>
        <v/>
      </c>
      <c r="G541" s="38" t="str">
        <f t="shared" si="114"/>
        <v/>
      </c>
      <c r="H541" s="38"/>
      <c r="J541" t="str">
        <f t="shared" si="122"/>
        <v/>
      </c>
      <c r="K541" s="38" t="str">
        <f t="shared" si="115"/>
        <v/>
      </c>
      <c r="L541" s="38" t="str">
        <f t="shared" si="112"/>
        <v/>
      </c>
      <c r="M541" s="38" t="str">
        <f t="shared" si="123"/>
        <v/>
      </c>
      <c r="N541" s="38" t="str">
        <f t="shared" si="124"/>
        <v/>
      </c>
      <c r="O541" s="38" t="str">
        <f t="shared" si="125"/>
        <v/>
      </c>
      <c r="P541" s="38" t="str">
        <f t="shared" si="116"/>
        <v/>
      </c>
      <c r="Q541" s="38"/>
    </row>
    <row r="542" spans="1:17" x14ac:dyDescent="0.2">
      <c r="A542" t="str">
        <f t="shared" si="117"/>
        <v/>
      </c>
      <c r="B542" s="38" t="str">
        <f t="shared" si="113"/>
        <v/>
      </c>
      <c r="C542" s="38" t="str">
        <f t="shared" si="118"/>
        <v/>
      </c>
      <c r="D542" s="38" t="str">
        <f t="shared" si="119"/>
        <v/>
      </c>
      <c r="E542" s="38" t="str">
        <f t="shared" si="120"/>
        <v/>
      </c>
      <c r="F542" s="38" t="str">
        <f t="shared" si="121"/>
        <v/>
      </c>
      <c r="G542" s="38" t="str">
        <f t="shared" si="114"/>
        <v/>
      </c>
      <c r="H542" s="38"/>
      <c r="J542" t="str">
        <f t="shared" si="122"/>
        <v/>
      </c>
      <c r="K542" s="38" t="str">
        <f t="shared" si="115"/>
        <v/>
      </c>
      <c r="L542" s="38" t="str">
        <f t="shared" si="112"/>
        <v/>
      </c>
      <c r="M542" s="38" t="str">
        <f t="shared" si="123"/>
        <v/>
      </c>
      <c r="N542" s="38" t="str">
        <f t="shared" si="124"/>
        <v/>
      </c>
      <c r="O542" s="38" t="str">
        <f t="shared" si="125"/>
        <v/>
      </c>
      <c r="P542" s="38" t="str">
        <f t="shared" si="116"/>
        <v/>
      </c>
      <c r="Q542" s="38"/>
    </row>
    <row r="543" spans="1:17" x14ac:dyDescent="0.2">
      <c r="A543" t="str">
        <f t="shared" si="117"/>
        <v/>
      </c>
      <c r="B543" s="38" t="str">
        <f t="shared" si="113"/>
        <v/>
      </c>
      <c r="C543" s="38" t="str">
        <f t="shared" si="118"/>
        <v/>
      </c>
      <c r="D543" s="38" t="str">
        <f t="shared" si="119"/>
        <v/>
      </c>
      <c r="E543" s="38" t="str">
        <f t="shared" si="120"/>
        <v/>
      </c>
      <c r="F543" s="38" t="str">
        <f t="shared" si="121"/>
        <v/>
      </c>
      <c r="G543" s="38" t="str">
        <f t="shared" si="114"/>
        <v/>
      </c>
      <c r="H543" s="38"/>
      <c r="J543" t="str">
        <f t="shared" si="122"/>
        <v/>
      </c>
      <c r="K543" s="38" t="str">
        <f t="shared" si="115"/>
        <v/>
      </c>
      <c r="L543" s="38" t="str">
        <f t="shared" si="112"/>
        <v/>
      </c>
      <c r="M543" s="38" t="str">
        <f t="shared" si="123"/>
        <v/>
      </c>
      <c r="N543" s="38" t="str">
        <f t="shared" si="124"/>
        <v/>
      </c>
      <c r="O543" s="38" t="str">
        <f t="shared" si="125"/>
        <v/>
      </c>
      <c r="P543" s="38" t="str">
        <f t="shared" si="116"/>
        <v/>
      </c>
      <c r="Q543" s="38"/>
    </row>
    <row r="544" spans="1:17" x14ac:dyDescent="0.2">
      <c r="A544" t="str">
        <f t="shared" si="117"/>
        <v/>
      </c>
      <c r="B544" s="38" t="str">
        <f t="shared" si="113"/>
        <v/>
      </c>
      <c r="C544" s="38" t="str">
        <f t="shared" si="118"/>
        <v/>
      </c>
      <c r="D544" s="38" t="str">
        <f t="shared" si="119"/>
        <v/>
      </c>
      <c r="E544" s="38" t="str">
        <f t="shared" si="120"/>
        <v/>
      </c>
      <c r="F544" s="38" t="str">
        <f t="shared" si="121"/>
        <v/>
      </c>
      <c r="G544" s="38" t="str">
        <f t="shared" si="114"/>
        <v/>
      </c>
      <c r="H544" s="38"/>
      <c r="J544" t="str">
        <f t="shared" si="122"/>
        <v/>
      </c>
      <c r="K544" s="38" t="str">
        <f t="shared" si="115"/>
        <v/>
      </c>
      <c r="L544" s="38" t="str">
        <f t="shared" si="112"/>
        <v/>
      </c>
      <c r="M544" s="38" t="str">
        <f t="shared" si="123"/>
        <v/>
      </c>
      <c r="N544" s="38" t="str">
        <f t="shared" si="124"/>
        <v/>
      </c>
      <c r="O544" s="38" t="str">
        <f t="shared" si="125"/>
        <v/>
      </c>
      <c r="P544" s="38" t="str">
        <f t="shared" si="116"/>
        <v/>
      </c>
      <c r="Q544" s="38"/>
    </row>
    <row r="545" spans="1:17" x14ac:dyDescent="0.2">
      <c r="A545" t="str">
        <f t="shared" si="117"/>
        <v/>
      </c>
      <c r="B545" s="38" t="str">
        <f t="shared" si="113"/>
        <v/>
      </c>
      <c r="C545" s="38" t="str">
        <f t="shared" si="118"/>
        <v/>
      </c>
      <c r="D545" s="38" t="str">
        <f t="shared" si="119"/>
        <v/>
      </c>
      <c r="E545" s="38" t="str">
        <f t="shared" si="120"/>
        <v/>
      </c>
      <c r="F545" s="38" t="str">
        <f t="shared" si="121"/>
        <v/>
      </c>
      <c r="G545" s="38" t="str">
        <f t="shared" si="114"/>
        <v/>
      </c>
      <c r="H545" s="38"/>
      <c r="J545" t="str">
        <f t="shared" si="122"/>
        <v/>
      </c>
      <c r="K545" s="38" t="str">
        <f t="shared" si="115"/>
        <v/>
      </c>
      <c r="L545" s="38" t="str">
        <f t="shared" si="112"/>
        <v/>
      </c>
      <c r="M545" s="38" t="str">
        <f t="shared" si="123"/>
        <v/>
      </c>
      <c r="N545" s="38" t="str">
        <f t="shared" si="124"/>
        <v/>
      </c>
      <c r="O545" s="38" t="str">
        <f t="shared" si="125"/>
        <v/>
      </c>
      <c r="P545" s="38" t="str">
        <f t="shared" si="116"/>
        <v/>
      </c>
      <c r="Q545" s="38"/>
    </row>
    <row r="546" spans="1:17" x14ac:dyDescent="0.2">
      <c r="A546" t="str">
        <f t="shared" si="117"/>
        <v/>
      </c>
      <c r="B546" s="38" t="str">
        <f t="shared" si="113"/>
        <v/>
      </c>
      <c r="C546" s="38" t="str">
        <f t="shared" si="118"/>
        <v/>
      </c>
      <c r="D546" s="38" t="str">
        <f t="shared" si="119"/>
        <v/>
      </c>
      <c r="E546" s="38" t="str">
        <f t="shared" si="120"/>
        <v/>
      </c>
      <c r="F546" s="38" t="str">
        <f t="shared" si="121"/>
        <v/>
      </c>
      <c r="G546" s="38" t="str">
        <f t="shared" si="114"/>
        <v/>
      </c>
      <c r="H546" s="38"/>
      <c r="J546" t="str">
        <f t="shared" si="122"/>
        <v/>
      </c>
      <c r="K546" s="38" t="str">
        <f t="shared" si="115"/>
        <v/>
      </c>
      <c r="L546" s="38" t="str">
        <f t="shared" si="112"/>
        <v/>
      </c>
      <c r="M546" s="38" t="str">
        <f t="shared" si="123"/>
        <v/>
      </c>
      <c r="N546" s="38" t="str">
        <f t="shared" si="124"/>
        <v/>
      </c>
      <c r="O546" s="38" t="str">
        <f t="shared" si="125"/>
        <v/>
      </c>
      <c r="P546" s="38" t="str">
        <f t="shared" si="116"/>
        <v/>
      </c>
      <c r="Q546" s="38"/>
    </row>
    <row r="547" spans="1:17" x14ac:dyDescent="0.2">
      <c r="A547" t="str">
        <f t="shared" si="117"/>
        <v/>
      </c>
      <c r="B547" s="38" t="str">
        <f t="shared" si="113"/>
        <v/>
      </c>
      <c r="C547" s="38" t="str">
        <f t="shared" si="118"/>
        <v/>
      </c>
      <c r="D547" s="38" t="str">
        <f t="shared" si="119"/>
        <v/>
      </c>
      <c r="E547" s="38" t="str">
        <f t="shared" si="120"/>
        <v/>
      </c>
      <c r="F547" s="38" t="str">
        <f t="shared" si="121"/>
        <v/>
      </c>
      <c r="G547" s="38" t="str">
        <f t="shared" si="114"/>
        <v/>
      </c>
      <c r="H547" s="38"/>
      <c r="J547" t="str">
        <f t="shared" si="122"/>
        <v/>
      </c>
      <c r="K547" s="38" t="str">
        <f t="shared" si="115"/>
        <v/>
      </c>
      <c r="L547" s="38" t="str">
        <f t="shared" si="112"/>
        <v/>
      </c>
      <c r="M547" s="38" t="str">
        <f t="shared" si="123"/>
        <v/>
      </c>
      <c r="N547" s="38" t="str">
        <f t="shared" si="124"/>
        <v/>
      </c>
      <c r="O547" s="38" t="str">
        <f t="shared" si="125"/>
        <v/>
      </c>
      <c r="P547" s="38" t="str">
        <f t="shared" si="116"/>
        <v/>
      </c>
      <c r="Q547" s="38"/>
    </row>
    <row r="548" spans="1:17" x14ac:dyDescent="0.2">
      <c r="A548" t="str">
        <f t="shared" si="117"/>
        <v/>
      </c>
      <c r="B548" s="38" t="str">
        <f t="shared" si="113"/>
        <v/>
      </c>
      <c r="C548" s="38" t="str">
        <f t="shared" si="118"/>
        <v/>
      </c>
      <c r="D548" s="38" t="str">
        <f t="shared" si="119"/>
        <v/>
      </c>
      <c r="E548" s="38" t="str">
        <f t="shared" si="120"/>
        <v/>
      </c>
      <c r="F548" s="38" t="str">
        <f t="shared" si="121"/>
        <v/>
      </c>
      <c r="G548" s="38" t="str">
        <f t="shared" si="114"/>
        <v/>
      </c>
      <c r="H548" s="38"/>
      <c r="J548" t="str">
        <f t="shared" si="122"/>
        <v/>
      </c>
      <c r="K548" s="38" t="str">
        <f t="shared" si="115"/>
        <v/>
      </c>
      <c r="L548" s="38" t="str">
        <f t="shared" si="112"/>
        <v/>
      </c>
      <c r="M548" s="38" t="str">
        <f t="shared" si="123"/>
        <v/>
      </c>
      <c r="N548" s="38" t="str">
        <f t="shared" si="124"/>
        <v/>
      </c>
      <c r="O548" s="38" t="str">
        <f t="shared" si="125"/>
        <v/>
      </c>
      <c r="P548" s="38" t="str">
        <f t="shared" si="116"/>
        <v/>
      </c>
      <c r="Q548" s="38"/>
    </row>
    <row r="549" spans="1:17" x14ac:dyDescent="0.2">
      <c r="A549" t="str">
        <f t="shared" si="117"/>
        <v/>
      </c>
      <c r="B549" s="38" t="str">
        <f t="shared" si="113"/>
        <v/>
      </c>
      <c r="C549" s="38" t="str">
        <f t="shared" si="118"/>
        <v/>
      </c>
      <c r="D549" s="38" t="str">
        <f t="shared" si="119"/>
        <v/>
      </c>
      <c r="E549" s="38" t="str">
        <f t="shared" si="120"/>
        <v/>
      </c>
      <c r="F549" s="38" t="str">
        <f t="shared" si="121"/>
        <v/>
      </c>
      <c r="G549" s="38" t="str">
        <f t="shared" si="114"/>
        <v/>
      </c>
      <c r="H549" s="38"/>
      <c r="J549" t="str">
        <f t="shared" si="122"/>
        <v/>
      </c>
      <c r="K549" s="38" t="str">
        <f t="shared" si="115"/>
        <v/>
      </c>
      <c r="L549" s="38" t="str">
        <f t="shared" si="112"/>
        <v/>
      </c>
      <c r="M549" s="38" t="str">
        <f t="shared" si="123"/>
        <v/>
      </c>
      <c r="N549" s="38" t="str">
        <f t="shared" si="124"/>
        <v/>
      </c>
      <c r="O549" s="38" t="str">
        <f t="shared" si="125"/>
        <v/>
      </c>
      <c r="P549" s="38" t="str">
        <f t="shared" si="116"/>
        <v/>
      </c>
      <c r="Q549" s="38"/>
    </row>
    <row r="550" spans="1:17" x14ac:dyDescent="0.2">
      <c r="A550" t="str">
        <f t="shared" si="117"/>
        <v/>
      </c>
      <c r="B550" s="38" t="str">
        <f t="shared" si="113"/>
        <v/>
      </c>
      <c r="C550" s="38" t="str">
        <f t="shared" si="118"/>
        <v/>
      </c>
      <c r="D550" s="38" t="str">
        <f t="shared" si="119"/>
        <v/>
      </c>
      <c r="E550" s="38" t="str">
        <f t="shared" si="120"/>
        <v/>
      </c>
      <c r="F550" s="38" t="str">
        <f t="shared" si="121"/>
        <v/>
      </c>
      <c r="G550" s="38" t="str">
        <f t="shared" si="114"/>
        <v/>
      </c>
      <c r="H550" s="38"/>
      <c r="J550" t="str">
        <f t="shared" si="122"/>
        <v/>
      </c>
      <c r="K550" s="38" t="str">
        <f t="shared" si="115"/>
        <v/>
      </c>
      <c r="L550" s="38" t="str">
        <f t="shared" si="112"/>
        <v/>
      </c>
      <c r="M550" s="38" t="str">
        <f t="shared" si="123"/>
        <v/>
      </c>
      <c r="N550" s="38" t="str">
        <f t="shared" si="124"/>
        <v/>
      </c>
      <c r="O550" s="38" t="str">
        <f t="shared" si="125"/>
        <v/>
      </c>
      <c r="P550" s="38" t="str">
        <f t="shared" si="116"/>
        <v/>
      </c>
      <c r="Q550" s="38"/>
    </row>
    <row r="551" spans="1:17" x14ac:dyDescent="0.2">
      <c r="A551" t="str">
        <f t="shared" si="117"/>
        <v/>
      </c>
      <c r="B551" s="38" t="str">
        <f t="shared" si="113"/>
        <v/>
      </c>
      <c r="C551" s="38" t="str">
        <f t="shared" si="118"/>
        <v/>
      </c>
      <c r="D551" s="38" t="str">
        <f t="shared" si="119"/>
        <v/>
      </c>
      <c r="E551" s="38" t="str">
        <f t="shared" si="120"/>
        <v/>
      </c>
      <c r="F551" s="38" t="str">
        <f t="shared" si="121"/>
        <v/>
      </c>
      <c r="G551" s="38" t="str">
        <f t="shared" si="114"/>
        <v/>
      </c>
      <c r="H551" s="38"/>
      <c r="J551" t="str">
        <f t="shared" si="122"/>
        <v/>
      </c>
      <c r="K551" s="38" t="str">
        <f t="shared" si="115"/>
        <v/>
      </c>
      <c r="L551" s="38" t="str">
        <f t="shared" si="112"/>
        <v/>
      </c>
      <c r="M551" s="38" t="str">
        <f t="shared" si="123"/>
        <v/>
      </c>
      <c r="N551" s="38" t="str">
        <f t="shared" si="124"/>
        <v/>
      </c>
      <c r="O551" s="38" t="str">
        <f t="shared" si="125"/>
        <v/>
      </c>
      <c r="P551" s="38" t="str">
        <f t="shared" si="116"/>
        <v/>
      </c>
      <c r="Q551" s="38"/>
    </row>
    <row r="552" spans="1:17" x14ac:dyDescent="0.2">
      <c r="A552" t="str">
        <f t="shared" si="117"/>
        <v/>
      </c>
      <c r="B552" s="38" t="str">
        <f t="shared" si="113"/>
        <v/>
      </c>
      <c r="C552" s="38" t="str">
        <f t="shared" si="118"/>
        <v/>
      </c>
      <c r="D552" s="38" t="str">
        <f t="shared" si="119"/>
        <v/>
      </c>
      <c r="E552" s="38" t="str">
        <f t="shared" si="120"/>
        <v/>
      </c>
      <c r="F552" s="38" t="str">
        <f t="shared" si="121"/>
        <v/>
      </c>
      <c r="G552" s="38" t="str">
        <f t="shared" si="114"/>
        <v/>
      </c>
      <c r="H552" s="38"/>
      <c r="J552" t="str">
        <f t="shared" si="122"/>
        <v/>
      </c>
      <c r="K552" s="38" t="str">
        <f t="shared" si="115"/>
        <v/>
      </c>
      <c r="L552" s="38" t="str">
        <f t="shared" si="112"/>
        <v/>
      </c>
      <c r="M552" s="38" t="str">
        <f t="shared" si="123"/>
        <v/>
      </c>
      <c r="N552" s="38" t="str">
        <f t="shared" si="124"/>
        <v/>
      </c>
      <c r="O552" s="38" t="str">
        <f t="shared" si="125"/>
        <v/>
      </c>
      <c r="P552" s="38" t="str">
        <f t="shared" si="116"/>
        <v/>
      </c>
      <c r="Q552" s="38"/>
    </row>
    <row r="553" spans="1:17" x14ac:dyDescent="0.2">
      <c r="A553" t="str">
        <f t="shared" si="117"/>
        <v/>
      </c>
      <c r="B553" s="38" t="str">
        <f t="shared" si="113"/>
        <v/>
      </c>
      <c r="C553" s="38" t="str">
        <f t="shared" si="118"/>
        <v/>
      </c>
      <c r="D553" s="38" t="str">
        <f t="shared" si="119"/>
        <v/>
      </c>
      <c r="E553" s="38" t="str">
        <f t="shared" si="120"/>
        <v/>
      </c>
      <c r="F553" s="38" t="str">
        <f t="shared" si="121"/>
        <v/>
      </c>
      <c r="G553" s="38" t="str">
        <f t="shared" si="114"/>
        <v/>
      </c>
      <c r="H553" s="38"/>
      <c r="J553" t="str">
        <f t="shared" si="122"/>
        <v/>
      </c>
      <c r="K553" s="38" t="str">
        <f t="shared" si="115"/>
        <v/>
      </c>
      <c r="L553" s="38" t="str">
        <f t="shared" si="112"/>
        <v/>
      </c>
      <c r="M553" s="38" t="str">
        <f t="shared" si="123"/>
        <v/>
      </c>
      <c r="N553" s="38" t="str">
        <f t="shared" si="124"/>
        <v/>
      </c>
      <c r="O553" s="38" t="str">
        <f t="shared" si="125"/>
        <v/>
      </c>
      <c r="P553" s="38" t="str">
        <f t="shared" si="116"/>
        <v/>
      </c>
      <c r="Q553" s="38"/>
    </row>
    <row r="554" spans="1:17" x14ac:dyDescent="0.2">
      <c r="A554" t="str">
        <f t="shared" si="117"/>
        <v/>
      </c>
      <c r="B554" s="38" t="str">
        <f t="shared" si="113"/>
        <v/>
      </c>
      <c r="C554" s="38" t="str">
        <f t="shared" si="118"/>
        <v/>
      </c>
      <c r="D554" s="38" t="str">
        <f t="shared" si="119"/>
        <v/>
      </c>
      <c r="E554" s="38" t="str">
        <f t="shared" si="120"/>
        <v/>
      </c>
      <c r="F554" s="38" t="str">
        <f t="shared" si="121"/>
        <v/>
      </c>
      <c r="G554" s="38" t="str">
        <f t="shared" si="114"/>
        <v/>
      </c>
      <c r="H554" s="38"/>
      <c r="J554" t="str">
        <f t="shared" si="122"/>
        <v/>
      </c>
      <c r="K554" s="38" t="str">
        <f t="shared" si="115"/>
        <v/>
      </c>
      <c r="L554" s="38" t="str">
        <f t="shared" si="112"/>
        <v/>
      </c>
      <c r="M554" s="38" t="str">
        <f t="shared" si="123"/>
        <v/>
      </c>
      <c r="N554" s="38" t="str">
        <f t="shared" si="124"/>
        <v/>
      </c>
      <c r="O554" s="38" t="str">
        <f t="shared" si="125"/>
        <v/>
      </c>
      <c r="P554" s="38" t="str">
        <f t="shared" si="116"/>
        <v/>
      </c>
      <c r="Q554" s="38"/>
    </row>
    <row r="555" spans="1:17" x14ac:dyDescent="0.2">
      <c r="A555" t="str">
        <f t="shared" si="117"/>
        <v/>
      </c>
      <c r="B555" s="38" t="str">
        <f t="shared" si="113"/>
        <v/>
      </c>
      <c r="C555" s="38" t="str">
        <f t="shared" si="118"/>
        <v/>
      </c>
      <c r="D555" s="38" t="str">
        <f t="shared" si="119"/>
        <v/>
      </c>
      <c r="E555" s="38" t="str">
        <f t="shared" si="120"/>
        <v/>
      </c>
      <c r="F555" s="38" t="str">
        <f t="shared" si="121"/>
        <v/>
      </c>
      <c r="G555" s="38" t="str">
        <f t="shared" si="114"/>
        <v/>
      </c>
      <c r="H555" s="38"/>
      <c r="J555" t="str">
        <f t="shared" si="122"/>
        <v/>
      </c>
      <c r="K555" s="38" t="str">
        <f t="shared" si="115"/>
        <v/>
      </c>
      <c r="L555" s="38" t="str">
        <f t="shared" si="112"/>
        <v/>
      </c>
      <c r="M555" s="38" t="str">
        <f t="shared" si="123"/>
        <v/>
      </c>
      <c r="N555" s="38" t="str">
        <f t="shared" si="124"/>
        <v/>
      </c>
      <c r="O555" s="38" t="str">
        <f t="shared" si="125"/>
        <v/>
      </c>
      <c r="P555" s="38" t="str">
        <f t="shared" si="116"/>
        <v/>
      </c>
      <c r="Q555" s="38"/>
    </row>
    <row r="556" spans="1:17" x14ac:dyDescent="0.2">
      <c r="A556" t="str">
        <f t="shared" si="117"/>
        <v/>
      </c>
      <c r="B556" s="38" t="str">
        <f t="shared" si="113"/>
        <v/>
      </c>
      <c r="C556" s="38" t="str">
        <f t="shared" si="118"/>
        <v/>
      </c>
      <c r="D556" s="38" t="str">
        <f t="shared" si="119"/>
        <v/>
      </c>
      <c r="E556" s="38" t="str">
        <f t="shared" si="120"/>
        <v/>
      </c>
      <c r="F556" s="38" t="str">
        <f t="shared" si="121"/>
        <v/>
      </c>
      <c r="G556" s="38" t="str">
        <f t="shared" si="114"/>
        <v/>
      </c>
      <c r="H556" s="38"/>
      <c r="J556" t="str">
        <f t="shared" si="122"/>
        <v/>
      </c>
      <c r="K556" s="38" t="str">
        <f t="shared" si="115"/>
        <v/>
      </c>
      <c r="L556" s="38" t="str">
        <f t="shared" si="112"/>
        <v/>
      </c>
      <c r="M556" s="38" t="str">
        <f t="shared" si="123"/>
        <v/>
      </c>
      <c r="N556" s="38" t="str">
        <f t="shared" si="124"/>
        <v/>
      </c>
      <c r="O556" s="38" t="str">
        <f t="shared" si="125"/>
        <v/>
      </c>
      <c r="P556" s="38" t="str">
        <f t="shared" si="116"/>
        <v/>
      </c>
      <c r="Q556" s="38"/>
    </row>
    <row r="557" spans="1:17" x14ac:dyDescent="0.2">
      <c r="A557" t="str">
        <f t="shared" si="117"/>
        <v/>
      </c>
      <c r="B557" s="38" t="str">
        <f t="shared" si="113"/>
        <v/>
      </c>
      <c r="C557" s="38" t="str">
        <f t="shared" si="118"/>
        <v/>
      </c>
      <c r="D557" s="38" t="str">
        <f t="shared" si="119"/>
        <v/>
      </c>
      <c r="E557" s="38" t="str">
        <f t="shared" si="120"/>
        <v/>
      </c>
      <c r="F557" s="38" t="str">
        <f t="shared" si="121"/>
        <v/>
      </c>
      <c r="G557" s="38" t="str">
        <f t="shared" si="114"/>
        <v/>
      </c>
      <c r="H557" s="38"/>
      <c r="J557" t="str">
        <f t="shared" si="122"/>
        <v/>
      </c>
      <c r="K557" s="38" t="str">
        <f t="shared" si="115"/>
        <v/>
      </c>
      <c r="L557" s="38" t="str">
        <f t="shared" si="112"/>
        <v/>
      </c>
      <c r="M557" s="38" t="str">
        <f t="shared" si="123"/>
        <v/>
      </c>
      <c r="N557" s="38" t="str">
        <f t="shared" si="124"/>
        <v/>
      </c>
      <c r="O557" s="38" t="str">
        <f t="shared" si="125"/>
        <v/>
      </c>
      <c r="P557" s="38" t="str">
        <f t="shared" si="116"/>
        <v/>
      </c>
      <c r="Q557" s="38"/>
    </row>
    <row r="558" spans="1:17" x14ac:dyDescent="0.2">
      <c r="A558" t="str">
        <f t="shared" si="117"/>
        <v/>
      </c>
      <c r="B558" s="38" t="str">
        <f t="shared" si="113"/>
        <v/>
      </c>
      <c r="C558" s="38" t="str">
        <f t="shared" si="118"/>
        <v/>
      </c>
      <c r="D558" s="38" t="str">
        <f t="shared" si="119"/>
        <v/>
      </c>
      <c r="E558" s="38" t="str">
        <f t="shared" si="120"/>
        <v/>
      </c>
      <c r="F558" s="38" t="str">
        <f t="shared" si="121"/>
        <v/>
      </c>
      <c r="G558" s="38" t="str">
        <f t="shared" si="114"/>
        <v/>
      </c>
      <c r="H558" s="38"/>
      <c r="J558" t="str">
        <f t="shared" si="122"/>
        <v/>
      </c>
      <c r="K558" s="38" t="str">
        <f t="shared" si="115"/>
        <v/>
      </c>
      <c r="L558" s="38" t="str">
        <f t="shared" si="112"/>
        <v/>
      </c>
      <c r="M558" s="38" t="str">
        <f t="shared" si="123"/>
        <v/>
      </c>
      <c r="N558" s="38" t="str">
        <f t="shared" si="124"/>
        <v/>
      </c>
      <c r="O558" s="38" t="str">
        <f t="shared" si="125"/>
        <v/>
      </c>
      <c r="P558" s="38" t="str">
        <f t="shared" si="116"/>
        <v/>
      </c>
      <c r="Q558" s="38"/>
    </row>
    <row r="559" spans="1:17" x14ac:dyDescent="0.2">
      <c r="A559" t="str">
        <f t="shared" si="117"/>
        <v/>
      </c>
      <c r="B559" s="38" t="str">
        <f t="shared" si="113"/>
        <v/>
      </c>
      <c r="C559" s="38" t="str">
        <f t="shared" si="118"/>
        <v/>
      </c>
      <c r="D559" s="38" t="str">
        <f t="shared" si="119"/>
        <v/>
      </c>
      <c r="E559" s="38" t="str">
        <f t="shared" si="120"/>
        <v/>
      </c>
      <c r="F559" s="38" t="str">
        <f t="shared" si="121"/>
        <v/>
      </c>
      <c r="G559" s="38" t="str">
        <f t="shared" si="114"/>
        <v/>
      </c>
      <c r="H559" s="38"/>
      <c r="J559" t="str">
        <f t="shared" si="122"/>
        <v/>
      </c>
      <c r="K559" s="38" t="str">
        <f t="shared" si="115"/>
        <v/>
      </c>
      <c r="L559" s="38" t="str">
        <f t="shared" si="112"/>
        <v/>
      </c>
      <c r="M559" s="38" t="str">
        <f t="shared" si="123"/>
        <v/>
      </c>
      <c r="N559" s="38" t="str">
        <f t="shared" si="124"/>
        <v/>
      </c>
      <c r="O559" s="38" t="str">
        <f t="shared" si="125"/>
        <v/>
      </c>
      <c r="P559" s="38" t="str">
        <f t="shared" si="116"/>
        <v/>
      </c>
      <c r="Q559" s="38"/>
    </row>
    <row r="560" spans="1:17" x14ac:dyDescent="0.2">
      <c r="A560" t="str">
        <f t="shared" si="117"/>
        <v/>
      </c>
      <c r="B560" s="38" t="str">
        <f t="shared" si="113"/>
        <v/>
      </c>
      <c r="C560" s="38" t="str">
        <f t="shared" si="118"/>
        <v/>
      </c>
      <c r="D560" s="38" t="str">
        <f t="shared" si="119"/>
        <v/>
      </c>
      <c r="E560" s="38" t="str">
        <f t="shared" si="120"/>
        <v/>
      </c>
      <c r="F560" s="38" t="str">
        <f t="shared" si="121"/>
        <v/>
      </c>
      <c r="G560" s="38" t="str">
        <f t="shared" si="114"/>
        <v/>
      </c>
      <c r="H560" s="38"/>
      <c r="J560" t="str">
        <f t="shared" si="122"/>
        <v/>
      </c>
      <c r="K560" s="38" t="str">
        <f t="shared" si="115"/>
        <v/>
      </c>
      <c r="L560" s="38" t="str">
        <f t="shared" si="112"/>
        <v/>
      </c>
      <c r="M560" s="38" t="str">
        <f t="shared" si="123"/>
        <v/>
      </c>
      <c r="N560" s="38" t="str">
        <f t="shared" si="124"/>
        <v/>
      </c>
      <c r="O560" s="38" t="str">
        <f t="shared" si="125"/>
        <v/>
      </c>
      <c r="P560" s="38" t="str">
        <f t="shared" si="116"/>
        <v/>
      </c>
      <c r="Q560" s="38"/>
    </row>
    <row r="561" spans="1:17" x14ac:dyDescent="0.2">
      <c r="A561" t="str">
        <f t="shared" si="117"/>
        <v/>
      </c>
      <c r="B561" s="38" t="str">
        <f t="shared" si="113"/>
        <v/>
      </c>
      <c r="C561" s="38" t="str">
        <f t="shared" si="118"/>
        <v/>
      </c>
      <c r="D561" s="38" t="str">
        <f t="shared" si="119"/>
        <v/>
      </c>
      <c r="E561" s="38" t="str">
        <f t="shared" si="120"/>
        <v/>
      </c>
      <c r="F561" s="38" t="str">
        <f t="shared" si="121"/>
        <v/>
      </c>
      <c r="G561" s="38" t="str">
        <f t="shared" si="114"/>
        <v/>
      </c>
      <c r="H561" s="38"/>
      <c r="J561" t="str">
        <f t="shared" si="122"/>
        <v/>
      </c>
      <c r="K561" s="38" t="str">
        <f t="shared" si="115"/>
        <v/>
      </c>
      <c r="L561" s="38" t="str">
        <f t="shared" si="112"/>
        <v/>
      </c>
      <c r="M561" s="38" t="str">
        <f t="shared" si="123"/>
        <v/>
      </c>
      <c r="N561" s="38" t="str">
        <f t="shared" si="124"/>
        <v/>
      </c>
      <c r="O561" s="38" t="str">
        <f t="shared" si="125"/>
        <v/>
      </c>
      <c r="P561" s="38" t="str">
        <f t="shared" si="116"/>
        <v/>
      </c>
      <c r="Q561" s="38"/>
    </row>
    <row r="562" spans="1:17" x14ac:dyDescent="0.2">
      <c r="A562" t="str">
        <f t="shared" si="117"/>
        <v/>
      </c>
      <c r="B562" s="38" t="str">
        <f t="shared" si="113"/>
        <v/>
      </c>
      <c r="C562" s="38" t="str">
        <f t="shared" si="118"/>
        <v/>
      </c>
      <c r="D562" s="38" t="str">
        <f t="shared" si="119"/>
        <v/>
      </c>
      <c r="E562" s="38" t="str">
        <f t="shared" si="120"/>
        <v/>
      </c>
      <c r="F562" s="38" t="str">
        <f t="shared" si="121"/>
        <v/>
      </c>
      <c r="G562" s="38" t="str">
        <f t="shared" si="114"/>
        <v/>
      </c>
      <c r="H562" s="38"/>
      <c r="J562" t="str">
        <f t="shared" si="122"/>
        <v/>
      </c>
      <c r="K562" s="38" t="str">
        <f t="shared" si="115"/>
        <v/>
      </c>
      <c r="L562" s="38" t="str">
        <f t="shared" si="112"/>
        <v/>
      </c>
      <c r="M562" s="38" t="str">
        <f t="shared" si="123"/>
        <v/>
      </c>
      <c r="N562" s="38" t="str">
        <f t="shared" si="124"/>
        <v/>
      </c>
      <c r="O562" s="38" t="str">
        <f t="shared" si="125"/>
        <v/>
      </c>
      <c r="P562" s="38" t="str">
        <f t="shared" si="116"/>
        <v/>
      </c>
      <c r="Q562" s="38"/>
    </row>
    <row r="563" spans="1:17" x14ac:dyDescent="0.2">
      <c r="A563" t="str">
        <f t="shared" si="117"/>
        <v/>
      </c>
      <c r="B563" s="38" t="str">
        <f t="shared" si="113"/>
        <v/>
      </c>
      <c r="C563" s="38" t="str">
        <f t="shared" si="118"/>
        <v/>
      </c>
      <c r="D563" s="38" t="str">
        <f t="shared" si="119"/>
        <v/>
      </c>
      <c r="E563" s="38" t="str">
        <f t="shared" si="120"/>
        <v/>
      </c>
      <c r="F563" s="38" t="str">
        <f t="shared" si="121"/>
        <v/>
      </c>
      <c r="G563" s="38" t="str">
        <f t="shared" si="114"/>
        <v/>
      </c>
      <c r="H563" s="38"/>
      <c r="J563" t="str">
        <f t="shared" si="122"/>
        <v/>
      </c>
      <c r="K563" s="38" t="str">
        <f t="shared" si="115"/>
        <v/>
      </c>
      <c r="L563" s="38" t="str">
        <f t="shared" si="112"/>
        <v/>
      </c>
      <c r="M563" s="38" t="str">
        <f t="shared" si="123"/>
        <v/>
      </c>
      <c r="N563" s="38" t="str">
        <f t="shared" si="124"/>
        <v/>
      </c>
      <c r="O563" s="38" t="str">
        <f t="shared" si="125"/>
        <v/>
      </c>
      <c r="P563" s="38" t="str">
        <f t="shared" si="116"/>
        <v/>
      </c>
      <c r="Q563" s="38"/>
    </row>
    <row r="564" spans="1:17" x14ac:dyDescent="0.2">
      <c r="A564" t="str">
        <f t="shared" si="117"/>
        <v/>
      </c>
      <c r="B564" s="38" t="str">
        <f t="shared" si="113"/>
        <v/>
      </c>
      <c r="C564" s="38" t="str">
        <f t="shared" si="118"/>
        <v/>
      </c>
      <c r="D564" s="38" t="str">
        <f t="shared" si="119"/>
        <v/>
      </c>
      <c r="E564" s="38" t="str">
        <f t="shared" si="120"/>
        <v/>
      </c>
      <c r="F564" s="38" t="str">
        <f t="shared" si="121"/>
        <v/>
      </c>
      <c r="G564" s="38" t="str">
        <f t="shared" si="114"/>
        <v/>
      </c>
      <c r="H564" s="38"/>
      <c r="J564" t="str">
        <f t="shared" si="122"/>
        <v/>
      </c>
      <c r="K564" s="38" t="str">
        <f t="shared" si="115"/>
        <v/>
      </c>
      <c r="L564" s="38" t="str">
        <f t="shared" si="112"/>
        <v/>
      </c>
      <c r="M564" s="38" t="str">
        <f t="shared" si="123"/>
        <v/>
      </c>
      <c r="N564" s="38" t="str">
        <f t="shared" si="124"/>
        <v/>
      </c>
      <c r="O564" s="38" t="str">
        <f t="shared" si="125"/>
        <v/>
      </c>
      <c r="P564" s="38" t="str">
        <f t="shared" si="116"/>
        <v/>
      </c>
      <c r="Q564" s="38"/>
    </row>
    <row r="565" spans="1:17" x14ac:dyDescent="0.2">
      <c r="A565" t="str">
        <f t="shared" si="117"/>
        <v/>
      </c>
      <c r="B565" s="38" t="str">
        <f t="shared" si="113"/>
        <v/>
      </c>
      <c r="C565" s="38" t="str">
        <f t="shared" si="118"/>
        <v/>
      </c>
      <c r="D565" s="38" t="str">
        <f t="shared" si="119"/>
        <v/>
      </c>
      <c r="E565" s="38" t="str">
        <f t="shared" si="120"/>
        <v/>
      </c>
      <c r="F565" s="38" t="str">
        <f t="shared" si="121"/>
        <v/>
      </c>
      <c r="G565" s="38" t="str">
        <f t="shared" si="114"/>
        <v/>
      </c>
      <c r="H565" s="38"/>
      <c r="J565" t="str">
        <f t="shared" si="122"/>
        <v/>
      </c>
      <c r="K565" s="38" t="str">
        <f t="shared" si="115"/>
        <v/>
      </c>
      <c r="L565" s="38" t="str">
        <f t="shared" si="112"/>
        <v/>
      </c>
      <c r="M565" s="38" t="str">
        <f t="shared" si="123"/>
        <v/>
      </c>
      <c r="N565" s="38" t="str">
        <f t="shared" si="124"/>
        <v/>
      </c>
      <c r="O565" s="38" t="str">
        <f t="shared" si="125"/>
        <v/>
      </c>
      <c r="P565" s="38" t="str">
        <f t="shared" si="116"/>
        <v/>
      </c>
      <c r="Q565" s="38"/>
    </row>
    <row r="566" spans="1:17" x14ac:dyDescent="0.2">
      <c r="A566" t="str">
        <f t="shared" ref="A566:A599" si="126">IF(A565&lt;($B$6*$B$7),A565+1,"")</f>
        <v/>
      </c>
      <c r="B566" s="38" t="str">
        <f t="shared" si="113"/>
        <v/>
      </c>
      <c r="C566" s="38" t="str">
        <f t="shared" si="118"/>
        <v/>
      </c>
      <c r="D566" s="38" t="str">
        <f t="shared" si="119"/>
        <v/>
      </c>
      <c r="E566" s="38" t="str">
        <f t="shared" si="120"/>
        <v/>
      </c>
      <c r="F566" s="38" t="str">
        <f t="shared" si="121"/>
        <v/>
      </c>
      <c r="G566" s="38" t="str">
        <f t="shared" si="114"/>
        <v/>
      </c>
      <c r="H566" s="38"/>
      <c r="J566" t="str">
        <f t="shared" ref="J566:J629" si="127">IF(J565&lt;($B$6*$B$7),J565+1,"")</f>
        <v/>
      </c>
      <c r="K566" s="38" t="str">
        <f t="shared" si="115"/>
        <v/>
      </c>
      <c r="L566" s="38" t="str">
        <f t="shared" si="112"/>
        <v/>
      </c>
      <c r="M566" s="38" t="str">
        <f t="shared" si="123"/>
        <v/>
      </c>
      <c r="N566" s="38" t="str">
        <f t="shared" si="124"/>
        <v/>
      </c>
      <c r="O566" s="38" t="str">
        <f t="shared" si="125"/>
        <v/>
      </c>
      <c r="P566" s="38" t="str">
        <f t="shared" si="116"/>
        <v/>
      </c>
      <c r="Q566" s="38"/>
    </row>
    <row r="567" spans="1:17" x14ac:dyDescent="0.2">
      <c r="A567" t="str">
        <f t="shared" si="126"/>
        <v/>
      </c>
      <c r="B567" s="38" t="str">
        <f t="shared" si="113"/>
        <v/>
      </c>
      <c r="C567" s="38" t="str">
        <f t="shared" si="118"/>
        <v/>
      </c>
      <c r="D567" s="38" t="str">
        <f t="shared" si="119"/>
        <v/>
      </c>
      <c r="E567" s="38" t="str">
        <f t="shared" si="120"/>
        <v/>
      </c>
      <c r="F567" s="38" t="str">
        <f t="shared" si="121"/>
        <v/>
      </c>
      <c r="G567" s="38" t="str">
        <f t="shared" si="114"/>
        <v/>
      </c>
      <c r="H567" s="38"/>
      <c r="J567" t="str">
        <f t="shared" si="127"/>
        <v/>
      </c>
      <c r="K567" s="38" t="str">
        <f t="shared" si="115"/>
        <v/>
      </c>
      <c r="L567" s="38" t="str">
        <f t="shared" si="112"/>
        <v/>
      </c>
      <c r="M567" s="38" t="str">
        <f t="shared" si="123"/>
        <v/>
      </c>
      <c r="N567" s="38" t="str">
        <f t="shared" si="124"/>
        <v/>
      </c>
      <c r="O567" s="38" t="str">
        <f t="shared" si="125"/>
        <v/>
      </c>
      <c r="P567" s="38" t="str">
        <f t="shared" si="116"/>
        <v/>
      </c>
      <c r="Q567" s="38"/>
    </row>
    <row r="568" spans="1:17" x14ac:dyDescent="0.2">
      <c r="A568" t="str">
        <f t="shared" si="126"/>
        <v/>
      </c>
      <c r="B568" s="38" t="str">
        <f t="shared" si="113"/>
        <v/>
      </c>
      <c r="C568" s="38" t="str">
        <f t="shared" si="118"/>
        <v/>
      </c>
      <c r="D568" s="38" t="str">
        <f t="shared" si="119"/>
        <v/>
      </c>
      <c r="E568" s="38" t="str">
        <f t="shared" si="120"/>
        <v/>
      </c>
      <c r="F568" s="38" t="str">
        <f t="shared" si="121"/>
        <v/>
      </c>
      <c r="G568" s="38" t="str">
        <f t="shared" si="114"/>
        <v/>
      </c>
      <c r="H568" s="38"/>
      <c r="J568" t="str">
        <f t="shared" si="127"/>
        <v/>
      </c>
      <c r="K568" s="38" t="str">
        <f t="shared" si="115"/>
        <v/>
      </c>
      <c r="L568" s="38" t="str">
        <f t="shared" si="112"/>
        <v/>
      </c>
      <c r="M568" s="38" t="str">
        <f t="shared" si="123"/>
        <v/>
      </c>
      <c r="N568" s="38" t="str">
        <f t="shared" si="124"/>
        <v/>
      </c>
      <c r="O568" s="38" t="str">
        <f t="shared" si="125"/>
        <v/>
      </c>
      <c r="P568" s="38" t="str">
        <f t="shared" si="116"/>
        <v/>
      </c>
      <c r="Q568" s="38"/>
    </row>
    <row r="569" spans="1:17" x14ac:dyDescent="0.2">
      <c r="A569" t="str">
        <f t="shared" si="126"/>
        <v/>
      </c>
      <c r="B569" s="38" t="str">
        <f t="shared" si="113"/>
        <v/>
      </c>
      <c r="C569" s="38" t="str">
        <f t="shared" si="118"/>
        <v/>
      </c>
      <c r="D569" s="38" t="str">
        <f t="shared" si="119"/>
        <v/>
      </c>
      <c r="E569" s="38" t="str">
        <f t="shared" si="120"/>
        <v/>
      </c>
      <c r="F569" s="38" t="str">
        <f t="shared" si="121"/>
        <v/>
      </c>
      <c r="G569" s="38" t="str">
        <f t="shared" si="114"/>
        <v/>
      </c>
      <c r="H569" s="38"/>
      <c r="J569" t="str">
        <f t="shared" si="127"/>
        <v/>
      </c>
      <c r="K569" s="38" t="str">
        <f t="shared" si="115"/>
        <v/>
      </c>
      <c r="L569" s="38" t="str">
        <f t="shared" si="112"/>
        <v/>
      </c>
      <c r="M569" s="38" t="str">
        <f t="shared" si="123"/>
        <v/>
      </c>
      <c r="N569" s="38" t="str">
        <f t="shared" si="124"/>
        <v/>
      </c>
      <c r="O569" s="38" t="str">
        <f t="shared" si="125"/>
        <v/>
      </c>
      <c r="P569" s="38" t="str">
        <f t="shared" si="116"/>
        <v/>
      </c>
      <c r="Q569" s="38"/>
    </row>
    <row r="570" spans="1:17" x14ac:dyDescent="0.2">
      <c r="A570" t="str">
        <f t="shared" si="126"/>
        <v/>
      </c>
      <c r="B570" s="38" t="str">
        <f t="shared" si="113"/>
        <v/>
      </c>
      <c r="C570" s="38" t="str">
        <f t="shared" si="118"/>
        <v/>
      </c>
      <c r="D570" s="38" t="str">
        <f t="shared" si="119"/>
        <v/>
      </c>
      <c r="E570" s="38" t="str">
        <f t="shared" si="120"/>
        <v/>
      </c>
      <c r="F570" s="38" t="str">
        <f t="shared" si="121"/>
        <v/>
      </c>
      <c r="G570" s="38" t="str">
        <f t="shared" si="114"/>
        <v/>
      </c>
      <c r="H570" s="38"/>
      <c r="J570" t="str">
        <f t="shared" si="127"/>
        <v/>
      </c>
      <c r="K570" s="38" t="str">
        <f t="shared" si="115"/>
        <v/>
      </c>
      <c r="L570" s="38" t="str">
        <f t="shared" si="112"/>
        <v/>
      </c>
      <c r="M570" s="38" t="str">
        <f t="shared" si="123"/>
        <v/>
      </c>
      <c r="N570" s="38" t="str">
        <f t="shared" si="124"/>
        <v/>
      </c>
      <c r="O570" s="38" t="str">
        <f t="shared" si="125"/>
        <v/>
      </c>
      <c r="P570" s="38" t="str">
        <f t="shared" si="116"/>
        <v/>
      </c>
      <c r="Q570" s="38"/>
    </row>
    <row r="571" spans="1:17" x14ac:dyDescent="0.2">
      <c r="A571" t="str">
        <f t="shared" si="126"/>
        <v/>
      </c>
      <c r="B571" s="38" t="str">
        <f t="shared" si="113"/>
        <v/>
      </c>
      <c r="C571" s="38" t="str">
        <f t="shared" si="118"/>
        <v/>
      </c>
      <c r="D571" s="38" t="str">
        <f t="shared" si="119"/>
        <v/>
      </c>
      <c r="E571" s="38" t="str">
        <f t="shared" si="120"/>
        <v/>
      </c>
      <c r="F571" s="38" t="str">
        <f t="shared" si="121"/>
        <v/>
      </c>
      <c r="G571" s="38" t="str">
        <f t="shared" si="114"/>
        <v/>
      </c>
      <c r="H571" s="38"/>
      <c r="J571" t="str">
        <f t="shared" si="127"/>
        <v/>
      </c>
      <c r="K571" s="38" t="str">
        <f t="shared" si="115"/>
        <v/>
      </c>
      <c r="L571" s="38" t="str">
        <f t="shared" si="112"/>
        <v/>
      </c>
      <c r="M571" s="38" t="str">
        <f t="shared" si="123"/>
        <v/>
      </c>
      <c r="N571" s="38" t="str">
        <f t="shared" si="124"/>
        <v/>
      </c>
      <c r="O571" s="38" t="str">
        <f t="shared" si="125"/>
        <v/>
      </c>
      <c r="P571" s="38" t="str">
        <f t="shared" si="116"/>
        <v/>
      </c>
      <c r="Q571" s="38"/>
    </row>
    <row r="572" spans="1:17" x14ac:dyDescent="0.2">
      <c r="A572" t="str">
        <f t="shared" si="126"/>
        <v/>
      </c>
      <c r="B572" s="38" t="str">
        <f t="shared" si="113"/>
        <v/>
      </c>
      <c r="C572" s="38" t="str">
        <f t="shared" si="118"/>
        <v/>
      </c>
      <c r="D572" s="38" t="str">
        <f t="shared" si="119"/>
        <v/>
      </c>
      <c r="E572" s="38" t="str">
        <f t="shared" si="120"/>
        <v/>
      </c>
      <c r="F572" s="38" t="str">
        <f t="shared" si="121"/>
        <v/>
      </c>
      <c r="G572" s="38" t="str">
        <f t="shared" si="114"/>
        <v/>
      </c>
      <c r="H572" s="38"/>
      <c r="J572" t="str">
        <f t="shared" si="127"/>
        <v/>
      </c>
      <c r="K572" s="38" t="str">
        <f t="shared" si="115"/>
        <v/>
      </c>
      <c r="L572" s="38" t="str">
        <f t="shared" si="112"/>
        <v/>
      </c>
      <c r="M572" s="38" t="str">
        <f t="shared" si="123"/>
        <v/>
      </c>
      <c r="N572" s="38" t="str">
        <f t="shared" si="124"/>
        <v/>
      </c>
      <c r="O572" s="38" t="str">
        <f t="shared" si="125"/>
        <v/>
      </c>
      <c r="P572" s="38" t="str">
        <f t="shared" si="116"/>
        <v/>
      </c>
      <c r="Q572" s="38"/>
    </row>
    <row r="573" spans="1:17" x14ac:dyDescent="0.2">
      <c r="A573" t="str">
        <f t="shared" si="126"/>
        <v/>
      </c>
      <c r="B573" s="38" t="str">
        <f t="shared" si="113"/>
        <v/>
      </c>
      <c r="C573" s="38" t="str">
        <f t="shared" si="118"/>
        <v/>
      </c>
      <c r="D573" s="38" t="str">
        <f t="shared" si="119"/>
        <v/>
      </c>
      <c r="E573" s="38" t="str">
        <f t="shared" si="120"/>
        <v/>
      </c>
      <c r="F573" s="38" t="str">
        <f t="shared" si="121"/>
        <v/>
      </c>
      <c r="G573" s="38" t="str">
        <f t="shared" si="114"/>
        <v/>
      </c>
      <c r="H573" s="38"/>
      <c r="J573" t="str">
        <f t="shared" si="127"/>
        <v/>
      </c>
      <c r="K573" s="38" t="str">
        <f t="shared" si="115"/>
        <v/>
      </c>
      <c r="L573" s="38" t="str">
        <f t="shared" si="112"/>
        <v/>
      </c>
      <c r="M573" s="38" t="str">
        <f t="shared" si="123"/>
        <v/>
      </c>
      <c r="N573" s="38" t="str">
        <f t="shared" si="124"/>
        <v/>
      </c>
      <c r="O573" s="38" t="str">
        <f t="shared" si="125"/>
        <v/>
      </c>
      <c r="P573" s="38" t="str">
        <f t="shared" si="116"/>
        <v/>
      </c>
      <c r="Q573" s="38"/>
    </row>
    <row r="574" spans="1:17" x14ac:dyDescent="0.2">
      <c r="A574" t="str">
        <f t="shared" si="126"/>
        <v/>
      </c>
      <c r="B574" s="38" t="str">
        <f t="shared" si="113"/>
        <v/>
      </c>
      <c r="C574" s="38" t="str">
        <f t="shared" si="118"/>
        <v/>
      </c>
      <c r="D574" s="38" t="str">
        <f t="shared" si="119"/>
        <v/>
      </c>
      <c r="E574" s="38" t="str">
        <f t="shared" si="120"/>
        <v/>
      </c>
      <c r="F574" s="38" t="str">
        <f t="shared" si="121"/>
        <v/>
      </c>
      <c r="G574" s="38" t="str">
        <f t="shared" si="114"/>
        <v/>
      </c>
      <c r="H574" s="38"/>
      <c r="J574" t="str">
        <f t="shared" si="127"/>
        <v/>
      </c>
      <c r="K574" s="38" t="str">
        <f t="shared" si="115"/>
        <v/>
      </c>
      <c r="L574" s="38" t="str">
        <f t="shared" si="112"/>
        <v/>
      </c>
      <c r="M574" s="38" t="str">
        <f t="shared" si="123"/>
        <v/>
      </c>
      <c r="N574" s="38" t="str">
        <f t="shared" si="124"/>
        <v/>
      </c>
      <c r="O574" s="38" t="str">
        <f t="shared" si="125"/>
        <v/>
      </c>
      <c r="P574" s="38" t="str">
        <f t="shared" si="116"/>
        <v/>
      </c>
      <c r="Q574" s="38"/>
    </row>
    <row r="575" spans="1:17" x14ac:dyDescent="0.2">
      <c r="A575" t="str">
        <f t="shared" si="126"/>
        <v/>
      </c>
      <c r="B575" s="38" t="str">
        <f t="shared" si="113"/>
        <v/>
      </c>
      <c r="C575" s="38" t="str">
        <f t="shared" si="118"/>
        <v/>
      </c>
      <c r="D575" s="38" t="str">
        <f t="shared" si="119"/>
        <v/>
      </c>
      <c r="E575" s="38" t="str">
        <f t="shared" si="120"/>
        <v/>
      </c>
      <c r="F575" s="38" t="str">
        <f t="shared" si="121"/>
        <v/>
      </c>
      <c r="G575" s="38" t="str">
        <f t="shared" si="114"/>
        <v/>
      </c>
      <c r="H575" s="38"/>
      <c r="J575" t="str">
        <f t="shared" si="127"/>
        <v/>
      </c>
      <c r="K575" s="38" t="str">
        <f t="shared" si="115"/>
        <v/>
      </c>
      <c r="L575" s="38" t="str">
        <f t="shared" si="112"/>
        <v/>
      </c>
      <c r="M575" s="38" t="str">
        <f t="shared" si="123"/>
        <v/>
      </c>
      <c r="N575" s="38" t="str">
        <f t="shared" si="124"/>
        <v/>
      </c>
      <c r="O575" s="38" t="str">
        <f t="shared" si="125"/>
        <v/>
      </c>
      <c r="P575" s="38" t="str">
        <f t="shared" si="116"/>
        <v/>
      </c>
      <c r="Q575" s="38"/>
    </row>
    <row r="576" spans="1:17" x14ac:dyDescent="0.2">
      <c r="A576" t="str">
        <f t="shared" si="126"/>
        <v/>
      </c>
      <c r="B576" s="38" t="str">
        <f t="shared" si="113"/>
        <v/>
      </c>
      <c r="C576" s="38" t="str">
        <f t="shared" si="118"/>
        <v/>
      </c>
      <c r="D576" s="38" t="str">
        <f t="shared" si="119"/>
        <v/>
      </c>
      <c r="E576" s="38" t="str">
        <f t="shared" si="120"/>
        <v/>
      </c>
      <c r="F576" s="38" t="str">
        <f t="shared" si="121"/>
        <v/>
      </c>
      <c r="G576" s="38" t="str">
        <f t="shared" si="114"/>
        <v/>
      </c>
      <c r="H576" s="38"/>
      <c r="J576" t="str">
        <f t="shared" si="127"/>
        <v/>
      </c>
      <c r="K576" s="38" t="str">
        <f t="shared" si="115"/>
        <v/>
      </c>
      <c r="L576" s="38" t="str">
        <f t="shared" si="112"/>
        <v/>
      </c>
      <c r="M576" s="38" t="str">
        <f t="shared" si="123"/>
        <v/>
      </c>
      <c r="N576" s="38" t="str">
        <f t="shared" si="124"/>
        <v/>
      </c>
      <c r="O576" s="38" t="str">
        <f t="shared" si="125"/>
        <v/>
      </c>
      <c r="P576" s="38" t="str">
        <f t="shared" si="116"/>
        <v/>
      </c>
      <c r="Q576" s="38"/>
    </row>
    <row r="577" spans="1:17" x14ac:dyDescent="0.2">
      <c r="A577" t="str">
        <f t="shared" si="126"/>
        <v/>
      </c>
      <c r="B577" s="38" t="str">
        <f t="shared" si="113"/>
        <v/>
      </c>
      <c r="C577" s="38" t="str">
        <f t="shared" si="118"/>
        <v/>
      </c>
      <c r="D577" s="38" t="str">
        <f t="shared" si="119"/>
        <v/>
      </c>
      <c r="E577" s="38" t="str">
        <f t="shared" si="120"/>
        <v/>
      </c>
      <c r="F577" s="38" t="str">
        <f t="shared" si="121"/>
        <v/>
      </c>
      <c r="G577" s="38" t="str">
        <f t="shared" si="114"/>
        <v/>
      </c>
      <c r="H577" s="38"/>
      <c r="J577" t="str">
        <f t="shared" si="127"/>
        <v/>
      </c>
      <c r="K577" s="38" t="str">
        <f t="shared" si="115"/>
        <v/>
      </c>
      <c r="L577" s="38" t="str">
        <f t="shared" si="112"/>
        <v/>
      </c>
      <c r="M577" s="38" t="str">
        <f t="shared" si="123"/>
        <v/>
      </c>
      <c r="N577" s="38" t="str">
        <f t="shared" si="124"/>
        <v/>
      </c>
      <c r="O577" s="38" t="str">
        <f t="shared" si="125"/>
        <v/>
      </c>
      <c r="P577" s="38" t="str">
        <f t="shared" si="116"/>
        <v/>
      </c>
      <c r="Q577" s="38"/>
    </row>
    <row r="578" spans="1:17" x14ac:dyDescent="0.2">
      <c r="A578" t="str">
        <f t="shared" si="126"/>
        <v/>
      </c>
      <c r="B578" s="38" t="str">
        <f t="shared" si="113"/>
        <v/>
      </c>
      <c r="C578" s="38" t="str">
        <f t="shared" si="118"/>
        <v/>
      </c>
      <c r="D578" s="38" t="str">
        <f t="shared" si="119"/>
        <v/>
      </c>
      <c r="E578" s="38" t="str">
        <f t="shared" si="120"/>
        <v/>
      </c>
      <c r="F578" s="38" t="str">
        <f t="shared" si="121"/>
        <v/>
      </c>
      <c r="G578" s="38" t="str">
        <f t="shared" si="114"/>
        <v/>
      </c>
      <c r="H578" s="38"/>
      <c r="J578" t="str">
        <f t="shared" si="127"/>
        <v/>
      </c>
      <c r="K578" s="38" t="str">
        <f t="shared" si="115"/>
        <v/>
      </c>
      <c r="L578" s="38" t="str">
        <f t="shared" si="112"/>
        <v/>
      </c>
      <c r="M578" s="38" t="str">
        <f t="shared" si="123"/>
        <v/>
      </c>
      <c r="N578" s="38" t="str">
        <f t="shared" si="124"/>
        <v/>
      </c>
      <c r="O578" s="38" t="str">
        <f t="shared" si="125"/>
        <v/>
      </c>
      <c r="P578" s="38" t="str">
        <f t="shared" si="116"/>
        <v/>
      </c>
      <c r="Q578" s="38"/>
    </row>
    <row r="579" spans="1:17" x14ac:dyDescent="0.2">
      <c r="A579" t="str">
        <f t="shared" si="126"/>
        <v/>
      </c>
      <c r="B579" s="38" t="str">
        <f t="shared" si="113"/>
        <v/>
      </c>
      <c r="C579" s="38" t="str">
        <f t="shared" si="118"/>
        <v/>
      </c>
      <c r="D579" s="38" t="str">
        <f t="shared" si="119"/>
        <v/>
      </c>
      <c r="E579" s="38" t="str">
        <f t="shared" si="120"/>
        <v/>
      </c>
      <c r="F579" s="38" t="str">
        <f t="shared" si="121"/>
        <v/>
      </c>
      <c r="G579" s="38" t="str">
        <f t="shared" si="114"/>
        <v/>
      </c>
      <c r="H579" s="38"/>
      <c r="J579" t="str">
        <f t="shared" si="127"/>
        <v/>
      </c>
      <c r="K579" s="38" t="str">
        <f t="shared" si="115"/>
        <v/>
      </c>
      <c r="L579" s="38" t="str">
        <f t="shared" si="112"/>
        <v/>
      </c>
      <c r="M579" s="38" t="str">
        <f t="shared" si="123"/>
        <v/>
      </c>
      <c r="N579" s="38" t="str">
        <f t="shared" si="124"/>
        <v/>
      </c>
      <c r="O579" s="38" t="str">
        <f t="shared" si="125"/>
        <v/>
      </c>
      <c r="P579" s="38" t="str">
        <f t="shared" si="116"/>
        <v/>
      </c>
      <c r="Q579" s="38"/>
    </row>
    <row r="580" spans="1:17" x14ac:dyDescent="0.2">
      <c r="A580" t="str">
        <f t="shared" si="126"/>
        <v/>
      </c>
      <c r="B580" s="38" t="str">
        <f t="shared" si="113"/>
        <v/>
      </c>
      <c r="C580" s="38" t="str">
        <f t="shared" si="118"/>
        <v/>
      </c>
      <c r="D580" s="38" t="str">
        <f t="shared" si="119"/>
        <v/>
      </c>
      <c r="E580" s="38" t="str">
        <f t="shared" si="120"/>
        <v/>
      </c>
      <c r="F580" s="38" t="str">
        <f t="shared" si="121"/>
        <v/>
      </c>
      <c r="G580" s="38" t="str">
        <f t="shared" si="114"/>
        <v/>
      </c>
      <c r="H580" s="38"/>
      <c r="J580" t="str">
        <f t="shared" si="127"/>
        <v/>
      </c>
      <c r="K580" s="38" t="str">
        <f t="shared" si="115"/>
        <v/>
      </c>
      <c r="L580" s="38" t="str">
        <f t="shared" si="112"/>
        <v/>
      </c>
      <c r="M580" s="38" t="str">
        <f t="shared" si="123"/>
        <v/>
      </c>
      <c r="N580" s="38" t="str">
        <f t="shared" si="124"/>
        <v/>
      </c>
      <c r="O580" s="38" t="str">
        <f t="shared" si="125"/>
        <v/>
      </c>
      <c r="P580" s="38" t="str">
        <f t="shared" si="116"/>
        <v/>
      </c>
      <c r="Q580" s="38"/>
    </row>
    <row r="581" spans="1:17" x14ac:dyDescent="0.2">
      <c r="A581" t="str">
        <f t="shared" si="126"/>
        <v/>
      </c>
      <c r="B581" s="38" t="str">
        <f t="shared" si="113"/>
        <v/>
      </c>
      <c r="C581" s="38" t="str">
        <f t="shared" si="118"/>
        <v/>
      </c>
      <c r="D581" s="38" t="str">
        <f t="shared" si="119"/>
        <v/>
      </c>
      <c r="E581" s="38" t="str">
        <f t="shared" si="120"/>
        <v/>
      </c>
      <c r="F581" s="38" t="str">
        <f t="shared" si="121"/>
        <v/>
      </c>
      <c r="G581" s="38" t="str">
        <f t="shared" si="114"/>
        <v/>
      </c>
      <c r="H581" s="38"/>
      <c r="J581" t="str">
        <f t="shared" si="127"/>
        <v/>
      </c>
      <c r="K581" s="38" t="str">
        <f t="shared" si="115"/>
        <v/>
      </c>
      <c r="L581" s="38" t="str">
        <f t="shared" si="112"/>
        <v/>
      </c>
      <c r="M581" s="38" t="str">
        <f t="shared" si="123"/>
        <v/>
      </c>
      <c r="N581" s="38" t="str">
        <f t="shared" si="124"/>
        <v/>
      </c>
      <c r="O581" s="38" t="str">
        <f t="shared" si="125"/>
        <v/>
      </c>
      <c r="P581" s="38" t="str">
        <f t="shared" si="116"/>
        <v/>
      </c>
      <c r="Q581" s="38"/>
    </row>
    <row r="582" spans="1:17" x14ac:dyDescent="0.2">
      <c r="A582" t="str">
        <f t="shared" si="126"/>
        <v/>
      </c>
      <c r="B582" s="38" t="str">
        <f t="shared" si="113"/>
        <v/>
      </c>
      <c r="C582" s="38" t="str">
        <f t="shared" si="118"/>
        <v/>
      </c>
      <c r="D582" s="38" t="str">
        <f t="shared" si="119"/>
        <v/>
      </c>
      <c r="E582" s="38" t="str">
        <f t="shared" si="120"/>
        <v/>
      </c>
      <c r="F582" s="38" t="str">
        <f t="shared" si="121"/>
        <v/>
      </c>
      <c r="G582" s="38" t="str">
        <f t="shared" si="114"/>
        <v/>
      </c>
      <c r="H582" s="38"/>
      <c r="J582" t="str">
        <f t="shared" si="127"/>
        <v/>
      </c>
      <c r="K582" s="38" t="str">
        <f t="shared" si="115"/>
        <v/>
      </c>
      <c r="L582" s="38" t="str">
        <f t="shared" si="112"/>
        <v/>
      </c>
      <c r="M582" s="38" t="str">
        <f t="shared" si="123"/>
        <v/>
      </c>
      <c r="N582" s="38" t="str">
        <f t="shared" si="124"/>
        <v/>
      </c>
      <c r="O582" s="38" t="str">
        <f t="shared" si="125"/>
        <v/>
      </c>
      <c r="P582" s="38" t="str">
        <f t="shared" si="116"/>
        <v/>
      </c>
      <c r="Q582" s="38"/>
    </row>
    <row r="583" spans="1:17" x14ac:dyDescent="0.2">
      <c r="A583" t="str">
        <f t="shared" si="126"/>
        <v/>
      </c>
      <c r="B583" s="38" t="str">
        <f t="shared" si="113"/>
        <v/>
      </c>
      <c r="C583" s="38" t="str">
        <f t="shared" si="118"/>
        <v/>
      </c>
      <c r="D583" s="38" t="str">
        <f t="shared" si="119"/>
        <v/>
      </c>
      <c r="E583" s="38" t="str">
        <f t="shared" si="120"/>
        <v/>
      </c>
      <c r="F583" s="38" t="str">
        <f t="shared" si="121"/>
        <v/>
      </c>
      <c r="G583" s="38" t="str">
        <f t="shared" si="114"/>
        <v/>
      </c>
      <c r="H583" s="38"/>
      <c r="J583" t="str">
        <f t="shared" si="127"/>
        <v/>
      </c>
      <c r="K583" s="38" t="str">
        <f t="shared" si="115"/>
        <v/>
      </c>
      <c r="L583" s="38" t="str">
        <f t="shared" si="112"/>
        <v/>
      </c>
      <c r="M583" s="38" t="str">
        <f t="shared" si="123"/>
        <v/>
      </c>
      <c r="N583" s="38" t="str">
        <f t="shared" si="124"/>
        <v/>
      </c>
      <c r="O583" s="38" t="str">
        <f t="shared" si="125"/>
        <v/>
      </c>
      <c r="P583" s="38" t="str">
        <f t="shared" si="116"/>
        <v/>
      </c>
      <c r="Q583" s="38"/>
    </row>
    <row r="584" spans="1:17" x14ac:dyDescent="0.2">
      <c r="A584" t="str">
        <f t="shared" si="126"/>
        <v/>
      </c>
      <c r="B584" s="38" t="str">
        <f t="shared" si="113"/>
        <v/>
      </c>
      <c r="C584" s="38" t="str">
        <f t="shared" si="118"/>
        <v/>
      </c>
      <c r="D584" s="38" t="str">
        <f t="shared" si="119"/>
        <v/>
      </c>
      <c r="E584" s="38" t="str">
        <f t="shared" si="120"/>
        <v/>
      </c>
      <c r="F584" s="38" t="str">
        <f t="shared" si="121"/>
        <v/>
      </c>
      <c r="G584" s="38" t="str">
        <f t="shared" si="114"/>
        <v/>
      </c>
      <c r="H584" s="38"/>
      <c r="J584" t="str">
        <f t="shared" si="127"/>
        <v/>
      </c>
      <c r="K584" s="38" t="str">
        <f t="shared" si="115"/>
        <v/>
      </c>
      <c r="L584" s="38" t="str">
        <f t="shared" si="112"/>
        <v/>
      </c>
      <c r="M584" s="38" t="str">
        <f t="shared" si="123"/>
        <v/>
      </c>
      <c r="N584" s="38" t="str">
        <f t="shared" si="124"/>
        <v/>
      </c>
      <c r="O584" s="38" t="str">
        <f t="shared" si="125"/>
        <v/>
      </c>
      <c r="P584" s="38" t="str">
        <f t="shared" si="116"/>
        <v/>
      </c>
      <c r="Q584" s="38"/>
    </row>
    <row r="585" spans="1:17" x14ac:dyDescent="0.2">
      <c r="A585" t="str">
        <f t="shared" si="126"/>
        <v/>
      </c>
      <c r="B585" s="38" t="str">
        <f t="shared" si="113"/>
        <v/>
      </c>
      <c r="C585" s="38" t="str">
        <f t="shared" si="118"/>
        <v/>
      </c>
      <c r="D585" s="38" t="str">
        <f t="shared" si="119"/>
        <v/>
      </c>
      <c r="E585" s="38" t="str">
        <f t="shared" si="120"/>
        <v/>
      </c>
      <c r="F585" s="38" t="str">
        <f t="shared" si="121"/>
        <v/>
      </c>
      <c r="G585" s="38" t="str">
        <f t="shared" si="114"/>
        <v/>
      </c>
      <c r="H585" s="38"/>
      <c r="J585" t="str">
        <f t="shared" si="127"/>
        <v/>
      </c>
      <c r="K585" s="38" t="str">
        <f t="shared" si="115"/>
        <v/>
      </c>
      <c r="L585" s="38" t="str">
        <f t="shared" si="112"/>
        <v/>
      </c>
      <c r="M585" s="38" t="str">
        <f t="shared" si="123"/>
        <v/>
      </c>
      <c r="N585" s="38" t="str">
        <f t="shared" si="124"/>
        <v/>
      </c>
      <c r="O585" s="38" t="str">
        <f t="shared" si="125"/>
        <v/>
      </c>
      <c r="P585" s="38" t="str">
        <f t="shared" si="116"/>
        <v/>
      </c>
      <c r="Q585" s="38"/>
    </row>
    <row r="586" spans="1:17" x14ac:dyDescent="0.2">
      <c r="A586" t="str">
        <f t="shared" si="126"/>
        <v/>
      </c>
      <c r="B586" s="38" t="str">
        <f t="shared" si="113"/>
        <v/>
      </c>
      <c r="C586" s="38" t="str">
        <f t="shared" si="118"/>
        <v/>
      </c>
      <c r="D586" s="38" t="str">
        <f t="shared" si="119"/>
        <v/>
      </c>
      <c r="E586" s="38" t="str">
        <f t="shared" si="120"/>
        <v/>
      </c>
      <c r="F586" s="38" t="str">
        <f t="shared" si="121"/>
        <v/>
      </c>
      <c r="G586" s="38" t="str">
        <f t="shared" si="114"/>
        <v/>
      </c>
      <c r="H586" s="38"/>
      <c r="J586" t="str">
        <f t="shared" si="127"/>
        <v/>
      </c>
      <c r="K586" s="38" t="str">
        <f t="shared" si="115"/>
        <v/>
      </c>
      <c r="L586" s="38" t="str">
        <f t="shared" si="112"/>
        <v/>
      </c>
      <c r="M586" s="38" t="str">
        <f t="shared" si="123"/>
        <v/>
      </c>
      <c r="N586" s="38" t="str">
        <f t="shared" si="124"/>
        <v/>
      </c>
      <c r="O586" s="38" t="str">
        <f t="shared" si="125"/>
        <v/>
      </c>
      <c r="P586" s="38" t="str">
        <f t="shared" si="116"/>
        <v/>
      </c>
      <c r="Q586" s="38"/>
    </row>
    <row r="587" spans="1:17" x14ac:dyDescent="0.2">
      <c r="A587" t="str">
        <f t="shared" si="126"/>
        <v/>
      </c>
      <c r="B587" s="38" t="str">
        <f t="shared" si="113"/>
        <v/>
      </c>
      <c r="C587" s="38" t="str">
        <f t="shared" si="118"/>
        <v/>
      </c>
      <c r="D587" s="38" t="str">
        <f t="shared" si="119"/>
        <v/>
      </c>
      <c r="E587" s="38" t="str">
        <f t="shared" si="120"/>
        <v/>
      </c>
      <c r="F587" s="38" t="str">
        <f t="shared" si="121"/>
        <v/>
      </c>
      <c r="G587" s="38" t="str">
        <f t="shared" si="114"/>
        <v/>
      </c>
      <c r="H587" s="38"/>
      <c r="J587" t="str">
        <f t="shared" si="127"/>
        <v/>
      </c>
      <c r="K587" s="38" t="str">
        <f t="shared" si="115"/>
        <v/>
      </c>
      <c r="L587" s="38" t="str">
        <f t="shared" si="112"/>
        <v/>
      </c>
      <c r="M587" s="38" t="str">
        <f t="shared" si="123"/>
        <v/>
      </c>
      <c r="N587" s="38" t="str">
        <f t="shared" si="124"/>
        <v/>
      </c>
      <c r="O587" s="38" t="str">
        <f t="shared" si="125"/>
        <v/>
      </c>
      <c r="P587" s="38" t="str">
        <f t="shared" si="116"/>
        <v/>
      </c>
      <c r="Q587" s="38"/>
    </row>
    <row r="588" spans="1:17" x14ac:dyDescent="0.2">
      <c r="A588" t="str">
        <f t="shared" si="126"/>
        <v/>
      </c>
      <c r="B588" s="38" t="str">
        <f t="shared" si="113"/>
        <v/>
      </c>
      <c r="C588" s="38" t="str">
        <f t="shared" si="118"/>
        <v/>
      </c>
      <c r="D588" s="38" t="str">
        <f t="shared" si="119"/>
        <v/>
      </c>
      <c r="E588" s="38" t="str">
        <f t="shared" si="120"/>
        <v/>
      </c>
      <c r="F588" s="38" t="str">
        <f t="shared" si="121"/>
        <v/>
      </c>
      <c r="G588" s="38" t="str">
        <f t="shared" si="114"/>
        <v/>
      </c>
      <c r="H588" s="38"/>
      <c r="J588" t="str">
        <f t="shared" si="127"/>
        <v/>
      </c>
      <c r="K588" s="38" t="str">
        <f t="shared" si="115"/>
        <v/>
      </c>
      <c r="L588" s="38" t="str">
        <f t="shared" si="112"/>
        <v/>
      </c>
      <c r="M588" s="38" t="str">
        <f t="shared" si="123"/>
        <v/>
      </c>
      <c r="N588" s="38" t="str">
        <f t="shared" si="124"/>
        <v/>
      </c>
      <c r="O588" s="38" t="str">
        <f t="shared" si="125"/>
        <v/>
      </c>
      <c r="P588" s="38" t="str">
        <f t="shared" si="116"/>
        <v/>
      </c>
      <c r="Q588" s="38"/>
    </row>
    <row r="589" spans="1:17" x14ac:dyDescent="0.2">
      <c r="A589" t="str">
        <f t="shared" si="126"/>
        <v/>
      </c>
      <c r="B589" s="38" t="str">
        <f t="shared" si="113"/>
        <v/>
      </c>
      <c r="C589" s="38" t="str">
        <f t="shared" si="118"/>
        <v/>
      </c>
      <c r="D589" s="38" t="str">
        <f t="shared" si="119"/>
        <v/>
      </c>
      <c r="E589" s="38" t="str">
        <f t="shared" si="120"/>
        <v/>
      </c>
      <c r="F589" s="38" t="str">
        <f t="shared" si="121"/>
        <v/>
      </c>
      <c r="G589" s="38" t="str">
        <f t="shared" si="114"/>
        <v/>
      </c>
      <c r="H589" s="38"/>
      <c r="J589" t="str">
        <f t="shared" si="127"/>
        <v/>
      </c>
      <c r="K589" s="38" t="str">
        <f t="shared" si="115"/>
        <v/>
      </c>
      <c r="L589" s="38" t="str">
        <f t="shared" si="112"/>
        <v/>
      </c>
      <c r="M589" s="38" t="str">
        <f t="shared" si="123"/>
        <v/>
      </c>
      <c r="N589" s="38" t="str">
        <f t="shared" si="124"/>
        <v/>
      </c>
      <c r="O589" s="38" t="str">
        <f t="shared" si="125"/>
        <v/>
      </c>
      <c r="P589" s="38" t="str">
        <f t="shared" si="116"/>
        <v/>
      </c>
      <c r="Q589" s="38"/>
    </row>
    <row r="590" spans="1:17" x14ac:dyDescent="0.2">
      <c r="A590" t="str">
        <f t="shared" si="126"/>
        <v/>
      </c>
      <c r="B590" s="38" t="str">
        <f t="shared" si="113"/>
        <v/>
      </c>
      <c r="C590" s="38" t="str">
        <f t="shared" si="118"/>
        <v/>
      </c>
      <c r="D590" s="38" t="str">
        <f t="shared" si="119"/>
        <v/>
      </c>
      <c r="E590" s="38" t="str">
        <f t="shared" si="120"/>
        <v/>
      </c>
      <c r="F590" s="38" t="str">
        <f t="shared" si="121"/>
        <v/>
      </c>
      <c r="G590" s="38" t="str">
        <f t="shared" si="114"/>
        <v/>
      </c>
      <c r="H590" s="38"/>
      <c r="J590" t="str">
        <f t="shared" si="127"/>
        <v/>
      </c>
      <c r="K590" s="38" t="str">
        <f t="shared" si="115"/>
        <v/>
      </c>
      <c r="L590" s="38" t="str">
        <f t="shared" si="112"/>
        <v/>
      </c>
      <c r="M590" s="38" t="str">
        <f t="shared" si="123"/>
        <v/>
      </c>
      <c r="N590" s="38" t="str">
        <f t="shared" si="124"/>
        <v/>
      </c>
      <c r="O590" s="38" t="str">
        <f t="shared" si="125"/>
        <v/>
      </c>
      <c r="P590" s="38" t="str">
        <f t="shared" si="116"/>
        <v/>
      </c>
      <c r="Q590" s="38"/>
    </row>
    <row r="591" spans="1:17" x14ac:dyDescent="0.2">
      <c r="A591" t="str">
        <f t="shared" si="126"/>
        <v/>
      </c>
      <c r="B591" s="38" t="str">
        <f t="shared" si="113"/>
        <v/>
      </c>
      <c r="C591" s="38" t="str">
        <f t="shared" si="118"/>
        <v/>
      </c>
      <c r="D591" s="38" t="str">
        <f t="shared" si="119"/>
        <v/>
      </c>
      <c r="E591" s="38" t="str">
        <f t="shared" si="120"/>
        <v/>
      </c>
      <c r="F591" s="38" t="str">
        <f t="shared" si="121"/>
        <v/>
      </c>
      <c r="G591" s="38" t="str">
        <f t="shared" si="114"/>
        <v/>
      </c>
      <c r="H591" s="38"/>
      <c r="J591" t="str">
        <f t="shared" si="127"/>
        <v/>
      </c>
      <c r="K591" s="38" t="str">
        <f t="shared" si="115"/>
        <v/>
      </c>
      <c r="L591" s="38" t="str">
        <f t="shared" ref="L591:L654" si="128">IF(J591="","",((K591 + M591)*$B$6))</f>
        <v/>
      </c>
      <c r="M591" s="38" t="str">
        <f t="shared" si="123"/>
        <v/>
      </c>
      <c r="N591" s="38" t="str">
        <f t="shared" si="124"/>
        <v/>
      </c>
      <c r="O591" s="38" t="str">
        <f t="shared" si="125"/>
        <v/>
      </c>
      <c r="P591" s="38" t="str">
        <f t="shared" si="116"/>
        <v/>
      </c>
      <c r="Q591" s="38"/>
    </row>
    <row r="592" spans="1:17" x14ac:dyDescent="0.2">
      <c r="A592" t="str">
        <f t="shared" si="126"/>
        <v/>
      </c>
      <c r="B592" s="38" t="str">
        <f t="shared" si="113"/>
        <v/>
      </c>
      <c r="C592" s="38" t="str">
        <f t="shared" si="118"/>
        <v/>
      </c>
      <c r="D592" s="38" t="str">
        <f t="shared" si="119"/>
        <v/>
      </c>
      <c r="E592" s="38" t="str">
        <f t="shared" si="120"/>
        <v/>
      </c>
      <c r="F592" s="38" t="str">
        <f t="shared" si="121"/>
        <v/>
      </c>
      <c r="G592" s="38" t="str">
        <f t="shared" si="114"/>
        <v/>
      </c>
      <c r="H592" s="38"/>
      <c r="J592" t="str">
        <f t="shared" si="127"/>
        <v/>
      </c>
      <c r="K592" s="38" t="str">
        <f t="shared" si="115"/>
        <v/>
      </c>
      <c r="L592" s="38" t="str">
        <f t="shared" si="128"/>
        <v/>
      </c>
      <c r="M592" s="38" t="str">
        <f t="shared" si="123"/>
        <v/>
      </c>
      <c r="N592" s="38" t="str">
        <f t="shared" si="124"/>
        <v/>
      </c>
      <c r="O592" s="38" t="str">
        <f t="shared" si="125"/>
        <v/>
      </c>
      <c r="P592" s="38" t="str">
        <f t="shared" si="116"/>
        <v/>
      </c>
      <c r="Q592" s="38"/>
    </row>
    <row r="593" spans="1:17" x14ac:dyDescent="0.2">
      <c r="A593" t="str">
        <f t="shared" si="126"/>
        <v/>
      </c>
      <c r="B593" s="38" t="str">
        <f t="shared" si="113"/>
        <v/>
      </c>
      <c r="C593" s="38" t="str">
        <f t="shared" si="118"/>
        <v/>
      </c>
      <c r="D593" s="38" t="str">
        <f t="shared" si="119"/>
        <v/>
      </c>
      <c r="E593" s="38" t="str">
        <f t="shared" si="120"/>
        <v/>
      </c>
      <c r="F593" s="38" t="str">
        <f t="shared" si="121"/>
        <v/>
      </c>
      <c r="G593" s="38" t="str">
        <f t="shared" si="114"/>
        <v/>
      </c>
      <c r="H593" s="38"/>
      <c r="J593" t="str">
        <f t="shared" si="127"/>
        <v/>
      </c>
      <c r="K593" s="38" t="str">
        <f t="shared" si="115"/>
        <v/>
      </c>
      <c r="L593" s="38" t="str">
        <f t="shared" si="128"/>
        <v/>
      </c>
      <c r="M593" s="38" t="str">
        <f t="shared" si="123"/>
        <v/>
      </c>
      <c r="N593" s="38" t="str">
        <f t="shared" si="124"/>
        <v/>
      </c>
      <c r="O593" s="38" t="str">
        <f t="shared" si="125"/>
        <v/>
      </c>
      <c r="P593" s="38" t="str">
        <f t="shared" si="116"/>
        <v/>
      </c>
      <c r="Q593" s="38"/>
    </row>
    <row r="594" spans="1:17" x14ac:dyDescent="0.2">
      <c r="A594" t="str">
        <f t="shared" si="126"/>
        <v/>
      </c>
      <c r="B594" s="38" t="str">
        <f t="shared" si="113"/>
        <v/>
      </c>
      <c r="C594" s="38" t="str">
        <f t="shared" si="118"/>
        <v/>
      </c>
      <c r="D594" s="38" t="str">
        <f t="shared" si="119"/>
        <v/>
      </c>
      <c r="E594" s="38" t="str">
        <f t="shared" si="120"/>
        <v/>
      </c>
      <c r="F594" s="38" t="str">
        <f t="shared" si="121"/>
        <v/>
      </c>
      <c r="G594" s="38" t="str">
        <f t="shared" si="114"/>
        <v/>
      </c>
      <c r="H594" s="38"/>
      <c r="J594" t="str">
        <f t="shared" si="127"/>
        <v/>
      </c>
      <c r="K594" s="38" t="str">
        <f t="shared" si="115"/>
        <v/>
      </c>
      <c r="L594" s="38" t="str">
        <f t="shared" si="128"/>
        <v/>
      </c>
      <c r="M594" s="38" t="str">
        <f t="shared" si="123"/>
        <v/>
      </c>
      <c r="N594" s="38" t="str">
        <f t="shared" si="124"/>
        <v/>
      </c>
      <c r="O594" s="38" t="str">
        <f t="shared" si="125"/>
        <v/>
      </c>
      <c r="P594" s="38" t="str">
        <f t="shared" si="116"/>
        <v/>
      </c>
      <c r="Q594" s="38"/>
    </row>
    <row r="595" spans="1:17" x14ac:dyDescent="0.2">
      <c r="A595" t="str">
        <f t="shared" si="126"/>
        <v/>
      </c>
      <c r="B595" s="38" t="str">
        <f t="shared" si="113"/>
        <v/>
      </c>
      <c r="C595" s="38" t="str">
        <f t="shared" si="118"/>
        <v/>
      </c>
      <c r="D595" s="38" t="str">
        <f t="shared" si="119"/>
        <v/>
      </c>
      <c r="E595" s="38" t="str">
        <f t="shared" si="120"/>
        <v/>
      </c>
      <c r="F595" s="38" t="str">
        <f t="shared" si="121"/>
        <v/>
      </c>
      <c r="G595" s="38" t="str">
        <f t="shared" si="114"/>
        <v/>
      </c>
      <c r="H595" s="38"/>
      <c r="J595" t="str">
        <f t="shared" si="127"/>
        <v/>
      </c>
      <c r="K595" s="38" t="str">
        <f t="shared" si="115"/>
        <v/>
      </c>
      <c r="L595" s="38" t="str">
        <f t="shared" si="128"/>
        <v/>
      </c>
      <c r="M595" s="38" t="str">
        <f t="shared" si="123"/>
        <v/>
      </c>
      <c r="N595" s="38" t="str">
        <f t="shared" si="124"/>
        <v/>
      </c>
      <c r="O595" s="38" t="str">
        <f t="shared" si="125"/>
        <v/>
      </c>
      <c r="P595" s="38" t="str">
        <f t="shared" si="116"/>
        <v/>
      </c>
      <c r="Q595" s="38"/>
    </row>
    <row r="596" spans="1:17" x14ac:dyDescent="0.2">
      <c r="A596" t="str">
        <f t="shared" si="126"/>
        <v/>
      </c>
      <c r="B596" s="38" t="str">
        <f t="shared" si="113"/>
        <v/>
      </c>
      <c r="C596" s="38" t="str">
        <f t="shared" si="118"/>
        <v/>
      </c>
      <c r="D596" s="38" t="str">
        <f t="shared" si="119"/>
        <v/>
      </c>
      <c r="E596" s="38" t="str">
        <f t="shared" si="120"/>
        <v/>
      </c>
      <c r="F596" s="38" t="str">
        <f t="shared" si="121"/>
        <v/>
      </c>
      <c r="G596" s="38" t="str">
        <f t="shared" si="114"/>
        <v/>
      </c>
      <c r="H596" s="38"/>
      <c r="J596" t="str">
        <f t="shared" si="127"/>
        <v/>
      </c>
      <c r="K596" s="38" t="str">
        <f t="shared" si="115"/>
        <v/>
      </c>
      <c r="L596" s="38" t="str">
        <f t="shared" si="128"/>
        <v/>
      </c>
      <c r="M596" s="38" t="str">
        <f t="shared" si="123"/>
        <v/>
      </c>
      <c r="N596" s="38" t="str">
        <f t="shared" si="124"/>
        <v/>
      </c>
      <c r="O596" s="38" t="str">
        <f t="shared" si="125"/>
        <v/>
      </c>
      <c r="P596" s="38" t="str">
        <f t="shared" si="116"/>
        <v/>
      </c>
      <c r="Q596" s="38"/>
    </row>
    <row r="597" spans="1:17" x14ac:dyDescent="0.2">
      <c r="A597" t="str">
        <f t="shared" si="126"/>
        <v/>
      </c>
      <c r="B597" s="38" t="str">
        <f t="shared" si="113"/>
        <v/>
      </c>
      <c r="C597" s="38" t="str">
        <f t="shared" si="118"/>
        <v/>
      </c>
      <c r="D597" s="38" t="str">
        <f t="shared" si="119"/>
        <v/>
      </c>
      <c r="E597" s="38" t="str">
        <f t="shared" si="120"/>
        <v/>
      </c>
      <c r="F597" s="38" t="str">
        <f t="shared" si="121"/>
        <v/>
      </c>
      <c r="G597" s="38" t="str">
        <f t="shared" si="114"/>
        <v/>
      </c>
      <c r="H597" s="38"/>
      <c r="J597" t="str">
        <f t="shared" si="127"/>
        <v/>
      </c>
      <c r="K597" s="38" t="str">
        <f t="shared" si="115"/>
        <v/>
      </c>
      <c r="L597" s="38" t="str">
        <f t="shared" si="128"/>
        <v/>
      </c>
      <c r="M597" s="38" t="str">
        <f t="shared" si="123"/>
        <v/>
      </c>
      <c r="N597" s="38" t="str">
        <f t="shared" si="124"/>
        <v/>
      </c>
      <c r="O597" s="38" t="str">
        <f t="shared" si="125"/>
        <v/>
      </c>
      <c r="P597" s="38" t="str">
        <f t="shared" si="116"/>
        <v/>
      </c>
      <c r="Q597" s="38"/>
    </row>
    <row r="598" spans="1:17" x14ac:dyDescent="0.2">
      <c r="A598" t="str">
        <f t="shared" si="126"/>
        <v/>
      </c>
      <c r="B598" s="38" t="str">
        <f t="shared" si="113"/>
        <v/>
      </c>
      <c r="C598" s="38" t="str">
        <f t="shared" si="118"/>
        <v/>
      </c>
      <c r="D598" s="38" t="str">
        <f t="shared" si="119"/>
        <v/>
      </c>
      <c r="E598" s="38" t="str">
        <f t="shared" si="120"/>
        <v/>
      </c>
      <c r="F598" s="38" t="str">
        <f t="shared" si="121"/>
        <v/>
      </c>
      <c r="G598" s="38" t="str">
        <f t="shared" si="114"/>
        <v/>
      </c>
      <c r="H598" s="38"/>
      <c r="J598" t="str">
        <f t="shared" si="127"/>
        <v/>
      </c>
      <c r="K598" s="38" t="str">
        <f t="shared" si="115"/>
        <v/>
      </c>
      <c r="L598" s="38" t="str">
        <f t="shared" si="128"/>
        <v/>
      </c>
      <c r="M598" s="38" t="str">
        <f t="shared" si="123"/>
        <v/>
      </c>
      <c r="N598" s="38" t="str">
        <f t="shared" si="124"/>
        <v/>
      </c>
      <c r="O598" s="38" t="str">
        <f t="shared" si="125"/>
        <v/>
      </c>
      <c r="P598" s="38" t="str">
        <f t="shared" si="116"/>
        <v/>
      </c>
      <c r="Q598" s="38"/>
    </row>
    <row r="599" spans="1:17" x14ac:dyDescent="0.2">
      <c r="A599" t="str">
        <f t="shared" si="126"/>
        <v/>
      </c>
      <c r="B599" s="38" t="str">
        <f t="shared" ref="B599:B662" si="129">IF(A599="","",F598)</f>
        <v/>
      </c>
      <c r="C599" s="38" t="str">
        <f t="shared" si="118"/>
        <v/>
      </c>
      <c r="D599" s="38" t="str">
        <f t="shared" si="119"/>
        <v/>
      </c>
      <c r="E599" s="38" t="str">
        <f t="shared" si="120"/>
        <v/>
      </c>
      <c r="F599" s="38" t="str">
        <f t="shared" si="121"/>
        <v/>
      </c>
      <c r="G599" s="38" t="str">
        <f t="shared" ref="G599:G662" si="130">IF(A599="","", (G598+C599))</f>
        <v/>
      </c>
      <c r="H599" s="38"/>
      <c r="J599" t="str">
        <f t="shared" si="127"/>
        <v/>
      </c>
      <c r="K599" s="38" t="str">
        <f t="shared" ref="K599:K662" si="131">IF(J599="","",O598)</f>
        <v/>
      </c>
      <c r="L599" s="38" t="str">
        <f t="shared" si="128"/>
        <v/>
      </c>
      <c r="M599" s="38" t="str">
        <f t="shared" si="123"/>
        <v/>
      </c>
      <c r="N599" s="38" t="str">
        <f t="shared" si="124"/>
        <v/>
      </c>
      <c r="O599" s="38" t="str">
        <f t="shared" si="125"/>
        <v/>
      </c>
      <c r="P599" s="38" t="str">
        <f t="shared" ref="P599:P662" si="132">IF(J599="","", (P598+L599))</f>
        <v/>
      </c>
      <c r="Q599" s="38"/>
    </row>
    <row r="600" spans="1:17" x14ac:dyDescent="0.2">
      <c r="A600" t="str">
        <f t="shared" ref="A600:A663" si="133">IF(A599&lt;($B$6*$B$7),A599+1,"")</f>
        <v/>
      </c>
      <c r="B600" s="38" t="str">
        <f t="shared" si="129"/>
        <v/>
      </c>
      <c r="C600" s="38" t="str">
        <f t="shared" ref="C600:C663" si="134">IF(A600="","",(B600*$B$6))</f>
        <v/>
      </c>
      <c r="D600" s="38" t="str">
        <f t="shared" ref="D600:D663" si="135">IF(A600="","", $B$3)</f>
        <v/>
      </c>
      <c r="E600" s="38" t="str">
        <f t="shared" ref="E600:E663" si="136">IF(D600="","",(D600-C600))</f>
        <v/>
      </c>
      <c r="F600" s="38" t="str">
        <f t="shared" ref="F600:F663" si="137">IF(A600="","", B600+C600+D600)</f>
        <v/>
      </c>
      <c r="G600" s="38" t="str">
        <f t="shared" si="130"/>
        <v/>
      </c>
      <c r="H600" s="38"/>
      <c r="J600" t="str">
        <f t="shared" si="127"/>
        <v/>
      </c>
      <c r="K600" s="38" t="str">
        <f t="shared" si="131"/>
        <v/>
      </c>
      <c r="L600" s="38" t="str">
        <f t="shared" si="128"/>
        <v/>
      </c>
      <c r="M600" s="38" t="str">
        <f t="shared" ref="M600:M663" si="138">IF(J600="","", $B$3)</f>
        <v/>
      </c>
      <c r="N600" s="38" t="str">
        <f t="shared" ref="N600:N663" si="139">IF(M600="","",(M600-L600))</f>
        <v/>
      </c>
      <c r="O600" s="38" t="str">
        <f t="shared" ref="O600:O663" si="140">IF(J600="","", K600+L600+M600)</f>
        <v/>
      </c>
      <c r="P600" s="38" t="str">
        <f t="shared" si="132"/>
        <v/>
      </c>
      <c r="Q600" s="38"/>
    </row>
    <row r="601" spans="1:17" x14ac:dyDescent="0.2">
      <c r="A601" t="str">
        <f t="shared" si="133"/>
        <v/>
      </c>
      <c r="B601" s="38" t="str">
        <f t="shared" si="129"/>
        <v/>
      </c>
      <c r="C601" s="38" t="str">
        <f t="shared" si="134"/>
        <v/>
      </c>
      <c r="D601" s="38" t="str">
        <f t="shared" si="135"/>
        <v/>
      </c>
      <c r="E601" s="38" t="str">
        <f t="shared" si="136"/>
        <v/>
      </c>
      <c r="F601" s="38" t="str">
        <f t="shared" si="137"/>
        <v/>
      </c>
      <c r="G601" s="38" t="str">
        <f t="shared" si="130"/>
        <v/>
      </c>
      <c r="H601" s="38"/>
      <c r="J601" t="str">
        <f t="shared" si="127"/>
        <v/>
      </c>
      <c r="K601" s="38" t="str">
        <f t="shared" si="131"/>
        <v/>
      </c>
      <c r="L601" s="38" t="str">
        <f t="shared" si="128"/>
        <v/>
      </c>
      <c r="M601" s="38" t="str">
        <f t="shared" si="138"/>
        <v/>
      </c>
      <c r="N601" s="38" t="str">
        <f t="shared" si="139"/>
        <v/>
      </c>
      <c r="O601" s="38" t="str">
        <f t="shared" si="140"/>
        <v/>
      </c>
      <c r="P601" s="38" t="str">
        <f t="shared" si="132"/>
        <v/>
      </c>
      <c r="Q601" s="38"/>
    </row>
    <row r="602" spans="1:17" x14ac:dyDescent="0.2">
      <c r="A602" t="str">
        <f t="shared" si="133"/>
        <v/>
      </c>
      <c r="B602" s="38" t="str">
        <f t="shared" si="129"/>
        <v/>
      </c>
      <c r="C602" s="38" t="str">
        <f t="shared" si="134"/>
        <v/>
      </c>
      <c r="D602" s="38" t="str">
        <f t="shared" si="135"/>
        <v/>
      </c>
      <c r="E602" s="38" t="str">
        <f t="shared" si="136"/>
        <v/>
      </c>
      <c r="F602" s="38" t="str">
        <f t="shared" si="137"/>
        <v/>
      </c>
      <c r="G602" s="38" t="str">
        <f t="shared" si="130"/>
        <v/>
      </c>
      <c r="H602" s="38"/>
      <c r="J602" t="str">
        <f t="shared" si="127"/>
        <v/>
      </c>
      <c r="K602" s="38" t="str">
        <f t="shared" si="131"/>
        <v/>
      </c>
      <c r="L602" s="38" t="str">
        <f t="shared" si="128"/>
        <v/>
      </c>
      <c r="M602" s="38" t="str">
        <f t="shared" si="138"/>
        <v/>
      </c>
      <c r="N602" s="38" t="str">
        <f t="shared" si="139"/>
        <v/>
      </c>
      <c r="O602" s="38" t="str">
        <f t="shared" si="140"/>
        <v/>
      </c>
      <c r="P602" s="38" t="str">
        <f t="shared" si="132"/>
        <v/>
      </c>
      <c r="Q602" s="38"/>
    </row>
    <row r="603" spans="1:17" x14ac:dyDescent="0.2">
      <c r="A603" t="str">
        <f t="shared" si="133"/>
        <v/>
      </c>
      <c r="B603" s="38" t="str">
        <f t="shared" si="129"/>
        <v/>
      </c>
      <c r="C603" s="38" t="str">
        <f t="shared" si="134"/>
        <v/>
      </c>
      <c r="D603" s="38" t="str">
        <f t="shared" si="135"/>
        <v/>
      </c>
      <c r="E603" s="38" t="str">
        <f t="shared" si="136"/>
        <v/>
      </c>
      <c r="F603" s="38" t="str">
        <f t="shared" si="137"/>
        <v/>
      </c>
      <c r="G603" s="38" t="str">
        <f t="shared" si="130"/>
        <v/>
      </c>
      <c r="H603" s="38"/>
      <c r="J603" t="str">
        <f t="shared" si="127"/>
        <v/>
      </c>
      <c r="K603" s="38" t="str">
        <f t="shared" si="131"/>
        <v/>
      </c>
      <c r="L603" s="38" t="str">
        <f t="shared" si="128"/>
        <v/>
      </c>
      <c r="M603" s="38" t="str">
        <f t="shared" si="138"/>
        <v/>
      </c>
      <c r="N603" s="38" t="str">
        <f t="shared" si="139"/>
        <v/>
      </c>
      <c r="O603" s="38" t="str">
        <f t="shared" si="140"/>
        <v/>
      </c>
      <c r="P603" s="38" t="str">
        <f t="shared" si="132"/>
        <v/>
      </c>
      <c r="Q603" s="38"/>
    </row>
    <row r="604" spans="1:17" x14ac:dyDescent="0.2">
      <c r="A604" t="str">
        <f t="shared" si="133"/>
        <v/>
      </c>
      <c r="B604" s="38" t="str">
        <f t="shared" si="129"/>
        <v/>
      </c>
      <c r="C604" s="38" t="str">
        <f t="shared" si="134"/>
        <v/>
      </c>
      <c r="D604" s="38" t="str">
        <f t="shared" si="135"/>
        <v/>
      </c>
      <c r="E604" s="38" t="str">
        <f t="shared" si="136"/>
        <v/>
      </c>
      <c r="F604" s="38" t="str">
        <f t="shared" si="137"/>
        <v/>
      </c>
      <c r="G604" s="38" t="str">
        <f t="shared" si="130"/>
        <v/>
      </c>
      <c r="H604" s="38"/>
      <c r="J604" t="str">
        <f t="shared" si="127"/>
        <v/>
      </c>
      <c r="K604" s="38" t="str">
        <f t="shared" si="131"/>
        <v/>
      </c>
      <c r="L604" s="38" t="str">
        <f t="shared" si="128"/>
        <v/>
      </c>
      <c r="M604" s="38" t="str">
        <f t="shared" si="138"/>
        <v/>
      </c>
      <c r="N604" s="38" t="str">
        <f t="shared" si="139"/>
        <v/>
      </c>
      <c r="O604" s="38" t="str">
        <f t="shared" si="140"/>
        <v/>
      </c>
      <c r="P604" s="38" t="str">
        <f t="shared" si="132"/>
        <v/>
      </c>
      <c r="Q604" s="38"/>
    </row>
    <row r="605" spans="1:17" x14ac:dyDescent="0.2">
      <c r="A605" t="str">
        <f t="shared" si="133"/>
        <v/>
      </c>
      <c r="B605" s="38" t="str">
        <f t="shared" si="129"/>
        <v/>
      </c>
      <c r="C605" s="38" t="str">
        <f t="shared" si="134"/>
        <v/>
      </c>
      <c r="D605" s="38" t="str">
        <f t="shared" si="135"/>
        <v/>
      </c>
      <c r="E605" s="38" t="str">
        <f t="shared" si="136"/>
        <v/>
      </c>
      <c r="F605" s="38" t="str">
        <f t="shared" si="137"/>
        <v/>
      </c>
      <c r="G605" s="38" t="str">
        <f t="shared" si="130"/>
        <v/>
      </c>
      <c r="H605" s="38"/>
      <c r="J605" t="str">
        <f t="shared" si="127"/>
        <v/>
      </c>
      <c r="K605" s="38" t="str">
        <f t="shared" si="131"/>
        <v/>
      </c>
      <c r="L605" s="38" t="str">
        <f t="shared" si="128"/>
        <v/>
      </c>
      <c r="M605" s="38" t="str">
        <f t="shared" si="138"/>
        <v/>
      </c>
      <c r="N605" s="38" t="str">
        <f t="shared" si="139"/>
        <v/>
      </c>
      <c r="O605" s="38" t="str">
        <f t="shared" si="140"/>
        <v/>
      </c>
      <c r="P605" s="38" t="str">
        <f t="shared" si="132"/>
        <v/>
      </c>
      <c r="Q605" s="38"/>
    </row>
    <row r="606" spans="1:17" x14ac:dyDescent="0.2">
      <c r="A606" t="str">
        <f t="shared" si="133"/>
        <v/>
      </c>
      <c r="B606" s="38" t="str">
        <f t="shared" si="129"/>
        <v/>
      </c>
      <c r="C606" s="38" t="str">
        <f t="shared" si="134"/>
        <v/>
      </c>
      <c r="D606" s="38" t="str">
        <f t="shared" si="135"/>
        <v/>
      </c>
      <c r="E606" s="38" t="str">
        <f t="shared" si="136"/>
        <v/>
      </c>
      <c r="F606" s="38" t="str">
        <f t="shared" si="137"/>
        <v/>
      </c>
      <c r="G606" s="38" t="str">
        <f t="shared" si="130"/>
        <v/>
      </c>
      <c r="H606" s="38"/>
      <c r="J606" t="str">
        <f t="shared" si="127"/>
        <v/>
      </c>
      <c r="K606" s="38" t="str">
        <f t="shared" si="131"/>
        <v/>
      </c>
      <c r="L606" s="38" t="str">
        <f t="shared" si="128"/>
        <v/>
      </c>
      <c r="M606" s="38" t="str">
        <f t="shared" si="138"/>
        <v/>
      </c>
      <c r="N606" s="38" t="str">
        <f t="shared" si="139"/>
        <v/>
      </c>
      <c r="O606" s="38" t="str">
        <f t="shared" si="140"/>
        <v/>
      </c>
      <c r="P606" s="38" t="str">
        <f t="shared" si="132"/>
        <v/>
      </c>
      <c r="Q606" s="38"/>
    </row>
    <row r="607" spans="1:17" x14ac:dyDescent="0.2">
      <c r="A607" t="str">
        <f t="shared" si="133"/>
        <v/>
      </c>
      <c r="B607" s="38" t="str">
        <f t="shared" si="129"/>
        <v/>
      </c>
      <c r="C607" s="38" t="str">
        <f t="shared" si="134"/>
        <v/>
      </c>
      <c r="D607" s="38" t="str">
        <f t="shared" si="135"/>
        <v/>
      </c>
      <c r="E607" s="38" t="str">
        <f t="shared" si="136"/>
        <v/>
      </c>
      <c r="F607" s="38" t="str">
        <f t="shared" si="137"/>
        <v/>
      </c>
      <c r="G607" s="38" t="str">
        <f t="shared" si="130"/>
        <v/>
      </c>
      <c r="H607" s="38"/>
      <c r="J607" t="str">
        <f t="shared" si="127"/>
        <v/>
      </c>
      <c r="K607" s="38" t="str">
        <f t="shared" si="131"/>
        <v/>
      </c>
      <c r="L607" s="38" t="str">
        <f t="shared" si="128"/>
        <v/>
      </c>
      <c r="M607" s="38" t="str">
        <f t="shared" si="138"/>
        <v/>
      </c>
      <c r="N607" s="38" t="str">
        <f t="shared" si="139"/>
        <v/>
      </c>
      <c r="O607" s="38" t="str">
        <f t="shared" si="140"/>
        <v/>
      </c>
      <c r="P607" s="38" t="str">
        <f t="shared" si="132"/>
        <v/>
      </c>
      <c r="Q607" s="38"/>
    </row>
    <row r="608" spans="1:17" x14ac:dyDescent="0.2">
      <c r="A608" t="str">
        <f t="shared" si="133"/>
        <v/>
      </c>
      <c r="B608" s="38" t="str">
        <f t="shared" si="129"/>
        <v/>
      </c>
      <c r="C608" s="38" t="str">
        <f t="shared" si="134"/>
        <v/>
      </c>
      <c r="D608" s="38" t="str">
        <f t="shared" si="135"/>
        <v/>
      </c>
      <c r="E608" s="38" t="str">
        <f t="shared" si="136"/>
        <v/>
      </c>
      <c r="F608" s="38" t="str">
        <f t="shared" si="137"/>
        <v/>
      </c>
      <c r="G608" s="38" t="str">
        <f t="shared" si="130"/>
        <v/>
      </c>
      <c r="H608" s="38"/>
      <c r="J608" t="str">
        <f t="shared" si="127"/>
        <v/>
      </c>
      <c r="K608" s="38" t="str">
        <f t="shared" si="131"/>
        <v/>
      </c>
      <c r="L608" s="38" t="str">
        <f t="shared" si="128"/>
        <v/>
      </c>
      <c r="M608" s="38" t="str">
        <f t="shared" si="138"/>
        <v/>
      </c>
      <c r="N608" s="38" t="str">
        <f t="shared" si="139"/>
        <v/>
      </c>
      <c r="O608" s="38" t="str">
        <f t="shared" si="140"/>
        <v/>
      </c>
      <c r="P608" s="38" t="str">
        <f t="shared" si="132"/>
        <v/>
      </c>
      <c r="Q608" s="38"/>
    </row>
    <row r="609" spans="1:17" x14ac:dyDescent="0.2">
      <c r="A609" t="str">
        <f t="shared" si="133"/>
        <v/>
      </c>
      <c r="B609" s="38" t="str">
        <f t="shared" si="129"/>
        <v/>
      </c>
      <c r="C609" s="38" t="str">
        <f t="shared" si="134"/>
        <v/>
      </c>
      <c r="D609" s="38" t="str">
        <f t="shared" si="135"/>
        <v/>
      </c>
      <c r="E609" s="38" t="str">
        <f t="shared" si="136"/>
        <v/>
      </c>
      <c r="F609" s="38" t="str">
        <f t="shared" si="137"/>
        <v/>
      </c>
      <c r="G609" s="38" t="str">
        <f t="shared" si="130"/>
        <v/>
      </c>
      <c r="H609" s="38"/>
      <c r="J609" t="str">
        <f t="shared" si="127"/>
        <v/>
      </c>
      <c r="K609" s="38" t="str">
        <f t="shared" si="131"/>
        <v/>
      </c>
      <c r="L609" s="38" t="str">
        <f t="shared" si="128"/>
        <v/>
      </c>
      <c r="M609" s="38" t="str">
        <f t="shared" si="138"/>
        <v/>
      </c>
      <c r="N609" s="38" t="str">
        <f t="shared" si="139"/>
        <v/>
      </c>
      <c r="O609" s="38" t="str">
        <f t="shared" si="140"/>
        <v/>
      </c>
      <c r="P609" s="38" t="str">
        <f t="shared" si="132"/>
        <v/>
      </c>
      <c r="Q609" s="38"/>
    </row>
    <row r="610" spans="1:17" x14ac:dyDescent="0.2">
      <c r="A610" t="str">
        <f t="shared" si="133"/>
        <v/>
      </c>
      <c r="B610" s="38" t="str">
        <f t="shared" si="129"/>
        <v/>
      </c>
      <c r="C610" s="38" t="str">
        <f t="shared" si="134"/>
        <v/>
      </c>
      <c r="D610" s="38" t="str">
        <f t="shared" si="135"/>
        <v/>
      </c>
      <c r="E610" s="38" t="str">
        <f t="shared" si="136"/>
        <v/>
      </c>
      <c r="F610" s="38" t="str">
        <f t="shared" si="137"/>
        <v/>
      </c>
      <c r="G610" s="38" t="str">
        <f t="shared" si="130"/>
        <v/>
      </c>
      <c r="H610" s="38"/>
      <c r="J610" t="str">
        <f t="shared" si="127"/>
        <v/>
      </c>
      <c r="K610" s="38" t="str">
        <f t="shared" si="131"/>
        <v/>
      </c>
      <c r="L610" s="38" t="str">
        <f t="shared" si="128"/>
        <v/>
      </c>
      <c r="M610" s="38" t="str">
        <f t="shared" si="138"/>
        <v/>
      </c>
      <c r="N610" s="38" t="str">
        <f t="shared" si="139"/>
        <v/>
      </c>
      <c r="O610" s="38" t="str">
        <f t="shared" si="140"/>
        <v/>
      </c>
      <c r="P610" s="38" t="str">
        <f t="shared" si="132"/>
        <v/>
      </c>
      <c r="Q610" s="38"/>
    </row>
    <row r="611" spans="1:17" x14ac:dyDescent="0.2">
      <c r="A611" t="str">
        <f t="shared" si="133"/>
        <v/>
      </c>
      <c r="B611" s="38" t="str">
        <f t="shared" si="129"/>
        <v/>
      </c>
      <c r="C611" s="38" t="str">
        <f t="shared" si="134"/>
        <v/>
      </c>
      <c r="D611" s="38" t="str">
        <f t="shared" si="135"/>
        <v/>
      </c>
      <c r="E611" s="38" t="str">
        <f t="shared" si="136"/>
        <v/>
      </c>
      <c r="F611" s="38" t="str">
        <f t="shared" si="137"/>
        <v/>
      </c>
      <c r="G611" s="38" t="str">
        <f t="shared" si="130"/>
        <v/>
      </c>
      <c r="H611" s="38"/>
      <c r="J611" t="str">
        <f t="shared" si="127"/>
        <v/>
      </c>
      <c r="K611" s="38" t="str">
        <f t="shared" si="131"/>
        <v/>
      </c>
      <c r="L611" s="38" t="str">
        <f t="shared" si="128"/>
        <v/>
      </c>
      <c r="M611" s="38" t="str">
        <f t="shared" si="138"/>
        <v/>
      </c>
      <c r="N611" s="38" t="str">
        <f t="shared" si="139"/>
        <v/>
      </c>
      <c r="O611" s="38" t="str">
        <f t="shared" si="140"/>
        <v/>
      </c>
      <c r="P611" s="38" t="str">
        <f t="shared" si="132"/>
        <v/>
      </c>
      <c r="Q611" s="38"/>
    </row>
    <row r="612" spans="1:17" x14ac:dyDescent="0.2">
      <c r="A612" t="str">
        <f t="shared" si="133"/>
        <v/>
      </c>
      <c r="B612" s="38" t="str">
        <f t="shared" si="129"/>
        <v/>
      </c>
      <c r="C612" s="38" t="str">
        <f t="shared" si="134"/>
        <v/>
      </c>
      <c r="D612" s="38" t="str">
        <f t="shared" si="135"/>
        <v/>
      </c>
      <c r="E612" s="38" t="str">
        <f t="shared" si="136"/>
        <v/>
      </c>
      <c r="F612" s="38" t="str">
        <f t="shared" si="137"/>
        <v/>
      </c>
      <c r="G612" s="38" t="str">
        <f t="shared" si="130"/>
        <v/>
      </c>
      <c r="H612" s="38"/>
      <c r="J612" t="str">
        <f t="shared" si="127"/>
        <v/>
      </c>
      <c r="K612" s="38" t="str">
        <f t="shared" si="131"/>
        <v/>
      </c>
      <c r="L612" s="38" t="str">
        <f t="shared" si="128"/>
        <v/>
      </c>
      <c r="M612" s="38" t="str">
        <f t="shared" si="138"/>
        <v/>
      </c>
      <c r="N612" s="38" t="str">
        <f t="shared" si="139"/>
        <v/>
      </c>
      <c r="O612" s="38" t="str">
        <f t="shared" si="140"/>
        <v/>
      </c>
      <c r="P612" s="38" t="str">
        <f t="shared" si="132"/>
        <v/>
      </c>
      <c r="Q612" s="38"/>
    </row>
    <row r="613" spans="1:17" x14ac:dyDescent="0.2">
      <c r="A613" t="str">
        <f t="shared" si="133"/>
        <v/>
      </c>
      <c r="B613" s="38" t="str">
        <f t="shared" si="129"/>
        <v/>
      </c>
      <c r="C613" s="38" t="str">
        <f t="shared" si="134"/>
        <v/>
      </c>
      <c r="D613" s="38" t="str">
        <f t="shared" si="135"/>
        <v/>
      </c>
      <c r="E613" s="38" t="str">
        <f t="shared" si="136"/>
        <v/>
      </c>
      <c r="F613" s="38" t="str">
        <f t="shared" si="137"/>
        <v/>
      </c>
      <c r="G613" s="38" t="str">
        <f t="shared" si="130"/>
        <v/>
      </c>
      <c r="H613" s="38"/>
      <c r="J613" t="str">
        <f t="shared" si="127"/>
        <v/>
      </c>
      <c r="K613" s="38" t="str">
        <f t="shared" si="131"/>
        <v/>
      </c>
      <c r="L613" s="38" t="str">
        <f t="shared" si="128"/>
        <v/>
      </c>
      <c r="M613" s="38" t="str">
        <f t="shared" si="138"/>
        <v/>
      </c>
      <c r="N613" s="38" t="str">
        <f t="shared" si="139"/>
        <v/>
      </c>
      <c r="O613" s="38" t="str">
        <f t="shared" si="140"/>
        <v/>
      </c>
      <c r="P613" s="38" t="str">
        <f t="shared" si="132"/>
        <v/>
      </c>
      <c r="Q613" s="38"/>
    </row>
    <row r="614" spans="1:17" x14ac:dyDescent="0.2">
      <c r="A614" t="str">
        <f t="shared" si="133"/>
        <v/>
      </c>
      <c r="B614" s="38" t="str">
        <f t="shared" si="129"/>
        <v/>
      </c>
      <c r="C614" s="38" t="str">
        <f t="shared" si="134"/>
        <v/>
      </c>
      <c r="D614" s="38" t="str">
        <f t="shared" si="135"/>
        <v/>
      </c>
      <c r="E614" s="38" t="str">
        <f t="shared" si="136"/>
        <v/>
      </c>
      <c r="F614" s="38" t="str">
        <f t="shared" si="137"/>
        <v/>
      </c>
      <c r="G614" s="38" t="str">
        <f t="shared" si="130"/>
        <v/>
      </c>
      <c r="H614" s="38"/>
      <c r="J614" t="str">
        <f t="shared" si="127"/>
        <v/>
      </c>
      <c r="K614" s="38" t="str">
        <f t="shared" si="131"/>
        <v/>
      </c>
      <c r="L614" s="38" t="str">
        <f t="shared" si="128"/>
        <v/>
      </c>
      <c r="M614" s="38" t="str">
        <f t="shared" si="138"/>
        <v/>
      </c>
      <c r="N614" s="38" t="str">
        <f t="shared" si="139"/>
        <v/>
      </c>
      <c r="O614" s="38" t="str">
        <f t="shared" si="140"/>
        <v/>
      </c>
      <c r="P614" s="38" t="str">
        <f t="shared" si="132"/>
        <v/>
      </c>
      <c r="Q614" s="38"/>
    </row>
    <row r="615" spans="1:17" x14ac:dyDescent="0.2">
      <c r="A615" t="str">
        <f t="shared" si="133"/>
        <v/>
      </c>
      <c r="B615" s="38" t="str">
        <f t="shared" si="129"/>
        <v/>
      </c>
      <c r="C615" s="38" t="str">
        <f t="shared" si="134"/>
        <v/>
      </c>
      <c r="D615" s="38" t="str">
        <f t="shared" si="135"/>
        <v/>
      </c>
      <c r="E615" s="38" t="str">
        <f t="shared" si="136"/>
        <v/>
      </c>
      <c r="F615" s="38" t="str">
        <f t="shared" si="137"/>
        <v/>
      </c>
      <c r="G615" s="38" t="str">
        <f t="shared" si="130"/>
        <v/>
      </c>
      <c r="H615" s="38"/>
      <c r="J615" t="str">
        <f t="shared" si="127"/>
        <v/>
      </c>
      <c r="K615" s="38" t="str">
        <f t="shared" si="131"/>
        <v/>
      </c>
      <c r="L615" s="38" t="str">
        <f t="shared" si="128"/>
        <v/>
      </c>
      <c r="M615" s="38" t="str">
        <f t="shared" si="138"/>
        <v/>
      </c>
      <c r="N615" s="38" t="str">
        <f t="shared" si="139"/>
        <v/>
      </c>
      <c r="O615" s="38" t="str">
        <f t="shared" si="140"/>
        <v/>
      </c>
      <c r="P615" s="38" t="str">
        <f t="shared" si="132"/>
        <v/>
      </c>
      <c r="Q615" s="38"/>
    </row>
    <row r="616" spans="1:17" x14ac:dyDescent="0.2">
      <c r="A616" t="str">
        <f t="shared" si="133"/>
        <v/>
      </c>
      <c r="B616" s="38" t="str">
        <f t="shared" si="129"/>
        <v/>
      </c>
      <c r="C616" s="38" t="str">
        <f t="shared" si="134"/>
        <v/>
      </c>
      <c r="D616" s="38" t="str">
        <f t="shared" si="135"/>
        <v/>
      </c>
      <c r="E616" s="38" t="str">
        <f t="shared" si="136"/>
        <v/>
      </c>
      <c r="F616" s="38" t="str">
        <f t="shared" si="137"/>
        <v/>
      </c>
      <c r="G616" s="38" t="str">
        <f t="shared" si="130"/>
        <v/>
      </c>
      <c r="H616" s="38"/>
      <c r="J616" t="str">
        <f t="shared" si="127"/>
        <v/>
      </c>
      <c r="K616" s="38" t="str">
        <f t="shared" si="131"/>
        <v/>
      </c>
      <c r="L616" s="38" t="str">
        <f t="shared" si="128"/>
        <v/>
      </c>
      <c r="M616" s="38" t="str">
        <f t="shared" si="138"/>
        <v/>
      </c>
      <c r="N616" s="38" t="str">
        <f t="shared" si="139"/>
        <v/>
      </c>
      <c r="O616" s="38" t="str">
        <f t="shared" si="140"/>
        <v/>
      </c>
      <c r="P616" s="38" t="str">
        <f t="shared" si="132"/>
        <v/>
      </c>
      <c r="Q616" s="38"/>
    </row>
    <row r="617" spans="1:17" x14ac:dyDescent="0.2">
      <c r="A617" t="str">
        <f t="shared" si="133"/>
        <v/>
      </c>
      <c r="B617" s="38" t="str">
        <f t="shared" si="129"/>
        <v/>
      </c>
      <c r="C617" s="38" t="str">
        <f t="shared" si="134"/>
        <v/>
      </c>
      <c r="D617" s="38" t="str">
        <f t="shared" si="135"/>
        <v/>
      </c>
      <c r="E617" s="38" t="str">
        <f t="shared" si="136"/>
        <v/>
      </c>
      <c r="F617" s="38" t="str">
        <f t="shared" si="137"/>
        <v/>
      </c>
      <c r="G617" s="38" t="str">
        <f t="shared" si="130"/>
        <v/>
      </c>
      <c r="H617" s="38"/>
      <c r="J617" t="str">
        <f t="shared" si="127"/>
        <v/>
      </c>
      <c r="K617" s="38" t="str">
        <f t="shared" si="131"/>
        <v/>
      </c>
      <c r="L617" s="38" t="str">
        <f t="shared" si="128"/>
        <v/>
      </c>
      <c r="M617" s="38" t="str">
        <f t="shared" si="138"/>
        <v/>
      </c>
      <c r="N617" s="38" t="str">
        <f t="shared" si="139"/>
        <v/>
      </c>
      <c r="O617" s="38" t="str">
        <f t="shared" si="140"/>
        <v/>
      </c>
      <c r="P617" s="38" t="str">
        <f t="shared" si="132"/>
        <v/>
      </c>
      <c r="Q617" s="38"/>
    </row>
    <row r="618" spans="1:17" x14ac:dyDescent="0.2">
      <c r="A618" t="str">
        <f t="shared" si="133"/>
        <v/>
      </c>
      <c r="B618" s="38" t="str">
        <f t="shared" si="129"/>
        <v/>
      </c>
      <c r="C618" s="38" t="str">
        <f t="shared" si="134"/>
        <v/>
      </c>
      <c r="D618" s="38" t="str">
        <f t="shared" si="135"/>
        <v/>
      </c>
      <c r="E618" s="38" t="str">
        <f t="shared" si="136"/>
        <v/>
      </c>
      <c r="F618" s="38" t="str">
        <f t="shared" si="137"/>
        <v/>
      </c>
      <c r="G618" s="38" t="str">
        <f t="shared" si="130"/>
        <v/>
      </c>
      <c r="H618" s="38"/>
      <c r="J618" t="str">
        <f t="shared" si="127"/>
        <v/>
      </c>
      <c r="K618" s="38" t="str">
        <f t="shared" si="131"/>
        <v/>
      </c>
      <c r="L618" s="38" t="str">
        <f t="shared" si="128"/>
        <v/>
      </c>
      <c r="M618" s="38" t="str">
        <f t="shared" si="138"/>
        <v/>
      </c>
      <c r="N618" s="38" t="str">
        <f t="shared" si="139"/>
        <v/>
      </c>
      <c r="O618" s="38" t="str">
        <f t="shared" si="140"/>
        <v/>
      </c>
      <c r="P618" s="38" t="str">
        <f t="shared" si="132"/>
        <v/>
      </c>
      <c r="Q618" s="38"/>
    </row>
    <row r="619" spans="1:17" x14ac:dyDescent="0.2">
      <c r="A619" t="str">
        <f t="shared" si="133"/>
        <v/>
      </c>
      <c r="B619" s="38" t="str">
        <f t="shared" si="129"/>
        <v/>
      </c>
      <c r="C619" s="38" t="str">
        <f t="shared" si="134"/>
        <v/>
      </c>
      <c r="D619" s="38" t="str">
        <f t="shared" si="135"/>
        <v/>
      </c>
      <c r="E619" s="38" t="str">
        <f t="shared" si="136"/>
        <v/>
      </c>
      <c r="F619" s="38" t="str">
        <f t="shared" si="137"/>
        <v/>
      </c>
      <c r="G619" s="38" t="str">
        <f t="shared" si="130"/>
        <v/>
      </c>
      <c r="H619" s="38"/>
      <c r="J619" t="str">
        <f t="shared" si="127"/>
        <v/>
      </c>
      <c r="K619" s="38" t="str">
        <f t="shared" si="131"/>
        <v/>
      </c>
      <c r="L619" s="38" t="str">
        <f t="shared" si="128"/>
        <v/>
      </c>
      <c r="M619" s="38" t="str">
        <f t="shared" si="138"/>
        <v/>
      </c>
      <c r="N619" s="38" t="str">
        <f t="shared" si="139"/>
        <v/>
      </c>
      <c r="O619" s="38" t="str">
        <f t="shared" si="140"/>
        <v/>
      </c>
      <c r="P619" s="38" t="str">
        <f t="shared" si="132"/>
        <v/>
      </c>
      <c r="Q619" s="38"/>
    </row>
    <row r="620" spans="1:17" x14ac:dyDescent="0.2">
      <c r="A620" t="str">
        <f t="shared" si="133"/>
        <v/>
      </c>
      <c r="B620" s="38" t="str">
        <f t="shared" si="129"/>
        <v/>
      </c>
      <c r="C620" s="38" t="str">
        <f t="shared" si="134"/>
        <v/>
      </c>
      <c r="D620" s="38" t="str">
        <f t="shared" si="135"/>
        <v/>
      </c>
      <c r="E620" s="38" t="str">
        <f t="shared" si="136"/>
        <v/>
      </c>
      <c r="F620" s="38" t="str">
        <f t="shared" si="137"/>
        <v/>
      </c>
      <c r="G620" s="38" t="str">
        <f t="shared" si="130"/>
        <v/>
      </c>
      <c r="H620" s="38"/>
      <c r="J620" t="str">
        <f t="shared" si="127"/>
        <v/>
      </c>
      <c r="K620" s="38" t="str">
        <f t="shared" si="131"/>
        <v/>
      </c>
      <c r="L620" s="38" t="str">
        <f t="shared" si="128"/>
        <v/>
      </c>
      <c r="M620" s="38" t="str">
        <f t="shared" si="138"/>
        <v/>
      </c>
      <c r="N620" s="38" t="str">
        <f t="shared" si="139"/>
        <v/>
      </c>
      <c r="O620" s="38" t="str">
        <f t="shared" si="140"/>
        <v/>
      </c>
      <c r="P620" s="38" t="str">
        <f t="shared" si="132"/>
        <v/>
      </c>
      <c r="Q620" s="38"/>
    </row>
    <row r="621" spans="1:17" x14ac:dyDescent="0.2">
      <c r="A621" t="str">
        <f t="shared" si="133"/>
        <v/>
      </c>
      <c r="B621" s="38" t="str">
        <f t="shared" si="129"/>
        <v/>
      </c>
      <c r="C621" s="38" t="str">
        <f t="shared" si="134"/>
        <v/>
      </c>
      <c r="D621" s="38" t="str">
        <f t="shared" si="135"/>
        <v/>
      </c>
      <c r="E621" s="38" t="str">
        <f t="shared" si="136"/>
        <v/>
      </c>
      <c r="F621" s="38" t="str">
        <f t="shared" si="137"/>
        <v/>
      </c>
      <c r="G621" s="38" t="str">
        <f t="shared" si="130"/>
        <v/>
      </c>
      <c r="H621" s="38"/>
      <c r="J621" t="str">
        <f t="shared" si="127"/>
        <v/>
      </c>
      <c r="K621" s="38" t="str">
        <f t="shared" si="131"/>
        <v/>
      </c>
      <c r="L621" s="38" t="str">
        <f t="shared" si="128"/>
        <v/>
      </c>
      <c r="M621" s="38" t="str">
        <f t="shared" si="138"/>
        <v/>
      </c>
      <c r="N621" s="38" t="str">
        <f t="shared" si="139"/>
        <v/>
      </c>
      <c r="O621" s="38" t="str">
        <f t="shared" si="140"/>
        <v/>
      </c>
      <c r="P621" s="38" t="str">
        <f t="shared" si="132"/>
        <v/>
      </c>
      <c r="Q621" s="38"/>
    </row>
    <row r="622" spans="1:17" x14ac:dyDescent="0.2">
      <c r="A622" t="str">
        <f t="shared" si="133"/>
        <v/>
      </c>
      <c r="B622" s="38" t="str">
        <f t="shared" si="129"/>
        <v/>
      </c>
      <c r="C622" s="38" t="str">
        <f t="shared" si="134"/>
        <v/>
      </c>
      <c r="D622" s="38" t="str">
        <f t="shared" si="135"/>
        <v/>
      </c>
      <c r="E622" s="38" t="str">
        <f t="shared" si="136"/>
        <v/>
      </c>
      <c r="F622" s="38" t="str">
        <f t="shared" si="137"/>
        <v/>
      </c>
      <c r="G622" s="38" t="str">
        <f t="shared" si="130"/>
        <v/>
      </c>
      <c r="H622" s="38"/>
      <c r="J622" t="str">
        <f t="shared" si="127"/>
        <v/>
      </c>
      <c r="K622" s="38" t="str">
        <f t="shared" si="131"/>
        <v/>
      </c>
      <c r="L622" s="38" t="str">
        <f t="shared" si="128"/>
        <v/>
      </c>
      <c r="M622" s="38" t="str">
        <f t="shared" si="138"/>
        <v/>
      </c>
      <c r="N622" s="38" t="str">
        <f t="shared" si="139"/>
        <v/>
      </c>
      <c r="O622" s="38" t="str">
        <f t="shared" si="140"/>
        <v/>
      </c>
      <c r="P622" s="38" t="str">
        <f t="shared" si="132"/>
        <v/>
      </c>
      <c r="Q622" s="38"/>
    </row>
    <row r="623" spans="1:17" x14ac:dyDescent="0.2">
      <c r="A623" t="str">
        <f t="shared" si="133"/>
        <v/>
      </c>
      <c r="B623" s="38" t="str">
        <f t="shared" si="129"/>
        <v/>
      </c>
      <c r="C623" s="38" t="str">
        <f t="shared" si="134"/>
        <v/>
      </c>
      <c r="D623" s="38" t="str">
        <f t="shared" si="135"/>
        <v/>
      </c>
      <c r="E623" s="38" t="str">
        <f t="shared" si="136"/>
        <v/>
      </c>
      <c r="F623" s="38" t="str">
        <f t="shared" si="137"/>
        <v/>
      </c>
      <c r="G623" s="38" t="str">
        <f t="shared" si="130"/>
        <v/>
      </c>
      <c r="H623" s="38"/>
      <c r="J623" t="str">
        <f t="shared" si="127"/>
        <v/>
      </c>
      <c r="K623" s="38" t="str">
        <f t="shared" si="131"/>
        <v/>
      </c>
      <c r="L623" s="38" t="str">
        <f t="shared" si="128"/>
        <v/>
      </c>
      <c r="M623" s="38" t="str">
        <f t="shared" si="138"/>
        <v/>
      </c>
      <c r="N623" s="38" t="str">
        <f t="shared" si="139"/>
        <v/>
      </c>
      <c r="O623" s="38" t="str">
        <f t="shared" si="140"/>
        <v/>
      </c>
      <c r="P623" s="38" t="str">
        <f t="shared" si="132"/>
        <v/>
      </c>
      <c r="Q623" s="38"/>
    </row>
    <row r="624" spans="1:17" x14ac:dyDescent="0.2">
      <c r="A624" t="str">
        <f t="shared" si="133"/>
        <v/>
      </c>
      <c r="B624" s="38" t="str">
        <f t="shared" si="129"/>
        <v/>
      </c>
      <c r="C624" s="38" t="str">
        <f t="shared" si="134"/>
        <v/>
      </c>
      <c r="D624" s="38" t="str">
        <f t="shared" si="135"/>
        <v/>
      </c>
      <c r="E624" s="38" t="str">
        <f t="shared" si="136"/>
        <v/>
      </c>
      <c r="F624" s="38" t="str">
        <f t="shared" si="137"/>
        <v/>
      </c>
      <c r="G624" s="38" t="str">
        <f t="shared" si="130"/>
        <v/>
      </c>
      <c r="H624" s="38"/>
      <c r="J624" t="str">
        <f t="shared" si="127"/>
        <v/>
      </c>
      <c r="K624" s="38" t="str">
        <f t="shared" si="131"/>
        <v/>
      </c>
      <c r="L624" s="38" t="str">
        <f t="shared" si="128"/>
        <v/>
      </c>
      <c r="M624" s="38" t="str">
        <f t="shared" si="138"/>
        <v/>
      </c>
      <c r="N624" s="38" t="str">
        <f t="shared" si="139"/>
        <v/>
      </c>
      <c r="O624" s="38" t="str">
        <f t="shared" si="140"/>
        <v/>
      </c>
      <c r="P624" s="38" t="str">
        <f t="shared" si="132"/>
        <v/>
      </c>
      <c r="Q624" s="38"/>
    </row>
    <row r="625" spans="1:17" x14ac:dyDescent="0.2">
      <c r="A625" t="str">
        <f t="shared" si="133"/>
        <v/>
      </c>
      <c r="B625" s="38" t="str">
        <f t="shared" si="129"/>
        <v/>
      </c>
      <c r="C625" s="38" t="str">
        <f t="shared" si="134"/>
        <v/>
      </c>
      <c r="D625" s="38" t="str">
        <f t="shared" si="135"/>
        <v/>
      </c>
      <c r="E625" s="38" t="str">
        <f t="shared" si="136"/>
        <v/>
      </c>
      <c r="F625" s="38" t="str">
        <f t="shared" si="137"/>
        <v/>
      </c>
      <c r="G625" s="38" t="str">
        <f t="shared" si="130"/>
        <v/>
      </c>
      <c r="H625" s="38"/>
      <c r="J625" t="str">
        <f t="shared" si="127"/>
        <v/>
      </c>
      <c r="K625" s="38" t="str">
        <f t="shared" si="131"/>
        <v/>
      </c>
      <c r="L625" s="38" t="str">
        <f t="shared" si="128"/>
        <v/>
      </c>
      <c r="M625" s="38" t="str">
        <f t="shared" si="138"/>
        <v/>
      </c>
      <c r="N625" s="38" t="str">
        <f t="shared" si="139"/>
        <v/>
      </c>
      <c r="O625" s="38" t="str">
        <f t="shared" si="140"/>
        <v/>
      </c>
      <c r="P625" s="38" t="str">
        <f t="shared" si="132"/>
        <v/>
      </c>
      <c r="Q625" s="38"/>
    </row>
    <row r="626" spans="1:17" x14ac:dyDescent="0.2">
      <c r="A626" t="str">
        <f t="shared" si="133"/>
        <v/>
      </c>
      <c r="B626" s="38" t="str">
        <f t="shared" si="129"/>
        <v/>
      </c>
      <c r="C626" s="38" t="str">
        <f t="shared" si="134"/>
        <v/>
      </c>
      <c r="D626" s="38" t="str">
        <f t="shared" si="135"/>
        <v/>
      </c>
      <c r="E626" s="38" t="str">
        <f t="shared" si="136"/>
        <v/>
      </c>
      <c r="F626" s="38" t="str">
        <f t="shared" si="137"/>
        <v/>
      </c>
      <c r="G626" s="38" t="str">
        <f t="shared" si="130"/>
        <v/>
      </c>
      <c r="H626" s="38"/>
      <c r="J626" t="str">
        <f t="shared" si="127"/>
        <v/>
      </c>
      <c r="K626" s="38" t="str">
        <f t="shared" si="131"/>
        <v/>
      </c>
      <c r="L626" s="38" t="str">
        <f t="shared" si="128"/>
        <v/>
      </c>
      <c r="M626" s="38" t="str">
        <f t="shared" si="138"/>
        <v/>
      </c>
      <c r="N626" s="38" t="str">
        <f t="shared" si="139"/>
        <v/>
      </c>
      <c r="O626" s="38" t="str">
        <f t="shared" si="140"/>
        <v/>
      </c>
      <c r="P626" s="38" t="str">
        <f t="shared" si="132"/>
        <v/>
      </c>
      <c r="Q626" s="38"/>
    </row>
    <row r="627" spans="1:17" x14ac:dyDescent="0.2">
      <c r="A627" t="str">
        <f t="shared" si="133"/>
        <v/>
      </c>
      <c r="B627" s="38" t="str">
        <f t="shared" si="129"/>
        <v/>
      </c>
      <c r="C627" s="38" t="str">
        <f t="shared" si="134"/>
        <v/>
      </c>
      <c r="D627" s="38" t="str">
        <f t="shared" si="135"/>
        <v/>
      </c>
      <c r="E627" s="38" t="str">
        <f t="shared" si="136"/>
        <v/>
      </c>
      <c r="F627" s="38" t="str">
        <f t="shared" si="137"/>
        <v/>
      </c>
      <c r="G627" s="38" t="str">
        <f t="shared" si="130"/>
        <v/>
      </c>
      <c r="H627" s="38"/>
      <c r="J627" t="str">
        <f t="shared" si="127"/>
        <v/>
      </c>
      <c r="K627" s="38" t="str">
        <f t="shared" si="131"/>
        <v/>
      </c>
      <c r="L627" s="38" t="str">
        <f t="shared" si="128"/>
        <v/>
      </c>
      <c r="M627" s="38" t="str">
        <f t="shared" si="138"/>
        <v/>
      </c>
      <c r="N627" s="38" t="str">
        <f t="shared" si="139"/>
        <v/>
      </c>
      <c r="O627" s="38" t="str">
        <f t="shared" si="140"/>
        <v/>
      </c>
      <c r="P627" s="38" t="str">
        <f t="shared" si="132"/>
        <v/>
      </c>
      <c r="Q627" s="38"/>
    </row>
    <row r="628" spans="1:17" x14ac:dyDescent="0.2">
      <c r="A628" t="str">
        <f t="shared" si="133"/>
        <v/>
      </c>
      <c r="B628" s="38" t="str">
        <f t="shared" si="129"/>
        <v/>
      </c>
      <c r="C628" s="38" t="str">
        <f t="shared" si="134"/>
        <v/>
      </c>
      <c r="D628" s="38" t="str">
        <f t="shared" si="135"/>
        <v/>
      </c>
      <c r="E628" s="38" t="str">
        <f t="shared" si="136"/>
        <v/>
      </c>
      <c r="F628" s="38" t="str">
        <f t="shared" si="137"/>
        <v/>
      </c>
      <c r="G628" s="38" t="str">
        <f t="shared" si="130"/>
        <v/>
      </c>
      <c r="H628" s="38"/>
      <c r="J628" t="str">
        <f t="shared" si="127"/>
        <v/>
      </c>
      <c r="K628" s="38" t="str">
        <f t="shared" si="131"/>
        <v/>
      </c>
      <c r="L628" s="38" t="str">
        <f t="shared" si="128"/>
        <v/>
      </c>
      <c r="M628" s="38" t="str">
        <f t="shared" si="138"/>
        <v/>
      </c>
      <c r="N628" s="38" t="str">
        <f t="shared" si="139"/>
        <v/>
      </c>
      <c r="O628" s="38" t="str">
        <f t="shared" si="140"/>
        <v/>
      </c>
      <c r="P628" s="38" t="str">
        <f t="shared" si="132"/>
        <v/>
      </c>
      <c r="Q628" s="38"/>
    </row>
    <row r="629" spans="1:17" x14ac:dyDescent="0.2">
      <c r="A629" t="str">
        <f t="shared" si="133"/>
        <v/>
      </c>
      <c r="B629" s="38" t="str">
        <f t="shared" si="129"/>
        <v/>
      </c>
      <c r="C629" s="38" t="str">
        <f t="shared" si="134"/>
        <v/>
      </c>
      <c r="D629" s="38" t="str">
        <f t="shared" si="135"/>
        <v/>
      </c>
      <c r="E629" s="38" t="str">
        <f t="shared" si="136"/>
        <v/>
      </c>
      <c r="F629" s="38" t="str">
        <f t="shared" si="137"/>
        <v/>
      </c>
      <c r="G629" s="38" t="str">
        <f t="shared" si="130"/>
        <v/>
      </c>
      <c r="H629" s="38"/>
      <c r="J629" t="str">
        <f t="shared" si="127"/>
        <v/>
      </c>
      <c r="K629" s="38" t="str">
        <f t="shared" si="131"/>
        <v/>
      </c>
      <c r="L629" s="38" t="str">
        <f t="shared" si="128"/>
        <v/>
      </c>
      <c r="M629" s="38" t="str">
        <f t="shared" si="138"/>
        <v/>
      </c>
      <c r="N629" s="38" t="str">
        <f t="shared" si="139"/>
        <v/>
      </c>
      <c r="O629" s="38" t="str">
        <f t="shared" si="140"/>
        <v/>
      </c>
      <c r="P629" s="38" t="str">
        <f t="shared" si="132"/>
        <v/>
      </c>
      <c r="Q629" s="38"/>
    </row>
    <row r="630" spans="1:17" x14ac:dyDescent="0.2">
      <c r="A630" t="str">
        <f t="shared" si="133"/>
        <v/>
      </c>
      <c r="B630" s="38" t="str">
        <f t="shared" si="129"/>
        <v/>
      </c>
      <c r="C630" s="38" t="str">
        <f t="shared" si="134"/>
        <v/>
      </c>
      <c r="D630" s="38" t="str">
        <f t="shared" si="135"/>
        <v/>
      </c>
      <c r="E630" s="38" t="str">
        <f t="shared" si="136"/>
        <v/>
      </c>
      <c r="F630" s="38" t="str">
        <f t="shared" si="137"/>
        <v/>
      </c>
      <c r="G630" s="38" t="str">
        <f t="shared" si="130"/>
        <v/>
      </c>
      <c r="H630" s="38"/>
      <c r="J630" t="str">
        <f t="shared" ref="J630:J693" si="141">IF(J629&lt;($B$6*$B$7),J629+1,"")</f>
        <v/>
      </c>
      <c r="K630" s="38" t="str">
        <f t="shared" si="131"/>
        <v/>
      </c>
      <c r="L630" s="38" t="str">
        <f t="shared" si="128"/>
        <v/>
      </c>
      <c r="M630" s="38" t="str">
        <f t="shared" si="138"/>
        <v/>
      </c>
      <c r="N630" s="38" t="str">
        <f t="shared" si="139"/>
        <v/>
      </c>
      <c r="O630" s="38" t="str">
        <f t="shared" si="140"/>
        <v/>
      </c>
      <c r="P630" s="38" t="str">
        <f t="shared" si="132"/>
        <v/>
      </c>
      <c r="Q630" s="38"/>
    </row>
    <row r="631" spans="1:17" x14ac:dyDescent="0.2">
      <c r="A631" t="str">
        <f t="shared" si="133"/>
        <v/>
      </c>
      <c r="B631" s="38" t="str">
        <f t="shared" si="129"/>
        <v/>
      </c>
      <c r="C631" s="38" t="str">
        <f t="shared" si="134"/>
        <v/>
      </c>
      <c r="D631" s="38" t="str">
        <f t="shared" si="135"/>
        <v/>
      </c>
      <c r="E631" s="38" t="str">
        <f t="shared" si="136"/>
        <v/>
      </c>
      <c r="F631" s="38" t="str">
        <f t="shared" si="137"/>
        <v/>
      </c>
      <c r="G631" s="38" t="str">
        <f t="shared" si="130"/>
        <v/>
      </c>
      <c r="H631" s="38"/>
      <c r="J631" t="str">
        <f t="shared" si="141"/>
        <v/>
      </c>
      <c r="K631" s="38" t="str">
        <f t="shared" si="131"/>
        <v/>
      </c>
      <c r="L631" s="38" t="str">
        <f t="shared" si="128"/>
        <v/>
      </c>
      <c r="M631" s="38" t="str">
        <f t="shared" si="138"/>
        <v/>
      </c>
      <c r="N631" s="38" t="str">
        <f t="shared" si="139"/>
        <v/>
      </c>
      <c r="O631" s="38" t="str">
        <f t="shared" si="140"/>
        <v/>
      </c>
      <c r="P631" s="38" t="str">
        <f t="shared" si="132"/>
        <v/>
      </c>
      <c r="Q631" s="38"/>
    </row>
    <row r="632" spans="1:17" x14ac:dyDescent="0.2">
      <c r="A632" t="str">
        <f t="shared" si="133"/>
        <v/>
      </c>
      <c r="B632" s="38" t="str">
        <f t="shared" si="129"/>
        <v/>
      </c>
      <c r="C632" s="38" t="str">
        <f t="shared" si="134"/>
        <v/>
      </c>
      <c r="D632" s="38" t="str">
        <f t="shared" si="135"/>
        <v/>
      </c>
      <c r="E632" s="38" t="str">
        <f t="shared" si="136"/>
        <v/>
      </c>
      <c r="F632" s="38" t="str">
        <f t="shared" si="137"/>
        <v/>
      </c>
      <c r="G632" s="38" t="str">
        <f t="shared" si="130"/>
        <v/>
      </c>
      <c r="H632" s="38"/>
      <c r="J632" t="str">
        <f t="shared" si="141"/>
        <v/>
      </c>
      <c r="K632" s="38" t="str">
        <f t="shared" si="131"/>
        <v/>
      </c>
      <c r="L632" s="38" t="str">
        <f t="shared" si="128"/>
        <v/>
      </c>
      <c r="M632" s="38" t="str">
        <f t="shared" si="138"/>
        <v/>
      </c>
      <c r="N632" s="38" t="str">
        <f t="shared" si="139"/>
        <v/>
      </c>
      <c r="O632" s="38" t="str">
        <f t="shared" si="140"/>
        <v/>
      </c>
      <c r="P632" s="38" t="str">
        <f t="shared" si="132"/>
        <v/>
      </c>
      <c r="Q632" s="38"/>
    </row>
    <row r="633" spans="1:17" x14ac:dyDescent="0.2">
      <c r="A633" t="str">
        <f t="shared" si="133"/>
        <v/>
      </c>
      <c r="B633" s="38" t="str">
        <f t="shared" si="129"/>
        <v/>
      </c>
      <c r="C633" s="38" t="str">
        <f t="shared" si="134"/>
        <v/>
      </c>
      <c r="D633" s="38" t="str">
        <f t="shared" si="135"/>
        <v/>
      </c>
      <c r="E633" s="38" t="str">
        <f t="shared" si="136"/>
        <v/>
      </c>
      <c r="F633" s="38" t="str">
        <f t="shared" si="137"/>
        <v/>
      </c>
      <c r="G633" s="38" t="str">
        <f t="shared" si="130"/>
        <v/>
      </c>
      <c r="H633" s="38"/>
      <c r="J633" t="str">
        <f t="shared" si="141"/>
        <v/>
      </c>
      <c r="K633" s="38" t="str">
        <f t="shared" si="131"/>
        <v/>
      </c>
      <c r="L633" s="38" t="str">
        <f t="shared" si="128"/>
        <v/>
      </c>
      <c r="M633" s="38" t="str">
        <f t="shared" si="138"/>
        <v/>
      </c>
      <c r="N633" s="38" t="str">
        <f t="shared" si="139"/>
        <v/>
      </c>
      <c r="O633" s="38" t="str">
        <f t="shared" si="140"/>
        <v/>
      </c>
      <c r="P633" s="38" t="str">
        <f t="shared" si="132"/>
        <v/>
      </c>
      <c r="Q633" s="38"/>
    </row>
    <row r="634" spans="1:17" x14ac:dyDescent="0.2">
      <c r="A634" t="str">
        <f t="shared" si="133"/>
        <v/>
      </c>
      <c r="B634" s="38" t="str">
        <f t="shared" si="129"/>
        <v/>
      </c>
      <c r="C634" s="38" t="str">
        <f t="shared" si="134"/>
        <v/>
      </c>
      <c r="D634" s="38" t="str">
        <f t="shared" si="135"/>
        <v/>
      </c>
      <c r="E634" s="38" t="str">
        <f t="shared" si="136"/>
        <v/>
      </c>
      <c r="F634" s="38" t="str">
        <f t="shared" si="137"/>
        <v/>
      </c>
      <c r="G634" s="38" t="str">
        <f t="shared" si="130"/>
        <v/>
      </c>
      <c r="H634" s="38"/>
      <c r="J634" t="str">
        <f t="shared" si="141"/>
        <v/>
      </c>
      <c r="K634" s="38" t="str">
        <f t="shared" si="131"/>
        <v/>
      </c>
      <c r="L634" s="38" t="str">
        <f t="shared" si="128"/>
        <v/>
      </c>
      <c r="M634" s="38" t="str">
        <f t="shared" si="138"/>
        <v/>
      </c>
      <c r="N634" s="38" t="str">
        <f t="shared" si="139"/>
        <v/>
      </c>
      <c r="O634" s="38" t="str">
        <f t="shared" si="140"/>
        <v/>
      </c>
      <c r="P634" s="38" t="str">
        <f t="shared" si="132"/>
        <v/>
      </c>
      <c r="Q634" s="38"/>
    </row>
    <row r="635" spans="1:17" x14ac:dyDescent="0.2">
      <c r="A635" t="str">
        <f t="shared" si="133"/>
        <v/>
      </c>
      <c r="B635" s="38" t="str">
        <f t="shared" si="129"/>
        <v/>
      </c>
      <c r="C635" s="38" t="str">
        <f t="shared" si="134"/>
        <v/>
      </c>
      <c r="D635" s="38" t="str">
        <f t="shared" si="135"/>
        <v/>
      </c>
      <c r="E635" s="38" t="str">
        <f t="shared" si="136"/>
        <v/>
      </c>
      <c r="F635" s="38" t="str">
        <f t="shared" si="137"/>
        <v/>
      </c>
      <c r="G635" s="38" t="str">
        <f t="shared" si="130"/>
        <v/>
      </c>
      <c r="H635" s="38"/>
      <c r="J635" t="str">
        <f t="shared" si="141"/>
        <v/>
      </c>
      <c r="K635" s="38" t="str">
        <f t="shared" si="131"/>
        <v/>
      </c>
      <c r="L635" s="38" t="str">
        <f t="shared" si="128"/>
        <v/>
      </c>
      <c r="M635" s="38" t="str">
        <f t="shared" si="138"/>
        <v/>
      </c>
      <c r="N635" s="38" t="str">
        <f t="shared" si="139"/>
        <v/>
      </c>
      <c r="O635" s="38" t="str">
        <f t="shared" si="140"/>
        <v/>
      </c>
      <c r="P635" s="38" t="str">
        <f t="shared" si="132"/>
        <v/>
      </c>
      <c r="Q635" s="38"/>
    </row>
    <row r="636" spans="1:17" x14ac:dyDescent="0.2">
      <c r="A636" t="str">
        <f t="shared" si="133"/>
        <v/>
      </c>
      <c r="B636" s="38" t="str">
        <f t="shared" si="129"/>
        <v/>
      </c>
      <c r="C636" s="38" t="str">
        <f t="shared" si="134"/>
        <v/>
      </c>
      <c r="D636" s="38" t="str">
        <f t="shared" si="135"/>
        <v/>
      </c>
      <c r="E636" s="38" t="str">
        <f t="shared" si="136"/>
        <v/>
      </c>
      <c r="F636" s="38" t="str">
        <f t="shared" si="137"/>
        <v/>
      </c>
      <c r="G636" s="38" t="str">
        <f t="shared" si="130"/>
        <v/>
      </c>
      <c r="H636" s="38"/>
      <c r="J636" t="str">
        <f t="shared" si="141"/>
        <v/>
      </c>
      <c r="K636" s="38" t="str">
        <f t="shared" si="131"/>
        <v/>
      </c>
      <c r="L636" s="38" t="str">
        <f t="shared" si="128"/>
        <v/>
      </c>
      <c r="M636" s="38" t="str">
        <f t="shared" si="138"/>
        <v/>
      </c>
      <c r="N636" s="38" t="str">
        <f t="shared" si="139"/>
        <v/>
      </c>
      <c r="O636" s="38" t="str">
        <f t="shared" si="140"/>
        <v/>
      </c>
      <c r="P636" s="38" t="str">
        <f t="shared" si="132"/>
        <v/>
      </c>
      <c r="Q636" s="38"/>
    </row>
    <row r="637" spans="1:17" x14ac:dyDescent="0.2">
      <c r="A637" t="str">
        <f t="shared" si="133"/>
        <v/>
      </c>
      <c r="B637" s="38" t="str">
        <f t="shared" si="129"/>
        <v/>
      </c>
      <c r="C637" s="38" t="str">
        <f t="shared" si="134"/>
        <v/>
      </c>
      <c r="D637" s="38" t="str">
        <f t="shared" si="135"/>
        <v/>
      </c>
      <c r="E637" s="38" t="str">
        <f t="shared" si="136"/>
        <v/>
      </c>
      <c r="F637" s="38" t="str">
        <f t="shared" si="137"/>
        <v/>
      </c>
      <c r="G637" s="38" t="str">
        <f t="shared" si="130"/>
        <v/>
      </c>
      <c r="H637" s="38"/>
      <c r="J637" t="str">
        <f t="shared" si="141"/>
        <v/>
      </c>
      <c r="K637" s="38" t="str">
        <f t="shared" si="131"/>
        <v/>
      </c>
      <c r="L637" s="38" t="str">
        <f t="shared" si="128"/>
        <v/>
      </c>
      <c r="M637" s="38" t="str">
        <f t="shared" si="138"/>
        <v/>
      </c>
      <c r="N637" s="38" t="str">
        <f t="shared" si="139"/>
        <v/>
      </c>
      <c r="O637" s="38" t="str">
        <f t="shared" si="140"/>
        <v/>
      </c>
      <c r="P637" s="38" t="str">
        <f t="shared" si="132"/>
        <v/>
      </c>
      <c r="Q637" s="38"/>
    </row>
    <row r="638" spans="1:17" x14ac:dyDescent="0.2">
      <c r="A638" t="str">
        <f t="shared" si="133"/>
        <v/>
      </c>
      <c r="B638" s="38" t="str">
        <f t="shared" si="129"/>
        <v/>
      </c>
      <c r="C638" s="38" t="str">
        <f t="shared" si="134"/>
        <v/>
      </c>
      <c r="D638" s="38" t="str">
        <f t="shared" si="135"/>
        <v/>
      </c>
      <c r="E638" s="38" t="str">
        <f t="shared" si="136"/>
        <v/>
      </c>
      <c r="F638" s="38" t="str">
        <f t="shared" si="137"/>
        <v/>
      </c>
      <c r="G638" s="38" t="str">
        <f t="shared" si="130"/>
        <v/>
      </c>
      <c r="H638" s="38"/>
      <c r="J638" t="str">
        <f t="shared" si="141"/>
        <v/>
      </c>
      <c r="K638" s="38" t="str">
        <f t="shared" si="131"/>
        <v/>
      </c>
      <c r="L638" s="38" t="str">
        <f t="shared" si="128"/>
        <v/>
      </c>
      <c r="M638" s="38" t="str">
        <f t="shared" si="138"/>
        <v/>
      </c>
      <c r="N638" s="38" t="str">
        <f t="shared" si="139"/>
        <v/>
      </c>
      <c r="O638" s="38" t="str">
        <f t="shared" si="140"/>
        <v/>
      </c>
      <c r="P638" s="38" t="str">
        <f t="shared" si="132"/>
        <v/>
      </c>
      <c r="Q638" s="38"/>
    </row>
    <row r="639" spans="1:17" x14ac:dyDescent="0.2">
      <c r="A639" t="str">
        <f t="shared" si="133"/>
        <v/>
      </c>
      <c r="B639" s="38" t="str">
        <f t="shared" si="129"/>
        <v/>
      </c>
      <c r="C639" s="38" t="str">
        <f t="shared" si="134"/>
        <v/>
      </c>
      <c r="D639" s="38" t="str">
        <f t="shared" si="135"/>
        <v/>
      </c>
      <c r="E639" s="38" t="str">
        <f t="shared" si="136"/>
        <v/>
      </c>
      <c r="F639" s="38" t="str">
        <f t="shared" si="137"/>
        <v/>
      </c>
      <c r="G639" s="38" t="str">
        <f t="shared" si="130"/>
        <v/>
      </c>
      <c r="H639" s="38"/>
      <c r="J639" t="str">
        <f t="shared" si="141"/>
        <v/>
      </c>
      <c r="K639" s="38" t="str">
        <f t="shared" si="131"/>
        <v/>
      </c>
      <c r="L639" s="38" t="str">
        <f t="shared" si="128"/>
        <v/>
      </c>
      <c r="M639" s="38" t="str">
        <f t="shared" si="138"/>
        <v/>
      </c>
      <c r="N639" s="38" t="str">
        <f t="shared" si="139"/>
        <v/>
      </c>
      <c r="O639" s="38" t="str">
        <f t="shared" si="140"/>
        <v/>
      </c>
      <c r="P639" s="38" t="str">
        <f t="shared" si="132"/>
        <v/>
      </c>
      <c r="Q639" s="38"/>
    </row>
    <row r="640" spans="1:17" x14ac:dyDescent="0.2">
      <c r="A640" t="str">
        <f t="shared" si="133"/>
        <v/>
      </c>
      <c r="B640" s="38" t="str">
        <f t="shared" si="129"/>
        <v/>
      </c>
      <c r="C640" s="38" t="str">
        <f t="shared" si="134"/>
        <v/>
      </c>
      <c r="D640" s="38" t="str">
        <f t="shared" si="135"/>
        <v/>
      </c>
      <c r="E640" s="38" t="str">
        <f t="shared" si="136"/>
        <v/>
      </c>
      <c r="F640" s="38" t="str">
        <f t="shared" si="137"/>
        <v/>
      </c>
      <c r="G640" s="38" t="str">
        <f t="shared" si="130"/>
        <v/>
      </c>
      <c r="H640" s="38"/>
      <c r="J640" t="str">
        <f t="shared" si="141"/>
        <v/>
      </c>
      <c r="K640" s="38" t="str">
        <f t="shared" si="131"/>
        <v/>
      </c>
      <c r="L640" s="38" t="str">
        <f t="shared" si="128"/>
        <v/>
      </c>
      <c r="M640" s="38" t="str">
        <f t="shared" si="138"/>
        <v/>
      </c>
      <c r="N640" s="38" t="str">
        <f t="shared" si="139"/>
        <v/>
      </c>
      <c r="O640" s="38" t="str">
        <f t="shared" si="140"/>
        <v/>
      </c>
      <c r="P640" s="38" t="str">
        <f t="shared" si="132"/>
        <v/>
      </c>
      <c r="Q640" s="38"/>
    </row>
    <row r="641" spans="1:17" x14ac:dyDescent="0.2">
      <c r="A641" t="str">
        <f t="shared" si="133"/>
        <v/>
      </c>
      <c r="B641" s="38" t="str">
        <f t="shared" si="129"/>
        <v/>
      </c>
      <c r="C641" s="38" t="str">
        <f t="shared" si="134"/>
        <v/>
      </c>
      <c r="D641" s="38" t="str">
        <f t="shared" si="135"/>
        <v/>
      </c>
      <c r="E641" s="38" t="str">
        <f t="shared" si="136"/>
        <v/>
      </c>
      <c r="F641" s="38" t="str">
        <f t="shared" si="137"/>
        <v/>
      </c>
      <c r="G641" s="38" t="str">
        <f t="shared" si="130"/>
        <v/>
      </c>
      <c r="H641" s="38"/>
      <c r="J641" t="str">
        <f t="shared" si="141"/>
        <v/>
      </c>
      <c r="K641" s="38" t="str">
        <f t="shared" si="131"/>
        <v/>
      </c>
      <c r="L641" s="38" t="str">
        <f t="shared" si="128"/>
        <v/>
      </c>
      <c r="M641" s="38" t="str">
        <f t="shared" si="138"/>
        <v/>
      </c>
      <c r="N641" s="38" t="str">
        <f t="shared" si="139"/>
        <v/>
      </c>
      <c r="O641" s="38" t="str">
        <f t="shared" si="140"/>
        <v/>
      </c>
      <c r="P641" s="38" t="str">
        <f t="shared" si="132"/>
        <v/>
      </c>
      <c r="Q641" s="38"/>
    </row>
    <row r="642" spans="1:17" x14ac:dyDescent="0.2">
      <c r="A642" t="str">
        <f t="shared" si="133"/>
        <v/>
      </c>
      <c r="B642" s="38" t="str">
        <f t="shared" si="129"/>
        <v/>
      </c>
      <c r="C642" s="38" t="str">
        <f t="shared" si="134"/>
        <v/>
      </c>
      <c r="D642" s="38" t="str">
        <f t="shared" si="135"/>
        <v/>
      </c>
      <c r="E642" s="38" t="str">
        <f t="shared" si="136"/>
        <v/>
      </c>
      <c r="F642" s="38" t="str">
        <f t="shared" si="137"/>
        <v/>
      </c>
      <c r="G642" s="38" t="str">
        <f t="shared" si="130"/>
        <v/>
      </c>
      <c r="H642" s="38"/>
      <c r="J642" t="str">
        <f t="shared" si="141"/>
        <v/>
      </c>
      <c r="K642" s="38" t="str">
        <f t="shared" si="131"/>
        <v/>
      </c>
      <c r="L642" s="38" t="str">
        <f t="shared" si="128"/>
        <v/>
      </c>
      <c r="M642" s="38" t="str">
        <f t="shared" si="138"/>
        <v/>
      </c>
      <c r="N642" s="38" t="str">
        <f t="shared" si="139"/>
        <v/>
      </c>
      <c r="O642" s="38" t="str">
        <f t="shared" si="140"/>
        <v/>
      </c>
      <c r="P642" s="38" t="str">
        <f t="shared" si="132"/>
        <v/>
      </c>
      <c r="Q642" s="38"/>
    </row>
    <row r="643" spans="1:17" x14ac:dyDescent="0.2">
      <c r="A643" t="str">
        <f t="shared" si="133"/>
        <v/>
      </c>
      <c r="B643" s="38" t="str">
        <f t="shared" si="129"/>
        <v/>
      </c>
      <c r="C643" s="38" t="str">
        <f t="shared" si="134"/>
        <v/>
      </c>
      <c r="D643" s="38" t="str">
        <f t="shared" si="135"/>
        <v/>
      </c>
      <c r="E643" s="38" t="str">
        <f t="shared" si="136"/>
        <v/>
      </c>
      <c r="F643" s="38" t="str">
        <f t="shared" si="137"/>
        <v/>
      </c>
      <c r="G643" s="38" t="str">
        <f t="shared" si="130"/>
        <v/>
      </c>
      <c r="H643" s="38"/>
      <c r="J643" t="str">
        <f t="shared" si="141"/>
        <v/>
      </c>
      <c r="K643" s="38" t="str">
        <f t="shared" si="131"/>
        <v/>
      </c>
      <c r="L643" s="38" t="str">
        <f t="shared" si="128"/>
        <v/>
      </c>
      <c r="M643" s="38" t="str">
        <f t="shared" si="138"/>
        <v/>
      </c>
      <c r="N643" s="38" t="str">
        <f t="shared" si="139"/>
        <v/>
      </c>
      <c r="O643" s="38" t="str">
        <f t="shared" si="140"/>
        <v/>
      </c>
      <c r="P643" s="38" t="str">
        <f t="shared" si="132"/>
        <v/>
      </c>
      <c r="Q643" s="38"/>
    </row>
    <row r="644" spans="1:17" x14ac:dyDescent="0.2">
      <c r="A644" t="str">
        <f t="shared" si="133"/>
        <v/>
      </c>
      <c r="B644" s="38" t="str">
        <f t="shared" si="129"/>
        <v/>
      </c>
      <c r="C644" s="38" t="str">
        <f t="shared" si="134"/>
        <v/>
      </c>
      <c r="D644" s="38" t="str">
        <f t="shared" si="135"/>
        <v/>
      </c>
      <c r="E644" s="38" t="str">
        <f t="shared" si="136"/>
        <v/>
      </c>
      <c r="F644" s="38" t="str">
        <f t="shared" si="137"/>
        <v/>
      </c>
      <c r="G644" s="38" t="str">
        <f t="shared" si="130"/>
        <v/>
      </c>
      <c r="H644" s="38"/>
      <c r="J644" t="str">
        <f t="shared" si="141"/>
        <v/>
      </c>
      <c r="K644" s="38" t="str">
        <f t="shared" si="131"/>
        <v/>
      </c>
      <c r="L644" s="38" t="str">
        <f t="shared" si="128"/>
        <v/>
      </c>
      <c r="M644" s="38" t="str">
        <f t="shared" si="138"/>
        <v/>
      </c>
      <c r="N644" s="38" t="str">
        <f t="shared" si="139"/>
        <v/>
      </c>
      <c r="O644" s="38" t="str">
        <f t="shared" si="140"/>
        <v/>
      </c>
      <c r="P644" s="38" t="str">
        <f t="shared" si="132"/>
        <v/>
      </c>
      <c r="Q644" s="38"/>
    </row>
    <row r="645" spans="1:17" x14ac:dyDescent="0.2">
      <c r="A645" t="str">
        <f t="shared" si="133"/>
        <v/>
      </c>
      <c r="B645" s="38" t="str">
        <f t="shared" si="129"/>
        <v/>
      </c>
      <c r="C645" s="38" t="str">
        <f t="shared" si="134"/>
        <v/>
      </c>
      <c r="D645" s="38" t="str">
        <f t="shared" si="135"/>
        <v/>
      </c>
      <c r="E645" s="38" t="str">
        <f t="shared" si="136"/>
        <v/>
      </c>
      <c r="F645" s="38" t="str">
        <f t="shared" si="137"/>
        <v/>
      </c>
      <c r="G645" s="38" t="str">
        <f t="shared" si="130"/>
        <v/>
      </c>
      <c r="H645" s="38"/>
      <c r="J645" t="str">
        <f t="shared" si="141"/>
        <v/>
      </c>
      <c r="K645" s="38" t="str">
        <f t="shared" si="131"/>
        <v/>
      </c>
      <c r="L645" s="38" t="str">
        <f t="shared" si="128"/>
        <v/>
      </c>
      <c r="M645" s="38" t="str">
        <f t="shared" si="138"/>
        <v/>
      </c>
      <c r="N645" s="38" t="str">
        <f t="shared" si="139"/>
        <v/>
      </c>
      <c r="O645" s="38" t="str">
        <f t="shared" si="140"/>
        <v/>
      </c>
      <c r="P645" s="38" t="str">
        <f t="shared" si="132"/>
        <v/>
      </c>
      <c r="Q645" s="38"/>
    </row>
    <row r="646" spans="1:17" x14ac:dyDescent="0.2">
      <c r="A646" t="str">
        <f t="shared" si="133"/>
        <v/>
      </c>
      <c r="B646" s="38" t="str">
        <f t="shared" si="129"/>
        <v/>
      </c>
      <c r="C646" s="38" t="str">
        <f t="shared" si="134"/>
        <v/>
      </c>
      <c r="D646" s="38" t="str">
        <f t="shared" si="135"/>
        <v/>
      </c>
      <c r="E646" s="38" t="str">
        <f t="shared" si="136"/>
        <v/>
      </c>
      <c r="F646" s="38" t="str">
        <f t="shared" si="137"/>
        <v/>
      </c>
      <c r="G646" s="38" t="str">
        <f t="shared" si="130"/>
        <v/>
      </c>
      <c r="H646" s="38"/>
      <c r="J646" t="str">
        <f t="shared" si="141"/>
        <v/>
      </c>
      <c r="K646" s="38" t="str">
        <f t="shared" si="131"/>
        <v/>
      </c>
      <c r="L646" s="38" t="str">
        <f t="shared" si="128"/>
        <v/>
      </c>
      <c r="M646" s="38" t="str">
        <f t="shared" si="138"/>
        <v/>
      </c>
      <c r="N646" s="38" t="str">
        <f t="shared" si="139"/>
        <v/>
      </c>
      <c r="O646" s="38" t="str">
        <f t="shared" si="140"/>
        <v/>
      </c>
      <c r="P646" s="38" t="str">
        <f t="shared" si="132"/>
        <v/>
      </c>
      <c r="Q646" s="38"/>
    </row>
    <row r="647" spans="1:17" x14ac:dyDescent="0.2">
      <c r="A647" t="str">
        <f t="shared" si="133"/>
        <v/>
      </c>
      <c r="B647" s="38" t="str">
        <f t="shared" si="129"/>
        <v/>
      </c>
      <c r="C647" s="38" t="str">
        <f t="shared" si="134"/>
        <v/>
      </c>
      <c r="D647" s="38" t="str">
        <f t="shared" si="135"/>
        <v/>
      </c>
      <c r="E647" s="38" t="str">
        <f t="shared" si="136"/>
        <v/>
      </c>
      <c r="F647" s="38" t="str">
        <f t="shared" si="137"/>
        <v/>
      </c>
      <c r="G647" s="38" t="str">
        <f t="shared" si="130"/>
        <v/>
      </c>
      <c r="H647" s="38"/>
      <c r="J647" t="str">
        <f t="shared" si="141"/>
        <v/>
      </c>
      <c r="K647" s="38" t="str">
        <f t="shared" si="131"/>
        <v/>
      </c>
      <c r="L647" s="38" t="str">
        <f t="shared" si="128"/>
        <v/>
      </c>
      <c r="M647" s="38" t="str">
        <f t="shared" si="138"/>
        <v/>
      </c>
      <c r="N647" s="38" t="str">
        <f t="shared" si="139"/>
        <v/>
      </c>
      <c r="O647" s="38" t="str">
        <f t="shared" si="140"/>
        <v/>
      </c>
      <c r="P647" s="38" t="str">
        <f t="shared" si="132"/>
        <v/>
      </c>
      <c r="Q647" s="38"/>
    </row>
    <row r="648" spans="1:17" x14ac:dyDescent="0.2">
      <c r="A648" t="str">
        <f t="shared" si="133"/>
        <v/>
      </c>
      <c r="B648" s="38" t="str">
        <f t="shared" si="129"/>
        <v/>
      </c>
      <c r="C648" s="38" t="str">
        <f t="shared" si="134"/>
        <v/>
      </c>
      <c r="D648" s="38" t="str">
        <f t="shared" si="135"/>
        <v/>
      </c>
      <c r="E648" s="38" t="str">
        <f t="shared" si="136"/>
        <v/>
      </c>
      <c r="F648" s="38" t="str">
        <f t="shared" si="137"/>
        <v/>
      </c>
      <c r="G648" s="38" t="str">
        <f t="shared" si="130"/>
        <v/>
      </c>
      <c r="H648" s="38"/>
      <c r="J648" t="str">
        <f t="shared" si="141"/>
        <v/>
      </c>
      <c r="K648" s="38" t="str">
        <f t="shared" si="131"/>
        <v/>
      </c>
      <c r="L648" s="38" t="str">
        <f t="shared" si="128"/>
        <v/>
      </c>
      <c r="M648" s="38" t="str">
        <f t="shared" si="138"/>
        <v/>
      </c>
      <c r="N648" s="38" t="str">
        <f t="shared" si="139"/>
        <v/>
      </c>
      <c r="O648" s="38" t="str">
        <f t="shared" si="140"/>
        <v/>
      </c>
      <c r="P648" s="38" t="str">
        <f t="shared" si="132"/>
        <v/>
      </c>
      <c r="Q648" s="38"/>
    </row>
    <row r="649" spans="1:17" x14ac:dyDescent="0.2">
      <c r="A649" t="str">
        <f t="shared" si="133"/>
        <v/>
      </c>
      <c r="B649" s="38" t="str">
        <f t="shared" si="129"/>
        <v/>
      </c>
      <c r="C649" s="38" t="str">
        <f t="shared" si="134"/>
        <v/>
      </c>
      <c r="D649" s="38" t="str">
        <f t="shared" si="135"/>
        <v/>
      </c>
      <c r="E649" s="38" t="str">
        <f t="shared" si="136"/>
        <v/>
      </c>
      <c r="F649" s="38" t="str">
        <f t="shared" si="137"/>
        <v/>
      </c>
      <c r="G649" s="38" t="str">
        <f t="shared" si="130"/>
        <v/>
      </c>
      <c r="H649" s="38"/>
      <c r="J649" t="str">
        <f t="shared" si="141"/>
        <v/>
      </c>
      <c r="K649" s="38" t="str">
        <f t="shared" si="131"/>
        <v/>
      </c>
      <c r="L649" s="38" t="str">
        <f t="shared" si="128"/>
        <v/>
      </c>
      <c r="M649" s="38" t="str">
        <f t="shared" si="138"/>
        <v/>
      </c>
      <c r="N649" s="38" t="str">
        <f t="shared" si="139"/>
        <v/>
      </c>
      <c r="O649" s="38" t="str">
        <f t="shared" si="140"/>
        <v/>
      </c>
      <c r="P649" s="38" t="str">
        <f t="shared" si="132"/>
        <v/>
      </c>
      <c r="Q649" s="38"/>
    </row>
    <row r="650" spans="1:17" x14ac:dyDescent="0.2">
      <c r="A650" t="str">
        <f t="shared" si="133"/>
        <v/>
      </c>
      <c r="B650" s="38" t="str">
        <f t="shared" si="129"/>
        <v/>
      </c>
      <c r="C650" s="38" t="str">
        <f t="shared" si="134"/>
        <v/>
      </c>
      <c r="D650" s="38" t="str">
        <f t="shared" si="135"/>
        <v/>
      </c>
      <c r="E650" s="38" t="str">
        <f t="shared" si="136"/>
        <v/>
      </c>
      <c r="F650" s="38" t="str">
        <f t="shared" si="137"/>
        <v/>
      </c>
      <c r="G650" s="38" t="str">
        <f t="shared" si="130"/>
        <v/>
      </c>
      <c r="H650" s="38"/>
      <c r="J650" t="str">
        <f t="shared" si="141"/>
        <v/>
      </c>
      <c r="K650" s="38" t="str">
        <f t="shared" si="131"/>
        <v/>
      </c>
      <c r="L650" s="38" t="str">
        <f t="shared" si="128"/>
        <v/>
      </c>
      <c r="M650" s="38" t="str">
        <f t="shared" si="138"/>
        <v/>
      </c>
      <c r="N650" s="38" t="str">
        <f t="shared" si="139"/>
        <v/>
      </c>
      <c r="O650" s="38" t="str">
        <f t="shared" si="140"/>
        <v/>
      </c>
      <c r="P650" s="38" t="str">
        <f t="shared" si="132"/>
        <v/>
      </c>
      <c r="Q650" s="38"/>
    </row>
    <row r="651" spans="1:17" x14ac:dyDescent="0.2">
      <c r="A651" t="str">
        <f t="shared" si="133"/>
        <v/>
      </c>
      <c r="B651" s="38" t="str">
        <f t="shared" si="129"/>
        <v/>
      </c>
      <c r="C651" s="38" t="str">
        <f t="shared" si="134"/>
        <v/>
      </c>
      <c r="D651" s="38" t="str">
        <f t="shared" si="135"/>
        <v/>
      </c>
      <c r="E651" s="38" t="str">
        <f t="shared" si="136"/>
        <v/>
      </c>
      <c r="F651" s="38" t="str">
        <f t="shared" si="137"/>
        <v/>
      </c>
      <c r="G651" s="38" t="str">
        <f t="shared" si="130"/>
        <v/>
      </c>
      <c r="H651" s="38"/>
      <c r="J651" t="str">
        <f t="shared" si="141"/>
        <v/>
      </c>
      <c r="K651" s="38" t="str">
        <f t="shared" si="131"/>
        <v/>
      </c>
      <c r="L651" s="38" t="str">
        <f t="shared" si="128"/>
        <v/>
      </c>
      <c r="M651" s="38" t="str">
        <f t="shared" si="138"/>
        <v/>
      </c>
      <c r="N651" s="38" t="str">
        <f t="shared" si="139"/>
        <v/>
      </c>
      <c r="O651" s="38" t="str">
        <f t="shared" si="140"/>
        <v/>
      </c>
      <c r="P651" s="38" t="str">
        <f t="shared" si="132"/>
        <v/>
      </c>
      <c r="Q651" s="38"/>
    </row>
    <row r="652" spans="1:17" x14ac:dyDescent="0.2">
      <c r="A652" t="str">
        <f t="shared" si="133"/>
        <v/>
      </c>
      <c r="B652" s="38" t="str">
        <f t="shared" si="129"/>
        <v/>
      </c>
      <c r="C652" s="38" t="str">
        <f t="shared" si="134"/>
        <v/>
      </c>
      <c r="D652" s="38" t="str">
        <f t="shared" si="135"/>
        <v/>
      </c>
      <c r="E652" s="38" t="str">
        <f t="shared" si="136"/>
        <v/>
      </c>
      <c r="F652" s="38" t="str">
        <f t="shared" si="137"/>
        <v/>
      </c>
      <c r="G652" s="38" t="str">
        <f t="shared" si="130"/>
        <v/>
      </c>
      <c r="H652" s="38"/>
      <c r="J652" t="str">
        <f t="shared" si="141"/>
        <v/>
      </c>
      <c r="K652" s="38" t="str">
        <f t="shared" si="131"/>
        <v/>
      </c>
      <c r="L652" s="38" t="str">
        <f t="shared" si="128"/>
        <v/>
      </c>
      <c r="M652" s="38" t="str">
        <f t="shared" si="138"/>
        <v/>
      </c>
      <c r="N652" s="38" t="str">
        <f t="shared" si="139"/>
        <v/>
      </c>
      <c r="O652" s="38" t="str">
        <f t="shared" si="140"/>
        <v/>
      </c>
      <c r="P652" s="38" t="str">
        <f t="shared" si="132"/>
        <v/>
      </c>
      <c r="Q652" s="38"/>
    </row>
    <row r="653" spans="1:17" x14ac:dyDescent="0.2">
      <c r="A653" t="str">
        <f t="shared" si="133"/>
        <v/>
      </c>
      <c r="B653" s="38" t="str">
        <f t="shared" si="129"/>
        <v/>
      </c>
      <c r="C653" s="38" t="str">
        <f t="shared" si="134"/>
        <v/>
      </c>
      <c r="D653" s="38" t="str">
        <f t="shared" si="135"/>
        <v/>
      </c>
      <c r="E653" s="38" t="str">
        <f t="shared" si="136"/>
        <v/>
      </c>
      <c r="F653" s="38" t="str">
        <f t="shared" si="137"/>
        <v/>
      </c>
      <c r="G653" s="38" t="str">
        <f t="shared" si="130"/>
        <v/>
      </c>
      <c r="H653" s="38"/>
      <c r="J653" t="str">
        <f t="shared" si="141"/>
        <v/>
      </c>
      <c r="K653" s="38" t="str">
        <f t="shared" si="131"/>
        <v/>
      </c>
      <c r="L653" s="38" t="str">
        <f t="shared" si="128"/>
        <v/>
      </c>
      <c r="M653" s="38" t="str">
        <f t="shared" si="138"/>
        <v/>
      </c>
      <c r="N653" s="38" t="str">
        <f t="shared" si="139"/>
        <v/>
      </c>
      <c r="O653" s="38" t="str">
        <f t="shared" si="140"/>
        <v/>
      </c>
      <c r="P653" s="38" t="str">
        <f t="shared" si="132"/>
        <v/>
      </c>
      <c r="Q653" s="38"/>
    </row>
    <row r="654" spans="1:17" x14ac:dyDescent="0.2">
      <c r="A654" t="str">
        <f t="shared" si="133"/>
        <v/>
      </c>
      <c r="B654" s="38" t="str">
        <f t="shared" si="129"/>
        <v/>
      </c>
      <c r="C654" s="38" t="str">
        <f t="shared" si="134"/>
        <v/>
      </c>
      <c r="D654" s="38" t="str">
        <f t="shared" si="135"/>
        <v/>
      </c>
      <c r="E654" s="38" t="str">
        <f t="shared" si="136"/>
        <v/>
      </c>
      <c r="F654" s="38" t="str">
        <f t="shared" si="137"/>
        <v/>
      </c>
      <c r="G654" s="38" t="str">
        <f t="shared" si="130"/>
        <v/>
      </c>
      <c r="H654" s="38"/>
      <c r="J654" t="str">
        <f t="shared" si="141"/>
        <v/>
      </c>
      <c r="K654" s="38" t="str">
        <f t="shared" si="131"/>
        <v/>
      </c>
      <c r="L654" s="38" t="str">
        <f t="shared" si="128"/>
        <v/>
      </c>
      <c r="M654" s="38" t="str">
        <f t="shared" si="138"/>
        <v/>
      </c>
      <c r="N654" s="38" t="str">
        <f t="shared" si="139"/>
        <v/>
      </c>
      <c r="O654" s="38" t="str">
        <f t="shared" si="140"/>
        <v/>
      </c>
      <c r="P654" s="38" t="str">
        <f t="shared" si="132"/>
        <v/>
      </c>
      <c r="Q654" s="38"/>
    </row>
    <row r="655" spans="1:17" x14ac:dyDescent="0.2">
      <c r="A655" t="str">
        <f t="shared" si="133"/>
        <v/>
      </c>
      <c r="B655" s="38" t="str">
        <f t="shared" si="129"/>
        <v/>
      </c>
      <c r="C655" s="38" t="str">
        <f t="shared" si="134"/>
        <v/>
      </c>
      <c r="D655" s="38" t="str">
        <f t="shared" si="135"/>
        <v/>
      </c>
      <c r="E655" s="38" t="str">
        <f t="shared" si="136"/>
        <v/>
      </c>
      <c r="F655" s="38" t="str">
        <f t="shared" si="137"/>
        <v/>
      </c>
      <c r="G655" s="38" t="str">
        <f t="shared" si="130"/>
        <v/>
      </c>
      <c r="H655" s="38"/>
      <c r="J655" t="str">
        <f t="shared" si="141"/>
        <v/>
      </c>
      <c r="K655" s="38" t="str">
        <f t="shared" si="131"/>
        <v/>
      </c>
      <c r="L655" s="38" t="str">
        <f t="shared" ref="L655:L718" si="142">IF(J655="","",((K655 + M655)*$B$6))</f>
        <v/>
      </c>
      <c r="M655" s="38" t="str">
        <f t="shared" si="138"/>
        <v/>
      </c>
      <c r="N655" s="38" t="str">
        <f t="shared" si="139"/>
        <v/>
      </c>
      <c r="O655" s="38" t="str">
        <f t="shared" si="140"/>
        <v/>
      </c>
      <c r="P655" s="38" t="str">
        <f t="shared" si="132"/>
        <v/>
      </c>
      <c r="Q655" s="38"/>
    </row>
    <row r="656" spans="1:17" x14ac:dyDescent="0.2">
      <c r="A656" t="str">
        <f t="shared" si="133"/>
        <v/>
      </c>
      <c r="B656" s="38" t="str">
        <f t="shared" si="129"/>
        <v/>
      </c>
      <c r="C656" s="38" t="str">
        <f t="shared" si="134"/>
        <v/>
      </c>
      <c r="D656" s="38" t="str">
        <f t="shared" si="135"/>
        <v/>
      </c>
      <c r="E656" s="38" t="str">
        <f t="shared" si="136"/>
        <v/>
      </c>
      <c r="F656" s="38" t="str">
        <f t="shared" si="137"/>
        <v/>
      </c>
      <c r="G656" s="38" t="str">
        <f t="shared" si="130"/>
        <v/>
      </c>
      <c r="H656" s="38"/>
      <c r="J656" t="str">
        <f t="shared" si="141"/>
        <v/>
      </c>
      <c r="K656" s="38" t="str">
        <f t="shared" si="131"/>
        <v/>
      </c>
      <c r="L656" s="38" t="str">
        <f t="shared" si="142"/>
        <v/>
      </c>
      <c r="M656" s="38" t="str">
        <f t="shared" si="138"/>
        <v/>
      </c>
      <c r="N656" s="38" t="str">
        <f t="shared" si="139"/>
        <v/>
      </c>
      <c r="O656" s="38" t="str">
        <f t="shared" si="140"/>
        <v/>
      </c>
      <c r="P656" s="38" t="str">
        <f t="shared" si="132"/>
        <v/>
      </c>
      <c r="Q656" s="38"/>
    </row>
    <row r="657" spans="1:17" x14ac:dyDescent="0.2">
      <c r="A657" t="str">
        <f t="shared" si="133"/>
        <v/>
      </c>
      <c r="B657" s="38" t="str">
        <f t="shared" si="129"/>
        <v/>
      </c>
      <c r="C657" s="38" t="str">
        <f t="shared" si="134"/>
        <v/>
      </c>
      <c r="D657" s="38" t="str">
        <f t="shared" si="135"/>
        <v/>
      </c>
      <c r="E657" s="38" t="str">
        <f t="shared" si="136"/>
        <v/>
      </c>
      <c r="F657" s="38" t="str">
        <f t="shared" si="137"/>
        <v/>
      </c>
      <c r="G657" s="38" t="str">
        <f t="shared" si="130"/>
        <v/>
      </c>
      <c r="H657" s="38"/>
      <c r="J657" t="str">
        <f t="shared" si="141"/>
        <v/>
      </c>
      <c r="K657" s="38" t="str">
        <f t="shared" si="131"/>
        <v/>
      </c>
      <c r="L657" s="38" t="str">
        <f t="shared" si="142"/>
        <v/>
      </c>
      <c r="M657" s="38" t="str">
        <f t="shared" si="138"/>
        <v/>
      </c>
      <c r="N657" s="38" t="str">
        <f t="shared" si="139"/>
        <v/>
      </c>
      <c r="O657" s="38" t="str">
        <f t="shared" si="140"/>
        <v/>
      </c>
      <c r="P657" s="38" t="str">
        <f t="shared" si="132"/>
        <v/>
      </c>
      <c r="Q657" s="38"/>
    </row>
    <row r="658" spans="1:17" x14ac:dyDescent="0.2">
      <c r="A658" t="str">
        <f t="shared" si="133"/>
        <v/>
      </c>
      <c r="B658" s="38" t="str">
        <f t="shared" si="129"/>
        <v/>
      </c>
      <c r="C658" s="38" t="str">
        <f t="shared" si="134"/>
        <v/>
      </c>
      <c r="D658" s="38" t="str">
        <f t="shared" si="135"/>
        <v/>
      </c>
      <c r="E658" s="38" t="str">
        <f t="shared" si="136"/>
        <v/>
      </c>
      <c r="F658" s="38" t="str">
        <f t="shared" si="137"/>
        <v/>
      </c>
      <c r="G658" s="38" t="str">
        <f t="shared" si="130"/>
        <v/>
      </c>
      <c r="H658" s="38"/>
      <c r="J658" t="str">
        <f t="shared" si="141"/>
        <v/>
      </c>
      <c r="K658" s="38" t="str">
        <f t="shared" si="131"/>
        <v/>
      </c>
      <c r="L658" s="38" t="str">
        <f t="shared" si="142"/>
        <v/>
      </c>
      <c r="M658" s="38" t="str">
        <f t="shared" si="138"/>
        <v/>
      </c>
      <c r="N658" s="38" t="str">
        <f t="shared" si="139"/>
        <v/>
      </c>
      <c r="O658" s="38" t="str">
        <f t="shared" si="140"/>
        <v/>
      </c>
      <c r="P658" s="38" t="str">
        <f t="shared" si="132"/>
        <v/>
      </c>
      <c r="Q658" s="38"/>
    </row>
    <row r="659" spans="1:17" x14ac:dyDescent="0.2">
      <c r="A659" t="str">
        <f t="shared" si="133"/>
        <v/>
      </c>
      <c r="B659" s="38" t="str">
        <f t="shared" si="129"/>
        <v/>
      </c>
      <c r="C659" s="38" t="str">
        <f t="shared" si="134"/>
        <v/>
      </c>
      <c r="D659" s="38" t="str">
        <f t="shared" si="135"/>
        <v/>
      </c>
      <c r="E659" s="38" t="str">
        <f t="shared" si="136"/>
        <v/>
      </c>
      <c r="F659" s="38" t="str">
        <f t="shared" si="137"/>
        <v/>
      </c>
      <c r="G659" s="38" t="str">
        <f t="shared" si="130"/>
        <v/>
      </c>
      <c r="H659" s="38"/>
      <c r="J659" t="str">
        <f t="shared" si="141"/>
        <v/>
      </c>
      <c r="K659" s="38" t="str">
        <f t="shared" si="131"/>
        <v/>
      </c>
      <c r="L659" s="38" t="str">
        <f t="shared" si="142"/>
        <v/>
      </c>
      <c r="M659" s="38" t="str">
        <f t="shared" si="138"/>
        <v/>
      </c>
      <c r="N659" s="38" t="str">
        <f t="shared" si="139"/>
        <v/>
      </c>
      <c r="O659" s="38" t="str">
        <f t="shared" si="140"/>
        <v/>
      </c>
      <c r="P659" s="38" t="str">
        <f t="shared" si="132"/>
        <v/>
      </c>
      <c r="Q659" s="38"/>
    </row>
    <row r="660" spans="1:17" x14ac:dyDescent="0.2">
      <c r="A660" t="str">
        <f t="shared" si="133"/>
        <v/>
      </c>
      <c r="B660" s="38" t="str">
        <f t="shared" si="129"/>
        <v/>
      </c>
      <c r="C660" s="38" t="str">
        <f t="shared" si="134"/>
        <v/>
      </c>
      <c r="D660" s="38" t="str">
        <f t="shared" si="135"/>
        <v/>
      </c>
      <c r="E660" s="38" t="str">
        <f t="shared" si="136"/>
        <v/>
      </c>
      <c r="F660" s="38" t="str">
        <f t="shared" si="137"/>
        <v/>
      </c>
      <c r="G660" s="38" t="str">
        <f t="shared" si="130"/>
        <v/>
      </c>
      <c r="H660" s="38"/>
      <c r="J660" t="str">
        <f t="shared" si="141"/>
        <v/>
      </c>
      <c r="K660" s="38" t="str">
        <f t="shared" si="131"/>
        <v/>
      </c>
      <c r="L660" s="38" t="str">
        <f t="shared" si="142"/>
        <v/>
      </c>
      <c r="M660" s="38" t="str">
        <f t="shared" si="138"/>
        <v/>
      </c>
      <c r="N660" s="38" t="str">
        <f t="shared" si="139"/>
        <v/>
      </c>
      <c r="O660" s="38" t="str">
        <f t="shared" si="140"/>
        <v/>
      </c>
      <c r="P660" s="38" t="str">
        <f t="shared" si="132"/>
        <v/>
      </c>
      <c r="Q660" s="38"/>
    </row>
    <row r="661" spans="1:17" x14ac:dyDescent="0.2">
      <c r="A661" t="str">
        <f t="shared" si="133"/>
        <v/>
      </c>
      <c r="B661" s="38" t="str">
        <f t="shared" si="129"/>
        <v/>
      </c>
      <c r="C661" s="38" t="str">
        <f t="shared" si="134"/>
        <v/>
      </c>
      <c r="D661" s="38" t="str">
        <f t="shared" si="135"/>
        <v/>
      </c>
      <c r="E661" s="38" t="str">
        <f t="shared" si="136"/>
        <v/>
      </c>
      <c r="F661" s="38" t="str">
        <f t="shared" si="137"/>
        <v/>
      </c>
      <c r="G661" s="38" t="str">
        <f t="shared" si="130"/>
        <v/>
      </c>
      <c r="H661" s="38"/>
      <c r="J661" t="str">
        <f t="shared" si="141"/>
        <v/>
      </c>
      <c r="K661" s="38" t="str">
        <f t="shared" si="131"/>
        <v/>
      </c>
      <c r="L661" s="38" t="str">
        <f t="shared" si="142"/>
        <v/>
      </c>
      <c r="M661" s="38" t="str">
        <f t="shared" si="138"/>
        <v/>
      </c>
      <c r="N661" s="38" t="str">
        <f t="shared" si="139"/>
        <v/>
      </c>
      <c r="O661" s="38" t="str">
        <f t="shared" si="140"/>
        <v/>
      </c>
      <c r="P661" s="38" t="str">
        <f t="shared" si="132"/>
        <v/>
      </c>
      <c r="Q661" s="38"/>
    </row>
    <row r="662" spans="1:17" x14ac:dyDescent="0.2">
      <c r="A662" t="str">
        <f t="shared" si="133"/>
        <v/>
      </c>
      <c r="B662" s="38" t="str">
        <f t="shared" si="129"/>
        <v/>
      </c>
      <c r="C662" s="38" t="str">
        <f t="shared" si="134"/>
        <v/>
      </c>
      <c r="D662" s="38" t="str">
        <f t="shared" si="135"/>
        <v/>
      </c>
      <c r="E662" s="38" t="str">
        <f t="shared" si="136"/>
        <v/>
      </c>
      <c r="F662" s="38" t="str">
        <f t="shared" si="137"/>
        <v/>
      </c>
      <c r="G662" s="38" t="str">
        <f t="shared" si="130"/>
        <v/>
      </c>
      <c r="H662" s="38"/>
      <c r="J662" t="str">
        <f t="shared" si="141"/>
        <v/>
      </c>
      <c r="K662" s="38" t="str">
        <f t="shared" si="131"/>
        <v/>
      </c>
      <c r="L662" s="38" t="str">
        <f t="shared" si="142"/>
        <v/>
      </c>
      <c r="M662" s="38" t="str">
        <f t="shared" si="138"/>
        <v/>
      </c>
      <c r="N662" s="38" t="str">
        <f t="shared" si="139"/>
        <v/>
      </c>
      <c r="O662" s="38" t="str">
        <f t="shared" si="140"/>
        <v/>
      </c>
      <c r="P662" s="38" t="str">
        <f t="shared" si="132"/>
        <v/>
      </c>
      <c r="Q662" s="38"/>
    </row>
    <row r="663" spans="1:17" x14ac:dyDescent="0.2">
      <c r="A663" t="str">
        <f t="shared" si="133"/>
        <v/>
      </c>
      <c r="B663" s="38" t="str">
        <f t="shared" ref="B663:B726" si="143">IF(A663="","",F662)</f>
        <v/>
      </c>
      <c r="C663" s="38" t="str">
        <f t="shared" si="134"/>
        <v/>
      </c>
      <c r="D663" s="38" t="str">
        <f t="shared" si="135"/>
        <v/>
      </c>
      <c r="E663" s="38" t="str">
        <f t="shared" si="136"/>
        <v/>
      </c>
      <c r="F663" s="38" t="str">
        <f t="shared" si="137"/>
        <v/>
      </c>
      <c r="G663" s="38" t="str">
        <f t="shared" ref="G663:G726" si="144">IF(A663="","", (G662+C663))</f>
        <v/>
      </c>
      <c r="H663" s="38"/>
      <c r="J663" t="str">
        <f t="shared" si="141"/>
        <v/>
      </c>
      <c r="K663" s="38" t="str">
        <f t="shared" ref="K663:K726" si="145">IF(J663="","",O662)</f>
        <v/>
      </c>
      <c r="L663" s="38" t="str">
        <f t="shared" si="142"/>
        <v/>
      </c>
      <c r="M663" s="38" t="str">
        <f t="shared" si="138"/>
        <v/>
      </c>
      <c r="N663" s="38" t="str">
        <f t="shared" si="139"/>
        <v/>
      </c>
      <c r="O663" s="38" t="str">
        <f t="shared" si="140"/>
        <v/>
      </c>
      <c r="P663" s="38" t="str">
        <f t="shared" ref="P663:P726" si="146">IF(J663="","", (P662+L663))</f>
        <v/>
      </c>
      <c r="Q663" s="38"/>
    </row>
    <row r="664" spans="1:17" x14ac:dyDescent="0.2">
      <c r="A664" t="str">
        <f t="shared" ref="A664:A727" si="147">IF(A663&lt;($B$6*$B$7),A663+1,"")</f>
        <v/>
      </c>
      <c r="B664" s="38" t="str">
        <f t="shared" si="143"/>
        <v/>
      </c>
      <c r="C664" s="38" t="str">
        <f t="shared" ref="C664:C727" si="148">IF(A664="","",(B664*$B$6))</f>
        <v/>
      </c>
      <c r="D664" s="38" t="str">
        <f t="shared" ref="D664:D727" si="149">IF(A664="","", $B$3)</f>
        <v/>
      </c>
      <c r="E664" s="38" t="str">
        <f t="shared" ref="E664:E727" si="150">IF(D664="","",(D664-C664))</f>
        <v/>
      </c>
      <c r="F664" s="38" t="str">
        <f t="shared" ref="F664:F722" si="151">IF(A664="","", B664+C664+D664)</f>
        <v/>
      </c>
      <c r="G664" s="38" t="str">
        <f t="shared" si="144"/>
        <v/>
      </c>
      <c r="H664" s="38"/>
      <c r="J664" t="str">
        <f t="shared" si="141"/>
        <v/>
      </c>
      <c r="K664" s="38" t="str">
        <f t="shared" si="145"/>
        <v/>
      </c>
      <c r="L664" s="38" t="str">
        <f t="shared" si="142"/>
        <v/>
      </c>
      <c r="M664" s="38" t="str">
        <f t="shared" ref="M664:M727" si="152">IF(J664="","", $B$3)</f>
        <v/>
      </c>
      <c r="N664" s="38" t="str">
        <f t="shared" ref="N664:N727" si="153">IF(M664="","",(M664-L664))</f>
        <v/>
      </c>
      <c r="O664" s="38" t="str">
        <f t="shared" ref="O664:O722" si="154">IF(J664="","", K664+L664+M664)</f>
        <v/>
      </c>
      <c r="P664" s="38" t="str">
        <f t="shared" si="146"/>
        <v/>
      </c>
      <c r="Q664" s="38"/>
    </row>
    <row r="665" spans="1:17" x14ac:dyDescent="0.2">
      <c r="A665" t="str">
        <f t="shared" si="147"/>
        <v/>
      </c>
      <c r="B665" s="38" t="str">
        <f t="shared" si="143"/>
        <v/>
      </c>
      <c r="C665" s="38" t="str">
        <f t="shared" si="148"/>
        <v/>
      </c>
      <c r="D665" s="38" t="str">
        <f t="shared" si="149"/>
        <v/>
      </c>
      <c r="E665" s="38" t="str">
        <f t="shared" si="150"/>
        <v/>
      </c>
      <c r="F665" s="38" t="str">
        <f t="shared" si="151"/>
        <v/>
      </c>
      <c r="G665" s="38" t="str">
        <f t="shared" si="144"/>
        <v/>
      </c>
      <c r="H665" s="38"/>
      <c r="J665" t="str">
        <f t="shared" si="141"/>
        <v/>
      </c>
      <c r="K665" s="38" t="str">
        <f t="shared" si="145"/>
        <v/>
      </c>
      <c r="L665" s="38" t="str">
        <f t="shared" si="142"/>
        <v/>
      </c>
      <c r="M665" s="38" t="str">
        <f t="shared" si="152"/>
        <v/>
      </c>
      <c r="N665" s="38" t="str">
        <f t="shared" si="153"/>
        <v/>
      </c>
      <c r="O665" s="38" t="str">
        <f t="shared" si="154"/>
        <v/>
      </c>
      <c r="P665" s="38" t="str">
        <f t="shared" si="146"/>
        <v/>
      </c>
      <c r="Q665" s="38"/>
    </row>
    <row r="666" spans="1:17" x14ac:dyDescent="0.2">
      <c r="A666" t="str">
        <f t="shared" si="147"/>
        <v/>
      </c>
      <c r="B666" s="38" t="str">
        <f t="shared" si="143"/>
        <v/>
      </c>
      <c r="C666" s="38" t="str">
        <f t="shared" si="148"/>
        <v/>
      </c>
      <c r="D666" s="38" t="str">
        <f t="shared" si="149"/>
        <v/>
      </c>
      <c r="E666" s="38" t="str">
        <f t="shared" si="150"/>
        <v/>
      </c>
      <c r="F666" s="38" t="str">
        <f t="shared" si="151"/>
        <v/>
      </c>
      <c r="G666" s="38" t="str">
        <f t="shared" si="144"/>
        <v/>
      </c>
      <c r="H666" s="38"/>
      <c r="J666" t="str">
        <f t="shared" si="141"/>
        <v/>
      </c>
      <c r="K666" s="38" t="str">
        <f t="shared" si="145"/>
        <v/>
      </c>
      <c r="L666" s="38" t="str">
        <f t="shared" si="142"/>
        <v/>
      </c>
      <c r="M666" s="38" t="str">
        <f t="shared" si="152"/>
        <v/>
      </c>
      <c r="N666" s="38" t="str">
        <f t="shared" si="153"/>
        <v/>
      </c>
      <c r="O666" s="38" t="str">
        <f t="shared" si="154"/>
        <v/>
      </c>
      <c r="P666" s="38" t="str">
        <f t="shared" si="146"/>
        <v/>
      </c>
      <c r="Q666" s="38"/>
    </row>
    <row r="667" spans="1:17" x14ac:dyDescent="0.2">
      <c r="A667" t="str">
        <f t="shared" si="147"/>
        <v/>
      </c>
      <c r="B667" s="38" t="str">
        <f t="shared" si="143"/>
        <v/>
      </c>
      <c r="C667" s="38" t="str">
        <f t="shared" si="148"/>
        <v/>
      </c>
      <c r="D667" s="38" t="str">
        <f t="shared" si="149"/>
        <v/>
      </c>
      <c r="E667" s="38" t="str">
        <f t="shared" si="150"/>
        <v/>
      </c>
      <c r="F667" s="38" t="str">
        <f t="shared" si="151"/>
        <v/>
      </c>
      <c r="G667" s="38" t="str">
        <f t="shared" si="144"/>
        <v/>
      </c>
      <c r="H667" s="38"/>
      <c r="J667" t="str">
        <f t="shared" si="141"/>
        <v/>
      </c>
      <c r="K667" s="38" t="str">
        <f t="shared" si="145"/>
        <v/>
      </c>
      <c r="L667" s="38" t="str">
        <f t="shared" si="142"/>
        <v/>
      </c>
      <c r="M667" s="38" t="str">
        <f t="shared" si="152"/>
        <v/>
      </c>
      <c r="N667" s="38" t="str">
        <f t="shared" si="153"/>
        <v/>
      </c>
      <c r="O667" s="38" t="str">
        <f t="shared" si="154"/>
        <v/>
      </c>
      <c r="P667" s="38" t="str">
        <f t="shared" si="146"/>
        <v/>
      </c>
      <c r="Q667" s="38"/>
    </row>
    <row r="668" spans="1:17" x14ac:dyDescent="0.2">
      <c r="A668" t="str">
        <f t="shared" si="147"/>
        <v/>
      </c>
      <c r="B668" s="38" t="str">
        <f t="shared" si="143"/>
        <v/>
      </c>
      <c r="C668" s="38" t="str">
        <f t="shared" si="148"/>
        <v/>
      </c>
      <c r="D668" s="38" t="str">
        <f t="shared" si="149"/>
        <v/>
      </c>
      <c r="E668" s="38" t="str">
        <f t="shared" si="150"/>
        <v/>
      </c>
      <c r="F668" s="38" t="str">
        <f t="shared" si="151"/>
        <v/>
      </c>
      <c r="G668" s="38" t="str">
        <f t="shared" si="144"/>
        <v/>
      </c>
      <c r="H668" s="38"/>
      <c r="J668" t="str">
        <f t="shared" si="141"/>
        <v/>
      </c>
      <c r="K668" s="38" t="str">
        <f t="shared" si="145"/>
        <v/>
      </c>
      <c r="L668" s="38" t="str">
        <f t="shared" si="142"/>
        <v/>
      </c>
      <c r="M668" s="38" t="str">
        <f t="shared" si="152"/>
        <v/>
      </c>
      <c r="N668" s="38" t="str">
        <f t="shared" si="153"/>
        <v/>
      </c>
      <c r="O668" s="38" t="str">
        <f t="shared" si="154"/>
        <v/>
      </c>
      <c r="P668" s="38" t="str">
        <f t="shared" si="146"/>
        <v/>
      </c>
      <c r="Q668" s="38"/>
    </row>
    <row r="669" spans="1:17" x14ac:dyDescent="0.2">
      <c r="A669" t="str">
        <f t="shared" si="147"/>
        <v/>
      </c>
      <c r="B669" s="38" t="str">
        <f t="shared" si="143"/>
        <v/>
      </c>
      <c r="C669" s="38" t="str">
        <f t="shared" si="148"/>
        <v/>
      </c>
      <c r="D669" s="38" t="str">
        <f t="shared" si="149"/>
        <v/>
      </c>
      <c r="E669" s="38" t="str">
        <f t="shared" si="150"/>
        <v/>
      </c>
      <c r="F669" s="38" t="str">
        <f t="shared" si="151"/>
        <v/>
      </c>
      <c r="G669" s="38" t="str">
        <f t="shared" si="144"/>
        <v/>
      </c>
      <c r="H669" s="38"/>
      <c r="J669" t="str">
        <f t="shared" si="141"/>
        <v/>
      </c>
      <c r="K669" s="38" t="str">
        <f t="shared" si="145"/>
        <v/>
      </c>
      <c r="L669" s="38" t="str">
        <f t="shared" si="142"/>
        <v/>
      </c>
      <c r="M669" s="38" t="str">
        <f t="shared" si="152"/>
        <v/>
      </c>
      <c r="N669" s="38" t="str">
        <f t="shared" si="153"/>
        <v/>
      </c>
      <c r="O669" s="38" t="str">
        <f t="shared" si="154"/>
        <v/>
      </c>
      <c r="P669" s="38" t="str">
        <f t="shared" si="146"/>
        <v/>
      </c>
      <c r="Q669" s="38"/>
    </row>
    <row r="670" spans="1:17" x14ac:dyDescent="0.2">
      <c r="A670" t="str">
        <f t="shared" si="147"/>
        <v/>
      </c>
      <c r="B670" s="38" t="str">
        <f t="shared" si="143"/>
        <v/>
      </c>
      <c r="C670" s="38" t="str">
        <f t="shared" si="148"/>
        <v/>
      </c>
      <c r="D670" s="38" t="str">
        <f t="shared" si="149"/>
        <v/>
      </c>
      <c r="E670" s="38" t="str">
        <f t="shared" si="150"/>
        <v/>
      </c>
      <c r="F670" s="38" t="str">
        <f t="shared" si="151"/>
        <v/>
      </c>
      <c r="G670" s="38" t="str">
        <f t="shared" si="144"/>
        <v/>
      </c>
      <c r="H670" s="38"/>
      <c r="J670" t="str">
        <f t="shared" si="141"/>
        <v/>
      </c>
      <c r="K670" s="38" t="str">
        <f t="shared" si="145"/>
        <v/>
      </c>
      <c r="L670" s="38" t="str">
        <f t="shared" si="142"/>
        <v/>
      </c>
      <c r="M670" s="38" t="str">
        <f t="shared" si="152"/>
        <v/>
      </c>
      <c r="N670" s="38" t="str">
        <f t="shared" si="153"/>
        <v/>
      </c>
      <c r="O670" s="38" t="str">
        <f t="shared" si="154"/>
        <v/>
      </c>
      <c r="P670" s="38" t="str">
        <f t="shared" si="146"/>
        <v/>
      </c>
      <c r="Q670" s="38"/>
    </row>
    <row r="671" spans="1:17" x14ac:dyDescent="0.2">
      <c r="A671" t="str">
        <f t="shared" si="147"/>
        <v/>
      </c>
      <c r="B671" s="38" t="str">
        <f t="shared" si="143"/>
        <v/>
      </c>
      <c r="C671" s="38" t="str">
        <f t="shared" si="148"/>
        <v/>
      </c>
      <c r="D671" s="38" t="str">
        <f t="shared" si="149"/>
        <v/>
      </c>
      <c r="E671" s="38" t="str">
        <f t="shared" si="150"/>
        <v/>
      </c>
      <c r="F671" s="38" t="str">
        <f t="shared" si="151"/>
        <v/>
      </c>
      <c r="G671" s="38" t="str">
        <f t="shared" si="144"/>
        <v/>
      </c>
      <c r="H671" s="38"/>
      <c r="J671" t="str">
        <f t="shared" si="141"/>
        <v/>
      </c>
      <c r="K671" s="38" t="str">
        <f t="shared" si="145"/>
        <v/>
      </c>
      <c r="L671" s="38" t="str">
        <f t="shared" si="142"/>
        <v/>
      </c>
      <c r="M671" s="38" t="str">
        <f t="shared" si="152"/>
        <v/>
      </c>
      <c r="N671" s="38" t="str">
        <f t="shared" si="153"/>
        <v/>
      </c>
      <c r="O671" s="38" t="str">
        <f t="shared" si="154"/>
        <v/>
      </c>
      <c r="P671" s="38" t="str">
        <f t="shared" si="146"/>
        <v/>
      </c>
      <c r="Q671" s="38"/>
    </row>
    <row r="672" spans="1:17" x14ac:dyDescent="0.2">
      <c r="A672" t="str">
        <f t="shared" si="147"/>
        <v/>
      </c>
      <c r="B672" s="38" t="str">
        <f t="shared" si="143"/>
        <v/>
      </c>
      <c r="C672" s="38" t="str">
        <f t="shared" si="148"/>
        <v/>
      </c>
      <c r="D672" s="38" t="str">
        <f t="shared" si="149"/>
        <v/>
      </c>
      <c r="E672" s="38" t="str">
        <f t="shared" si="150"/>
        <v/>
      </c>
      <c r="F672" s="38" t="str">
        <f t="shared" si="151"/>
        <v/>
      </c>
      <c r="G672" s="38" t="str">
        <f t="shared" si="144"/>
        <v/>
      </c>
      <c r="H672" s="38"/>
      <c r="J672" t="str">
        <f t="shared" si="141"/>
        <v/>
      </c>
      <c r="K672" s="38" t="str">
        <f t="shared" si="145"/>
        <v/>
      </c>
      <c r="L672" s="38" t="str">
        <f t="shared" si="142"/>
        <v/>
      </c>
      <c r="M672" s="38" t="str">
        <f t="shared" si="152"/>
        <v/>
      </c>
      <c r="N672" s="38" t="str">
        <f t="shared" si="153"/>
        <v/>
      </c>
      <c r="O672" s="38" t="str">
        <f t="shared" si="154"/>
        <v/>
      </c>
      <c r="P672" s="38" t="str">
        <f t="shared" si="146"/>
        <v/>
      </c>
      <c r="Q672" s="38"/>
    </row>
    <row r="673" spans="1:17" x14ac:dyDescent="0.2">
      <c r="A673" t="str">
        <f t="shared" si="147"/>
        <v/>
      </c>
      <c r="B673" s="38" t="str">
        <f t="shared" si="143"/>
        <v/>
      </c>
      <c r="C673" s="38" t="str">
        <f t="shared" si="148"/>
        <v/>
      </c>
      <c r="D673" s="38" t="str">
        <f t="shared" si="149"/>
        <v/>
      </c>
      <c r="E673" s="38" t="str">
        <f t="shared" si="150"/>
        <v/>
      </c>
      <c r="F673" s="38" t="str">
        <f t="shared" si="151"/>
        <v/>
      </c>
      <c r="G673" s="38" t="str">
        <f t="shared" si="144"/>
        <v/>
      </c>
      <c r="H673" s="38"/>
      <c r="J673" t="str">
        <f t="shared" si="141"/>
        <v/>
      </c>
      <c r="K673" s="38" t="str">
        <f t="shared" si="145"/>
        <v/>
      </c>
      <c r="L673" s="38" t="str">
        <f t="shared" si="142"/>
        <v/>
      </c>
      <c r="M673" s="38" t="str">
        <f t="shared" si="152"/>
        <v/>
      </c>
      <c r="N673" s="38" t="str">
        <f t="shared" si="153"/>
        <v/>
      </c>
      <c r="O673" s="38" t="str">
        <f t="shared" si="154"/>
        <v/>
      </c>
      <c r="P673" s="38" t="str">
        <f t="shared" si="146"/>
        <v/>
      </c>
      <c r="Q673" s="38"/>
    </row>
    <row r="674" spans="1:17" x14ac:dyDescent="0.2">
      <c r="A674" t="str">
        <f t="shared" si="147"/>
        <v/>
      </c>
      <c r="B674" s="38" t="str">
        <f t="shared" si="143"/>
        <v/>
      </c>
      <c r="C674" s="38" t="str">
        <f t="shared" si="148"/>
        <v/>
      </c>
      <c r="D674" s="38" t="str">
        <f t="shared" si="149"/>
        <v/>
      </c>
      <c r="E674" s="38" t="str">
        <f t="shared" si="150"/>
        <v/>
      </c>
      <c r="F674" s="38" t="str">
        <f t="shared" si="151"/>
        <v/>
      </c>
      <c r="G674" s="38" t="str">
        <f t="shared" si="144"/>
        <v/>
      </c>
      <c r="H674" s="38"/>
      <c r="J674" t="str">
        <f t="shared" si="141"/>
        <v/>
      </c>
      <c r="K674" s="38" t="str">
        <f t="shared" si="145"/>
        <v/>
      </c>
      <c r="L674" s="38" t="str">
        <f t="shared" si="142"/>
        <v/>
      </c>
      <c r="M674" s="38" t="str">
        <f t="shared" si="152"/>
        <v/>
      </c>
      <c r="N674" s="38" t="str">
        <f t="shared" si="153"/>
        <v/>
      </c>
      <c r="O674" s="38" t="str">
        <f t="shared" si="154"/>
        <v/>
      </c>
      <c r="P674" s="38" t="str">
        <f t="shared" si="146"/>
        <v/>
      </c>
      <c r="Q674" s="38"/>
    </row>
    <row r="675" spans="1:17" x14ac:dyDescent="0.2">
      <c r="A675" t="str">
        <f t="shared" si="147"/>
        <v/>
      </c>
      <c r="B675" s="38" t="str">
        <f t="shared" si="143"/>
        <v/>
      </c>
      <c r="C675" s="38" t="str">
        <f t="shared" si="148"/>
        <v/>
      </c>
      <c r="D675" s="38" t="str">
        <f t="shared" si="149"/>
        <v/>
      </c>
      <c r="E675" s="38" t="str">
        <f t="shared" si="150"/>
        <v/>
      </c>
      <c r="F675" s="38" t="str">
        <f t="shared" si="151"/>
        <v/>
      </c>
      <c r="G675" s="38" t="str">
        <f t="shared" si="144"/>
        <v/>
      </c>
      <c r="H675" s="38"/>
      <c r="J675" t="str">
        <f t="shared" si="141"/>
        <v/>
      </c>
      <c r="K675" s="38" t="str">
        <f t="shared" si="145"/>
        <v/>
      </c>
      <c r="L675" s="38" t="str">
        <f t="shared" si="142"/>
        <v/>
      </c>
      <c r="M675" s="38" t="str">
        <f t="shared" si="152"/>
        <v/>
      </c>
      <c r="N675" s="38" t="str">
        <f t="shared" si="153"/>
        <v/>
      </c>
      <c r="O675" s="38" t="str">
        <f t="shared" si="154"/>
        <v/>
      </c>
      <c r="P675" s="38" t="str">
        <f t="shared" si="146"/>
        <v/>
      </c>
      <c r="Q675" s="38"/>
    </row>
    <row r="676" spans="1:17" x14ac:dyDescent="0.2">
      <c r="A676" t="str">
        <f t="shared" si="147"/>
        <v/>
      </c>
      <c r="B676" s="38" t="str">
        <f t="shared" si="143"/>
        <v/>
      </c>
      <c r="C676" s="38" t="str">
        <f t="shared" si="148"/>
        <v/>
      </c>
      <c r="D676" s="38" t="str">
        <f t="shared" si="149"/>
        <v/>
      </c>
      <c r="E676" s="38" t="str">
        <f t="shared" si="150"/>
        <v/>
      </c>
      <c r="F676" s="38" t="str">
        <f t="shared" si="151"/>
        <v/>
      </c>
      <c r="G676" s="38" t="str">
        <f t="shared" si="144"/>
        <v/>
      </c>
      <c r="H676" s="38"/>
      <c r="J676" t="str">
        <f t="shared" si="141"/>
        <v/>
      </c>
      <c r="K676" s="38" t="str">
        <f t="shared" si="145"/>
        <v/>
      </c>
      <c r="L676" s="38" t="str">
        <f t="shared" si="142"/>
        <v/>
      </c>
      <c r="M676" s="38" t="str">
        <f t="shared" si="152"/>
        <v/>
      </c>
      <c r="N676" s="38" t="str">
        <f t="shared" si="153"/>
        <v/>
      </c>
      <c r="O676" s="38" t="str">
        <f t="shared" si="154"/>
        <v/>
      </c>
      <c r="P676" s="38" t="str">
        <f t="shared" si="146"/>
        <v/>
      </c>
      <c r="Q676" s="38"/>
    </row>
    <row r="677" spans="1:17" x14ac:dyDescent="0.2">
      <c r="A677" t="str">
        <f t="shared" si="147"/>
        <v/>
      </c>
      <c r="B677" s="38" t="str">
        <f t="shared" si="143"/>
        <v/>
      </c>
      <c r="C677" s="38" t="str">
        <f t="shared" si="148"/>
        <v/>
      </c>
      <c r="D677" s="38" t="str">
        <f t="shared" si="149"/>
        <v/>
      </c>
      <c r="E677" s="38" t="str">
        <f t="shared" si="150"/>
        <v/>
      </c>
      <c r="F677" s="38" t="str">
        <f t="shared" si="151"/>
        <v/>
      </c>
      <c r="G677" s="38" t="str">
        <f t="shared" si="144"/>
        <v/>
      </c>
      <c r="H677" s="38"/>
      <c r="J677" t="str">
        <f t="shared" si="141"/>
        <v/>
      </c>
      <c r="K677" s="38" t="str">
        <f t="shared" si="145"/>
        <v/>
      </c>
      <c r="L677" s="38" t="str">
        <f t="shared" si="142"/>
        <v/>
      </c>
      <c r="M677" s="38" t="str">
        <f t="shared" si="152"/>
        <v/>
      </c>
      <c r="N677" s="38" t="str">
        <f t="shared" si="153"/>
        <v/>
      </c>
      <c r="O677" s="38" t="str">
        <f t="shared" si="154"/>
        <v/>
      </c>
      <c r="P677" s="38" t="str">
        <f t="shared" si="146"/>
        <v/>
      </c>
      <c r="Q677" s="38"/>
    </row>
    <row r="678" spans="1:17" x14ac:dyDescent="0.2">
      <c r="A678" t="str">
        <f t="shared" si="147"/>
        <v/>
      </c>
      <c r="B678" s="38" t="str">
        <f t="shared" si="143"/>
        <v/>
      </c>
      <c r="C678" s="38" t="str">
        <f t="shared" si="148"/>
        <v/>
      </c>
      <c r="D678" s="38" t="str">
        <f t="shared" si="149"/>
        <v/>
      </c>
      <c r="E678" s="38" t="str">
        <f t="shared" si="150"/>
        <v/>
      </c>
      <c r="F678" s="38" t="str">
        <f t="shared" si="151"/>
        <v/>
      </c>
      <c r="G678" s="38" t="str">
        <f t="shared" si="144"/>
        <v/>
      </c>
      <c r="H678" s="38"/>
      <c r="J678" t="str">
        <f t="shared" si="141"/>
        <v/>
      </c>
      <c r="K678" s="38" t="str">
        <f t="shared" si="145"/>
        <v/>
      </c>
      <c r="L678" s="38" t="str">
        <f t="shared" si="142"/>
        <v/>
      </c>
      <c r="M678" s="38" t="str">
        <f t="shared" si="152"/>
        <v/>
      </c>
      <c r="N678" s="38" t="str">
        <f t="shared" si="153"/>
        <v/>
      </c>
      <c r="O678" s="38" t="str">
        <f t="shared" si="154"/>
        <v/>
      </c>
      <c r="P678" s="38" t="str">
        <f t="shared" si="146"/>
        <v/>
      </c>
      <c r="Q678" s="38"/>
    </row>
    <row r="679" spans="1:17" x14ac:dyDescent="0.2">
      <c r="A679" t="str">
        <f t="shared" si="147"/>
        <v/>
      </c>
      <c r="B679" s="38" t="str">
        <f t="shared" si="143"/>
        <v/>
      </c>
      <c r="C679" s="38" t="str">
        <f t="shared" si="148"/>
        <v/>
      </c>
      <c r="D679" s="38" t="str">
        <f t="shared" si="149"/>
        <v/>
      </c>
      <c r="E679" s="38" t="str">
        <f t="shared" si="150"/>
        <v/>
      </c>
      <c r="F679" s="38" t="str">
        <f t="shared" si="151"/>
        <v/>
      </c>
      <c r="G679" s="38" t="str">
        <f t="shared" si="144"/>
        <v/>
      </c>
      <c r="H679" s="38"/>
      <c r="J679" t="str">
        <f t="shared" si="141"/>
        <v/>
      </c>
      <c r="K679" s="38" t="str">
        <f t="shared" si="145"/>
        <v/>
      </c>
      <c r="L679" s="38" t="str">
        <f t="shared" si="142"/>
        <v/>
      </c>
      <c r="M679" s="38" t="str">
        <f t="shared" si="152"/>
        <v/>
      </c>
      <c r="N679" s="38" t="str">
        <f t="shared" si="153"/>
        <v/>
      </c>
      <c r="O679" s="38" t="str">
        <f t="shared" si="154"/>
        <v/>
      </c>
      <c r="P679" s="38" t="str">
        <f t="shared" si="146"/>
        <v/>
      </c>
      <c r="Q679" s="38"/>
    </row>
    <row r="680" spans="1:17" x14ac:dyDescent="0.2">
      <c r="A680" t="str">
        <f t="shared" si="147"/>
        <v/>
      </c>
      <c r="B680" s="38" t="str">
        <f t="shared" si="143"/>
        <v/>
      </c>
      <c r="C680" s="38" t="str">
        <f t="shared" si="148"/>
        <v/>
      </c>
      <c r="D680" s="38" t="str">
        <f t="shared" si="149"/>
        <v/>
      </c>
      <c r="E680" s="38" t="str">
        <f t="shared" si="150"/>
        <v/>
      </c>
      <c r="F680" s="38" t="str">
        <f t="shared" si="151"/>
        <v/>
      </c>
      <c r="G680" s="38" t="str">
        <f t="shared" si="144"/>
        <v/>
      </c>
      <c r="H680" s="38"/>
      <c r="J680" t="str">
        <f t="shared" si="141"/>
        <v/>
      </c>
      <c r="K680" s="38" t="str">
        <f t="shared" si="145"/>
        <v/>
      </c>
      <c r="L680" s="38" t="str">
        <f t="shared" si="142"/>
        <v/>
      </c>
      <c r="M680" s="38" t="str">
        <f t="shared" si="152"/>
        <v/>
      </c>
      <c r="N680" s="38" t="str">
        <f t="shared" si="153"/>
        <v/>
      </c>
      <c r="O680" s="38" t="str">
        <f t="shared" si="154"/>
        <v/>
      </c>
      <c r="P680" s="38" t="str">
        <f t="shared" si="146"/>
        <v/>
      </c>
      <c r="Q680" s="38"/>
    </row>
    <row r="681" spans="1:17" x14ac:dyDescent="0.2">
      <c r="A681" t="str">
        <f t="shared" si="147"/>
        <v/>
      </c>
      <c r="B681" s="38" t="str">
        <f t="shared" si="143"/>
        <v/>
      </c>
      <c r="C681" s="38" t="str">
        <f t="shared" si="148"/>
        <v/>
      </c>
      <c r="D681" s="38" t="str">
        <f t="shared" si="149"/>
        <v/>
      </c>
      <c r="E681" s="38" t="str">
        <f t="shared" si="150"/>
        <v/>
      </c>
      <c r="F681" s="38" t="str">
        <f t="shared" si="151"/>
        <v/>
      </c>
      <c r="G681" s="38" t="str">
        <f t="shared" si="144"/>
        <v/>
      </c>
      <c r="H681" s="38"/>
      <c r="J681" t="str">
        <f t="shared" si="141"/>
        <v/>
      </c>
      <c r="K681" s="38" t="str">
        <f t="shared" si="145"/>
        <v/>
      </c>
      <c r="L681" s="38" t="str">
        <f t="shared" si="142"/>
        <v/>
      </c>
      <c r="M681" s="38" t="str">
        <f t="shared" si="152"/>
        <v/>
      </c>
      <c r="N681" s="38" t="str">
        <f t="shared" si="153"/>
        <v/>
      </c>
      <c r="O681" s="38" t="str">
        <f t="shared" si="154"/>
        <v/>
      </c>
      <c r="P681" s="38" t="str">
        <f t="shared" si="146"/>
        <v/>
      </c>
      <c r="Q681" s="38"/>
    </row>
    <row r="682" spans="1:17" x14ac:dyDescent="0.2">
      <c r="A682" t="str">
        <f t="shared" si="147"/>
        <v/>
      </c>
      <c r="B682" s="38" t="str">
        <f t="shared" si="143"/>
        <v/>
      </c>
      <c r="C682" s="38" t="str">
        <f t="shared" si="148"/>
        <v/>
      </c>
      <c r="D682" s="38" t="str">
        <f t="shared" si="149"/>
        <v/>
      </c>
      <c r="E682" s="38" t="str">
        <f t="shared" si="150"/>
        <v/>
      </c>
      <c r="F682" s="38" t="str">
        <f t="shared" si="151"/>
        <v/>
      </c>
      <c r="G682" s="38" t="str">
        <f t="shared" si="144"/>
        <v/>
      </c>
      <c r="H682" s="38"/>
      <c r="J682" t="str">
        <f t="shared" si="141"/>
        <v/>
      </c>
      <c r="K682" s="38" t="str">
        <f t="shared" si="145"/>
        <v/>
      </c>
      <c r="L682" s="38" t="str">
        <f t="shared" si="142"/>
        <v/>
      </c>
      <c r="M682" s="38" t="str">
        <f t="shared" si="152"/>
        <v/>
      </c>
      <c r="N682" s="38" t="str">
        <f t="shared" si="153"/>
        <v/>
      </c>
      <c r="O682" s="38" t="str">
        <f t="shared" si="154"/>
        <v/>
      </c>
      <c r="P682" s="38" t="str">
        <f t="shared" si="146"/>
        <v/>
      </c>
      <c r="Q682" s="38"/>
    </row>
    <row r="683" spans="1:17" x14ac:dyDescent="0.2">
      <c r="A683" t="str">
        <f t="shared" si="147"/>
        <v/>
      </c>
      <c r="B683" s="38" t="str">
        <f t="shared" si="143"/>
        <v/>
      </c>
      <c r="C683" s="38" t="str">
        <f t="shared" si="148"/>
        <v/>
      </c>
      <c r="D683" s="38" t="str">
        <f t="shared" si="149"/>
        <v/>
      </c>
      <c r="E683" s="38" t="str">
        <f t="shared" si="150"/>
        <v/>
      </c>
      <c r="F683" s="38" t="str">
        <f t="shared" si="151"/>
        <v/>
      </c>
      <c r="G683" s="38" t="str">
        <f t="shared" si="144"/>
        <v/>
      </c>
      <c r="H683" s="38"/>
      <c r="J683" t="str">
        <f t="shared" si="141"/>
        <v/>
      </c>
      <c r="K683" s="38" t="str">
        <f t="shared" si="145"/>
        <v/>
      </c>
      <c r="L683" s="38" t="str">
        <f t="shared" si="142"/>
        <v/>
      </c>
      <c r="M683" s="38" t="str">
        <f t="shared" si="152"/>
        <v/>
      </c>
      <c r="N683" s="38" t="str">
        <f t="shared" si="153"/>
        <v/>
      </c>
      <c r="O683" s="38" t="str">
        <f t="shared" si="154"/>
        <v/>
      </c>
      <c r="P683" s="38" t="str">
        <f t="shared" si="146"/>
        <v/>
      </c>
      <c r="Q683" s="38"/>
    </row>
    <row r="684" spans="1:17" x14ac:dyDescent="0.2">
      <c r="A684" t="str">
        <f t="shared" si="147"/>
        <v/>
      </c>
      <c r="B684" s="38" t="str">
        <f t="shared" si="143"/>
        <v/>
      </c>
      <c r="C684" s="38" t="str">
        <f t="shared" si="148"/>
        <v/>
      </c>
      <c r="D684" s="38" t="str">
        <f t="shared" si="149"/>
        <v/>
      </c>
      <c r="E684" s="38" t="str">
        <f t="shared" si="150"/>
        <v/>
      </c>
      <c r="F684" s="38" t="str">
        <f t="shared" si="151"/>
        <v/>
      </c>
      <c r="G684" s="38" t="str">
        <f t="shared" si="144"/>
        <v/>
      </c>
      <c r="H684" s="38"/>
      <c r="J684" t="str">
        <f t="shared" si="141"/>
        <v/>
      </c>
      <c r="K684" s="38" t="str">
        <f t="shared" si="145"/>
        <v/>
      </c>
      <c r="L684" s="38" t="str">
        <f t="shared" si="142"/>
        <v/>
      </c>
      <c r="M684" s="38" t="str">
        <f t="shared" si="152"/>
        <v/>
      </c>
      <c r="N684" s="38" t="str">
        <f t="shared" si="153"/>
        <v/>
      </c>
      <c r="O684" s="38" t="str">
        <f t="shared" si="154"/>
        <v/>
      </c>
      <c r="P684" s="38" t="str">
        <f t="shared" si="146"/>
        <v/>
      </c>
      <c r="Q684" s="38"/>
    </row>
    <row r="685" spans="1:17" x14ac:dyDescent="0.2">
      <c r="A685" t="str">
        <f t="shared" si="147"/>
        <v/>
      </c>
      <c r="B685" s="38" t="str">
        <f t="shared" si="143"/>
        <v/>
      </c>
      <c r="C685" s="38" t="str">
        <f t="shared" si="148"/>
        <v/>
      </c>
      <c r="D685" s="38" t="str">
        <f t="shared" si="149"/>
        <v/>
      </c>
      <c r="E685" s="38" t="str">
        <f t="shared" si="150"/>
        <v/>
      </c>
      <c r="F685" s="38" t="str">
        <f t="shared" si="151"/>
        <v/>
      </c>
      <c r="G685" s="38" t="str">
        <f t="shared" si="144"/>
        <v/>
      </c>
      <c r="H685" s="38"/>
      <c r="J685" t="str">
        <f t="shared" si="141"/>
        <v/>
      </c>
      <c r="K685" s="38" t="str">
        <f t="shared" si="145"/>
        <v/>
      </c>
      <c r="L685" s="38" t="str">
        <f t="shared" si="142"/>
        <v/>
      </c>
      <c r="M685" s="38" t="str">
        <f t="shared" si="152"/>
        <v/>
      </c>
      <c r="N685" s="38" t="str">
        <f t="shared" si="153"/>
        <v/>
      </c>
      <c r="O685" s="38" t="str">
        <f t="shared" si="154"/>
        <v/>
      </c>
      <c r="P685" s="38" t="str">
        <f t="shared" si="146"/>
        <v/>
      </c>
      <c r="Q685" s="38"/>
    </row>
    <row r="686" spans="1:17" x14ac:dyDescent="0.2">
      <c r="A686" t="str">
        <f t="shared" si="147"/>
        <v/>
      </c>
      <c r="B686" s="38" t="str">
        <f t="shared" si="143"/>
        <v/>
      </c>
      <c r="C686" s="38" t="str">
        <f t="shared" si="148"/>
        <v/>
      </c>
      <c r="D686" s="38" t="str">
        <f t="shared" si="149"/>
        <v/>
      </c>
      <c r="E686" s="38" t="str">
        <f t="shared" si="150"/>
        <v/>
      </c>
      <c r="F686" s="38" t="str">
        <f t="shared" si="151"/>
        <v/>
      </c>
      <c r="G686" s="38" t="str">
        <f t="shared" si="144"/>
        <v/>
      </c>
      <c r="H686" s="38"/>
      <c r="J686" t="str">
        <f t="shared" si="141"/>
        <v/>
      </c>
      <c r="K686" s="38" t="str">
        <f t="shared" si="145"/>
        <v/>
      </c>
      <c r="L686" s="38" t="str">
        <f t="shared" si="142"/>
        <v/>
      </c>
      <c r="M686" s="38" t="str">
        <f t="shared" si="152"/>
        <v/>
      </c>
      <c r="N686" s="38" t="str">
        <f t="shared" si="153"/>
        <v/>
      </c>
      <c r="O686" s="38" t="str">
        <f t="shared" si="154"/>
        <v/>
      </c>
      <c r="P686" s="38" t="str">
        <f t="shared" si="146"/>
        <v/>
      </c>
      <c r="Q686" s="38"/>
    </row>
    <row r="687" spans="1:17" x14ac:dyDescent="0.2">
      <c r="A687" t="str">
        <f t="shared" si="147"/>
        <v/>
      </c>
      <c r="B687" s="38" t="str">
        <f t="shared" si="143"/>
        <v/>
      </c>
      <c r="C687" s="38" t="str">
        <f t="shared" si="148"/>
        <v/>
      </c>
      <c r="D687" s="38" t="str">
        <f t="shared" si="149"/>
        <v/>
      </c>
      <c r="E687" s="38" t="str">
        <f t="shared" si="150"/>
        <v/>
      </c>
      <c r="F687" s="38" t="str">
        <f t="shared" si="151"/>
        <v/>
      </c>
      <c r="G687" s="38" t="str">
        <f t="shared" si="144"/>
        <v/>
      </c>
      <c r="H687" s="38"/>
      <c r="J687" t="str">
        <f t="shared" si="141"/>
        <v/>
      </c>
      <c r="K687" s="38" t="str">
        <f t="shared" si="145"/>
        <v/>
      </c>
      <c r="L687" s="38" t="str">
        <f t="shared" si="142"/>
        <v/>
      </c>
      <c r="M687" s="38" t="str">
        <f t="shared" si="152"/>
        <v/>
      </c>
      <c r="N687" s="38" t="str">
        <f t="shared" si="153"/>
        <v/>
      </c>
      <c r="O687" s="38" t="str">
        <f t="shared" si="154"/>
        <v/>
      </c>
      <c r="P687" s="38" t="str">
        <f t="shared" si="146"/>
        <v/>
      </c>
      <c r="Q687" s="38"/>
    </row>
    <row r="688" spans="1:17" x14ac:dyDescent="0.2">
      <c r="A688" t="str">
        <f t="shared" si="147"/>
        <v/>
      </c>
      <c r="B688" s="38" t="str">
        <f t="shared" si="143"/>
        <v/>
      </c>
      <c r="C688" s="38" t="str">
        <f t="shared" si="148"/>
        <v/>
      </c>
      <c r="D688" s="38" t="str">
        <f t="shared" si="149"/>
        <v/>
      </c>
      <c r="E688" s="38" t="str">
        <f t="shared" si="150"/>
        <v/>
      </c>
      <c r="F688" s="38" t="str">
        <f t="shared" si="151"/>
        <v/>
      </c>
      <c r="G688" s="38" t="str">
        <f t="shared" si="144"/>
        <v/>
      </c>
      <c r="H688" s="38"/>
      <c r="J688" t="str">
        <f t="shared" si="141"/>
        <v/>
      </c>
      <c r="K688" s="38" t="str">
        <f t="shared" si="145"/>
        <v/>
      </c>
      <c r="L688" s="38" t="str">
        <f t="shared" si="142"/>
        <v/>
      </c>
      <c r="M688" s="38" t="str">
        <f t="shared" si="152"/>
        <v/>
      </c>
      <c r="N688" s="38" t="str">
        <f t="shared" si="153"/>
        <v/>
      </c>
      <c r="O688" s="38" t="str">
        <f t="shared" si="154"/>
        <v/>
      </c>
      <c r="P688" s="38" t="str">
        <f t="shared" si="146"/>
        <v/>
      </c>
      <c r="Q688" s="38"/>
    </row>
    <row r="689" spans="1:17" x14ac:dyDescent="0.2">
      <c r="A689" t="str">
        <f t="shared" si="147"/>
        <v/>
      </c>
      <c r="B689" s="38" t="str">
        <f t="shared" si="143"/>
        <v/>
      </c>
      <c r="C689" s="38" t="str">
        <f t="shared" si="148"/>
        <v/>
      </c>
      <c r="D689" s="38" t="str">
        <f t="shared" si="149"/>
        <v/>
      </c>
      <c r="E689" s="38" t="str">
        <f t="shared" si="150"/>
        <v/>
      </c>
      <c r="F689" s="38" t="str">
        <f t="shared" si="151"/>
        <v/>
      </c>
      <c r="G689" s="38" t="str">
        <f t="shared" si="144"/>
        <v/>
      </c>
      <c r="H689" s="38"/>
      <c r="J689" t="str">
        <f t="shared" si="141"/>
        <v/>
      </c>
      <c r="K689" s="38" t="str">
        <f t="shared" si="145"/>
        <v/>
      </c>
      <c r="L689" s="38" t="str">
        <f t="shared" si="142"/>
        <v/>
      </c>
      <c r="M689" s="38" t="str">
        <f t="shared" si="152"/>
        <v/>
      </c>
      <c r="N689" s="38" t="str">
        <f t="shared" si="153"/>
        <v/>
      </c>
      <c r="O689" s="38" t="str">
        <f t="shared" si="154"/>
        <v/>
      </c>
      <c r="P689" s="38" t="str">
        <f t="shared" si="146"/>
        <v/>
      </c>
      <c r="Q689" s="38"/>
    </row>
    <row r="690" spans="1:17" x14ac:dyDescent="0.2">
      <c r="A690" t="str">
        <f t="shared" si="147"/>
        <v/>
      </c>
      <c r="B690" s="38" t="str">
        <f t="shared" si="143"/>
        <v/>
      </c>
      <c r="C690" s="38" t="str">
        <f t="shared" si="148"/>
        <v/>
      </c>
      <c r="D690" s="38" t="str">
        <f t="shared" si="149"/>
        <v/>
      </c>
      <c r="E690" s="38" t="str">
        <f t="shared" si="150"/>
        <v/>
      </c>
      <c r="F690" s="38" t="str">
        <f t="shared" si="151"/>
        <v/>
      </c>
      <c r="G690" s="38" t="str">
        <f t="shared" si="144"/>
        <v/>
      </c>
      <c r="H690" s="38"/>
      <c r="J690" t="str">
        <f t="shared" si="141"/>
        <v/>
      </c>
      <c r="K690" s="38" t="str">
        <f t="shared" si="145"/>
        <v/>
      </c>
      <c r="L690" s="38" t="str">
        <f t="shared" si="142"/>
        <v/>
      </c>
      <c r="M690" s="38" t="str">
        <f t="shared" si="152"/>
        <v/>
      </c>
      <c r="N690" s="38" t="str">
        <f t="shared" si="153"/>
        <v/>
      </c>
      <c r="O690" s="38" t="str">
        <f t="shared" si="154"/>
        <v/>
      </c>
      <c r="P690" s="38" t="str">
        <f t="shared" si="146"/>
        <v/>
      </c>
      <c r="Q690" s="38"/>
    </row>
    <row r="691" spans="1:17" x14ac:dyDescent="0.2">
      <c r="A691" t="str">
        <f t="shared" si="147"/>
        <v/>
      </c>
      <c r="B691" s="38" t="str">
        <f t="shared" si="143"/>
        <v/>
      </c>
      <c r="C691" s="38" t="str">
        <f t="shared" si="148"/>
        <v/>
      </c>
      <c r="D691" s="38" t="str">
        <f t="shared" si="149"/>
        <v/>
      </c>
      <c r="E691" s="38" t="str">
        <f t="shared" si="150"/>
        <v/>
      </c>
      <c r="F691" s="38" t="str">
        <f t="shared" si="151"/>
        <v/>
      </c>
      <c r="G691" s="38" t="str">
        <f t="shared" si="144"/>
        <v/>
      </c>
      <c r="H691" s="38"/>
      <c r="J691" t="str">
        <f t="shared" si="141"/>
        <v/>
      </c>
      <c r="K691" s="38" t="str">
        <f t="shared" si="145"/>
        <v/>
      </c>
      <c r="L691" s="38" t="str">
        <f t="shared" si="142"/>
        <v/>
      </c>
      <c r="M691" s="38" t="str">
        <f t="shared" si="152"/>
        <v/>
      </c>
      <c r="N691" s="38" t="str">
        <f t="shared" si="153"/>
        <v/>
      </c>
      <c r="O691" s="38" t="str">
        <f t="shared" si="154"/>
        <v/>
      </c>
      <c r="P691" s="38" t="str">
        <f t="shared" si="146"/>
        <v/>
      </c>
      <c r="Q691" s="38"/>
    </row>
    <row r="692" spans="1:17" x14ac:dyDescent="0.2">
      <c r="A692" t="str">
        <f t="shared" si="147"/>
        <v/>
      </c>
      <c r="B692" s="38" t="str">
        <f t="shared" si="143"/>
        <v/>
      </c>
      <c r="C692" s="38" t="str">
        <f t="shared" si="148"/>
        <v/>
      </c>
      <c r="D692" s="38" t="str">
        <f t="shared" si="149"/>
        <v/>
      </c>
      <c r="E692" s="38" t="str">
        <f t="shared" si="150"/>
        <v/>
      </c>
      <c r="F692" s="38" t="str">
        <f t="shared" si="151"/>
        <v/>
      </c>
      <c r="G692" s="38" t="str">
        <f t="shared" si="144"/>
        <v/>
      </c>
      <c r="H692" s="38"/>
      <c r="J692" t="str">
        <f t="shared" si="141"/>
        <v/>
      </c>
      <c r="K692" s="38" t="str">
        <f t="shared" si="145"/>
        <v/>
      </c>
      <c r="L692" s="38" t="str">
        <f t="shared" si="142"/>
        <v/>
      </c>
      <c r="M692" s="38" t="str">
        <f t="shared" si="152"/>
        <v/>
      </c>
      <c r="N692" s="38" t="str">
        <f t="shared" si="153"/>
        <v/>
      </c>
      <c r="O692" s="38" t="str">
        <f t="shared" si="154"/>
        <v/>
      </c>
      <c r="P692" s="38" t="str">
        <f t="shared" si="146"/>
        <v/>
      </c>
      <c r="Q692" s="38"/>
    </row>
    <row r="693" spans="1:17" x14ac:dyDescent="0.2">
      <c r="A693" t="str">
        <f t="shared" si="147"/>
        <v/>
      </c>
      <c r="B693" s="38" t="str">
        <f t="shared" si="143"/>
        <v/>
      </c>
      <c r="C693" s="38" t="str">
        <f t="shared" si="148"/>
        <v/>
      </c>
      <c r="D693" s="38" t="str">
        <f t="shared" si="149"/>
        <v/>
      </c>
      <c r="E693" s="38" t="str">
        <f t="shared" si="150"/>
        <v/>
      </c>
      <c r="F693" s="38" t="str">
        <f t="shared" si="151"/>
        <v/>
      </c>
      <c r="G693" s="38" t="str">
        <f t="shared" si="144"/>
        <v/>
      </c>
      <c r="H693" s="38"/>
      <c r="J693" t="str">
        <f t="shared" si="141"/>
        <v/>
      </c>
      <c r="K693" s="38" t="str">
        <f t="shared" si="145"/>
        <v/>
      </c>
      <c r="L693" s="38" t="str">
        <f t="shared" si="142"/>
        <v/>
      </c>
      <c r="M693" s="38" t="str">
        <f t="shared" si="152"/>
        <v/>
      </c>
      <c r="N693" s="38" t="str">
        <f t="shared" si="153"/>
        <v/>
      </c>
      <c r="O693" s="38" t="str">
        <f t="shared" si="154"/>
        <v/>
      </c>
      <c r="P693" s="38" t="str">
        <f t="shared" si="146"/>
        <v/>
      </c>
      <c r="Q693" s="38"/>
    </row>
    <row r="694" spans="1:17" x14ac:dyDescent="0.2">
      <c r="A694" t="str">
        <f t="shared" si="147"/>
        <v/>
      </c>
      <c r="B694" s="38" t="str">
        <f t="shared" si="143"/>
        <v/>
      </c>
      <c r="C694" s="38" t="str">
        <f t="shared" si="148"/>
        <v/>
      </c>
      <c r="D694" s="38" t="str">
        <f t="shared" si="149"/>
        <v/>
      </c>
      <c r="E694" s="38" t="str">
        <f t="shared" si="150"/>
        <v/>
      </c>
      <c r="F694" s="38" t="str">
        <f t="shared" si="151"/>
        <v/>
      </c>
      <c r="G694" s="38" t="str">
        <f t="shared" si="144"/>
        <v/>
      </c>
      <c r="H694" s="38"/>
      <c r="J694" t="str">
        <f t="shared" ref="J694:J757" si="155">IF(J693&lt;($B$6*$B$7),J693+1,"")</f>
        <v/>
      </c>
      <c r="K694" s="38" t="str">
        <f t="shared" si="145"/>
        <v/>
      </c>
      <c r="L694" s="38" t="str">
        <f t="shared" si="142"/>
        <v/>
      </c>
      <c r="M694" s="38" t="str">
        <f t="shared" si="152"/>
        <v/>
      </c>
      <c r="N694" s="38" t="str">
        <f t="shared" si="153"/>
        <v/>
      </c>
      <c r="O694" s="38" t="str">
        <f t="shared" si="154"/>
        <v/>
      </c>
      <c r="P694" s="38" t="str">
        <f t="shared" si="146"/>
        <v/>
      </c>
      <c r="Q694" s="38"/>
    </row>
    <row r="695" spans="1:17" x14ac:dyDescent="0.2">
      <c r="A695" t="str">
        <f t="shared" si="147"/>
        <v/>
      </c>
      <c r="B695" s="38" t="str">
        <f t="shared" si="143"/>
        <v/>
      </c>
      <c r="C695" s="38" t="str">
        <f t="shared" si="148"/>
        <v/>
      </c>
      <c r="D695" s="38" t="str">
        <f t="shared" si="149"/>
        <v/>
      </c>
      <c r="E695" s="38" t="str">
        <f t="shared" si="150"/>
        <v/>
      </c>
      <c r="F695" s="38" t="str">
        <f t="shared" si="151"/>
        <v/>
      </c>
      <c r="G695" s="38" t="str">
        <f t="shared" si="144"/>
        <v/>
      </c>
      <c r="H695" s="38"/>
      <c r="J695" t="str">
        <f t="shared" si="155"/>
        <v/>
      </c>
      <c r="K695" s="38" t="str">
        <f t="shared" si="145"/>
        <v/>
      </c>
      <c r="L695" s="38" t="str">
        <f t="shared" si="142"/>
        <v/>
      </c>
      <c r="M695" s="38" t="str">
        <f t="shared" si="152"/>
        <v/>
      </c>
      <c r="N695" s="38" t="str">
        <f t="shared" si="153"/>
        <v/>
      </c>
      <c r="O695" s="38" t="str">
        <f t="shared" si="154"/>
        <v/>
      </c>
      <c r="P695" s="38" t="str">
        <f t="shared" si="146"/>
        <v/>
      </c>
      <c r="Q695" s="38"/>
    </row>
    <row r="696" spans="1:17" x14ac:dyDescent="0.2">
      <c r="A696" t="str">
        <f t="shared" si="147"/>
        <v/>
      </c>
      <c r="B696" s="38" t="str">
        <f t="shared" si="143"/>
        <v/>
      </c>
      <c r="C696" s="38" t="str">
        <f t="shared" si="148"/>
        <v/>
      </c>
      <c r="D696" s="38" t="str">
        <f t="shared" si="149"/>
        <v/>
      </c>
      <c r="E696" s="38" t="str">
        <f t="shared" si="150"/>
        <v/>
      </c>
      <c r="F696" s="38" t="str">
        <f t="shared" si="151"/>
        <v/>
      </c>
      <c r="G696" s="38" t="str">
        <f t="shared" si="144"/>
        <v/>
      </c>
      <c r="H696" s="38"/>
      <c r="J696" t="str">
        <f t="shared" si="155"/>
        <v/>
      </c>
      <c r="K696" s="38" t="str">
        <f t="shared" si="145"/>
        <v/>
      </c>
      <c r="L696" s="38" t="str">
        <f t="shared" si="142"/>
        <v/>
      </c>
      <c r="M696" s="38" t="str">
        <f t="shared" si="152"/>
        <v/>
      </c>
      <c r="N696" s="38" t="str">
        <f t="shared" si="153"/>
        <v/>
      </c>
      <c r="O696" s="38" t="str">
        <f t="shared" si="154"/>
        <v/>
      </c>
      <c r="P696" s="38" t="str">
        <f t="shared" si="146"/>
        <v/>
      </c>
      <c r="Q696" s="38"/>
    </row>
    <row r="697" spans="1:17" x14ac:dyDescent="0.2">
      <c r="A697" t="str">
        <f t="shared" si="147"/>
        <v/>
      </c>
      <c r="B697" s="38" t="str">
        <f t="shared" si="143"/>
        <v/>
      </c>
      <c r="C697" s="38" t="str">
        <f t="shared" si="148"/>
        <v/>
      </c>
      <c r="D697" s="38" t="str">
        <f t="shared" si="149"/>
        <v/>
      </c>
      <c r="E697" s="38" t="str">
        <f t="shared" si="150"/>
        <v/>
      </c>
      <c r="F697" s="38" t="str">
        <f t="shared" si="151"/>
        <v/>
      </c>
      <c r="G697" s="38" t="str">
        <f t="shared" si="144"/>
        <v/>
      </c>
      <c r="H697" s="38"/>
      <c r="J697" t="str">
        <f t="shared" si="155"/>
        <v/>
      </c>
      <c r="K697" s="38" t="str">
        <f t="shared" si="145"/>
        <v/>
      </c>
      <c r="L697" s="38" t="str">
        <f t="shared" si="142"/>
        <v/>
      </c>
      <c r="M697" s="38" t="str">
        <f t="shared" si="152"/>
        <v/>
      </c>
      <c r="N697" s="38" t="str">
        <f t="shared" si="153"/>
        <v/>
      </c>
      <c r="O697" s="38" t="str">
        <f t="shared" si="154"/>
        <v/>
      </c>
      <c r="P697" s="38" t="str">
        <f t="shared" si="146"/>
        <v/>
      </c>
      <c r="Q697" s="38"/>
    </row>
    <row r="698" spans="1:17" x14ac:dyDescent="0.2">
      <c r="A698" t="str">
        <f t="shared" si="147"/>
        <v/>
      </c>
      <c r="B698" s="38" t="str">
        <f t="shared" si="143"/>
        <v/>
      </c>
      <c r="C698" s="38" t="str">
        <f t="shared" si="148"/>
        <v/>
      </c>
      <c r="D698" s="38" t="str">
        <f t="shared" si="149"/>
        <v/>
      </c>
      <c r="E698" s="38" t="str">
        <f t="shared" si="150"/>
        <v/>
      </c>
      <c r="F698" s="38" t="str">
        <f t="shared" si="151"/>
        <v/>
      </c>
      <c r="G698" s="38" t="str">
        <f t="shared" si="144"/>
        <v/>
      </c>
      <c r="H698" s="38"/>
      <c r="J698" t="str">
        <f t="shared" si="155"/>
        <v/>
      </c>
      <c r="K698" s="38" t="str">
        <f t="shared" si="145"/>
        <v/>
      </c>
      <c r="L698" s="38" t="str">
        <f t="shared" si="142"/>
        <v/>
      </c>
      <c r="M698" s="38" t="str">
        <f t="shared" si="152"/>
        <v/>
      </c>
      <c r="N698" s="38" t="str">
        <f t="shared" si="153"/>
        <v/>
      </c>
      <c r="O698" s="38" t="str">
        <f t="shared" si="154"/>
        <v/>
      </c>
      <c r="P698" s="38" t="str">
        <f t="shared" si="146"/>
        <v/>
      </c>
      <c r="Q698" s="38"/>
    </row>
    <row r="699" spans="1:17" x14ac:dyDescent="0.2">
      <c r="A699" t="str">
        <f t="shared" si="147"/>
        <v/>
      </c>
      <c r="B699" s="38" t="str">
        <f t="shared" si="143"/>
        <v/>
      </c>
      <c r="C699" s="38" t="str">
        <f t="shared" si="148"/>
        <v/>
      </c>
      <c r="D699" s="38" t="str">
        <f t="shared" si="149"/>
        <v/>
      </c>
      <c r="E699" s="38" t="str">
        <f t="shared" si="150"/>
        <v/>
      </c>
      <c r="F699" s="38" t="str">
        <f t="shared" si="151"/>
        <v/>
      </c>
      <c r="G699" s="38" t="str">
        <f t="shared" si="144"/>
        <v/>
      </c>
      <c r="H699" s="38"/>
      <c r="J699" t="str">
        <f t="shared" si="155"/>
        <v/>
      </c>
      <c r="K699" s="38" t="str">
        <f t="shared" si="145"/>
        <v/>
      </c>
      <c r="L699" s="38" t="str">
        <f t="shared" si="142"/>
        <v/>
      </c>
      <c r="M699" s="38" t="str">
        <f t="shared" si="152"/>
        <v/>
      </c>
      <c r="N699" s="38" t="str">
        <f t="shared" si="153"/>
        <v/>
      </c>
      <c r="O699" s="38" t="str">
        <f t="shared" si="154"/>
        <v/>
      </c>
      <c r="P699" s="38" t="str">
        <f t="shared" si="146"/>
        <v/>
      </c>
      <c r="Q699" s="38"/>
    </row>
    <row r="700" spans="1:17" x14ac:dyDescent="0.2">
      <c r="A700" t="str">
        <f t="shared" si="147"/>
        <v/>
      </c>
      <c r="B700" s="38" t="str">
        <f t="shared" si="143"/>
        <v/>
      </c>
      <c r="C700" s="38" t="str">
        <f t="shared" si="148"/>
        <v/>
      </c>
      <c r="D700" s="38" t="str">
        <f t="shared" si="149"/>
        <v/>
      </c>
      <c r="E700" s="38" t="str">
        <f t="shared" si="150"/>
        <v/>
      </c>
      <c r="F700" s="38" t="str">
        <f t="shared" si="151"/>
        <v/>
      </c>
      <c r="G700" s="38" t="str">
        <f t="shared" si="144"/>
        <v/>
      </c>
      <c r="H700" s="38"/>
      <c r="J700" t="str">
        <f t="shared" si="155"/>
        <v/>
      </c>
      <c r="K700" s="38" t="str">
        <f t="shared" si="145"/>
        <v/>
      </c>
      <c r="L700" s="38" t="str">
        <f t="shared" si="142"/>
        <v/>
      </c>
      <c r="M700" s="38" t="str">
        <f t="shared" si="152"/>
        <v/>
      </c>
      <c r="N700" s="38" t="str">
        <f t="shared" si="153"/>
        <v/>
      </c>
      <c r="O700" s="38" t="str">
        <f t="shared" si="154"/>
        <v/>
      </c>
      <c r="P700" s="38" t="str">
        <f t="shared" si="146"/>
        <v/>
      </c>
      <c r="Q700" s="38"/>
    </row>
    <row r="701" spans="1:17" x14ac:dyDescent="0.2">
      <c r="A701" t="str">
        <f t="shared" si="147"/>
        <v/>
      </c>
      <c r="B701" s="38" t="str">
        <f t="shared" si="143"/>
        <v/>
      </c>
      <c r="C701" s="38" t="str">
        <f t="shared" si="148"/>
        <v/>
      </c>
      <c r="D701" s="38" t="str">
        <f t="shared" si="149"/>
        <v/>
      </c>
      <c r="E701" s="38" t="str">
        <f t="shared" si="150"/>
        <v/>
      </c>
      <c r="F701" s="38" t="str">
        <f t="shared" si="151"/>
        <v/>
      </c>
      <c r="G701" s="38" t="str">
        <f t="shared" si="144"/>
        <v/>
      </c>
      <c r="H701" s="38"/>
      <c r="J701" t="str">
        <f t="shared" si="155"/>
        <v/>
      </c>
      <c r="K701" s="38" t="str">
        <f t="shared" si="145"/>
        <v/>
      </c>
      <c r="L701" s="38" t="str">
        <f t="shared" si="142"/>
        <v/>
      </c>
      <c r="M701" s="38" t="str">
        <f t="shared" si="152"/>
        <v/>
      </c>
      <c r="N701" s="38" t="str">
        <f t="shared" si="153"/>
        <v/>
      </c>
      <c r="O701" s="38" t="str">
        <f t="shared" si="154"/>
        <v/>
      </c>
      <c r="P701" s="38" t="str">
        <f t="shared" si="146"/>
        <v/>
      </c>
      <c r="Q701" s="38"/>
    </row>
    <row r="702" spans="1:17" x14ac:dyDescent="0.2">
      <c r="A702" t="str">
        <f t="shared" si="147"/>
        <v/>
      </c>
      <c r="B702" s="38" t="str">
        <f t="shared" si="143"/>
        <v/>
      </c>
      <c r="C702" s="38" t="str">
        <f t="shared" si="148"/>
        <v/>
      </c>
      <c r="D702" s="38" t="str">
        <f t="shared" si="149"/>
        <v/>
      </c>
      <c r="E702" s="38" t="str">
        <f t="shared" si="150"/>
        <v/>
      </c>
      <c r="F702" s="38" t="str">
        <f t="shared" si="151"/>
        <v/>
      </c>
      <c r="G702" s="38" t="str">
        <f t="shared" si="144"/>
        <v/>
      </c>
      <c r="H702" s="38"/>
      <c r="J702" t="str">
        <f t="shared" si="155"/>
        <v/>
      </c>
      <c r="K702" s="38" t="str">
        <f t="shared" si="145"/>
        <v/>
      </c>
      <c r="L702" s="38" t="str">
        <f t="shared" si="142"/>
        <v/>
      </c>
      <c r="M702" s="38" t="str">
        <f t="shared" si="152"/>
        <v/>
      </c>
      <c r="N702" s="38" t="str">
        <f t="shared" si="153"/>
        <v/>
      </c>
      <c r="O702" s="38" t="str">
        <f t="shared" si="154"/>
        <v/>
      </c>
      <c r="P702" s="38" t="str">
        <f t="shared" si="146"/>
        <v/>
      </c>
      <c r="Q702" s="38"/>
    </row>
    <row r="703" spans="1:17" x14ac:dyDescent="0.2">
      <c r="A703" t="str">
        <f t="shared" si="147"/>
        <v/>
      </c>
      <c r="B703" s="38" t="str">
        <f t="shared" si="143"/>
        <v/>
      </c>
      <c r="C703" s="38" t="str">
        <f t="shared" si="148"/>
        <v/>
      </c>
      <c r="D703" s="38" t="str">
        <f t="shared" si="149"/>
        <v/>
      </c>
      <c r="E703" s="38" t="str">
        <f t="shared" si="150"/>
        <v/>
      </c>
      <c r="F703" s="38" t="str">
        <f t="shared" si="151"/>
        <v/>
      </c>
      <c r="G703" s="38" t="str">
        <f t="shared" si="144"/>
        <v/>
      </c>
      <c r="H703" s="38"/>
      <c r="J703" t="str">
        <f t="shared" si="155"/>
        <v/>
      </c>
      <c r="K703" s="38" t="str">
        <f t="shared" si="145"/>
        <v/>
      </c>
      <c r="L703" s="38" t="str">
        <f t="shared" si="142"/>
        <v/>
      </c>
      <c r="M703" s="38" t="str">
        <f t="shared" si="152"/>
        <v/>
      </c>
      <c r="N703" s="38" t="str">
        <f t="shared" si="153"/>
        <v/>
      </c>
      <c r="O703" s="38" t="str">
        <f t="shared" si="154"/>
        <v/>
      </c>
      <c r="P703" s="38" t="str">
        <f t="shared" si="146"/>
        <v/>
      </c>
      <c r="Q703" s="38"/>
    </row>
    <row r="704" spans="1:17" x14ac:dyDescent="0.2">
      <c r="A704" t="str">
        <f t="shared" si="147"/>
        <v/>
      </c>
      <c r="B704" s="38" t="str">
        <f t="shared" si="143"/>
        <v/>
      </c>
      <c r="C704" s="38" t="str">
        <f t="shared" si="148"/>
        <v/>
      </c>
      <c r="D704" s="38" t="str">
        <f t="shared" si="149"/>
        <v/>
      </c>
      <c r="E704" s="38" t="str">
        <f t="shared" si="150"/>
        <v/>
      </c>
      <c r="F704" s="38" t="str">
        <f t="shared" si="151"/>
        <v/>
      </c>
      <c r="G704" s="38" t="str">
        <f t="shared" si="144"/>
        <v/>
      </c>
      <c r="H704" s="38"/>
      <c r="J704" t="str">
        <f t="shared" si="155"/>
        <v/>
      </c>
      <c r="K704" s="38" t="str">
        <f t="shared" si="145"/>
        <v/>
      </c>
      <c r="L704" s="38" t="str">
        <f t="shared" si="142"/>
        <v/>
      </c>
      <c r="M704" s="38" t="str">
        <f t="shared" si="152"/>
        <v/>
      </c>
      <c r="N704" s="38" t="str">
        <f t="shared" si="153"/>
        <v/>
      </c>
      <c r="O704" s="38" t="str">
        <f t="shared" si="154"/>
        <v/>
      </c>
      <c r="P704" s="38" t="str">
        <f t="shared" si="146"/>
        <v/>
      </c>
      <c r="Q704" s="38"/>
    </row>
    <row r="705" spans="1:17" x14ac:dyDescent="0.2">
      <c r="A705" t="str">
        <f t="shared" si="147"/>
        <v/>
      </c>
      <c r="B705" s="38" t="str">
        <f t="shared" si="143"/>
        <v/>
      </c>
      <c r="C705" s="38" t="str">
        <f t="shared" si="148"/>
        <v/>
      </c>
      <c r="D705" s="38" t="str">
        <f t="shared" si="149"/>
        <v/>
      </c>
      <c r="E705" s="38" t="str">
        <f t="shared" si="150"/>
        <v/>
      </c>
      <c r="F705" s="38" t="str">
        <f t="shared" si="151"/>
        <v/>
      </c>
      <c r="G705" s="38" t="str">
        <f t="shared" si="144"/>
        <v/>
      </c>
      <c r="H705" s="38"/>
      <c r="J705" t="str">
        <f t="shared" si="155"/>
        <v/>
      </c>
      <c r="K705" s="38" t="str">
        <f t="shared" si="145"/>
        <v/>
      </c>
      <c r="L705" s="38" t="str">
        <f t="shared" si="142"/>
        <v/>
      </c>
      <c r="M705" s="38" t="str">
        <f t="shared" si="152"/>
        <v/>
      </c>
      <c r="N705" s="38" t="str">
        <f t="shared" si="153"/>
        <v/>
      </c>
      <c r="O705" s="38" t="str">
        <f t="shared" si="154"/>
        <v/>
      </c>
      <c r="P705" s="38" t="str">
        <f t="shared" si="146"/>
        <v/>
      </c>
      <c r="Q705" s="38"/>
    </row>
    <row r="706" spans="1:17" x14ac:dyDescent="0.2">
      <c r="A706" t="str">
        <f t="shared" si="147"/>
        <v/>
      </c>
      <c r="B706" s="38" t="str">
        <f t="shared" si="143"/>
        <v/>
      </c>
      <c r="C706" s="38" t="str">
        <f t="shared" si="148"/>
        <v/>
      </c>
      <c r="D706" s="38" t="str">
        <f t="shared" si="149"/>
        <v/>
      </c>
      <c r="E706" s="38" t="str">
        <f t="shared" si="150"/>
        <v/>
      </c>
      <c r="F706" s="38" t="str">
        <f t="shared" si="151"/>
        <v/>
      </c>
      <c r="G706" s="38" t="str">
        <f t="shared" si="144"/>
        <v/>
      </c>
      <c r="H706" s="38"/>
      <c r="J706" t="str">
        <f t="shared" si="155"/>
        <v/>
      </c>
      <c r="K706" s="38" t="str">
        <f t="shared" si="145"/>
        <v/>
      </c>
      <c r="L706" s="38" t="str">
        <f t="shared" si="142"/>
        <v/>
      </c>
      <c r="M706" s="38" t="str">
        <f t="shared" si="152"/>
        <v/>
      </c>
      <c r="N706" s="38" t="str">
        <f t="shared" si="153"/>
        <v/>
      </c>
      <c r="O706" s="38" t="str">
        <f t="shared" si="154"/>
        <v/>
      </c>
      <c r="P706" s="38" t="str">
        <f t="shared" si="146"/>
        <v/>
      </c>
      <c r="Q706" s="38"/>
    </row>
    <row r="707" spans="1:17" x14ac:dyDescent="0.2">
      <c r="A707" t="str">
        <f t="shared" si="147"/>
        <v/>
      </c>
      <c r="B707" s="38" t="str">
        <f t="shared" si="143"/>
        <v/>
      </c>
      <c r="C707" s="38" t="str">
        <f t="shared" si="148"/>
        <v/>
      </c>
      <c r="D707" s="38" t="str">
        <f t="shared" si="149"/>
        <v/>
      </c>
      <c r="E707" s="38" t="str">
        <f t="shared" si="150"/>
        <v/>
      </c>
      <c r="F707" s="38" t="str">
        <f t="shared" si="151"/>
        <v/>
      </c>
      <c r="G707" s="38" t="str">
        <f t="shared" si="144"/>
        <v/>
      </c>
      <c r="H707" s="38"/>
      <c r="J707" t="str">
        <f t="shared" si="155"/>
        <v/>
      </c>
      <c r="K707" s="38" t="str">
        <f t="shared" si="145"/>
        <v/>
      </c>
      <c r="L707" s="38" t="str">
        <f t="shared" si="142"/>
        <v/>
      </c>
      <c r="M707" s="38" t="str">
        <f t="shared" si="152"/>
        <v/>
      </c>
      <c r="N707" s="38" t="str">
        <f t="shared" si="153"/>
        <v/>
      </c>
      <c r="O707" s="38" t="str">
        <f t="shared" si="154"/>
        <v/>
      </c>
      <c r="P707" s="38" t="str">
        <f t="shared" si="146"/>
        <v/>
      </c>
      <c r="Q707" s="38"/>
    </row>
    <row r="708" spans="1:17" x14ac:dyDescent="0.2">
      <c r="A708" t="str">
        <f t="shared" si="147"/>
        <v/>
      </c>
      <c r="B708" s="38" t="str">
        <f t="shared" si="143"/>
        <v/>
      </c>
      <c r="C708" s="38" t="str">
        <f t="shared" si="148"/>
        <v/>
      </c>
      <c r="D708" s="38" t="str">
        <f t="shared" si="149"/>
        <v/>
      </c>
      <c r="E708" s="38" t="str">
        <f t="shared" si="150"/>
        <v/>
      </c>
      <c r="F708" s="38" t="str">
        <f t="shared" si="151"/>
        <v/>
      </c>
      <c r="G708" s="38" t="str">
        <f t="shared" si="144"/>
        <v/>
      </c>
      <c r="H708" s="38"/>
      <c r="J708" t="str">
        <f t="shared" si="155"/>
        <v/>
      </c>
      <c r="K708" s="38" t="str">
        <f t="shared" si="145"/>
        <v/>
      </c>
      <c r="L708" s="38" t="str">
        <f t="shared" si="142"/>
        <v/>
      </c>
      <c r="M708" s="38" t="str">
        <f t="shared" si="152"/>
        <v/>
      </c>
      <c r="N708" s="38" t="str">
        <f t="shared" si="153"/>
        <v/>
      </c>
      <c r="O708" s="38" t="str">
        <f t="shared" si="154"/>
        <v/>
      </c>
      <c r="P708" s="38" t="str">
        <f t="shared" si="146"/>
        <v/>
      </c>
      <c r="Q708" s="38"/>
    </row>
    <row r="709" spans="1:17" x14ac:dyDescent="0.2">
      <c r="A709" t="str">
        <f t="shared" si="147"/>
        <v/>
      </c>
      <c r="B709" s="38" t="str">
        <f t="shared" si="143"/>
        <v/>
      </c>
      <c r="C709" s="38" t="str">
        <f t="shared" si="148"/>
        <v/>
      </c>
      <c r="D709" s="38" t="str">
        <f t="shared" si="149"/>
        <v/>
      </c>
      <c r="E709" s="38" t="str">
        <f t="shared" si="150"/>
        <v/>
      </c>
      <c r="F709" s="38" t="str">
        <f t="shared" si="151"/>
        <v/>
      </c>
      <c r="G709" s="38" t="str">
        <f t="shared" si="144"/>
        <v/>
      </c>
      <c r="H709" s="38"/>
      <c r="J709" t="str">
        <f t="shared" si="155"/>
        <v/>
      </c>
      <c r="K709" s="38" t="str">
        <f t="shared" si="145"/>
        <v/>
      </c>
      <c r="L709" s="38" t="str">
        <f t="shared" si="142"/>
        <v/>
      </c>
      <c r="M709" s="38" t="str">
        <f t="shared" si="152"/>
        <v/>
      </c>
      <c r="N709" s="38" t="str">
        <f t="shared" si="153"/>
        <v/>
      </c>
      <c r="O709" s="38" t="str">
        <f t="shared" si="154"/>
        <v/>
      </c>
      <c r="P709" s="38" t="str">
        <f t="shared" si="146"/>
        <v/>
      </c>
      <c r="Q709" s="38"/>
    </row>
    <row r="710" spans="1:17" x14ac:dyDescent="0.2">
      <c r="A710" t="str">
        <f t="shared" si="147"/>
        <v/>
      </c>
      <c r="B710" s="38" t="str">
        <f t="shared" si="143"/>
        <v/>
      </c>
      <c r="C710" s="38" t="str">
        <f t="shared" si="148"/>
        <v/>
      </c>
      <c r="D710" s="38" t="str">
        <f t="shared" si="149"/>
        <v/>
      </c>
      <c r="E710" s="38" t="str">
        <f t="shared" si="150"/>
        <v/>
      </c>
      <c r="F710" s="38" t="str">
        <f t="shared" si="151"/>
        <v/>
      </c>
      <c r="G710" s="38" t="str">
        <f t="shared" si="144"/>
        <v/>
      </c>
      <c r="H710" s="38"/>
      <c r="J710" t="str">
        <f t="shared" si="155"/>
        <v/>
      </c>
      <c r="K710" s="38" t="str">
        <f t="shared" si="145"/>
        <v/>
      </c>
      <c r="L710" s="38" t="str">
        <f t="shared" si="142"/>
        <v/>
      </c>
      <c r="M710" s="38" t="str">
        <f t="shared" si="152"/>
        <v/>
      </c>
      <c r="N710" s="38" t="str">
        <f t="shared" si="153"/>
        <v/>
      </c>
      <c r="O710" s="38" t="str">
        <f t="shared" si="154"/>
        <v/>
      </c>
      <c r="P710" s="38" t="str">
        <f t="shared" si="146"/>
        <v/>
      </c>
      <c r="Q710" s="38"/>
    </row>
    <row r="711" spans="1:17" x14ac:dyDescent="0.2">
      <c r="A711" t="str">
        <f t="shared" si="147"/>
        <v/>
      </c>
      <c r="B711" s="38" t="str">
        <f t="shared" si="143"/>
        <v/>
      </c>
      <c r="C711" s="38" t="str">
        <f t="shared" si="148"/>
        <v/>
      </c>
      <c r="D711" s="38" t="str">
        <f t="shared" si="149"/>
        <v/>
      </c>
      <c r="E711" s="38" t="str">
        <f t="shared" si="150"/>
        <v/>
      </c>
      <c r="F711" s="38" t="str">
        <f t="shared" si="151"/>
        <v/>
      </c>
      <c r="G711" s="38" t="str">
        <f t="shared" si="144"/>
        <v/>
      </c>
      <c r="H711" s="38"/>
      <c r="J711" t="str">
        <f t="shared" si="155"/>
        <v/>
      </c>
      <c r="K711" s="38" t="str">
        <f t="shared" si="145"/>
        <v/>
      </c>
      <c r="L711" s="38" t="str">
        <f t="shared" si="142"/>
        <v/>
      </c>
      <c r="M711" s="38" t="str">
        <f t="shared" si="152"/>
        <v/>
      </c>
      <c r="N711" s="38" t="str">
        <f t="shared" si="153"/>
        <v/>
      </c>
      <c r="O711" s="38" t="str">
        <f t="shared" si="154"/>
        <v/>
      </c>
      <c r="P711" s="38" t="str">
        <f t="shared" si="146"/>
        <v/>
      </c>
      <c r="Q711" s="38"/>
    </row>
    <row r="712" spans="1:17" x14ac:dyDescent="0.2">
      <c r="A712" t="str">
        <f t="shared" si="147"/>
        <v/>
      </c>
      <c r="B712" s="38" t="str">
        <f t="shared" si="143"/>
        <v/>
      </c>
      <c r="C712" s="38" t="str">
        <f t="shared" si="148"/>
        <v/>
      </c>
      <c r="D712" s="38" t="str">
        <f t="shared" si="149"/>
        <v/>
      </c>
      <c r="E712" s="38" t="str">
        <f t="shared" si="150"/>
        <v/>
      </c>
      <c r="F712" s="38" t="str">
        <f t="shared" si="151"/>
        <v/>
      </c>
      <c r="G712" s="38" t="str">
        <f t="shared" si="144"/>
        <v/>
      </c>
      <c r="H712" s="38"/>
      <c r="J712" t="str">
        <f t="shared" si="155"/>
        <v/>
      </c>
      <c r="K712" s="38" t="str">
        <f t="shared" si="145"/>
        <v/>
      </c>
      <c r="L712" s="38" t="str">
        <f t="shared" si="142"/>
        <v/>
      </c>
      <c r="M712" s="38" t="str">
        <f t="shared" si="152"/>
        <v/>
      </c>
      <c r="N712" s="38" t="str">
        <f t="shared" si="153"/>
        <v/>
      </c>
      <c r="O712" s="38" t="str">
        <f t="shared" si="154"/>
        <v/>
      </c>
      <c r="P712" s="38" t="str">
        <f t="shared" si="146"/>
        <v/>
      </c>
      <c r="Q712" s="38"/>
    </row>
    <row r="713" spans="1:17" x14ac:dyDescent="0.2">
      <c r="A713" t="str">
        <f t="shared" si="147"/>
        <v/>
      </c>
      <c r="B713" s="38" t="str">
        <f t="shared" si="143"/>
        <v/>
      </c>
      <c r="C713" s="38" t="str">
        <f t="shared" si="148"/>
        <v/>
      </c>
      <c r="D713" s="38" t="str">
        <f t="shared" si="149"/>
        <v/>
      </c>
      <c r="E713" s="38" t="str">
        <f t="shared" si="150"/>
        <v/>
      </c>
      <c r="F713" s="38" t="str">
        <f t="shared" si="151"/>
        <v/>
      </c>
      <c r="G713" s="38" t="str">
        <f t="shared" si="144"/>
        <v/>
      </c>
      <c r="H713" s="38"/>
      <c r="J713" t="str">
        <f t="shared" si="155"/>
        <v/>
      </c>
      <c r="K713" s="38" t="str">
        <f t="shared" si="145"/>
        <v/>
      </c>
      <c r="L713" s="38" t="str">
        <f t="shared" si="142"/>
        <v/>
      </c>
      <c r="M713" s="38" t="str">
        <f t="shared" si="152"/>
        <v/>
      </c>
      <c r="N713" s="38" t="str">
        <f t="shared" si="153"/>
        <v/>
      </c>
      <c r="O713" s="38" t="str">
        <f t="shared" si="154"/>
        <v/>
      </c>
      <c r="P713" s="38" t="str">
        <f t="shared" si="146"/>
        <v/>
      </c>
      <c r="Q713" s="38"/>
    </row>
    <row r="714" spans="1:17" x14ac:dyDescent="0.2">
      <c r="A714" t="str">
        <f t="shared" si="147"/>
        <v/>
      </c>
      <c r="B714" s="38" t="str">
        <f t="shared" si="143"/>
        <v/>
      </c>
      <c r="C714" s="38" t="str">
        <f t="shared" si="148"/>
        <v/>
      </c>
      <c r="D714" s="38" t="str">
        <f t="shared" si="149"/>
        <v/>
      </c>
      <c r="E714" s="38" t="str">
        <f t="shared" si="150"/>
        <v/>
      </c>
      <c r="F714" s="38" t="str">
        <f t="shared" si="151"/>
        <v/>
      </c>
      <c r="G714" s="38" t="str">
        <f t="shared" si="144"/>
        <v/>
      </c>
      <c r="H714" s="38"/>
      <c r="J714" t="str">
        <f t="shared" si="155"/>
        <v/>
      </c>
      <c r="K714" s="38" t="str">
        <f t="shared" si="145"/>
        <v/>
      </c>
      <c r="L714" s="38" t="str">
        <f t="shared" si="142"/>
        <v/>
      </c>
      <c r="M714" s="38" t="str">
        <f t="shared" si="152"/>
        <v/>
      </c>
      <c r="N714" s="38" t="str">
        <f t="shared" si="153"/>
        <v/>
      </c>
      <c r="O714" s="38" t="str">
        <f t="shared" si="154"/>
        <v/>
      </c>
      <c r="P714" s="38" t="str">
        <f t="shared" si="146"/>
        <v/>
      </c>
      <c r="Q714" s="38"/>
    </row>
    <row r="715" spans="1:17" x14ac:dyDescent="0.2">
      <c r="A715" t="str">
        <f t="shared" si="147"/>
        <v/>
      </c>
      <c r="B715" s="38" t="str">
        <f t="shared" si="143"/>
        <v/>
      </c>
      <c r="C715" s="38" t="str">
        <f t="shared" si="148"/>
        <v/>
      </c>
      <c r="D715" s="38" t="str">
        <f t="shared" si="149"/>
        <v/>
      </c>
      <c r="E715" s="38" t="str">
        <f t="shared" si="150"/>
        <v/>
      </c>
      <c r="F715" s="38" t="str">
        <f t="shared" si="151"/>
        <v/>
      </c>
      <c r="G715" s="38" t="str">
        <f t="shared" si="144"/>
        <v/>
      </c>
      <c r="H715" s="38"/>
      <c r="J715" t="str">
        <f t="shared" si="155"/>
        <v/>
      </c>
      <c r="K715" s="38" t="str">
        <f t="shared" si="145"/>
        <v/>
      </c>
      <c r="L715" s="38" t="str">
        <f t="shared" si="142"/>
        <v/>
      </c>
      <c r="M715" s="38" t="str">
        <f t="shared" si="152"/>
        <v/>
      </c>
      <c r="N715" s="38" t="str">
        <f t="shared" si="153"/>
        <v/>
      </c>
      <c r="O715" s="38" t="str">
        <f t="shared" si="154"/>
        <v/>
      </c>
      <c r="P715" s="38" t="str">
        <f t="shared" si="146"/>
        <v/>
      </c>
      <c r="Q715" s="38"/>
    </row>
    <row r="716" spans="1:17" x14ac:dyDescent="0.2">
      <c r="A716" t="str">
        <f t="shared" si="147"/>
        <v/>
      </c>
      <c r="B716" s="38" t="str">
        <f t="shared" si="143"/>
        <v/>
      </c>
      <c r="C716" s="38" t="str">
        <f t="shared" si="148"/>
        <v/>
      </c>
      <c r="D716" s="38" t="str">
        <f t="shared" si="149"/>
        <v/>
      </c>
      <c r="E716" s="38" t="str">
        <f t="shared" si="150"/>
        <v/>
      </c>
      <c r="F716" s="38" t="str">
        <f t="shared" si="151"/>
        <v/>
      </c>
      <c r="G716" s="38" t="str">
        <f t="shared" si="144"/>
        <v/>
      </c>
      <c r="H716" s="38"/>
      <c r="J716" t="str">
        <f t="shared" si="155"/>
        <v/>
      </c>
      <c r="K716" s="38" t="str">
        <f t="shared" si="145"/>
        <v/>
      </c>
      <c r="L716" s="38" t="str">
        <f t="shared" si="142"/>
        <v/>
      </c>
      <c r="M716" s="38" t="str">
        <f t="shared" si="152"/>
        <v/>
      </c>
      <c r="N716" s="38" t="str">
        <f t="shared" si="153"/>
        <v/>
      </c>
      <c r="O716" s="38" t="str">
        <f t="shared" si="154"/>
        <v/>
      </c>
      <c r="P716" s="38" t="str">
        <f t="shared" si="146"/>
        <v/>
      </c>
      <c r="Q716" s="38"/>
    </row>
    <row r="717" spans="1:17" x14ac:dyDescent="0.2">
      <c r="A717" t="str">
        <f t="shared" si="147"/>
        <v/>
      </c>
      <c r="B717" s="38" t="str">
        <f t="shared" si="143"/>
        <v/>
      </c>
      <c r="C717" s="38" t="str">
        <f t="shared" si="148"/>
        <v/>
      </c>
      <c r="D717" s="38" t="str">
        <f t="shared" si="149"/>
        <v/>
      </c>
      <c r="E717" s="38" t="str">
        <f t="shared" si="150"/>
        <v/>
      </c>
      <c r="F717" s="38" t="str">
        <f t="shared" si="151"/>
        <v/>
      </c>
      <c r="G717" s="38" t="str">
        <f t="shared" si="144"/>
        <v/>
      </c>
      <c r="H717" s="38"/>
      <c r="J717" t="str">
        <f t="shared" si="155"/>
        <v/>
      </c>
      <c r="K717" s="38" t="str">
        <f t="shared" si="145"/>
        <v/>
      </c>
      <c r="L717" s="38" t="str">
        <f t="shared" si="142"/>
        <v/>
      </c>
      <c r="M717" s="38" t="str">
        <f t="shared" si="152"/>
        <v/>
      </c>
      <c r="N717" s="38" t="str">
        <f t="shared" si="153"/>
        <v/>
      </c>
      <c r="O717" s="38" t="str">
        <f t="shared" si="154"/>
        <v/>
      </c>
      <c r="P717" s="38" t="str">
        <f t="shared" si="146"/>
        <v/>
      </c>
      <c r="Q717" s="38"/>
    </row>
    <row r="718" spans="1:17" x14ac:dyDescent="0.2">
      <c r="A718" t="str">
        <f t="shared" si="147"/>
        <v/>
      </c>
      <c r="B718" s="38" t="str">
        <f t="shared" si="143"/>
        <v/>
      </c>
      <c r="C718" s="38" t="str">
        <f t="shared" si="148"/>
        <v/>
      </c>
      <c r="D718" s="38" t="str">
        <f t="shared" si="149"/>
        <v/>
      </c>
      <c r="E718" s="38" t="str">
        <f t="shared" si="150"/>
        <v/>
      </c>
      <c r="F718" s="38" t="str">
        <f t="shared" si="151"/>
        <v/>
      </c>
      <c r="G718" s="38" t="str">
        <f t="shared" si="144"/>
        <v/>
      </c>
      <c r="H718" s="38"/>
      <c r="J718" t="str">
        <f t="shared" si="155"/>
        <v/>
      </c>
      <c r="K718" s="38" t="str">
        <f t="shared" si="145"/>
        <v/>
      </c>
      <c r="L718" s="38" t="str">
        <f t="shared" si="142"/>
        <v/>
      </c>
      <c r="M718" s="38" t="str">
        <f t="shared" si="152"/>
        <v/>
      </c>
      <c r="N718" s="38" t="str">
        <f t="shared" si="153"/>
        <v/>
      </c>
      <c r="O718" s="38" t="str">
        <f t="shared" si="154"/>
        <v/>
      </c>
      <c r="P718" s="38" t="str">
        <f t="shared" si="146"/>
        <v/>
      </c>
      <c r="Q718" s="38"/>
    </row>
    <row r="719" spans="1:17" x14ac:dyDescent="0.2">
      <c r="A719" t="str">
        <f t="shared" si="147"/>
        <v/>
      </c>
      <c r="B719" s="38" t="str">
        <f t="shared" si="143"/>
        <v/>
      </c>
      <c r="C719" s="38" t="str">
        <f t="shared" si="148"/>
        <v/>
      </c>
      <c r="D719" s="38" t="str">
        <f t="shared" si="149"/>
        <v/>
      </c>
      <c r="E719" s="38" t="str">
        <f t="shared" si="150"/>
        <v/>
      </c>
      <c r="F719" s="38" t="str">
        <f t="shared" si="151"/>
        <v/>
      </c>
      <c r="G719" s="38" t="str">
        <f t="shared" si="144"/>
        <v/>
      </c>
      <c r="H719" s="38"/>
      <c r="J719" t="str">
        <f t="shared" si="155"/>
        <v/>
      </c>
      <c r="K719" s="38" t="str">
        <f t="shared" si="145"/>
        <v/>
      </c>
      <c r="L719" s="38" t="str">
        <f t="shared" ref="L719:L782" si="156">IF(J719="","",((K719 + M719)*$B$6))</f>
        <v/>
      </c>
      <c r="M719" s="38" t="str">
        <f t="shared" si="152"/>
        <v/>
      </c>
      <c r="N719" s="38" t="str">
        <f t="shared" si="153"/>
        <v/>
      </c>
      <c r="O719" s="38" t="str">
        <f t="shared" si="154"/>
        <v/>
      </c>
      <c r="P719" s="38" t="str">
        <f t="shared" si="146"/>
        <v/>
      </c>
      <c r="Q719" s="38"/>
    </row>
    <row r="720" spans="1:17" x14ac:dyDescent="0.2">
      <c r="A720" t="str">
        <f t="shared" si="147"/>
        <v/>
      </c>
      <c r="B720" s="38" t="str">
        <f t="shared" si="143"/>
        <v/>
      </c>
      <c r="C720" s="38" t="str">
        <f t="shared" si="148"/>
        <v/>
      </c>
      <c r="D720" s="38" t="str">
        <f t="shared" si="149"/>
        <v/>
      </c>
      <c r="E720" s="38" t="str">
        <f t="shared" si="150"/>
        <v/>
      </c>
      <c r="F720" s="38" t="str">
        <f t="shared" si="151"/>
        <v/>
      </c>
      <c r="G720" s="38" t="str">
        <f t="shared" si="144"/>
        <v/>
      </c>
      <c r="H720" s="38"/>
      <c r="J720" t="str">
        <f t="shared" si="155"/>
        <v/>
      </c>
      <c r="K720" s="38" t="str">
        <f t="shared" si="145"/>
        <v/>
      </c>
      <c r="L720" s="38" t="str">
        <f t="shared" si="156"/>
        <v/>
      </c>
      <c r="M720" s="38" t="str">
        <f t="shared" si="152"/>
        <v/>
      </c>
      <c r="N720" s="38" t="str">
        <f t="shared" si="153"/>
        <v/>
      </c>
      <c r="O720" s="38" t="str">
        <f t="shared" si="154"/>
        <v/>
      </c>
      <c r="P720" s="38" t="str">
        <f t="shared" si="146"/>
        <v/>
      </c>
      <c r="Q720" s="38"/>
    </row>
    <row r="721" spans="1:17" x14ac:dyDescent="0.2">
      <c r="A721" t="str">
        <f t="shared" si="147"/>
        <v/>
      </c>
      <c r="B721" s="38" t="str">
        <f t="shared" si="143"/>
        <v/>
      </c>
      <c r="C721" s="38" t="str">
        <f t="shared" si="148"/>
        <v/>
      </c>
      <c r="D721" s="38" t="str">
        <f t="shared" si="149"/>
        <v/>
      </c>
      <c r="E721" s="38" t="str">
        <f t="shared" si="150"/>
        <v/>
      </c>
      <c r="F721" s="38" t="str">
        <f t="shared" si="151"/>
        <v/>
      </c>
      <c r="G721" s="38" t="str">
        <f t="shared" si="144"/>
        <v/>
      </c>
      <c r="H721" s="38"/>
      <c r="J721" t="str">
        <f t="shared" si="155"/>
        <v/>
      </c>
      <c r="K721" s="38" t="str">
        <f t="shared" si="145"/>
        <v/>
      </c>
      <c r="L721" s="38" t="str">
        <f t="shared" si="156"/>
        <v/>
      </c>
      <c r="M721" s="38" t="str">
        <f t="shared" si="152"/>
        <v/>
      </c>
      <c r="N721" s="38" t="str">
        <f t="shared" si="153"/>
        <v/>
      </c>
      <c r="O721" s="38" t="str">
        <f t="shared" si="154"/>
        <v/>
      </c>
      <c r="P721" s="38" t="str">
        <f t="shared" si="146"/>
        <v/>
      </c>
      <c r="Q721" s="38"/>
    </row>
    <row r="722" spans="1:17" x14ac:dyDescent="0.2">
      <c r="A722" t="str">
        <f t="shared" si="147"/>
        <v/>
      </c>
      <c r="B722" s="38" t="str">
        <f t="shared" si="143"/>
        <v/>
      </c>
      <c r="C722" s="38" t="str">
        <f t="shared" si="148"/>
        <v/>
      </c>
      <c r="D722" s="38" t="str">
        <f t="shared" si="149"/>
        <v/>
      </c>
      <c r="E722" s="38" t="str">
        <f t="shared" si="150"/>
        <v/>
      </c>
      <c r="F722" s="38" t="str">
        <f t="shared" si="151"/>
        <v/>
      </c>
      <c r="G722" s="38" t="str">
        <f t="shared" si="144"/>
        <v/>
      </c>
      <c r="H722" s="38"/>
      <c r="J722" t="str">
        <f t="shared" si="155"/>
        <v/>
      </c>
      <c r="K722" s="38" t="str">
        <f t="shared" si="145"/>
        <v/>
      </c>
      <c r="L722" s="38" t="str">
        <f t="shared" si="156"/>
        <v/>
      </c>
      <c r="M722" s="38" t="str">
        <f t="shared" si="152"/>
        <v/>
      </c>
      <c r="N722" s="38" t="str">
        <f t="shared" si="153"/>
        <v/>
      </c>
      <c r="O722" s="38" t="str">
        <f t="shared" si="154"/>
        <v/>
      </c>
      <c r="P722" s="38" t="str">
        <f t="shared" si="146"/>
        <v/>
      </c>
      <c r="Q722" s="38"/>
    </row>
    <row r="723" spans="1:17" x14ac:dyDescent="0.2">
      <c r="A723" t="str">
        <f t="shared" si="147"/>
        <v/>
      </c>
      <c r="B723" s="38" t="str">
        <f t="shared" si="143"/>
        <v/>
      </c>
      <c r="C723" s="38" t="str">
        <f t="shared" si="148"/>
        <v/>
      </c>
      <c r="D723" s="38" t="str">
        <f t="shared" si="149"/>
        <v/>
      </c>
      <c r="E723" s="38" t="str">
        <f t="shared" si="150"/>
        <v/>
      </c>
      <c r="F723" s="38" t="str">
        <f t="shared" ref="F723:F786" si="157">IF(A723="","", B723-E723)</f>
        <v/>
      </c>
      <c r="G723" s="38" t="str">
        <f t="shared" si="144"/>
        <v/>
      </c>
      <c r="H723" s="38"/>
      <c r="J723" t="str">
        <f t="shared" si="155"/>
        <v/>
      </c>
      <c r="K723" s="38" t="str">
        <f t="shared" si="145"/>
        <v/>
      </c>
      <c r="L723" s="38" t="str">
        <f t="shared" si="156"/>
        <v/>
      </c>
      <c r="M723" s="38" t="str">
        <f t="shared" si="152"/>
        <v/>
      </c>
      <c r="N723" s="38" t="str">
        <f t="shared" si="153"/>
        <v/>
      </c>
      <c r="O723" s="38" t="str">
        <f t="shared" ref="O723:O754" si="158">IF(J723="","", K723-N723)</f>
        <v/>
      </c>
      <c r="P723" s="38" t="str">
        <f t="shared" si="146"/>
        <v/>
      </c>
      <c r="Q723" s="38"/>
    </row>
    <row r="724" spans="1:17" x14ac:dyDescent="0.2">
      <c r="A724" t="str">
        <f t="shared" si="147"/>
        <v/>
      </c>
      <c r="B724" s="38" t="str">
        <f t="shared" si="143"/>
        <v/>
      </c>
      <c r="C724" s="38" t="str">
        <f t="shared" si="148"/>
        <v/>
      </c>
      <c r="D724" s="38" t="str">
        <f t="shared" si="149"/>
        <v/>
      </c>
      <c r="E724" s="38" t="str">
        <f t="shared" si="150"/>
        <v/>
      </c>
      <c r="F724" s="38" t="str">
        <f t="shared" si="157"/>
        <v/>
      </c>
      <c r="G724" s="38" t="str">
        <f t="shared" si="144"/>
        <v/>
      </c>
      <c r="H724" s="38"/>
      <c r="J724" t="str">
        <f t="shared" si="155"/>
        <v/>
      </c>
      <c r="K724" s="38" t="str">
        <f t="shared" si="145"/>
        <v/>
      </c>
      <c r="L724" s="38" t="str">
        <f t="shared" si="156"/>
        <v/>
      </c>
      <c r="M724" s="38" t="str">
        <f t="shared" si="152"/>
        <v/>
      </c>
      <c r="N724" s="38" t="str">
        <f t="shared" si="153"/>
        <v/>
      </c>
      <c r="O724" s="38" t="str">
        <f t="shared" si="158"/>
        <v/>
      </c>
      <c r="P724" s="38" t="str">
        <f t="shared" si="146"/>
        <v/>
      </c>
      <c r="Q724" s="38"/>
    </row>
    <row r="725" spans="1:17" x14ac:dyDescent="0.2">
      <c r="A725" t="str">
        <f t="shared" si="147"/>
        <v/>
      </c>
      <c r="B725" s="38" t="str">
        <f t="shared" si="143"/>
        <v/>
      </c>
      <c r="C725" s="38" t="str">
        <f t="shared" si="148"/>
        <v/>
      </c>
      <c r="D725" s="38" t="str">
        <f t="shared" si="149"/>
        <v/>
      </c>
      <c r="E725" s="38" t="str">
        <f t="shared" si="150"/>
        <v/>
      </c>
      <c r="F725" s="38" t="str">
        <f t="shared" si="157"/>
        <v/>
      </c>
      <c r="G725" s="38" t="str">
        <f t="shared" si="144"/>
        <v/>
      </c>
      <c r="H725" s="38"/>
      <c r="J725" t="str">
        <f t="shared" si="155"/>
        <v/>
      </c>
      <c r="K725" s="38" t="str">
        <f t="shared" si="145"/>
        <v/>
      </c>
      <c r="L725" s="38" t="str">
        <f t="shared" si="156"/>
        <v/>
      </c>
      <c r="M725" s="38" t="str">
        <f t="shared" si="152"/>
        <v/>
      </c>
      <c r="N725" s="38" t="str">
        <f t="shared" si="153"/>
        <v/>
      </c>
      <c r="O725" s="38" t="str">
        <f t="shared" si="158"/>
        <v/>
      </c>
      <c r="P725" s="38" t="str">
        <f t="shared" si="146"/>
        <v/>
      </c>
      <c r="Q725" s="38"/>
    </row>
    <row r="726" spans="1:17" x14ac:dyDescent="0.2">
      <c r="A726" t="str">
        <f t="shared" si="147"/>
        <v/>
      </c>
      <c r="B726" s="38" t="str">
        <f t="shared" si="143"/>
        <v/>
      </c>
      <c r="C726" s="38" t="str">
        <f t="shared" si="148"/>
        <v/>
      </c>
      <c r="D726" s="38" t="str">
        <f t="shared" si="149"/>
        <v/>
      </c>
      <c r="E726" s="38" t="str">
        <f t="shared" si="150"/>
        <v/>
      </c>
      <c r="F726" s="38" t="str">
        <f t="shared" si="157"/>
        <v/>
      </c>
      <c r="G726" s="38" t="str">
        <f t="shared" si="144"/>
        <v/>
      </c>
      <c r="H726" s="38"/>
      <c r="J726" t="str">
        <f t="shared" si="155"/>
        <v/>
      </c>
      <c r="K726" s="38" t="str">
        <f t="shared" si="145"/>
        <v/>
      </c>
      <c r="L726" s="38" t="str">
        <f t="shared" si="156"/>
        <v/>
      </c>
      <c r="M726" s="38" t="str">
        <f t="shared" si="152"/>
        <v/>
      </c>
      <c r="N726" s="38" t="str">
        <f t="shared" si="153"/>
        <v/>
      </c>
      <c r="O726" s="38" t="str">
        <f t="shared" si="158"/>
        <v/>
      </c>
      <c r="P726" s="38" t="str">
        <f t="shared" si="146"/>
        <v/>
      </c>
      <c r="Q726" s="38"/>
    </row>
    <row r="727" spans="1:17" x14ac:dyDescent="0.2">
      <c r="A727" t="str">
        <f t="shared" si="147"/>
        <v/>
      </c>
      <c r="B727" s="38" t="str">
        <f t="shared" ref="B727:B790" si="159">IF(A727="","",F726)</f>
        <v/>
      </c>
      <c r="C727" s="38" t="str">
        <f t="shared" si="148"/>
        <v/>
      </c>
      <c r="D727" s="38" t="str">
        <f t="shared" si="149"/>
        <v/>
      </c>
      <c r="E727" s="38" t="str">
        <f t="shared" si="150"/>
        <v/>
      </c>
      <c r="F727" s="38" t="str">
        <f t="shared" si="157"/>
        <v/>
      </c>
      <c r="G727" s="38" t="str">
        <f t="shared" ref="G727:G790" si="160">IF(A727="","", (G726+C727))</f>
        <v/>
      </c>
      <c r="H727" s="38"/>
      <c r="J727" t="str">
        <f t="shared" si="155"/>
        <v/>
      </c>
      <c r="K727" s="38" t="str">
        <f t="shared" ref="K727:K790" si="161">IF(J727="","",O726)</f>
        <v/>
      </c>
      <c r="L727" s="38" t="str">
        <f t="shared" si="156"/>
        <v/>
      </c>
      <c r="M727" s="38" t="str">
        <f t="shared" si="152"/>
        <v/>
      </c>
      <c r="N727" s="38" t="str">
        <f t="shared" si="153"/>
        <v/>
      </c>
      <c r="O727" s="38" t="str">
        <f t="shared" si="158"/>
        <v/>
      </c>
      <c r="P727" s="38" t="str">
        <f t="shared" ref="P727:P790" si="162">IF(J727="","", (P726+L727))</f>
        <v/>
      </c>
      <c r="Q727" s="38"/>
    </row>
    <row r="728" spans="1:17" x14ac:dyDescent="0.2">
      <c r="A728" t="str">
        <f t="shared" ref="A728:A791" si="163">IF(A727&lt;($B$6*$B$7),A727+1,"")</f>
        <v/>
      </c>
      <c r="B728" s="38" t="str">
        <f t="shared" si="159"/>
        <v/>
      </c>
      <c r="C728" s="38" t="str">
        <f t="shared" ref="C728:C791" si="164">IF(A728="","",(B728*$B$6))</f>
        <v/>
      </c>
      <c r="D728" s="38" t="str">
        <f t="shared" ref="D728:D739" si="165">IF(A728="","", $B$3)</f>
        <v/>
      </c>
      <c r="E728" s="38" t="str">
        <f t="shared" ref="E728:E791" si="166">IF(D728="","",(D728-C728))</f>
        <v/>
      </c>
      <c r="F728" s="38" t="str">
        <f t="shared" si="157"/>
        <v/>
      </c>
      <c r="G728" s="38" t="str">
        <f t="shared" si="160"/>
        <v/>
      </c>
      <c r="H728" s="38"/>
      <c r="J728" t="str">
        <f t="shared" si="155"/>
        <v/>
      </c>
      <c r="K728" s="38" t="str">
        <f t="shared" si="161"/>
        <v/>
      </c>
      <c r="L728" s="38" t="str">
        <f t="shared" si="156"/>
        <v/>
      </c>
      <c r="M728" s="38" t="str">
        <f t="shared" ref="M728:M739" si="167">IF(J728="","", $B$3)</f>
        <v/>
      </c>
      <c r="N728" s="38" t="str">
        <f t="shared" ref="N728:N791" si="168">IF(M728="","",(M728-L728))</f>
        <v/>
      </c>
      <c r="O728" s="38" t="str">
        <f t="shared" si="158"/>
        <v/>
      </c>
      <c r="P728" s="38" t="str">
        <f t="shared" si="162"/>
        <v/>
      </c>
      <c r="Q728" s="38"/>
    </row>
    <row r="729" spans="1:17" x14ac:dyDescent="0.2">
      <c r="A729" t="str">
        <f t="shared" si="163"/>
        <v/>
      </c>
      <c r="B729" s="38" t="str">
        <f t="shared" si="159"/>
        <v/>
      </c>
      <c r="C729" s="38" t="str">
        <f t="shared" si="164"/>
        <v/>
      </c>
      <c r="D729" s="38" t="str">
        <f t="shared" si="165"/>
        <v/>
      </c>
      <c r="E729" s="38" t="str">
        <f t="shared" si="166"/>
        <v/>
      </c>
      <c r="F729" s="38" t="str">
        <f t="shared" si="157"/>
        <v/>
      </c>
      <c r="G729" s="38" t="str">
        <f t="shared" si="160"/>
        <v/>
      </c>
      <c r="H729" s="38"/>
      <c r="J729" t="str">
        <f t="shared" si="155"/>
        <v/>
      </c>
      <c r="K729" s="38" t="str">
        <f t="shared" si="161"/>
        <v/>
      </c>
      <c r="L729" s="38" t="str">
        <f t="shared" si="156"/>
        <v/>
      </c>
      <c r="M729" s="38" t="str">
        <f t="shared" si="167"/>
        <v/>
      </c>
      <c r="N729" s="38" t="str">
        <f t="shared" si="168"/>
        <v/>
      </c>
      <c r="O729" s="38" t="str">
        <f t="shared" si="158"/>
        <v/>
      </c>
      <c r="P729" s="38" t="str">
        <f t="shared" si="162"/>
        <v/>
      </c>
      <c r="Q729" s="38"/>
    </row>
    <row r="730" spans="1:17" x14ac:dyDescent="0.2">
      <c r="A730" t="str">
        <f t="shared" si="163"/>
        <v/>
      </c>
      <c r="B730" s="38" t="str">
        <f t="shared" si="159"/>
        <v/>
      </c>
      <c r="C730" s="38" t="str">
        <f t="shared" si="164"/>
        <v/>
      </c>
      <c r="D730" s="38" t="str">
        <f t="shared" si="165"/>
        <v/>
      </c>
      <c r="E730" s="38" t="str">
        <f t="shared" si="166"/>
        <v/>
      </c>
      <c r="F730" s="38" t="str">
        <f t="shared" si="157"/>
        <v/>
      </c>
      <c r="G730" s="38" t="str">
        <f t="shared" si="160"/>
        <v/>
      </c>
      <c r="H730" s="38"/>
      <c r="J730" t="str">
        <f t="shared" si="155"/>
        <v/>
      </c>
      <c r="K730" s="38" t="str">
        <f t="shared" si="161"/>
        <v/>
      </c>
      <c r="L730" s="38" t="str">
        <f t="shared" si="156"/>
        <v/>
      </c>
      <c r="M730" s="38" t="str">
        <f t="shared" si="167"/>
        <v/>
      </c>
      <c r="N730" s="38" t="str">
        <f t="shared" si="168"/>
        <v/>
      </c>
      <c r="O730" s="38" t="str">
        <f t="shared" si="158"/>
        <v/>
      </c>
      <c r="P730" s="38" t="str">
        <f t="shared" si="162"/>
        <v/>
      </c>
      <c r="Q730" s="38"/>
    </row>
    <row r="731" spans="1:17" x14ac:dyDescent="0.2">
      <c r="A731" t="str">
        <f t="shared" si="163"/>
        <v/>
      </c>
      <c r="B731" s="38" t="str">
        <f t="shared" si="159"/>
        <v/>
      </c>
      <c r="C731" s="38" t="str">
        <f t="shared" si="164"/>
        <v/>
      </c>
      <c r="D731" s="38" t="str">
        <f t="shared" si="165"/>
        <v/>
      </c>
      <c r="E731" s="38" t="str">
        <f t="shared" si="166"/>
        <v/>
      </c>
      <c r="F731" s="38" t="str">
        <f t="shared" si="157"/>
        <v/>
      </c>
      <c r="G731" s="38" t="str">
        <f t="shared" si="160"/>
        <v/>
      </c>
      <c r="H731" s="38"/>
      <c r="J731" t="str">
        <f t="shared" si="155"/>
        <v/>
      </c>
      <c r="K731" s="38" t="str">
        <f t="shared" si="161"/>
        <v/>
      </c>
      <c r="L731" s="38" t="str">
        <f t="shared" si="156"/>
        <v/>
      </c>
      <c r="M731" s="38" t="str">
        <f t="shared" si="167"/>
        <v/>
      </c>
      <c r="N731" s="38" t="str">
        <f t="shared" si="168"/>
        <v/>
      </c>
      <c r="O731" s="38" t="str">
        <f t="shared" si="158"/>
        <v/>
      </c>
      <c r="P731" s="38" t="str">
        <f t="shared" si="162"/>
        <v/>
      </c>
      <c r="Q731" s="38"/>
    </row>
    <row r="732" spans="1:17" x14ac:dyDescent="0.2">
      <c r="A732" t="str">
        <f t="shared" si="163"/>
        <v/>
      </c>
      <c r="B732" s="38" t="str">
        <f t="shared" si="159"/>
        <v/>
      </c>
      <c r="C732" s="38" t="str">
        <f t="shared" si="164"/>
        <v/>
      </c>
      <c r="D732" s="38" t="str">
        <f t="shared" si="165"/>
        <v/>
      </c>
      <c r="E732" s="38" t="str">
        <f t="shared" si="166"/>
        <v/>
      </c>
      <c r="F732" s="38" t="str">
        <f t="shared" si="157"/>
        <v/>
      </c>
      <c r="G732" s="38" t="str">
        <f t="shared" si="160"/>
        <v/>
      </c>
      <c r="H732" s="38"/>
      <c r="J732" t="str">
        <f t="shared" si="155"/>
        <v/>
      </c>
      <c r="K732" s="38" t="str">
        <f t="shared" si="161"/>
        <v/>
      </c>
      <c r="L732" s="38" t="str">
        <f t="shared" si="156"/>
        <v/>
      </c>
      <c r="M732" s="38" t="str">
        <f t="shared" si="167"/>
        <v/>
      </c>
      <c r="N732" s="38" t="str">
        <f t="shared" si="168"/>
        <v/>
      </c>
      <c r="O732" s="38" t="str">
        <f t="shared" si="158"/>
        <v/>
      </c>
      <c r="P732" s="38" t="str">
        <f t="shared" si="162"/>
        <v/>
      </c>
      <c r="Q732" s="38"/>
    </row>
    <row r="733" spans="1:17" x14ac:dyDescent="0.2">
      <c r="A733" t="str">
        <f t="shared" si="163"/>
        <v/>
      </c>
      <c r="B733" s="38" t="str">
        <f t="shared" si="159"/>
        <v/>
      </c>
      <c r="C733" s="38" t="str">
        <f t="shared" si="164"/>
        <v/>
      </c>
      <c r="D733" s="38" t="str">
        <f t="shared" si="165"/>
        <v/>
      </c>
      <c r="E733" s="38" t="str">
        <f t="shared" si="166"/>
        <v/>
      </c>
      <c r="F733" s="38" t="str">
        <f t="shared" si="157"/>
        <v/>
      </c>
      <c r="G733" s="38" t="str">
        <f t="shared" si="160"/>
        <v/>
      </c>
      <c r="H733" s="38"/>
      <c r="J733" t="str">
        <f t="shared" si="155"/>
        <v/>
      </c>
      <c r="K733" s="38" t="str">
        <f t="shared" si="161"/>
        <v/>
      </c>
      <c r="L733" s="38" t="str">
        <f t="shared" si="156"/>
        <v/>
      </c>
      <c r="M733" s="38" t="str">
        <f t="shared" si="167"/>
        <v/>
      </c>
      <c r="N733" s="38" t="str">
        <f t="shared" si="168"/>
        <v/>
      </c>
      <c r="O733" s="38" t="str">
        <f t="shared" si="158"/>
        <v/>
      </c>
      <c r="P733" s="38" t="str">
        <f t="shared" si="162"/>
        <v/>
      </c>
      <c r="Q733" s="38"/>
    </row>
    <row r="734" spans="1:17" x14ac:dyDescent="0.2">
      <c r="A734" t="str">
        <f t="shared" si="163"/>
        <v/>
      </c>
      <c r="B734" s="38" t="str">
        <f t="shared" si="159"/>
        <v/>
      </c>
      <c r="C734" s="38" t="str">
        <f t="shared" si="164"/>
        <v/>
      </c>
      <c r="D734" s="38" t="str">
        <f t="shared" si="165"/>
        <v/>
      </c>
      <c r="E734" s="38" t="str">
        <f t="shared" si="166"/>
        <v/>
      </c>
      <c r="F734" s="38" t="str">
        <f t="shared" si="157"/>
        <v/>
      </c>
      <c r="G734" s="38" t="str">
        <f t="shared" si="160"/>
        <v/>
      </c>
      <c r="H734" s="38"/>
      <c r="J734" t="str">
        <f t="shared" si="155"/>
        <v/>
      </c>
      <c r="K734" s="38" t="str">
        <f t="shared" si="161"/>
        <v/>
      </c>
      <c r="L734" s="38" t="str">
        <f t="shared" si="156"/>
        <v/>
      </c>
      <c r="M734" s="38" t="str">
        <f t="shared" si="167"/>
        <v/>
      </c>
      <c r="N734" s="38" t="str">
        <f t="shared" si="168"/>
        <v/>
      </c>
      <c r="O734" s="38" t="str">
        <f t="shared" si="158"/>
        <v/>
      </c>
      <c r="P734" s="38" t="str">
        <f t="shared" si="162"/>
        <v/>
      </c>
      <c r="Q734" s="38"/>
    </row>
    <row r="735" spans="1:17" x14ac:dyDescent="0.2">
      <c r="A735" t="str">
        <f t="shared" si="163"/>
        <v/>
      </c>
      <c r="B735" s="38" t="str">
        <f t="shared" si="159"/>
        <v/>
      </c>
      <c r="C735" s="38" t="str">
        <f t="shared" si="164"/>
        <v/>
      </c>
      <c r="D735" s="38" t="str">
        <f t="shared" si="165"/>
        <v/>
      </c>
      <c r="E735" s="38" t="str">
        <f t="shared" si="166"/>
        <v/>
      </c>
      <c r="F735" s="38" t="str">
        <f t="shared" si="157"/>
        <v/>
      </c>
      <c r="G735" s="38" t="str">
        <f t="shared" si="160"/>
        <v/>
      </c>
      <c r="H735" s="38"/>
      <c r="J735" t="str">
        <f t="shared" si="155"/>
        <v/>
      </c>
      <c r="K735" s="38" t="str">
        <f t="shared" si="161"/>
        <v/>
      </c>
      <c r="L735" s="38" t="str">
        <f t="shared" si="156"/>
        <v/>
      </c>
      <c r="M735" s="38" t="str">
        <f t="shared" si="167"/>
        <v/>
      </c>
      <c r="N735" s="38" t="str">
        <f t="shared" si="168"/>
        <v/>
      </c>
      <c r="O735" s="38" t="str">
        <f t="shared" si="158"/>
        <v/>
      </c>
      <c r="P735" s="38" t="str">
        <f t="shared" si="162"/>
        <v/>
      </c>
      <c r="Q735" s="38"/>
    </row>
    <row r="736" spans="1:17" x14ac:dyDescent="0.2">
      <c r="A736" t="str">
        <f t="shared" si="163"/>
        <v/>
      </c>
      <c r="B736" s="38" t="str">
        <f t="shared" si="159"/>
        <v/>
      </c>
      <c r="C736" s="38" t="str">
        <f t="shared" si="164"/>
        <v/>
      </c>
      <c r="D736" s="38" t="str">
        <f t="shared" si="165"/>
        <v/>
      </c>
      <c r="E736" s="38" t="str">
        <f t="shared" si="166"/>
        <v/>
      </c>
      <c r="F736" s="38" t="str">
        <f t="shared" si="157"/>
        <v/>
      </c>
      <c r="G736" s="38" t="str">
        <f t="shared" si="160"/>
        <v/>
      </c>
      <c r="H736" s="38"/>
      <c r="J736" t="str">
        <f t="shared" si="155"/>
        <v/>
      </c>
      <c r="K736" s="38" t="str">
        <f t="shared" si="161"/>
        <v/>
      </c>
      <c r="L736" s="38" t="str">
        <f t="shared" si="156"/>
        <v/>
      </c>
      <c r="M736" s="38" t="str">
        <f t="shared" si="167"/>
        <v/>
      </c>
      <c r="N736" s="38" t="str">
        <f t="shared" si="168"/>
        <v/>
      </c>
      <c r="O736" s="38" t="str">
        <f t="shared" si="158"/>
        <v/>
      </c>
      <c r="P736" s="38" t="str">
        <f t="shared" si="162"/>
        <v/>
      </c>
      <c r="Q736" s="38"/>
    </row>
    <row r="737" spans="1:17" x14ac:dyDescent="0.2">
      <c r="A737" t="str">
        <f t="shared" si="163"/>
        <v/>
      </c>
      <c r="B737" s="38" t="str">
        <f t="shared" si="159"/>
        <v/>
      </c>
      <c r="C737" s="38" t="str">
        <f t="shared" si="164"/>
        <v/>
      </c>
      <c r="D737" s="38" t="str">
        <f t="shared" si="165"/>
        <v/>
      </c>
      <c r="E737" s="38" t="str">
        <f t="shared" si="166"/>
        <v/>
      </c>
      <c r="F737" s="38" t="str">
        <f t="shared" si="157"/>
        <v/>
      </c>
      <c r="G737" s="38" t="str">
        <f t="shared" si="160"/>
        <v/>
      </c>
      <c r="H737" s="38"/>
      <c r="J737" t="str">
        <f t="shared" si="155"/>
        <v/>
      </c>
      <c r="K737" s="38" t="str">
        <f t="shared" si="161"/>
        <v/>
      </c>
      <c r="L737" s="38" t="str">
        <f t="shared" si="156"/>
        <v/>
      </c>
      <c r="M737" s="38" t="str">
        <f t="shared" si="167"/>
        <v/>
      </c>
      <c r="N737" s="38" t="str">
        <f t="shared" si="168"/>
        <v/>
      </c>
      <c r="O737" s="38" t="str">
        <f t="shared" si="158"/>
        <v/>
      </c>
      <c r="P737" s="38" t="str">
        <f t="shared" si="162"/>
        <v/>
      </c>
      <c r="Q737" s="38"/>
    </row>
    <row r="738" spans="1:17" x14ac:dyDescent="0.2">
      <c r="A738" t="str">
        <f t="shared" si="163"/>
        <v/>
      </c>
      <c r="B738" s="38" t="str">
        <f t="shared" si="159"/>
        <v/>
      </c>
      <c r="C738" s="38" t="str">
        <f t="shared" si="164"/>
        <v/>
      </c>
      <c r="D738" s="38" t="str">
        <f t="shared" si="165"/>
        <v/>
      </c>
      <c r="E738" s="38" t="str">
        <f t="shared" si="166"/>
        <v/>
      </c>
      <c r="F738" s="38" t="str">
        <f t="shared" si="157"/>
        <v/>
      </c>
      <c r="G738" s="38" t="str">
        <f t="shared" si="160"/>
        <v/>
      </c>
      <c r="H738" s="38"/>
      <c r="J738" t="str">
        <f t="shared" si="155"/>
        <v/>
      </c>
      <c r="K738" s="38" t="str">
        <f t="shared" si="161"/>
        <v/>
      </c>
      <c r="L738" s="38" t="str">
        <f t="shared" si="156"/>
        <v/>
      </c>
      <c r="M738" s="38" t="str">
        <f t="shared" si="167"/>
        <v/>
      </c>
      <c r="N738" s="38" t="str">
        <f t="shared" si="168"/>
        <v/>
      </c>
      <c r="O738" s="38" t="str">
        <f t="shared" si="158"/>
        <v/>
      </c>
      <c r="P738" s="38" t="str">
        <f t="shared" si="162"/>
        <v/>
      </c>
      <c r="Q738" s="38"/>
    </row>
    <row r="739" spans="1:17" x14ac:dyDescent="0.2">
      <c r="A739" t="str">
        <f t="shared" si="163"/>
        <v/>
      </c>
      <c r="B739" s="38" t="str">
        <f t="shared" si="159"/>
        <v/>
      </c>
      <c r="C739" s="38" t="str">
        <f t="shared" si="164"/>
        <v/>
      </c>
      <c r="D739" s="38" t="str">
        <f t="shared" si="165"/>
        <v/>
      </c>
      <c r="E739" s="38" t="str">
        <f t="shared" si="166"/>
        <v/>
      </c>
      <c r="F739" s="38" t="str">
        <f t="shared" si="157"/>
        <v/>
      </c>
      <c r="G739" s="38" t="str">
        <f t="shared" si="160"/>
        <v/>
      </c>
      <c r="H739" s="38"/>
      <c r="J739" t="str">
        <f t="shared" si="155"/>
        <v/>
      </c>
      <c r="K739" s="38" t="str">
        <f t="shared" si="161"/>
        <v/>
      </c>
      <c r="L739" s="38" t="str">
        <f t="shared" si="156"/>
        <v/>
      </c>
      <c r="M739" s="38" t="str">
        <f t="shared" si="167"/>
        <v/>
      </c>
      <c r="N739" s="38" t="str">
        <f t="shared" si="168"/>
        <v/>
      </c>
      <c r="O739" s="38" t="str">
        <f t="shared" si="158"/>
        <v/>
      </c>
      <c r="P739" s="38" t="str">
        <f t="shared" si="162"/>
        <v/>
      </c>
      <c r="Q739" s="38"/>
    </row>
    <row r="740" spans="1:17" x14ac:dyDescent="0.2">
      <c r="A740" t="str">
        <f t="shared" si="163"/>
        <v/>
      </c>
      <c r="B740" s="38" t="str">
        <f t="shared" si="159"/>
        <v/>
      </c>
      <c r="C740" s="38" t="str">
        <f t="shared" si="164"/>
        <v/>
      </c>
      <c r="D740" s="38" t="str">
        <f t="shared" ref="D740:D791" si="169">IF(A740="","", $B$5)</f>
        <v/>
      </c>
      <c r="E740" s="38" t="str">
        <f t="shared" si="166"/>
        <v/>
      </c>
      <c r="F740" s="38" t="str">
        <f t="shared" si="157"/>
        <v/>
      </c>
      <c r="G740" s="38" t="str">
        <f t="shared" si="160"/>
        <v/>
      </c>
      <c r="H740" s="38"/>
      <c r="J740" t="str">
        <f t="shared" si="155"/>
        <v/>
      </c>
      <c r="K740" s="38" t="str">
        <f t="shared" si="161"/>
        <v/>
      </c>
      <c r="L740" s="38" t="str">
        <f t="shared" si="156"/>
        <v/>
      </c>
      <c r="M740" s="38" t="str">
        <f t="shared" ref="M740:M803" si="170">IF(J740="","", $B$5)</f>
        <v/>
      </c>
      <c r="N740" s="38" t="str">
        <f t="shared" si="168"/>
        <v/>
      </c>
      <c r="O740" s="38" t="str">
        <f t="shared" si="158"/>
        <v/>
      </c>
      <c r="P740" s="38" t="str">
        <f t="shared" si="162"/>
        <v/>
      </c>
      <c r="Q740" s="38"/>
    </row>
    <row r="741" spans="1:17" x14ac:dyDescent="0.2">
      <c r="A741" t="str">
        <f t="shared" si="163"/>
        <v/>
      </c>
      <c r="B741" s="38" t="str">
        <f t="shared" si="159"/>
        <v/>
      </c>
      <c r="C741" s="38" t="str">
        <f t="shared" si="164"/>
        <v/>
      </c>
      <c r="D741" s="38" t="str">
        <f t="shared" si="169"/>
        <v/>
      </c>
      <c r="E741" s="38" t="str">
        <f t="shared" si="166"/>
        <v/>
      </c>
      <c r="F741" s="38" t="str">
        <f t="shared" si="157"/>
        <v/>
      </c>
      <c r="G741" s="38" t="str">
        <f t="shared" si="160"/>
        <v/>
      </c>
      <c r="H741" s="38"/>
      <c r="J741" t="str">
        <f t="shared" si="155"/>
        <v/>
      </c>
      <c r="K741" s="38" t="str">
        <f t="shared" si="161"/>
        <v/>
      </c>
      <c r="L741" s="38" t="str">
        <f t="shared" si="156"/>
        <v/>
      </c>
      <c r="M741" s="38" t="str">
        <f t="shared" si="170"/>
        <v/>
      </c>
      <c r="N741" s="38" t="str">
        <f t="shared" si="168"/>
        <v/>
      </c>
      <c r="O741" s="38" t="str">
        <f t="shared" si="158"/>
        <v/>
      </c>
      <c r="P741" s="38" t="str">
        <f t="shared" si="162"/>
        <v/>
      </c>
      <c r="Q741" s="38"/>
    </row>
    <row r="742" spans="1:17" x14ac:dyDescent="0.2">
      <c r="A742" t="str">
        <f t="shared" si="163"/>
        <v/>
      </c>
      <c r="B742" s="38" t="str">
        <f t="shared" si="159"/>
        <v/>
      </c>
      <c r="C742" s="38" t="str">
        <f t="shared" si="164"/>
        <v/>
      </c>
      <c r="D742" s="38" t="str">
        <f t="shared" si="169"/>
        <v/>
      </c>
      <c r="E742" s="38" t="str">
        <f t="shared" si="166"/>
        <v/>
      </c>
      <c r="F742" s="38" t="str">
        <f t="shared" si="157"/>
        <v/>
      </c>
      <c r="G742" s="38" t="str">
        <f t="shared" si="160"/>
        <v/>
      </c>
      <c r="H742" s="38"/>
      <c r="J742" t="str">
        <f t="shared" si="155"/>
        <v/>
      </c>
      <c r="K742" s="38" t="str">
        <f t="shared" si="161"/>
        <v/>
      </c>
      <c r="L742" s="38" t="str">
        <f t="shared" si="156"/>
        <v/>
      </c>
      <c r="M742" s="38" t="str">
        <f t="shared" si="170"/>
        <v/>
      </c>
      <c r="N742" s="38" t="str">
        <f t="shared" si="168"/>
        <v/>
      </c>
      <c r="O742" s="38" t="str">
        <f t="shared" si="158"/>
        <v/>
      </c>
      <c r="P742" s="38" t="str">
        <f t="shared" si="162"/>
        <v/>
      </c>
      <c r="Q742" s="38"/>
    </row>
    <row r="743" spans="1:17" x14ac:dyDescent="0.2">
      <c r="A743" t="str">
        <f t="shared" si="163"/>
        <v/>
      </c>
      <c r="B743" s="38" t="str">
        <f t="shared" si="159"/>
        <v/>
      </c>
      <c r="C743" s="38" t="str">
        <f t="shared" si="164"/>
        <v/>
      </c>
      <c r="D743" s="38" t="str">
        <f t="shared" si="169"/>
        <v/>
      </c>
      <c r="E743" s="38" t="str">
        <f t="shared" si="166"/>
        <v/>
      </c>
      <c r="F743" s="38" t="str">
        <f t="shared" si="157"/>
        <v/>
      </c>
      <c r="G743" s="38" t="str">
        <f t="shared" si="160"/>
        <v/>
      </c>
      <c r="H743" s="38"/>
      <c r="J743" t="str">
        <f t="shared" si="155"/>
        <v/>
      </c>
      <c r="K743" s="38" t="str">
        <f t="shared" si="161"/>
        <v/>
      </c>
      <c r="L743" s="38" t="str">
        <f t="shared" si="156"/>
        <v/>
      </c>
      <c r="M743" s="38" t="str">
        <f t="shared" si="170"/>
        <v/>
      </c>
      <c r="N743" s="38" t="str">
        <f t="shared" si="168"/>
        <v/>
      </c>
      <c r="O743" s="38" t="str">
        <f t="shared" si="158"/>
        <v/>
      </c>
      <c r="P743" s="38" t="str">
        <f t="shared" si="162"/>
        <v/>
      </c>
      <c r="Q743" s="38"/>
    </row>
    <row r="744" spans="1:17" x14ac:dyDescent="0.2">
      <c r="A744" t="str">
        <f t="shared" si="163"/>
        <v/>
      </c>
      <c r="B744" s="38" t="str">
        <f t="shared" si="159"/>
        <v/>
      </c>
      <c r="C744" s="38" t="str">
        <f t="shared" si="164"/>
        <v/>
      </c>
      <c r="D744" s="38" t="str">
        <f t="shared" si="169"/>
        <v/>
      </c>
      <c r="E744" s="38" t="str">
        <f t="shared" si="166"/>
        <v/>
      </c>
      <c r="F744" s="38" t="str">
        <f t="shared" si="157"/>
        <v/>
      </c>
      <c r="G744" s="38" t="str">
        <f t="shared" si="160"/>
        <v/>
      </c>
      <c r="H744" s="38"/>
      <c r="J744" t="str">
        <f t="shared" si="155"/>
        <v/>
      </c>
      <c r="K744" s="38" t="str">
        <f t="shared" si="161"/>
        <v/>
      </c>
      <c r="L744" s="38" t="str">
        <f t="shared" si="156"/>
        <v/>
      </c>
      <c r="M744" s="38" t="str">
        <f t="shared" si="170"/>
        <v/>
      </c>
      <c r="N744" s="38" t="str">
        <f t="shared" si="168"/>
        <v/>
      </c>
      <c r="O744" s="38" t="str">
        <f t="shared" si="158"/>
        <v/>
      </c>
      <c r="P744" s="38" t="str">
        <f t="shared" si="162"/>
        <v/>
      </c>
      <c r="Q744" s="38"/>
    </row>
    <row r="745" spans="1:17" x14ac:dyDescent="0.2">
      <c r="A745" t="str">
        <f t="shared" si="163"/>
        <v/>
      </c>
      <c r="B745" s="38" t="str">
        <f t="shared" si="159"/>
        <v/>
      </c>
      <c r="C745" s="38" t="str">
        <f t="shared" si="164"/>
        <v/>
      </c>
      <c r="D745" s="38" t="str">
        <f t="shared" si="169"/>
        <v/>
      </c>
      <c r="E745" s="38" t="str">
        <f t="shared" si="166"/>
        <v/>
      </c>
      <c r="F745" s="38" t="str">
        <f t="shared" si="157"/>
        <v/>
      </c>
      <c r="G745" s="38" t="str">
        <f t="shared" si="160"/>
        <v/>
      </c>
      <c r="H745" s="38"/>
      <c r="J745" t="str">
        <f t="shared" si="155"/>
        <v/>
      </c>
      <c r="K745" s="38" t="str">
        <f t="shared" si="161"/>
        <v/>
      </c>
      <c r="L745" s="38" t="str">
        <f t="shared" si="156"/>
        <v/>
      </c>
      <c r="M745" s="38" t="str">
        <f t="shared" si="170"/>
        <v/>
      </c>
      <c r="N745" s="38" t="str">
        <f t="shared" si="168"/>
        <v/>
      </c>
      <c r="O745" s="38" t="str">
        <f t="shared" si="158"/>
        <v/>
      </c>
      <c r="P745" s="38" t="str">
        <f t="shared" si="162"/>
        <v/>
      </c>
      <c r="Q745" s="38"/>
    </row>
    <row r="746" spans="1:17" x14ac:dyDescent="0.2">
      <c r="A746" t="str">
        <f t="shared" si="163"/>
        <v/>
      </c>
      <c r="B746" s="38" t="str">
        <f t="shared" si="159"/>
        <v/>
      </c>
      <c r="C746" s="38" t="str">
        <f t="shared" si="164"/>
        <v/>
      </c>
      <c r="D746" s="38" t="str">
        <f t="shared" si="169"/>
        <v/>
      </c>
      <c r="E746" s="38" t="str">
        <f t="shared" si="166"/>
        <v/>
      </c>
      <c r="F746" s="38" t="str">
        <f t="shared" si="157"/>
        <v/>
      </c>
      <c r="G746" s="38" t="str">
        <f t="shared" si="160"/>
        <v/>
      </c>
      <c r="H746" s="38"/>
      <c r="J746" t="str">
        <f t="shared" si="155"/>
        <v/>
      </c>
      <c r="K746" s="38" t="str">
        <f t="shared" si="161"/>
        <v/>
      </c>
      <c r="L746" s="38" t="str">
        <f t="shared" si="156"/>
        <v/>
      </c>
      <c r="M746" s="38" t="str">
        <f t="shared" si="170"/>
        <v/>
      </c>
      <c r="N746" s="38" t="str">
        <f t="shared" si="168"/>
        <v/>
      </c>
      <c r="O746" s="38" t="str">
        <f t="shared" si="158"/>
        <v/>
      </c>
      <c r="P746" s="38" t="str">
        <f t="shared" si="162"/>
        <v/>
      </c>
      <c r="Q746" s="38"/>
    </row>
    <row r="747" spans="1:17" x14ac:dyDescent="0.2">
      <c r="A747" t="str">
        <f t="shared" si="163"/>
        <v/>
      </c>
      <c r="B747" s="38" t="str">
        <f t="shared" si="159"/>
        <v/>
      </c>
      <c r="C747" s="38" t="str">
        <f t="shared" si="164"/>
        <v/>
      </c>
      <c r="D747" s="38" t="str">
        <f t="shared" si="169"/>
        <v/>
      </c>
      <c r="E747" s="38" t="str">
        <f t="shared" si="166"/>
        <v/>
      </c>
      <c r="F747" s="38" t="str">
        <f t="shared" si="157"/>
        <v/>
      </c>
      <c r="G747" s="38" t="str">
        <f t="shared" si="160"/>
        <v/>
      </c>
      <c r="H747" s="38"/>
      <c r="J747" t="str">
        <f t="shared" si="155"/>
        <v/>
      </c>
      <c r="K747" s="38" t="str">
        <f t="shared" si="161"/>
        <v/>
      </c>
      <c r="L747" s="38" t="str">
        <f t="shared" si="156"/>
        <v/>
      </c>
      <c r="M747" s="38" t="str">
        <f t="shared" si="170"/>
        <v/>
      </c>
      <c r="N747" s="38" t="str">
        <f t="shared" si="168"/>
        <v/>
      </c>
      <c r="O747" s="38" t="str">
        <f t="shared" si="158"/>
        <v/>
      </c>
      <c r="P747" s="38" t="str">
        <f t="shared" si="162"/>
        <v/>
      </c>
      <c r="Q747" s="38"/>
    </row>
    <row r="748" spans="1:17" x14ac:dyDescent="0.2">
      <c r="A748" t="str">
        <f t="shared" si="163"/>
        <v/>
      </c>
      <c r="B748" s="38" t="str">
        <f t="shared" si="159"/>
        <v/>
      </c>
      <c r="C748" s="38" t="str">
        <f t="shared" si="164"/>
        <v/>
      </c>
      <c r="D748" s="38" t="str">
        <f t="shared" si="169"/>
        <v/>
      </c>
      <c r="E748" s="38" t="str">
        <f t="shared" si="166"/>
        <v/>
      </c>
      <c r="F748" s="38" t="str">
        <f t="shared" si="157"/>
        <v/>
      </c>
      <c r="G748" s="38" t="str">
        <f t="shared" si="160"/>
        <v/>
      </c>
      <c r="H748" s="38"/>
      <c r="J748" t="str">
        <f t="shared" si="155"/>
        <v/>
      </c>
      <c r="K748" s="38" t="str">
        <f t="shared" si="161"/>
        <v/>
      </c>
      <c r="L748" s="38" t="str">
        <f t="shared" si="156"/>
        <v/>
      </c>
      <c r="M748" s="38" t="str">
        <f t="shared" si="170"/>
        <v/>
      </c>
      <c r="N748" s="38" t="str">
        <f t="shared" si="168"/>
        <v/>
      </c>
      <c r="O748" s="38" t="str">
        <f t="shared" si="158"/>
        <v/>
      </c>
      <c r="P748" s="38" t="str">
        <f t="shared" si="162"/>
        <v/>
      </c>
      <c r="Q748" s="38"/>
    </row>
    <row r="749" spans="1:17" x14ac:dyDescent="0.2">
      <c r="A749" t="str">
        <f t="shared" si="163"/>
        <v/>
      </c>
      <c r="B749" s="38" t="str">
        <f t="shared" si="159"/>
        <v/>
      </c>
      <c r="C749" s="38" t="str">
        <f t="shared" si="164"/>
        <v/>
      </c>
      <c r="D749" s="38" t="str">
        <f t="shared" si="169"/>
        <v/>
      </c>
      <c r="E749" s="38" t="str">
        <f t="shared" si="166"/>
        <v/>
      </c>
      <c r="F749" s="38" t="str">
        <f t="shared" si="157"/>
        <v/>
      </c>
      <c r="G749" s="38" t="str">
        <f t="shared" si="160"/>
        <v/>
      </c>
      <c r="H749" s="38"/>
      <c r="J749" t="str">
        <f t="shared" si="155"/>
        <v/>
      </c>
      <c r="K749" s="38" t="str">
        <f t="shared" si="161"/>
        <v/>
      </c>
      <c r="L749" s="38" t="str">
        <f t="shared" si="156"/>
        <v/>
      </c>
      <c r="M749" s="38" t="str">
        <f t="shared" si="170"/>
        <v/>
      </c>
      <c r="N749" s="38" t="str">
        <f t="shared" si="168"/>
        <v/>
      </c>
      <c r="O749" s="38" t="str">
        <f t="shared" si="158"/>
        <v/>
      </c>
      <c r="P749" s="38" t="str">
        <f t="shared" si="162"/>
        <v/>
      </c>
      <c r="Q749" s="38"/>
    </row>
    <row r="750" spans="1:17" x14ac:dyDescent="0.2">
      <c r="A750" t="str">
        <f t="shared" si="163"/>
        <v/>
      </c>
      <c r="B750" s="38" t="str">
        <f t="shared" si="159"/>
        <v/>
      </c>
      <c r="C750" s="38" t="str">
        <f t="shared" si="164"/>
        <v/>
      </c>
      <c r="D750" s="38" t="str">
        <f t="shared" si="169"/>
        <v/>
      </c>
      <c r="E750" s="38" t="str">
        <f t="shared" si="166"/>
        <v/>
      </c>
      <c r="F750" s="38" t="str">
        <f t="shared" si="157"/>
        <v/>
      </c>
      <c r="G750" s="38" t="str">
        <f t="shared" si="160"/>
        <v/>
      </c>
      <c r="H750" s="38"/>
      <c r="J750" t="str">
        <f t="shared" si="155"/>
        <v/>
      </c>
      <c r="K750" s="38" t="str">
        <f t="shared" si="161"/>
        <v/>
      </c>
      <c r="L750" s="38" t="str">
        <f t="shared" si="156"/>
        <v/>
      </c>
      <c r="M750" s="38" t="str">
        <f t="shared" si="170"/>
        <v/>
      </c>
      <c r="N750" s="38" t="str">
        <f t="shared" si="168"/>
        <v/>
      </c>
      <c r="O750" s="38" t="str">
        <f t="shared" si="158"/>
        <v/>
      </c>
      <c r="P750" s="38" t="str">
        <f t="shared" si="162"/>
        <v/>
      </c>
      <c r="Q750" s="38"/>
    </row>
    <row r="751" spans="1:17" x14ac:dyDescent="0.2">
      <c r="A751" t="str">
        <f t="shared" si="163"/>
        <v/>
      </c>
      <c r="B751" s="38" t="str">
        <f t="shared" si="159"/>
        <v/>
      </c>
      <c r="C751" s="38" t="str">
        <f t="shared" si="164"/>
        <v/>
      </c>
      <c r="D751" s="38" t="str">
        <f t="shared" si="169"/>
        <v/>
      </c>
      <c r="E751" s="38" t="str">
        <f t="shared" si="166"/>
        <v/>
      </c>
      <c r="F751" s="38" t="str">
        <f t="shared" si="157"/>
        <v/>
      </c>
      <c r="G751" s="38" t="str">
        <f t="shared" si="160"/>
        <v/>
      </c>
      <c r="H751" s="38"/>
      <c r="J751" t="str">
        <f t="shared" si="155"/>
        <v/>
      </c>
      <c r="K751" s="38" t="str">
        <f t="shared" si="161"/>
        <v/>
      </c>
      <c r="L751" s="38" t="str">
        <f t="shared" si="156"/>
        <v/>
      </c>
      <c r="M751" s="38" t="str">
        <f t="shared" si="170"/>
        <v/>
      </c>
      <c r="N751" s="38" t="str">
        <f t="shared" si="168"/>
        <v/>
      </c>
      <c r="O751" s="38" t="str">
        <f t="shared" si="158"/>
        <v/>
      </c>
      <c r="P751" s="38" t="str">
        <f t="shared" si="162"/>
        <v/>
      </c>
      <c r="Q751" s="38"/>
    </row>
    <row r="752" spans="1:17" x14ac:dyDescent="0.2">
      <c r="A752" t="str">
        <f t="shared" si="163"/>
        <v/>
      </c>
      <c r="B752" s="38" t="str">
        <f t="shared" si="159"/>
        <v/>
      </c>
      <c r="C752" s="38" t="str">
        <f t="shared" si="164"/>
        <v/>
      </c>
      <c r="D752" s="38" t="str">
        <f t="shared" si="169"/>
        <v/>
      </c>
      <c r="E752" s="38" t="str">
        <f t="shared" si="166"/>
        <v/>
      </c>
      <c r="F752" s="38" t="str">
        <f t="shared" si="157"/>
        <v/>
      </c>
      <c r="G752" s="38" t="str">
        <f t="shared" si="160"/>
        <v/>
      </c>
      <c r="H752" s="38"/>
      <c r="J752" t="str">
        <f t="shared" si="155"/>
        <v/>
      </c>
      <c r="K752" s="38" t="str">
        <f t="shared" si="161"/>
        <v/>
      </c>
      <c r="L752" s="38" t="str">
        <f t="shared" si="156"/>
        <v/>
      </c>
      <c r="M752" s="38" t="str">
        <f t="shared" si="170"/>
        <v/>
      </c>
      <c r="N752" s="38" t="str">
        <f t="shared" si="168"/>
        <v/>
      </c>
      <c r="O752" s="38" t="str">
        <f t="shared" si="158"/>
        <v/>
      </c>
      <c r="P752" s="38" t="str">
        <f t="shared" si="162"/>
        <v/>
      </c>
      <c r="Q752" s="38"/>
    </row>
    <row r="753" spans="1:17" x14ac:dyDescent="0.2">
      <c r="A753" t="str">
        <f t="shared" si="163"/>
        <v/>
      </c>
      <c r="B753" s="38" t="str">
        <f t="shared" si="159"/>
        <v/>
      </c>
      <c r="C753" s="38" t="str">
        <f t="shared" si="164"/>
        <v/>
      </c>
      <c r="D753" s="38" t="str">
        <f t="shared" si="169"/>
        <v/>
      </c>
      <c r="E753" s="38" t="str">
        <f t="shared" si="166"/>
        <v/>
      </c>
      <c r="F753" s="38" t="str">
        <f t="shared" si="157"/>
        <v/>
      </c>
      <c r="G753" s="38" t="str">
        <f t="shared" si="160"/>
        <v/>
      </c>
      <c r="H753" s="38"/>
      <c r="J753" t="str">
        <f t="shared" si="155"/>
        <v/>
      </c>
      <c r="K753" s="38" t="str">
        <f t="shared" si="161"/>
        <v/>
      </c>
      <c r="L753" s="38" t="str">
        <f t="shared" si="156"/>
        <v/>
      </c>
      <c r="M753" s="38" t="str">
        <f t="shared" si="170"/>
        <v/>
      </c>
      <c r="N753" s="38" t="str">
        <f t="shared" si="168"/>
        <v/>
      </c>
      <c r="O753" s="38" t="str">
        <f t="shared" si="158"/>
        <v/>
      </c>
      <c r="P753" s="38" t="str">
        <f t="shared" si="162"/>
        <v/>
      </c>
      <c r="Q753" s="38"/>
    </row>
    <row r="754" spans="1:17" x14ac:dyDescent="0.2">
      <c r="A754" t="str">
        <f t="shared" si="163"/>
        <v/>
      </c>
      <c r="B754" s="38" t="str">
        <f t="shared" si="159"/>
        <v/>
      </c>
      <c r="C754" s="38" t="str">
        <f t="shared" si="164"/>
        <v/>
      </c>
      <c r="D754" s="38" t="str">
        <f t="shared" si="169"/>
        <v/>
      </c>
      <c r="E754" s="38" t="str">
        <f t="shared" si="166"/>
        <v/>
      </c>
      <c r="F754" s="38" t="str">
        <f t="shared" si="157"/>
        <v/>
      </c>
      <c r="G754" s="38" t="str">
        <f t="shared" si="160"/>
        <v/>
      </c>
      <c r="H754" s="38"/>
      <c r="J754" t="str">
        <f t="shared" si="155"/>
        <v/>
      </c>
      <c r="K754" s="38" t="str">
        <f t="shared" si="161"/>
        <v/>
      </c>
      <c r="L754" s="38" t="str">
        <f t="shared" si="156"/>
        <v/>
      </c>
      <c r="M754" s="38" t="str">
        <f t="shared" si="170"/>
        <v/>
      </c>
      <c r="N754" s="38" t="str">
        <f t="shared" si="168"/>
        <v/>
      </c>
      <c r="O754" s="38" t="str">
        <f t="shared" si="158"/>
        <v/>
      </c>
      <c r="P754" s="38" t="str">
        <f t="shared" si="162"/>
        <v/>
      </c>
      <c r="Q754" s="38"/>
    </row>
    <row r="755" spans="1:17" x14ac:dyDescent="0.2">
      <c r="A755" t="str">
        <f t="shared" si="163"/>
        <v/>
      </c>
      <c r="B755" s="38" t="str">
        <f t="shared" si="159"/>
        <v/>
      </c>
      <c r="C755" s="38" t="str">
        <f t="shared" si="164"/>
        <v/>
      </c>
      <c r="D755" s="38" t="str">
        <f t="shared" si="169"/>
        <v/>
      </c>
      <c r="E755" s="38" t="str">
        <f t="shared" si="166"/>
        <v/>
      </c>
      <c r="F755" s="38" t="str">
        <f t="shared" si="157"/>
        <v/>
      </c>
      <c r="G755" s="38" t="str">
        <f t="shared" si="160"/>
        <v/>
      </c>
      <c r="H755" s="38"/>
      <c r="J755" t="str">
        <f t="shared" si="155"/>
        <v/>
      </c>
      <c r="K755" s="38" t="str">
        <f t="shared" si="161"/>
        <v/>
      </c>
      <c r="L755" s="38" t="str">
        <f t="shared" si="156"/>
        <v/>
      </c>
      <c r="M755" s="38" t="str">
        <f t="shared" si="170"/>
        <v/>
      </c>
      <c r="N755" s="38" t="str">
        <f t="shared" si="168"/>
        <v/>
      </c>
      <c r="O755" s="38" t="str">
        <f t="shared" ref="O755:O786" si="171">IF(J755="","", K755-N755)</f>
        <v/>
      </c>
      <c r="P755" s="38" t="str">
        <f t="shared" si="162"/>
        <v/>
      </c>
      <c r="Q755" s="38"/>
    </row>
    <row r="756" spans="1:17" x14ac:dyDescent="0.2">
      <c r="A756" t="str">
        <f t="shared" si="163"/>
        <v/>
      </c>
      <c r="B756" s="38" t="str">
        <f t="shared" si="159"/>
        <v/>
      </c>
      <c r="C756" s="38" t="str">
        <f t="shared" si="164"/>
        <v/>
      </c>
      <c r="D756" s="38" t="str">
        <f t="shared" si="169"/>
        <v/>
      </c>
      <c r="E756" s="38" t="str">
        <f t="shared" si="166"/>
        <v/>
      </c>
      <c r="F756" s="38" t="str">
        <f t="shared" si="157"/>
        <v/>
      </c>
      <c r="G756" s="38" t="str">
        <f t="shared" si="160"/>
        <v/>
      </c>
      <c r="H756" s="38"/>
      <c r="J756" t="str">
        <f t="shared" si="155"/>
        <v/>
      </c>
      <c r="K756" s="38" t="str">
        <f t="shared" si="161"/>
        <v/>
      </c>
      <c r="L756" s="38" t="str">
        <f t="shared" si="156"/>
        <v/>
      </c>
      <c r="M756" s="38" t="str">
        <f t="shared" si="170"/>
        <v/>
      </c>
      <c r="N756" s="38" t="str">
        <f t="shared" si="168"/>
        <v/>
      </c>
      <c r="O756" s="38" t="str">
        <f t="shared" si="171"/>
        <v/>
      </c>
      <c r="P756" s="38" t="str">
        <f t="shared" si="162"/>
        <v/>
      </c>
      <c r="Q756" s="38"/>
    </row>
    <row r="757" spans="1:17" x14ac:dyDescent="0.2">
      <c r="A757" t="str">
        <f t="shared" si="163"/>
        <v/>
      </c>
      <c r="B757" s="38" t="str">
        <f t="shared" si="159"/>
        <v/>
      </c>
      <c r="C757" s="38" t="str">
        <f t="shared" si="164"/>
        <v/>
      </c>
      <c r="D757" s="38" t="str">
        <f t="shared" si="169"/>
        <v/>
      </c>
      <c r="E757" s="38" t="str">
        <f t="shared" si="166"/>
        <v/>
      </c>
      <c r="F757" s="38" t="str">
        <f t="shared" si="157"/>
        <v/>
      </c>
      <c r="G757" s="38" t="str">
        <f t="shared" si="160"/>
        <v/>
      </c>
      <c r="H757" s="38"/>
      <c r="J757" t="str">
        <f t="shared" si="155"/>
        <v/>
      </c>
      <c r="K757" s="38" t="str">
        <f t="shared" si="161"/>
        <v/>
      </c>
      <c r="L757" s="38" t="str">
        <f t="shared" si="156"/>
        <v/>
      </c>
      <c r="M757" s="38" t="str">
        <f t="shared" si="170"/>
        <v/>
      </c>
      <c r="N757" s="38" t="str">
        <f t="shared" si="168"/>
        <v/>
      </c>
      <c r="O757" s="38" t="str">
        <f t="shared" si="171"/>
        <v/>
      </c>
      <c r="P757" s="38" t="str">
        <f t="shared" si="162"/>
        <v/>
      </c>
      <c r="Q757" s="38"/>
    </row>
    <row r="758" spans="1:17" x14ac:dyDescent="0.2">
      <c r="A758" t="str">
        <f t="shared" si="163"/>
        <v/>
      </c>
      <c r="B758" s="38" t="str">
        <f t="shared" si="159"/>
        <v/>
      </c>
      <c r="C758" s="38" t="str">
        <f t="shared" si="164"/>
        <v/>
      </c>
      <c r="D758" s="38" t="str">
        <f t="shared" si="169"/>
        <v/>
      </c>
      <c r="E758" s="38" t="str">
        <f t="shared" si="166"/>
        <v/>
      </c>
      <c r="F758" s="38" t="str">
        <f t="shared" si="157"/>
        <v/>
      </c>
      <c r="G758" s="38" t="str">
        <f t="shared" si="160"/>
        <v/>
      </c>
      <c r="H758" s="38"/>
      <c r="J758" t="str">
        <f t="shared" ref="J758:J821" si="172">IF(J757&lt;($B$6*$B$7),J757+1,"")</f>
        <v/>
      </c>
      <c r="K758" s="38" t="str">
        <f t="shared" si="161"/>
        <v/>
      </c>
      <c r="L758" s="38" t="str">
        <f t="shared" si="156"/>
        <v/>
      </c>
      <c r="M758" s="38" t="str">
        <f t="shared" si="170"/>
        <v/>
      </c>
      <c r="N758" s="38" t="str">
        <f t="shared" si="168"/>
        <v/>
      </c>
      <c r="O758" s="38" t="str">
        <f t="shared" si="171"/>
        <v/>
      </c>
      <c r="P758" s="38" t="str">
        <f t="shared" si="162"/>
        <v/>
      </c>
      <c r="Q758" s="38"/>
    </row>
    <row r="759" spans="1:17" x14ac:dyDescent="0.2">
      <c r="A759" t="str">
        <f t="shared" si="163"/>
        <v/>
      </c>
      <c r="B759" s="38" t="str">
        <f t="shared" si="159"/>
        <v/>
      </c>
      <c r="C759" s="38" t="str">
        <f t="shared" si="164"/>
        <v/>
      </c>
      <c r="D759" s="38" t="str">
        <f t="shared" si="169"/>
        <v/>
      </c>
      <c r="E759" s="38" t="str">
        <f t="shared" si="166"/>
        <v/>
      </c>
      <c r="F759" s="38" t="str">
        <f t="shared" si="157"/>
        <v/>
      </c>
      <c r="G759" s="38" t="str">
        <f t="shared" si="160"/>
        <v/>
      </c>
      <c r="H759" s="38"/>
      <c r="J759" t="str">
        <f t="shared" si="172"/>
        <v/>
      </c>
      <c r="K759" s="38" t="str">
        <f t="shared" si="161"/>
        <v/>
      </c>
      <c r="L759" s="38" t="str">
        <f t="shared" si="156"/>
        <v/>
      </c>
      <c r="M759" s="38" t="str">
        <f t="shared" si="170"/>
        <v/>
      </c>
      <c r="N759" s="38" t="str">
        <f t="shared" si="168"/>
        <v/>
      </c>
      <c r="O759" s="38" t="str">
        <f t="shared" si="171"/>
        <v/>
      </c>
      <c r="P759" s="38" t="str">
        <f t="shared" si="162"/>
        <v/>
      </c>
      <c r="Q759" s="38"/>
    </row>
    <row r="760" spans="1:17" x14ac:dyDescent="0.2">
      <c r="A760" t="str">
        <f t="shared" si="163"/>
        <v/>
      </c>
      <c r="B760" s="38" t="str">
        <f t="shared" si="159"/>
        <v/>
      </c>
      <c r="C760" s="38" t="str">
        <f t="shared" si="164"/>
        <v/>
      </c>
      <c r="D760" s="38" t="str">
        <f t="shared" si="169"/>
        <v/>
      </c>
      <c r="E760" s="38" t="str">
        <f t="shared" si="166"/>
        <v/>
      </c>
      <c r="F760" s="38" t="str">
        <f t="shared" si="157"/>
        <v/>
      </c>
      <c r="G760" s="38" t="str">
        <f t="shared" si="160"/>
        <v/>
      </c>
      <c r="H760" s="38"/>
      <c r="J760" t="str">
        <f t="shared" si="172"/>
        <v/>
      </c>
      <c r="K760" s="38" t="str">
        <f t="shared" si="161"/>
        <v/>
      </c>
      <c r="L760" s="38" t="str">
        <f t="shared" si="156"/>
        <v/>
      </c>
      <c r="M760" s="38" t="str">
        <f t="shared" si="170"/>
        <v/>
      </c>
      <c r="N760" s="38" t="str">
        <f t="shared" si="168"/>
        <v/>
      </c>
      <c r="O760" s="38" t="str">
        <f t="shared" si="171"/>
        <v/>
      </c>
      <c r="P760" s="38" t="str">
        <f t="shared" si="162"/>
        <v/>
      </c>
      <c r="Q760" s="38"/>
    </row>
    <row r="761" spans="1:17" x14ac:dyDescent="0.2">
      <c r="A761" t="str">
        <f t="shared" si="163"/>
        <v/>
      </c>
      <c r="B761" s="38" t="str">
        <f t="shared" si="159"/>
        <v/>
      </c>
      <c r="C761" s="38" t="str">
        <f t="shared" si="164"/>
        <v/>
      </c>
      <c r="D761" s="38" t="str">
        <f t="shared" si="169"/>
        <v/>
      </c>
      <c r="E761" s="38" t="str">
        <f t="shared" si="166"/>
        <v/>
      </c>
      <c r="F761" s="38" t="str">
        <f t="shared" si="157"/>
        <v/>
      </c>
      <c r="G761" s="38" t="str">
        <f t="shared" si="160"/>
        <v/>
      </c>
      <c r="H761" s="38"/>
      <c r="J761" t="str">
        <f t="shared" si="172"/>
        <v/>
      </c>
      <c r="K761" s="38" t="str">
        <f t="shared" si="161"/>
        <v/>
      </c>
      <c r="L761" s="38" t="str">
        <f t="shared" si="156"/>
        <v/>
      </c>
      <c r="M761" s="38" t="str">
        <f t="shared" si="170"/>
        <v/>
      </c>
      <c r="N761" s="38" t="str">
        <f t="shared" si="168"/>
        <v/>
      </c>
      <c r="O761" s="38" t="str">
        <f t="shared" si="171"/>
        <v/>
      </c>
      <c r="P761" s="38" t="str">
        <f t="shared" si="162"/>
        <v/>
      </c>
      <c r="Q761" s="38"/>
    </row>
    <row r="762" spans="1:17" x14ac:dyDescent="0.2">
      <c r="A762" t="str">
        <f t="shared" si="163"/>
        <v/>
      </c>
      <c r="B762" s="38" t="str">
        <f t="shared" si="159"/>
        <v/>
      </c>
      <c r="C762" s="38" t="str">
        <f t="shared" si="164"/>
        <v/>
      </c>
      <c r="D762" s="38" t="str">
        <f t="shared" si="169"/>
        <v/>
      </c>
      <c r="E762" s="38" t="str">
        <f t="shared" si="166"/>
        <v/>
      </c>
      <c r="F762" s="38" t="str">
        <f t="shared" si="157"/>
        <v/>
      </c>
      <c r="G762" s="38" t="str">
        <f t="shared" si="160"/>
        <v/>
      </c>
      <c r="H762" s="38"/>
      <c r="J762" t="str">
        <f t="shared" si="172"/>
        <v/>
      </c>
      <c r="K762" s="38" t="str">
        <f t="shared" si="161"/>
        <v/>
      </c>
      <c r="L762" s="38" t="str">
        <f t="shared" si="156"/>
        <v/>
      </c>
      <c r="M762" s="38" t="str">
        <f t="shared" si="170"/>
        <v/>
      </c>
      <c r="N762" s="38" t="str">
        <f t="shared" si="168"/>
        <v/>
      </c>
      <c r="O762" s="38" t="str">
        <f t="shared" si="171"/>
        <v/>
      </c>
      <c r="P762" s="38" t="str">
        <f t="shared" si="162"/>
        <v/>
      </c>
      <c r="Q762" s="38"/>
    </row>
    <row r="763" spans="1:17" x14ac:dyDescent="0.2">
      <c r="A763" t="str">
        <f t="shared" si="163"/>
        <v/>
      </c>
      <c r="B763" s="38" t="str">
        <f t="shared" si="159"/>
        <v/>
      </c>
      <c r="C763" s="38" t="str">
        <f t="shared" si="164"/>
        <v/>
      </c>
      <c r="D763" s="38" t="str">
        <f t="shared" si="169"/>
        <v/>
      </c>
      <c r="E763" s="38" t="str">
        <f t="shared" si="166"/>
        <v/>
      </c>
      <c r="F763" s="38" t="str">
        <f t="shared" si="157"/>
        <v/>
      </c>
      <c r="G763" s="38" t="str">
        <f t="shared" si="160"/>
        <v/>
      </c>
      <c r="H763" s="38"/>
      <c r="J763" t="str">
        <f t="shared" si="172"/>
        <v/>
      </c>
      <c r="K763" s="38" t="str">
        <f t="shared" si="161"/>
        <v/>
      </c>
      <c r="L763" s="38" t="str">
        <f t="shared" si="156"/>
        <v/>
      </c>
      <c r="M763" s="38" t="str">
        <f t="shared" si="170"/>
        <v/>
      </c>
      <c r="N763" s="38" t="str">
        <f t="shared" si="168"/>
        <v/>
      </c>
      <c r="O763" s="38" t="str">
        <f t="shared" si="171"/>
        <v/>
      </c>
      <c r="P763" s="38" t="str">
        <f t="shared" si="162"/>
        <v/>
      </c>
      <c r="Q763" s="38"/>
    </row>
    <row r="764" spans="1:17" x14ac:dyDescent="0.2">
      <c r="A764" t="str">
        <f t="shared" si="163"/>
        <v/>
      </c>
      <c r="B764" s="38" t="str">
        <f t="shared" si="159"/>
        <v/>
      </c>
      <c r="C764" s="38" t="str">
        <f t="shared" si="164"/>
        <v/>
      </c>
      <c r="D764" s="38" t="str">
        <f t="shared" si="169"/>
        <v/>
      </c>
      <c r="E764" s="38" t="str">
        <f t="shared" si="166"/>
        <v/>
      </c>
      <c r="F764" s="38" t="str">
        <f t="shared" si="157"/>
        <v/>
      </c>
      <c r="G764" s="38" t="str">
        <f t="shared" si="160"/>
        <v/>
      </c>
      <c r="H764" s="38"/>
      <c r="J764" t="str">
        <f t="shared" si="172"/>
        <v/>
      </c>
      <c r="K764" s="38" t="str">
        <f t="shared" si="161"/>
        <v/>
      </c>
      <c r="L764" s="38" t="str">
        <f t="shared" si="156"/>
        <v/>
      </c>
      <c r="M764" s="38" t="str">
        <f t="shared" si="170"/>
        <v/>
      </c>
      <c r="N764" s="38" t="str">
        <f t="shared" si="168"/>
        <v/>
      </c>
      <c r="O764" s="38" t="str">
        <f t="shared" si="171"/>
        <v/>
      </c>
      <c r="P764" s="38" t="str">
        <f t="shared" si="162"/>
        <v/>
      </c>
      <c r="Q764" s="38"/>
    </row>
    <row r="765" spans="1:17" x14ac:dyDescent="0.2">
      <c r="A765" t="str">
        <f t="shared" si="163"/>
        <v/>
      </c>
      <c r="B765" s="38" t="str">
        <f t="shared" si="159"/>
        <v/>
      </c>
      <c r="C765" s="38" t="str">
        <f t="shared" si="164"/>
        <v/>
      </c>
      <c r="D765" s="38" t="str">
        <f t="shared" si="169"/>
        <v/>
      </c>
      <c r="E765" s="38" t="str">
        <f t="shared" si="166"/>
        <v/>
      </c>
      <c r="F765" s="38" t="str">
        <f t="shared" si="157"/>
        <v/>
      </c>
      <c r="G765" s="38" t="str">
        <f t="shared" si="160"/>
        <v/>
      </c>
      <c r="H765" s="38"/>
      <c r="J765" t="str">
        <f t="shared" si="172"/>
        <v/>
      </c>
      <c r="K765" s="38" t="str">
        <f t="shared" si="161"/>
        <v/>
      </c>
      <c r="L765" s="38" t="str">
        <f t="shared" si="156"/>
        <v/>
      </c>
      <c r="M765" s="38" t="str">
        <f t="shared" si="170"/>
        <v/>
      </c>
      <c r="N765" s="38" t="str">
        <f t="shared" si="168"/>
        <v/>
      </c>
      <c r="O765" s="38" t="str">
        <f t="shared" si="171"/>
        <v/>
      </c>
      <c r="P765" s="38" t="str">
        <f t="shared" si="162"/>
        <v/>
      </c>
      <c r="Q765" s="38"/>
    </row>
    <row r="766" spans="1:17" x14ac:dyDescent="0.2">
      <c r="A766" t="str">
        <f t="shared" si="163"/>
        <v/>
      </c>
      <c r="B766" s="38" t="str">
        <f t="shared" si="159"/>
        <v/>
      </c>
      <c r="C766" s="38" t="str">
        <f t="shared" si="164"/>
        <v/>
      </c>
      <c r="D766" s="38" t="str">
        <f t="shared" si="169"/>
        <v/>
      </c>
      <c r="E766" s="38" t="str">
        <f t="shared" si="166"/>
        <v/>
      </c>
      <c r="F766" s="38" t="str">
        <f t="shared" si="157"/>
        <v/>
      </c>
      <c r="G766" s="38" t="str">
        <f t="shared" si="160"/>
        <v/>
      </c>
      <c r="H766" s="38"/>
      <c r="J766" t="str">
        <f t="shared" si="172"/>
        <v/>
      </c>
      <c r="K766" s="38" t="str">
        <f t="shared" si="161"/>
        <v/>
      </c>
      <c r="L766" s="38" t="str">
        <f t="shared" si="156"/>
        <v/>
      </c>
      <c r="M766" s="38" t="str">
        <f t="shared" si="170"/>
        <v/>
      </c>
      <c r="N766" s="38" t="str">
        <f t="shared" si="168"/>
        <v/>
      </c>
      <c r="O766" s="38" t="str">
        <f t="shared" si="171"/>
        <v/>
      </c>
      <c r="P766" s="38" t="str">
        <f t="shared" si="162"/>
        <v/>
      </c>
      <c r="Q766" s="38"/>
    </row>
    <row r="767" spans="1:17" x14ac:dyDescent="0.2">
      <c r="A767" t="str">
        <f t="shared" si="163"/>
        <v/>
      </c>
      <c r="B767" s="38" t="str">
        <f t="shared" si="159"/>
        <v/>
      </c>
      <c r="C767" s="38" t="str">
        <f t="shared" si="164"/>
        <v/>
      </c>
      <c r="D767" s="38" t="str">
        <f t="shared" si="169"/>
        <v/>
      </c>
      <c r="E767" s="38" t="str">
        <f t="shared" si="166"/>
        <v/>
      </c>
      <c r="F767" s="38" t="str">
        <f t="shared" si="157"/>
        <v/>
      </c>
      <c r="G767" s="38" t="str">
        <f t="shared" si="160"/>
        <v/>
      </c>
      <c r="H767" s="38"/>
      <c r="J767" t="str">
        <f t="shared" si="172"/>
        <v/>
      </c>
      <c r="K767" s="38" t="str">
        <f t="shared" si="161"/>
        <v/>
      </c>
      <c r="L767" s="38" t="str">
        <f t="shared" si="156"/>
        <v/>
      </c>
      <c r="M767" s="38" t="str">
        <f t="shared" si="170"/>
        <v/>
      </c>
      <c r="N767" s="38" t="str">
        <f t="shared" si="168"/>
        <v/>
      </c>
      <c r="O767" s="38" t="str">
        <f t="shared" si="171"/>
        <v/>
      </c>
      <c r="P767" s="38" t="str">
        <f t="shared" si="162"/>
        <v/>
      </c>
      <c r="Q767" s="38"/>
    </row>
    <row r="768" spans="1:17" x14ac:dyDescent="0.2">
      <c r="A768" t="str">
        <f t="shared" si="163"/>
        <v/>
      </c>
      <c r="B768" s="38" t="str">
        <f t="shared" si="159"/>
        <v/>
      </c>
      <c r="C768" s="38" t="str">
        <f t="shared" si="164"/>
        <v/>
      </c>
      <c r="D768" s="38" t="str">
        <f t="shared" si="169"/>
        <v/>
      </c>
      <c r="E768" s="38" t="str">
        <f t="shared" si="166"/>
        <v/>
      </c>
      <c r="F768" s="38" t="str">
        <f t="shared" si="157"/>
        <v/>
      </c>
      <c r="G768" s="38" t="str">
        <f t="shared" si="160"/>
        <v/>
      </c>
      <c r="H768" s="38"/>
      <c r="J768" t="str">
        <f t="shared" si="172"/>
        <v/>
      </c>
      <c r="K768" s="38" t="str">
        <f t="shared" si="161"/>
        <v/>
      </c>
      <c r="L768" s="38" t="str">
        <f t="shared" si="156"/>
        <v/>
      </c>
      <c r="M768" s="38" t="str">
        <f t="shared" si="170"/>
        <v/>
      </c>
      <c r="N768" s="38" t="str">
        <f t="shared" si="168"/>
        <v/>
      </c>
      <c r="O768" s="38" t="str">
        <f t="shared" si="171"/>
        <v/>
      </c>
      <c r="P768" s="38" t="str">
        <f t="shared" si="162"/>
        <v/>
      </c>
      <c r="Q768" s="38"/>
    </row>
    <row r="769" spans="1:17" x14ac:dyDescent="0.2">
      <c r="A769" t="str">
        <f t="shared" si="163"/>
        <v/>
      </c>
      <c r="B769" s="38" t="str">
        <f t="shared" si="159"/>
        <v/>
      </c>
      <c r="C769" s="38" t="str">
        <f t="shared" si="164"/>
        <v/>
      </c>
      <c r="D769" s="38" t="str">
        <f t="shared" si="169"/>
        <v/>
      </c>
      <c r="E769" s="38" t="str">
        <f t="shared" si="166"/>
        <v/>
      </c>
      <c r="F769" s="38" t="str">
        <f t="shared" si="157"/>
        <v/>
      </c>
      <c r="G769" s="38" t="str">
        <f t="shared" si="160"/>
        <v/>
      </c>
      <c r="H769" s="38"/>
      <c r="J769" t="str">
        <f t="shared" si="172"/>
        <v/>
      </c>
      <c r="K769" s="38" t="str">
        <f t="shared" si="161"/>
        <v/>
      </c>
      <c r="L769" s="38" t="str">
        <f t="shared" si="156"/>
        <v/>
      </c>
      <c r="M769" s="38" t="str">
        <f t="shared" si="170"/>
        <v/>
      </c>
      <c r="N769" s="38" t="str">
        <f t="shared" si="168"/>
        <v/>
      </c>
      <c r="O769" s="38" t="str">
        <f t="shared" si="171"/>
        <v/>
      </c>
      <c r="P769" s="38" t="str">
        <f t="shared" si="162"/>
        <v/>
      </c>
      <c r="Q769" s="38"/>
    </row>
    <row r="770" spans="1:17" x14ac:dyDescent="0.2">
      <c r="A770" t="str">
        <f t="shared" si="163"/>
        <v/>
      </c>
      <c r="B770" s="38" t="str">
        <f t="shared" si="159"/>
        <v/>
      </c>
      <c r="C770" s="38" t="str">
        <f t="shared" si="164"/>
        <v/>
      </c>
      <c r="D770" s="38" t="str">
        <f t="shared" si="169"/>
        <v/>
      </c>
      <c r="E770" s="38" t="str">
        <f t="shared" si="166"/>
        <v/>
      </c>
      <c r="F770" s="38" t="str">
        <f t="shared" si="157"/>
        <v/>
      </c>
      <c r="G770" s="38" t="str">
        <f t="shared" si="160"/>
        <v/>
      </c>
      <c r="H770" s="38"/>
      <c r="J770" t="str">
        <f t="shared" si="172"/>
        <v/>
      </c>
      <c r="K770" s="38" t="str">
        <f t="shared" si="161"/>
        <v/>
      </c>
      <c r="L770" s="38" t="str">
        <f t="shared" si="156"/>
        <v/>
      </c>
      <c r="M770" s="38" t="str">
        <f t="shared" si="170"/>
        <v/>
      </c>
      <c r="N770" s="38" t="str">
        <f t="shared" si="168"/>
        <v/>
      </c>
      <c r="O770" s="38" t="str">
        <f t="shared" si="171"/>
        <v/>
      </c>
      <c r="P770" s="38" t="str">
        <f t="shared" si="162"/>
        <v/>
      </c>
      <c r="Q770" s="38"/>
    </row>
    <row r="771" spans="1:17" x14ac:dyDescent="0.2">
      <c r="A771" t="str">
        <f t="shared" si="163"/>
        <v/>
      </c>
      <c r="B771" s="38" t="str">
        <f t="shared" si="159"/>
        <v/>
      </c>
      <c r="C771" s="38" t="str">
        <f t="shared" si="164"/>
        <v/>
      </c>
      <c r="D771" s="38" t="str">
        <f t="shared" si="169"/>
        <v/>
      </c>
      <c r="E771" s="38" t="str">
        <f t="shared" si="166"/>
        <v/>
      </c>
      <c r="F771" s="38" t="str">
        <f t="shared" si="157"/>
        <v/>
      </c>
      <c r="G771" s="38" t="str">
        <f t="shared" si="160"/>
        <v/>
      </c>
      <c r="H771" s="38"/>
      <c r="J771" t="str">
        <f t="shared" si="172"/>
        <v/>
      </c>
      <c r="K771" s="38" t="str">
        <f t="shared" si="161"/>
        <v/>
      </c>
      <c r="L771" s="38" t="str">
        <f t="shared" si="156"/>
        <v/>
      </c>
      <c r="M771" s="38" t="str">
        <f t="shared" si="170"/>
        <v/>
      </c>
      <c r="N771" s="38" t="str">
        <f t="shared" si="168"/>
        <v/>
      </c>
      <c r="O771" s="38" t="str">
        <f t="shared" si="171"/>
        <v/>
      </c>
      <c r="P771" s="38" t="str">
        <f t="shared" si="162"/>
        <v/>
      </c>
      <c r="Q771" s="38"/>
    </row>
    <row r="772" spans="1:17" x14ac:dyDescent="0.2">
      <c r="A772" t="str">
        <f t="shared" si="163"/>
        <v/>
      </c>
      <c r="B772" s="38" t="str">
        <f t="shared" si="159"/>
        <v/>
      </c>
      <c r="C772" s="38" t="str">
        <f t="shared" si="164"/>
        <v/>
      </c>
      <c r="D772" s="38" t="str">
        <f t="shared" si="169"/>
        <v/>
      </c>
      <c r="E772" s="38" t="str">
        <f t="shared" si="166"/>
        <v/>
      </c>
      <c r="F772" s="38" t="str">
        <f t="shared" si="157"/>
        <v/>
      </c>
      <c r="G772" s="38" t="str">
        <f t="shared" si="160"/>
        <v/>
      </c>
      <c r="H772" s="38"/>
      <c r="J772" t="str">
        <f t="shared" si="172"/>
        <v/>
      </c>
      <c r="K772" s="38" t="str">
        <f t="shared" si="161"/>
        <v/>
      </c>
      <c r="L772" s="38" t="str">
        <f t="shared" si="156"/>
        <v/>
      </c>
      <c r="M772" s="38" t="str">
        <f t="shared" si="170"/>
        <v/>
      </c>
      <c r="N772" s="38" t="str">
        <f t="shared" si="168"/>
        <v/>
      </c>
      <c r="O772" s="38" t="str">
        <f t="shared" si="171"/>
        <v/>
      </c>
      <c r="P772" s="38" t="str">
        <f t="shared" si="162"/>
        <v/>
      </c>
      <c r="Q772" s="38"/>
    </row>
    <row r="773" spans="1:17" x14ac:dyDescent="0.2">
      <c r="A773" t="str">
        <f t="shared" si="163"/>
        <v/>
      </c>
      <c r="B773" s="38" t="str">
        <f t="shared" si="159"/>
        <v/>
      </c>
      <c r="C773" s="38" t="str">
        <f t="shared" si="164"/>
        <v/>
      </c>
      <c r="D773" s="38" t="str">
        <f t="shared" si="169"/>
        <v/>
      </c>
      <c r="E773" s="38" t="str">
        <f t="shared" si="166"/>
        <v/>
      </c>
      <c r="F773" s="38" t="str">
        <f t="shared" si="157"/>
        <v/>
      </c>
      <c r="G773" s="38" t="str">
        <f t="shared" si="160"/>
        <v/>
      </c>
      <c r="H773" s="38"/>
      <c r="J773" t="str">
        <f t="shared" si="172"/>
        <v/>
      </c>
      <c r="K773" s="38" t="str">
        <f t="shared" si="161"/>
        <v/>
      </c>
      <c r="L773" s="38" t="str">
        <f t="shared" si="156"/>
        <v/>
      </c>
      <c r="M773" s="38" t="str">
        <f t="shared" si="170"/>
        <v/>
      </c>
      <c r="N773" s="38" t="str">
        <f t="shared" si="168"/>
        <v/>
      </c>
      <c r="O773" s="38" t="str">
        <f t="shared" si="171"/>
        <v/>
      </c>
      <c r="P773" s="38" t="str">
        <f t="shared" si="162"/>
        <v/>
      </c>
      <c r="Q773" s="38"/>
    </row>
    <row r="774" spans="1:17" x14ac:dyDescent="0.2">
      <c r="A774" t="str">
        <f t="shared" si="163"/>
        <v/>
      </c>
      <c r="B774" s="38" t="str">
        <f t="shared" si="159"/>
        <v/>
      </c>
      <c r="C774" s="38" t="str">
        <f t="shared" si="164"/>
        <v/>
      </c>
      <c r="D774" s="38" t="str">
        <f t="shared" si="169"/>
        <v/>
      </c>
      <c r="E774" s="38" t="str">
        <f t="shared" si="166"/>
        <v/>
      </c>
      <c r="F774" s="38" t="str">
        <f t="shared" si="157"/>
        <v/>
      </c>
      <c r="G774" s="38" t="str">
        <f t="shared" si="160"/>
        <v/>
      </c>
      <c r="H774" s="38"/>
      <c r="J774" t="str">
        <f t="shared" si="172"/>
        <v/>
      </c>
      <c r="K774" s="38" t="str">
        <f t="shared" si="161"/>
        <v/>
      </c>
      <c r="L774" s="38" t="str">
        <f t="shared" si="156"/>
        <v/>
      </c>
      <c r="M774" s="38" t="str">
        <f t="shared" si="170"/>
        <v/>
      </c>
      <c r="N774" s="38" t="str">
        <f t="shared" si="168"/>
        <v/>
      </c>
      <c r="O774" s="38" t="str">
        <f t="shared" si="171"/>
        <v/>
      </c>
      <c r="P774" s="38" t="str">
        <f t="shared" si="162"/>
        <v/>
      </c>
      <c r="Q774" s="38"/>
    </row>
    <row r="775" spans="1:17" x14ac:dyDescent="0.2">
      <c r="A775" t="str">
        <f t="shared" si="163"/>
        <v/>
      </c>
      <c r="B775" s="38" t="str">
        <f t="shared" si="159"/>
        <v/>
      </c>
      <c r="C775" s="38" t="str">
        <f t="shared" si="164"/>
        <v/>
      </c>
      <c r="D775" s="38" t="str">
        <f t="shared" si="169"/>
        <v/>
      </c>
      <c r="E775" s="38" t="str">
        <f t="shared" si="166"/>
        <v/>
      </c>
      <c r="F775" s="38" t="str">
        <f t="shared" si="157"/>
        <v/>
      </c>
      <c r="G775" s="38" t="str">
        <f t="shared" si="160"/>
        <v/>
      </c>
      <c r="H775" s="38"/>
      <c r="J775" t="str">
        <f t="shared" si="172"/>
        <v/>
      </c>
      <c r="K775" s="38" t="str">
        <f t="shared" si="161"/>
        <v/>
      </c>
      <c r="L775" s="38" t="str">
        <f t="shared" si="156"/>
        <v/>
      </c>
      <c r="M775" s="38" t="str">
        <f t="shared" si="170"/>
        <v/>
      </c>
      <c r="N775" s="38" t="str">
        <f t="shared" si="168"/>
        <v/>
      </c>
      <c r="O775" s="38" t="str">
        <f t="shared" si="171"/>
        <v/>
      </c>
      <c r="P775" s="38" t="str">
        <f t="shared" si="162"/>
        <v/>
      </c>
      <c r="Q775" s="38"/>
    </row>
    <row r="776" spans="1:17" x14ac:dyDescent="0.2">
      <c r="A776" t="str">
        <f t="shared" si="163"/>
        <v/>
      </c>
      <c r="B776" s="38" t="str">
        <f t="shared" si="159"/>
        <v/>
      </c>
      <c r="C776" s="38" t="str">
        <f t="shared" si="164"/>
        <v/>
      </c>
      <c r="D776" s="38" t="str">
        <f t="shared" si="169"/>
        <v/>
      </c>
      <c r="E776" s="38" t="str">
        <f t="shared" si="166"/>
        <v/>
      </c>
      <c r="F776" s="38" t="str">
        <f t="shared" si="157"/>
        <v/>
      </c>
      <c r="G776" s="38" t="str">
        <f t="shared" si="160"/>
        <v/>
      </c>
      <c r="H776" s="38"/>
      <c r="J776" t="str">
        <f t="shared" si="172"/>
        <v/>
      </c>
      <c r="K776" s="38" t="str">
        <f t="shared" si="161"/>
        <v/>
      </c>
      <c r="L776" s="38" t="str">
        <f t="shared" si="156"/>
        <v/>
      </c>
      <c r="M776" s="38" t="str">
        <f t="shared" si="170"/>
        <v/>
      </c>
      <c r="N776" s="38" t="str">
        <f t="shared" si="168"/>
        <v/>
      </c>
      <c r="O776" s="38" t="str">
        <f t="shared" si="171"/>
        <v/>
      </c>
      <c r="P776" s="38" t="str">
        <f t="shared" si="162"/>
        <v/>
      </c>
      <c r="Q776" s="38"/>
    </row>
    <row r="777" spans="1:17" x14ac:dyDescent="0.2">
      <c r="A777" t="str">
        <f t="shared" si="163"/>
        <v/>
      </c>
      <c r="B777" s="38" t="str">
        <f t="shared" si="159"/>
        <v/>
      </c>
      <c r="C777" s="38" t="str">
        <f t="shared" si="164"/>
        <v/>
      </c>
      <c r="D777" s="38" t="str">
        <f t="shared" si="169"/>
        <v/>
      </c>
      <c r="E777" s="38" t="str">
        <f t="shared" si="166"/>
        <v/>
      </c>
      <c r="F777" s="38" t="str">
        <f t="shared" si="157"/>
        <v/>
      </c>
      <c r="G777" s="38" t="str">
        <f t="shared" si="160"/>
        <v/>
      </c>
      <c r="H777" s="38"/>
      <c r="J777" t="str">
        <f t="shared" si="172"/>
        <v/>
      </c>
      <c r="K777" s="38" t="str">
        <f t="shared" si="161"/>
        <v/>
      </c>
      <c r="L777" s="38" t="str">
        <f t="shared" si="156"/>
        <v/>
      </c>
      <c r="M777" s="38" t="str">
        <f t="shared" si="170"/>
        <v/>
      </c>
      <c r="N777" s="38" t="str">
        <f t="shared" si="168"/>
        <v/>
      </c>
      <c r="O777" s="38" t="str">
        <f t="shared" si="171"/>
        <v/>
      </c>
      <c r="P777" s="38" t="str">
        <f t="shared" si="162"/>
        <v/>
      </c>
      <c r="Q777" s="38"/>
    </row>
    <row r="778" spans="1:17" x14ac:dyDescent="0.2">
      <c r="A778" t="str">
        <f t="shared" si="163"/>
        <v/>
      </c>
      <c r="B778" s="38" t="str">
        <f t="shared" si="159"/>
        <v/>
      </c>
      <c r="C778" s="38" t="str">
        <f t="shared" si="164"/>
        <v/>
      </c>
      <c r="D778" s="38" t="str">
        <f t="shared" si="169"/>
        <v/>
      </c>
      <c r="E778" s="38" t="str">
        <f t="shared" si="166"/>
        <v/>
      </c>
      <c r="F778" s="38" t="str">
        <f t="shared" si="157"/>
        <v/>
      </c>
      <c r="G778" s="38" t="str">
        <f t="shared" si="160"/>
        <v/>
      </c>
      <c r="H778" s="38"/>
      <c r="J778" t="str">
        <f t="shared" si="172"/>
        <v/>
      </c>
      <c r="K778" s="38" t="str">
        <f t="shared" si="161"/>
        <v/>
      </c>
      <c r="L778" s="38" t="str">
        <f t="shared" si="156"/>
        <v/>
      </c>
      <c r="M778" s="38" t="str">
        <f t="shared" si="170"/>
        <v/>
      </c>
      <c r="N778" s="38" t="str">
        <f t="shared" si="168"/>
        <v/>
      </c>
      <c r="O778" s="38" t="str">
        <f t="shared" si="171"/>
        <v/>
      </c>
      <c r="P778" s="38" t="str">
        <f t="shared" si="162"/>
        <v/>
      </c>
      <c r="Q778" s="38"/>
    </row>
    <row r="779" spans="1:17" x14ac:dyDescent="0.2">
      <c r="A779" t="str">
        <f t="shared" si="163"/>
        <v/>
      </c>
      <c r="B779" s="38" t="str">
        <f t="shared" si="159"/>
        <v/>
      </c>
      <c r="C779" s="38" t="str">
        <f t="shared" si="164"/>
        <v/>
      </c>
      <c r="D779" s="38" t="str">
        <f t="shared" si="169"/>
        <v/>
      </c>
      <c r="E779" s="38" t="str">
        <f t="shared" si="166"/>
        <v/>
      </c>
      <c r="F779" s="38" t="str">
        <f t="shared" si="157"/>
        <v/>
      </c>
      <c r="G779" s="38" t="str">
        <f t="shared" si="160"/>
        <v/>
      </c>
      <c r="H779" s="38"/>
      <c r="J779" t="str">
        <f t="shared" si="172"/>
        <v/>
      </c>
      <c r="K779" s="38" t="str">
        <f t="shared" si="161"/>
        <v/>
      </c>
      <c r="L779" s="38" t="str">
        <f t="shared" si="156"/>
        <v/>
      </c>
      <c r="M779" s="38" t="str">
        <f t="shared" si="170"/>
        <v/>
      </c>
      <c r="N779" s="38" t="str">
        <f t="shared" si="168"/>
        <v/>
      </c>
      <c r="O779" s="38" t="str">
        <f t="shared" si="171"/>
        <v/>
      </c>
      <c r="P779" s="38" t="str">
        <f t="shared" si="162"/>
        <v/>
      </c>
      <c r="Q779" s="38"/>
    </row>
    <row r="780" spans="1:17" x14ac:dyDescent="0.2">
      <c r="A780" t="str">
        <f t="shared" si="163"/>
        <v/>
      </c>
      <c r="B780" s="38" t="str">
        <f t="shared" si="159"/>
        <v/>
      </c>
      <c r="C780" s="38" t="str">
        <f t="shared" si="164"/>
        <v/>
      </c>
      <c r="D780" s="38" t="str">
        <f t="shared" si="169"/>
        <v/>
      </c>
      <c r="E780" s="38" t="str">
        <f t="shared" si="166"/>
        <v/>
      </c>
      <c r="F780" s="38" t="str">
        <f t="shared" si="157"/>
        <v/>
      </c>
      <c r="G780" s="38" t="str">
        <f t="shared" si="160"/>
        <v/>
      </c>
      <c r="H780" s="38"/>
      <c r="J780" t="str">
        <f t="shared" si="172"/>
        <v/>
      </c>
      <c r="K780" s="38" t="str">
        <f t="shared" si="161"/>
        <v/>
      </c>
      <c r="L780" s="38" t="str">
        <f t="shared" si="156"/>
        <v/>
      </c>
      <c r="M780" s="38" t="str">
        <f t="shared" si="170"/>
        <v/>
      </c>
      <c r="N780" s="38" t="str">
        <f t="shared" si="168"/>
        <v/>
      </c>
      <c r="O780" s="38" t="str">
        <f t="shared" si="171"/>
        <v/>
      </c>
      <c r="P780" s="38" t="str">
        <f t="shared" si="162"/>
        <v/>
      </c>
      <c r="Q780" s="38"/>
    </row>
    <row r="781" spans="1:17" x14ac:dyDescent="0.2">
      <c r="A781" t="str">
        <f t="shared" si="163"/>
        <v/>
      </c>
      <c r="B781" s="38" t="str">
        <f t="shared" si="159"/>
        <v/>
      </c>
      <c r="C781" s="38" t="str">
        <f t="shared" si="164"/>
        <v/>
      </c>
      <c r="D781" s="38" t="str">
        <f t="shared" si="169"/>
        <v/>
      </c>
      <c r="E781" s="38" t="str">
        <f t="shared" si="166"/>
        <v/>
      </c>
      <c r="F781" s="38" t="str">
        <f t="shared" si="157"/>
        <v/>
      </c>
      <c r="G781" s="38" t="str">
        <f t="shared" si="160"/>
        <v/>
      </c>
      <c r="H781" s="38"/>
      <c r="J781" t="str">
        <f t="shared" si="172"/>
        <v/>
      </c>
      <c r="K781" s="38" t="str">
        <f t="shared" si="161"/>
        <v/>
      </c>
      <c r="L781" s="38" t="str">
        <f t="shared" si="156"/>
        <v/>
      </c>
      <c r="M781" s="38" t="str">
        <f t="shared" si="170"/>
        <v/>
      </c>
      <c r="N781" s="38" t="str">
        <f t="shared" si="168"/>
        <v/>
      </c>
      <c r="O781" s="38" t="str">
        <f t="shared" si="171"/>
        <v/>
      </c>
      <c r="P781" s="38" t="str">
        <f t="shared" si="162"/>
        <v/>
      </c>
      <c r="Q781" s="38"/>
    </row>
    <row r="782" spans="1:17" x14ac:dyDescent="0.2">
      <c r="A782" t="str">
        <f t="shared" si="163"/>
        <v/>
      </c>
      <c r="B782" s="38" t="str">
        <f t="shared" si="159"/>
        <v/>
      </c>
      <c r="C782" s="38" t="str">
        <f t="shared" si="164"/>
        <v/>
      </c>
      <c r="D782" s="38" t="str">
        <f t="shared" si="169"/>
        <v/>
      </c>
      <c r="E782" s="38" t="str">
        <f t="shared" si="166"/>
        <v/>
      </c>
      <c r="F782" s="38" t="str">
        <f t="shared" si="157"/>
        <v/>
      </c>
      <c r="G782" s="38" t="str">
        <f t="shared" si="160"/>
        <v/>
      </c>
      <c r="H782" s="38"/>
      <c r="J782" t="str">
        <f t="shared" si="172"/>
        <v/>
      </c>
      <c r="K782" s="38" t="str">
        <f t="shared" si="161"/>
        <v/>
      </c>
      <c r="L782" s="38" t="str">
        <f t="shared" si="156"/>
        <v/>
      </c>
      <c r="M782" s="38" t="str">
        <f t="shared" si="170"/>
        <v/>
      </c>
      <c r="N782" s="38" t="str">
        <f t="shared" si="168"/>
        <v/>
      </c>
      <c r="O782" s="38" t="str">
        <f t="shared" si="171"/>
        <v/>
      </c>
      <c r="P782" s="38" t="str">
        <f t="shared" si="162"/>
        <v/>
      </c>
      <c r="Q782" s="38"/>
    </row>
    <row r="783" spans="1:17" x14ac:dyDescent="0.2">
      <c r="A783" t="str">
        <f t="shared" si="163"/>
        <v/>
      </c>
      <c r="B783" s="38" t="str">
        <f t="shared" si="159"/>
        <v/>
      </c>
      <c r="C783" s="38" t="str">
        <f t="shared" si="164"/>
        <v/>
      </c>
      <c r="D783" s="38" t="str">
        <f t="shared" si="169"/>
        <v/>
      </c>
      <c r="E783" s="38" t="str">
        <f t="shared" si="166"/>
        <v/>
      </c>
      <c r="F783" s="38" t="str">
        <f t="shared" si="157"/>
        <v/>
      </c>
      <c r="G783" s="38" t="str">
        <f t="shared" si="160"/>
        <v/>
      </c>
      <c r="H783" s="38"/>
      <c r="J783" t="str">
        <f t="shared" si="172"/>
        <v/>
      </c>
      <c r="K783" s="38" t="str">
        <f t="shared" si="161"/>
        <v/>
      </c>
      <c r="L783" s="38" t="str">
        <f t="shared" ref="L783:L812" si="173">IF(J783="","",((K783 + M783)*$B$6))</f>
        <v/>
      </c>
      <c r="M783" s="38" t="str">
        <f t="shared" si="170"/>
        <v/>
      </c>
      <c r="N783" s="38" t="str">
        <f t="shared" si="168"/>
        <v/>
      </c>
      <c r="O783" s="38" t="str">
        <f t="shared" si="171"/>
        <v/>
      </c>
      <c r="P783" s="38" t="str">
        <f t="shared" si="162"/>
        <v/>
      </c>
      <c r="Q783" s="38"/>
    </row>
    <row r="784" spans="1:17" x14ac:dyDescent="0.2">
      <c r="A784" t="str">
        <f t="shared" si="163"/>
        <v/>
      </c>
      <c r="B784" s="38" t="str">
        <f t="shared" si="159"/>
        <v/>
      </c>
      <c r="C784" s="38" t="str">
        <f t="shared" si="164"/>
        <v/>
      </c>
      <c r="D784" s="38" t="str">
        <f t="shared" si="169"/>
        <v/>
      </c>
      <c r="E784" s="38" t="str">
        <f t="shared" si="166"/>
        <v/>
      </c>
      <c r="F784" s="38" t="str">
        <f t="shared" si="157"/>
        <v/>
      </c>
      <c r="G784" s="38" t="str">
        <f t="shared" si="160"/>
        <v/>
      </c>
      <c r="H784" s="38"/>
      <c r="J784" t="str">
        <f t="shared" si="172"/>
        <v/>
      </c>
      <c r="K784" s="38" t="str">
        <f t="shared" si="161"/>
        <v/>
      </c>
      <c r="L784" s="38" t="str">
        <f t="shared" si="173"/>
        <v/>
      </c>
      <c r="M784" s="38" t="str">
        <f t="shared" si="170"/>
        <v/>
      </c>
      <c r="N784" s="38" t="str">
        <f t="shared" si="168"/>
        <v/>
      </c>
      <c r="O784" s="38" t="str">
        <f t="shared" si="171"/>
        <v/>
      </c>
      <c r="P784" s="38" t="str">
        <f t="shared" si="162"/>
        <v/>
      </c>
      <c r="Q784" s="38"/>
    </row>
    <row r="785" spans="1:17" x14ac:dyDescent="0.2">
      <c r="A785" t="str">
        <f t="shared" si="163"/>
        <v/>
      </c>
      <c r="B785" s="38" t="str">
        <f t="shared" si="159"/>
        <v/>
      </c>
      <c r="C785" s="38" t="str">
        <f t="shared" si="164"/>
        <v/>
      </c>
      <c r="D785" s="38" t="str">
        <f t="shared" si="169"/>
        <v/>
      </c>
      <c r="E785" s="38" t="str">
        <f t="shared" si="166"/>
        <v/>
      </c>
      <c r="F785" s="38" t="str">
        <f t="shared" si="157"/>
        <v/>
      </c>
      <c r="G785" s="38" t="str">
        <f t="shared" si="160"/>
        <v/>
      </c>
      <c r="H785" s="38"/>
      <c r="J785" t="str">
        <f t="shared" si="172"/>
        <v/>
      </c>
      <c r="K785" s="38" t="str">
        <f t="shared" si="161"/>
        <v/>
      </c>
      <c r="L785" s="38" t="str">
        <f t="shared" si="173"/>
        <v/>
      </c>
      <c r="M785" s="38" t="str">
        <f t="shared" si="170"/>
        <v/>
      </c>
      <c r="N785" s="38" t="str">
        <f t="shared" si="168"/>
        <v/>
      </c>
      <c r="O785" s="38" t="str">
        <f t="shared" si="171"/>
        <v/>
      </c>
      <c r="P785" s="38" t="str">
        <f t="shared" si="162"/>
        <v/>
      </c>
      <c r="Q785" s="38"/>
    </row>
    <row r="786" spans="1:17" x14ac:dyDescent="0.2">
      <c r="A786" t="str">
        <f t="shared" si="163"/>
        <v/>
      </c>
      <c r="B786" s="38" t="str">
        <f t="shared" si="159"/>
        <v/>
      </c>
      <c r="C786" s="38" t="str">
        <f t="shared" si="164"/>
        <v/>
      </c>
      <c r="D786" s="38" t="str">
        <f t="shared" si="169"/>
        <v/>
      </c>
      <c r="E786" s="38" t="str">
        <f t="shared" si="166"/>
        <v/>
      </c>
      <c r="F786" s="38" t="str">
        <f t="shared" si="157"/>
        <v/>
      </c>
      <c r="G786" s="38" t="str">
        <f t="shared" si="160"/>
        <v/>
      </c>
      <c r="H786" s="38"/>
      <c r="J786" t="str">
        <f t="shared" si="172"/>
        <v/>
      </c>
      <c r="K786" s="38" t="str">
        <f t="shared" si="161"/>
        <v/>
      </c>
      <c r="L786" s="38" t="str">
        <f t="shared" si="173"/>
        <v/>
      </c>
      <c r="M786" s="38" t="str">
        <f t="shared" si="170"/>
        <v/>
      </c>
      <c r="N786" s="38" t="str">
        <f t="shared" si="168"/>
        <v/>
      </c>
      <c r="O786" s="38" t="str">
        <f t="shared" si="171"/>
        <v/>
      </c>
      <c r="P786" s="38" t="str">
        <f t="shared" si="162"/>
        <v/>
      </c>
      <c r="Q786" s="38"/>
    </row>
    <row r="787" spans="1:17" x14ac:dyDescent="0.2">
      <c r="A787" t="str">
        <f t="shared" si="163"/>
        <v/>
      </c>
      <c r="B787" s="38" t="str">
        <f t="shared" si="159"/>
        <v/>
      </c>
      <c r="C787" s="38" t="str">
        <f t="shared" si="164"/>
        <v/>
      </c>
      <c r="D787" s="38" t="str">
        <f t="shared" si="169"/>
        <v/>
      </c>
      <c r="E787" s="38" t="str">
        <f t="shared" si="166"/>
        <v/>
      </c>
      <c r="F787" s="38" t="str">
        <f t="shared" ref="F787:F850" si="174">IF(A787="","", B787-E787)</f>
        <v/>
      </c>
      <c r="G787" s="38" t="str">
        <f t="shared" si="160"/>
        <v/>
      </c>
      <c r="H787" s="38"/>
      <c r="J787" t="str">
        <f t="shared" si="172"/>
        <v/>
      </c>
      <c r="K787" s="38" t="str">
        <f t="shared" si="161"/>
        <v/>
      </c>
      <c r="L787" s="38" t="str">
        <f t="shared" si="173"/>
        <v/>
      </c>
      <c r="M787" s="38" t="str">
        <f t="shared" si="170"/>
        <v/>
      </c>
      <c r="N787" s="38" t="str">
        <f t="shared" si="168"/>
        <v/>
      </c>
      <c r="O787" s="38" t="str">
        <f t="shared" ref="O787:O818" si="175">IF(J787="","", K787-N787)</f>
        <v/>
      </c>
      <c r="P787" s="38" t="str">
        <f t="shared" si="162"/>
        <v/>
      </c>
      <c r="Q787" s="38"/>
    </row>
    <row r="788" spans="1:17" x14ac:dyDescent="0.2">
      <c r="A788" t="str">
        <f t="shared" si="163"/>
        <v/>
      </c>
      <c r="B788" s="38" t="str">
        <f t="shared" si="159"/>
        <v/>
      </c>
      <c r="C788" s="38" t="str">
        <f t="shared" si="164"/>
        <v/>
      </c>
      <c r="D788" s="38" t="str">
        <f t="shared" si="169"/>
        <v/>
      </c>
      <c r="E788" s="38" t="str">
        <f t="shared" si="166"/>
        <v/>
      </c>
      <c r="F788" s="38" t="str">
        <f t="shared" si="174"/>
        <v/>
      </c>
      <c r="G788" s="38" t="str">
        <f t="shared" si="160"/>
        <v/>
      </c>
      <c r="H788" s="38"/>
      <c r="J788" t="str">
        <f t="shared" si="172"/>
        <v/>
      </c>
      <c r="K788" s="38" t="str">
        <f t="shared" si="161"/>
        <v/>
      </c>
      <c r="L788" s="38" t="str">
        <f t="shared" si="173"/>
        <v/>
      </c>
      <c r="M788" s="38" t="str">
        <f t="shared" si="170"/>
        <v/>
      </c>
      <c r="N788" s="38" t="str">
        <f t="shared" si="168"/>
        <v/>
      </c>
      <c r="O788" s="38" t="str">
        <f t="shared" si="175"/>
        <v/>
      </c>
      <c r="P788" s="38" t="str">
        <f t="shared" si="162"/>
        <v/>
      </c>
      <c r="Q788" s="38"/>
    </row>
    <row r="789" spans="1:17" x14ac:dyDescent="0.2">
      <c r="A789" t="str">
        <f t="shared" si="163"/>
        <v/>
      </c>
      <c r="B789" s="38" t="str">
        <f t="shared" si="159"/>
        <v/>
      </c>
      <c r="C789" s="38" t="str">
        <f t="shared" si="164"/>
        <v/>
      </c>
      <c r="D789" s="38" t="str">
        <f t="shared" si="169"/>
        <v/>
      </c>
      <c r="E789" s="38" t="str">
        <f t="shared" si="166"/>
        <v/>
      </c>
      <c r="F789" s="38" t="str">
        <f t="shared" si="174"/>
        <v/>
      </c>
      <c r="G789" s="38" t="str">
        <f t="shared" si="160"/>
        <v/>
      </c>
      <c r="H789" s="38"/>
      <c r="J789" t="str">
        <f t="shared" si="172"/>
        <v/>
      </c>
      <c r="K789" s="38" t="str">
        <f t="shared" si="161"/>
        <v/>
      </c>
      <c r="L789" s="38" t="str">
        <f t="shared" si="173"/>
        <v/>
      </c>
      <c r="M789" s="38" t="str">
        <f t="shared" si="170"/>
        <v/>
      </c>
      <c r="N789" s="38" t="str">
        <f t="shared" si="168"/>
        <v/>
      </c>
      <c r="O789" s="38" t="str">
        <f t="shared" si="175"/>
        <v/>
      </c>
      <c r="P789" s="38" t="str">
        <f t="shared" si="162"/>
        <v/>
      </c>
      <c r="Q789" s="38"/>
    </row>
    <row r="790" spans="1:17" x14ac:dyDescent="0.2">
      <c r="A790" t="str">
        <f t="shared" si="163"/>
        <v/>
      </c>
      <c r="B790" s="38" t="str">
        <f t="shared" si="159"/>
        <v/>
      </c>
      <c r="C790" s="38" t="str">
        <f t="shared" si="164"/>
        <v/>
      </c>
      <c r="D790" s="38" t="str">
        <f t="shared" si="169"/>
        <v/>
      </c>
      <c r="E790" s="38" t="str">
        <f t="shared" si="166"/>
        <v/>
      </c>
      <c r="F790" s="38" t="str">
        <f t="shared" si="174"/>
        <v/>
      </c>
      <c r="G790" s="38" t="str">
        <f t="shared" si="160"/>
        <v/>
      </c>
      <c r="H790" s="38"/>
      <c r="J790" t="str">
        <f t="shared" si="172"/>
        <v/>
      </c>
      <c r="K790" s="38" t="str">
        <f t="shared" si="161"/>
        <v/>
      </c>
      <c r="L790" s="38" t="str">
        <f t="shared" si="173"/>
        <v/>
      </c>
      <c r="M790" s="38" t="str">
        <f t="shared" si="170"/>
        <v/>
      </c>
      <c r="N790" s="38" t="str">
        <f t="shared" si="168"/>
        <v/>
      </c>
      <c r="O790" s="38" t="str">
        <f t="shared" si="175"/>
        <v/>
      </c>
      <c r="P790" s="38" t="str">
        <f t="shared" si="162"/>
        <v/>
      </c>
      <c r="Q790" s="38"/>
    </row>
    <row r="791" spans="1:17" x14ac:dyDescent="0.2">
      <c r="A791" t="str">
        <f t="shared" si="163"/>
        <v/>
      </c>
      <c r="B791" s="38" t="str">
        <f t="shared" ref="B791:B854" si="176">IF(A791="","",F790)</f>
        <v/>
      </c>
      <c r="C791" s="38" t="str">
        <f t="shared" si="164"/>
        <v/>
      </c>
      <c r="D791" s="38" t="str">
        <f t="shared" si="169"/>
        <v/>
      </c>
      <c r="E791" s="38" t="str">
        <f t="shared" si="166"/>
        <v/>
      </c>
      <c r="F791" s="38" t="str">
        <f t="shared" si="174"/>
        <v/>
      </c>
      <c r="G791" s="38" t="str">
        <f t="shared" ref="G791:G854" si="177">IF(A791="","", (G790+C791))</f>
        <v/>
      </c>
      <c r="H791" s="38"/>
      <c r="J791" t="str">
        <f t="shared" si="172"/>
        <v/>
      </c>
      <c r="K791" s="38" t="str">
        <f t="shared" ref="K791:K854" si="178">IF(J791="","",O790)</f>
        <v/>
      </c>
      <c r="L791" s="38" t="str">
        <f t="shared" si="173"/>
        <v/>
      </c>
      <c r="M791" s="38" t="str">
        <f t="shared" si="170"/>
        <v/>
      </c>
      <c r="N791" s="38" t="str">
        <f t="shared" si="168"/>
        <v/>
      </c>
      <c r="O791" s="38" t="str">
        <f t="shared" si="175"/>
        <v/>
      </c>
      <c r="P791" s="38" t="str">
        <f t="shared" ref="P791:P854" si="179">IF(J791="","", (P790+L791))</f>
        <v/>
      </c>
      <c r="Q791" s="38"/>
    </row>
    <row r="792" spans="1:17" x14ac:dyDescent="0.2">
      <c r="A792" t="str">
        <f t="shared" ref="A792:A855" si="180">IF(A791&lt;($B$6*$B$7),A791+1,"")</f>
        <v/>
      </c>
      <c r="B792" s="38" t="str">
        <f t="shared" si="176"/>
        <v/>
      </c>
      <c r="C792" s="38" t="str">
        <f t="shared" ref="C792:C817" si="181">IF(A792="","",(B792*$B$6))</f>
        <v/>
      </c>
      <c r="D792" s="38" t="str">
        <f t="shared" ref="D792:D855" si="182">IF(A792="","", $B$5)</f>
        <v/>
      </c>
      <c r="E792" s="38" t="str">
        <f t="shared" ref="E792:E855" si="183">IF(D792="","",(D792-C792))</f>
        <v/>
      </c>
      <c r="F792" s="38" t="str">
        <f t="shared" si="174"/>
        <v/>
      </c>
      <c r="G792" s="38" t="str">
        <f t="shared" si="177"/>
        <v/>
      </c>
      <c r="H792" s="38"/>
      <c r="J792" t="str">
        <f t="shared" si="172"/>
        <v/>
      </c>
      <c r="K792" s="38" t="str">
        <f t="shared" si="178"/>
        <v/>
      </c>
      <c r="L792" s="38" t="str">
        <f t="shared" si="173"/>
        <v/>
      </c>
      <c r="M792" s="38" t="str">
        <f t="shared" si="170"/>
        <v/>
      </c>
      <c r="N792" s="38" t="str">
        <f t="shared" ref="N792:N855" si="184">IF(M792="","",(M792-L792))</f>
        <v/>
      </c>
      <c r="O792" s="38" t="str">
        <f t="shared" si="175"/>
        <v/>
      </c>
      <c r="P792" s="38" t="str">
        <f t="shared" si="179"/>
        <v/>
      </c>
      <c r="Q792" s="38"/>
    </row>
    <row r="793" spans="1:17" x14ac:dyDescent="0.2">
      <c r="A793" t="str">
        <f t="shared" si="180"/>
        <v/>
      </c>
      <c r="B793" s="38" t="str">
        <f t="shared" si="176"/>
        <v/>
      </c>
      <c r="C793" s="38" t="str">
        <f t="shared" si="181"/>
        <v/>
      </c>
      <c r="D793" s="38" t="str">
        <f t="shared" si="182"/>
        <v/>
      </c>
      <c r="E793" s="38" t="str">
        <f t="shared" si="183"/>
        <v/>
      </c>
      <c r="F793" s="38" t="str">
        <f t="shared" si="174"/>
        <v/>
      </c>
      <c r="G793" s="38" t="str">
        <f t="shared" si="177"/>
        <v/>
      </c>
      <c r="H793" s="38"/>
      <c r="J793" t="str">
        <f t="shared" si="172"/>
        <v/>
      </c>
      <c r="K793" s="38" t="str">
        <f t="shared" si="178"/>
        <v/>
      </c>
      <c r="L793" s="38" t="str">
        <f t="shared" si="173"/>
        <v/>
      </c>
      <c r="M793" s="38" t="str">
        <f t="shared" si="170"/>
        <v/>
      </c>
      <c r="N793" s="38" t="str">
        <f t="shared" si="184"/>
        <v/>
      </c>
      <c r="O793" s="38" t="str">
        <f t="shared" si="175"/>
        <v/>
      </c>
      <c r="P793" s="38" t="str">
        <f t="shared" si="179"/>
        <v/>
      </c>
      <c r="Q793" s="38"/>
    </row>
    <row r="794" spans="1:17" x14ac:dyDescent="0.2">
      <c r="A794" t="str">
        <f t="shared" si="180"/>
        <v/>
      </c>
      <c r="B794" s="38" t="str">
        <f t="shared" si="176"/>
        <v/>
      </c>
      <c r="C794" s="38" t="str">
        <f t="shared" si="181"/>
        <v/>
      </c>
      <c r="D794" s="38" t="str">
        <f t="shared" si="182"/>
        <v/>
      </c>
      <c r="E794" s="38" t="str">
        <f t="shared" si="183"/>
        <v/>
      </c>
      <c r="F794" s="38" t="str">
        <f t="shared" si="174"/>
        <v/>
      </c>
      <c r="G794" s="38" t="str">
        <f t="shared" si="177"/>
        <v/>
      </c>
      <c r="H794" s="38"/>
      <c r="J794" t="str">
        <f t="shared" si="172"/>
        <v/>
      </c>
      <c r="K794" s="38" t="str">
        <f t="shared" si="178"/>
        <v/>
      </c>
      <c r="L794" s="38" t="str">
        <f t="shared" si="173"/>
        <v/>
      </c>
      <c r="M794" s="38" t="str">
        <f t="shared" si="170"/>
        <v/>
      </c>
      <c r="N794" s="38" t="str">
        <f t="shared" si="184"/>
        <v/>
      </c>
      <c r="O794" s="38" t="str">
        <f t="shared" si="175"/>
        <v/>
      </c>
      <c r="P794" s="38" t="str">
        <f t="shared" si="179"/>
        <v/>
      </c>
      <c r="Q794" s="38"/>
    </row>
    <row r="795" spans="1:17" x14ac:dyDescent="0.2">
      <c r="A795" t="str">
        <f t="shared" si="180"/>
        <v/>
      </c>
      <c r="B795" s="38" t="str">
        <f t="shared" si="176"/>
        <v/>
      </c>
      <c r="C795" s="38" t="str">
        <f t="shared" si="181"/>
        <v/>
      </c>
      <c r="D795" s="38" t="str">
        <f t="shared" si="182"/>
        <v/>
      </c>
      <c r="E795" s="38" t="str">
        <f t="shared" si="183"/>
        <v/>
      </c>
      <c r="F795" s="38" t="str">
        <f t="shared" si="174"/>
        <v/>
      </c>
      <c r="G795" s="38" t="str">
        <f t="shared" si="177"/>
        <v/>
      </c>
      <c r="H795" s="38"/>
      <c r="J795" t="str">
        <f t="shared" si="172"/>
        <v/>
      </c>
      <c r="K795" s="38" t="str">
        <f t="shared" si="178"/>
        <v/>
      </c>
      <c r="L795" s="38" t="str">
        <f t="shared" si="173"/>
        <v/>
      </c>
      <c r="M795" s="38" t="str">
        <f t="shared" si="170"/>
        <v/>
      </c>
      <c r="N795" s="38" t="str">
        <f t="shared" si="184"/>
        <v/>
      </c>
      <c r="O795" s="38" t="str">
        <f t="shared" si="175"/>
        <v/>
      </c>
      <c r="P795" s="38" t="str">
        <f t="shared" si="179"/>
        <v/>
      </c>
      <c r="Q795" s="38"/>
    </row>
    <row r="796" spans="1:17" x14ac:dyDescent="0.2">
      <c r="A796" t="str">
        <f t="shared" si="180"/>
        <v/>
      </c>
      <c r="B796" s="38" t="str">
        <f t="shared" si="176"/>
        <v/>
      </c>
      <c r="C796" s="38" t="str">
        <f t="shared" si="181"/>
        <v/>
      </c>
      <c r="D796" s="38" t="str">
        <f t="shared" si="182"/>
        <v/>
      </c>
      <c r="E796" s="38" t="str">
        <f t="shared" si="183"/>
        <v/>
      </c>
      <c r="F796" s="38" t="str">
        <f t="shared" si="174"/>
        <v/>
      </c>
      <c r="G796" s="38" t="str">
        <f t="shared" si="177"/>
        <v/>
      </c>
      <c r="H796" s="38"/>
      <c r="J796" t="str">
        <f t="shared" si="172"/>
        <v/>
      </c>
      <c r="K796" s="38" t="str">
        <f t="shared" si="178"/>
        <v/>
      </c>
      <c r="L796" s="38" t="str">
        <f t="shared" si="173"/>
        <v/>
      </c>
      <c r="M796" s="38" t="str">
        <f t="shared" si="170"/>
        <v/>
      </c>
      <c r="N796" s="38" t="str">
        <f t="shared" si="184"/>
        <v/>
      </c>
      <c r="O796" s="38" t="str">
        <f t="shared" si="175"/>
        <v/>
      </c>
      <c r="P796" s="38" t="str">
        <f t="shared" si="179"/>
        <v/>
      </c>
      <c r="Q796" s="38"/>
    </row>
    <row r="797" spans="1:17" x14ac:dyDescent="0.2">
      <c r="A797" t="str">
        <f t="shared" si="180"/>
        <v/>
      </c>
      <c r="B797" s="38" t="str">
        <f t="shared" si="176"/>
        <v/>
      </c>
      <c r="C797" s="38" t="str">
        <f t="shared" si="181"/>
        <v/>
      </c>
      <c r="D797" s="38" t="str">
        <f t="shared" si="182"/>
        <v/>
      </c>
      <c r="E797" s="38" t="str">
        <f t="shared" si="183"/>
        <v/>
      </c>
      <c r="F797" s="38" t="str">
        <f t="shared" si="174"/>
        <v/>
      </c>
      <c r="G797" s="38" t="str">
        <f t="shared" si="177"/>
        <v/>
      </c>
      <c r="H797" s="38"/>
      <c r="J797" t="str">
        <f t="shared" si="172"/>
        <v/>
      </c>
      <c r="K797" s="38" t="str">
        <f t="shared" si="178"/>
        <v/>
      </c>
      <c r="L797" s="38" t="str">
        <f t="shared" si="173"/>
        <v/>
      </c>
      <c r="M797" s="38" t="str">
        <f t="shared" si="170"/>
        <v/>
      </c>
      <c r="N797" s="38" t="str">
        <f t="shared" si="184"/>
        <v/>
      </c>
      <c r="O797" s="38" t="str">
        <f t="shared" si="175"/>
        <v/>
      </c>
      <c r="P797" s="38" t="str">
        <f t="shared" si="179"/>
        <v/>
      </c>
      <c r="Q797" s="38"/>
    </row>
    <row r="798" spans="1:17" x14ac:dyDescent="0.2">
      <c r="A798" t="str">
        <f t="shared" si="180"/>
        <v/>
      </c>
      <c r="B798" s="38" t="str">
        <f t="shared" si="176"/>
        <v/>
      </c>
      <c r="C798" s="38" t="str">
        <f t="shared" si="181"/>
        <v/>
      </c>
      <c r="D798" s="38" t="str">
        <f t="shared" si="182"/>
        <v/>
      </c>
      <c r="E798" s="38" t="str">
        <f t="shared" si="183"/>
        <v/>
      </c>
      <c r="F798" s="38" t="str">
        <f t="shared" si="174"/>
        <v/>
      </c>
      <c r="G798" s="38" t="str">
        <f t="shared" si="177"/>
        <v/>
      </c>
      <c r="H798" s="38"/>
      <c r="J798" t="str">
        <f t="shared" si="172"/>
        <v/>
      </c>
      <c r="K798" s="38" t="str">
        <f t="shared" si="178"/>
        <v/>
      </c>
      <c r="L798" s="38" t="str">
        <f t="shared" si="173"/>
        <v/>
      </c>
      <c r="M798" s="38" t="str">
        <f t="shared" si="170"/>
        <v/>
      </c>
      <c r="N798" s="38" t="str">
        <f t="shared" si="184"/>
        <v/>
      </c>
      <c r="O798" s="38" t="str">
        <f t="shared" si="175"/>
        <v/>
      </c>
      <c r="P798" s="38" t="str">
        <f t="shared" si="179"/>
        <v/>
      </c>
      <c r="Q798" s="38"/>
    </row>
    <row r="799" spans="1:17" x14ac:dyDescent="0.2">
      <c r="A799" t="str">
        <f t="shared" si="180"/>
        <v/>
      </c>
      <c r="B799" s="38" t="str">
        <f t="shared" si="176"/>
        <v/>
      </c>
      <c r="C799" s="38" t="str">
        <f t="shared" si="181"/>
        <v/>
      </c>
      <c r="D799" s="38" t="str">
        <f t="shared" si="182"/>
        <v/>
      </c>
      <c r="E799" s="38" t="str">
        <f t="shared" si="183"/>
        <v/>
      </c>
      <c r="F799" s="38" t="str">
        <f t="shared" si="174"/>
        <v/>
      </c>
      <c r="G799" s="38" t="str">
        <f t="shared" si="177"/>
        <v/>
      </c>
      <c r="H799" s="38"/>
      <c r="J799" t="str">
        <f t="shared" si="172"/>
        <v/>
      </c>
      <c r="K799" s="38" t="str">
        <f t="shared" si="178"/>
        <v/>
      </c>
      <c r="L799" s="38" t="str">
        <f t="shared" si="173"/>
        <v/>
      </c>
      <c r="M799" s="38" t="str">
        <f t="shared" si="170"/>
        <v/>
      </c>
      <c r="N799" s="38" t="str">
        <f t="shared" si="184"/>
        <v/>
      </c>
      <c r="O799" s="38" t="str">
        <f t="shared" si="175"/>
        <v/>
      </c>
      <c r="P799" s="38" t="str">
        <f t="shared" si="179"/>
        <v/>
      </c>
      <c r="Q799" s="38"/>
    </row>
    <row r="800" spans="1:17" x14ac:dyDescent="0.2">
      <c r="A800" t="str">
        <f t="shared" si="180"/>
        <v/>
      </c>
      <c r="B800" s="38" t="str">
        <f t="shared" si="176"/>
        <v/>
      </c>
      <c r="C800" s="38" t="str">
        <f t="shared" si="181"/>
        <v/>
      </c>
      <c r="D800" s="38" t="str">
        <f t="shared" si="182"/>
        <v/>
      </c>
      <c r="E800" s="38" t="str">
        <f t="shared" si="183"/>
        <v/>
      </c>
      <c r="F800" s="38" t="str">
        <f t="shared" si="174"/>
        <v/>
      </c>
      <c r="G800" s="38" t="str">
        <f t="shared" si="177"/>
        <v/>
      </c>
      <c r="H800" s="38"/>
      <c r="J800" t="str">
        <f t="shared" si="172"/>
        <v/>
      </c>
      <c r="K800" s="38" t="str">
        <f t="shared" si="178"/>
        <v/>
      </c>
      <c r="L800" s="38" t="str">
        <f t="shared" si="173"/>
        <v/>
      </c>
      <c r="M800" s="38" t="str">
        <f t="shared" si="170"/>
        <v/>
      </c>
      <c r="N800" s="38" t="str">
        <f t="shared" si="184"/>
        <v/>
      </c>
      <c r="O800" s="38" t="str">
        <f t="shared" si="175"/>
        <v/>
      </c>
      <c r="P800" s="38" t="str">
        <f t="shared" si="179"/>
        <v/>
      </c>
      <c r="Q800" s="38"/>
    </row>
    <row r="801" spans="1:17" x14ac:dyDescent="0.2">
      <c r="A801" t="str">
        <f t="shared" si="180"/>
        <v/>
      </c>
      <c r="B801" s="38" t="str">
        <f t="shared" si="176"/>
        <v/>
      </c>
      <c r="C801" s="38" t="str">
        <f t="shared" si="181"/>
        <v/>
      </c>
      <c r="D801" s="38" t="str">
        <f t="shared" si="182"/>
        <v/>
      </c>
      <c r="E801" s="38" t="str">
        <f t="shared" si="183"/>
        <v/>
      </c>
      <c r="F801" s="38" t="str">
        <f t="shared" si="174"/>
        <v/>
      </c>
      <c r="G801" s="38" t="str">
        <f t="shared" si="177"/>
        <v/>
      </c>
      <c r="H801" s="38"/>
      <c r="J801" t="str">
        <f t="shared" si="172"/>
        <v/>
      </c>
      <c r="K801" s="38" t="str">
        <f t="shared" si="178"/>
        <v/>
      </c>
      <c r="L801" s="38" t="str">
        <f t="shared" si="173"/>
        <v/>
      </c>
      <c r="M801" s="38" t="str">
        <f t="shared" si="170"/>
        <v/>
      </c>
      <c r="N801" s="38" t="str">
        <f t="shared" si="184"/>
        <v/>
      </c>
      <c r="O801" s="38" t="str">
        <f t="shared" si="175"/>
        <v/>
      </c>
      <c r="P801" s="38" t="str">
        <f t="shared" si="179"/>
        <v/>
      </c>
      <c r="Q801" s="38"/>
    </row>
    <row r="802" spans="1:17" x14ac:dyDescent="0.2">
      <c r="A802" t="str">
        <f t="shared" si="180"/>
        <v/>
      </c>
      <c r="B802" s="38" t="str">
        <f t="shared" si="176"/>
        <v/>
      </c>
      <c r="C802" s="38" t="str">
        <f t="shared" si="181"/>
        <v/>
      </c>
      <c r="D802" s="38" t="str">
        <f t="shared" si="182"/>
        <v/>
      </c>
      <c r="E802" s="38" t="str">
        <f t="shared" si="183"/>
        <v/>
      </c>
      <c r="F802" s="38" t="str">
        <f t="shared" si="174"/>
        <v/>
      </c>
      <c r="G802" s="38" t="str">
        <f t="shared" si="177"/>
        <v/>
      </c>
      <c r="H802" s="38"/>
      <c r="J802" t="str">
        <f t="shared" si="172"/>
        <v/>
      </c>
      <c r="K802" s="38" t="str">
        <f t="shared" si="178"/>
        <v/>
      </c>
      <c r="L802" s="38" t="str">
        <f t="shared" si="173"/>
        <v/>
      </c>
      <c r="M802" s="38" t="str">
        <f t="shared" si="170"/>
        <v/>
      </c>
      <c r="N802" s="38" t="str">
        <f t="shared" si="184"/>
        <v/>
      </c>
      <c r="O802" s="38" t="str">
        <f t="shared" si="175"/>
        <v/>
      </c>
      <c r="P802" s="38" t="str">
        <f t="shared" si="179"/>
        <v/>
      </c>
      <c r="Q802" s="38"/>
    </row>
    <row r="803" spans="1:17" x14ac:dyDescent="0.2">
      <c r="A803" t="str">
        <f t="shared" si="180"/>
        <v/>
      </c>
      <c r="B803" s="38" t="str">
        <f t="shared" si="176"/>
        <v/>
      </c>
      <c r="C803" s="38" t="str">
        <f t="shared" si="181"/>
        <v/>
      </c>
      <c r="D803" s="38" t="str">
        <f t="shared" si="182"/>
        <v/>
      </c>
      <c r="E803" s="38" t="str">
        <f t="shared" si="183"/>
        <v/>
      </c>
      <c r="F803" s="38" t="str">
        <f t="shared" si="174"/>
        <v/>
      </c>
      <c r="G803" s="38" t="str">
        <f t="shared" si="177"/>
        <v/>
      </c>
      <c r="H803" s="38"/>
      <c r="J803" t="str">
        <f t="shared" si="172"/>
        <v/>
      </c>
      <c r="K803" s="38" t="str">
        <f t="shared" si="178"/>
        <v/>
      </c>
      <c r="L803" s="38" t="str">
        <f t="shared" si="173"/>
        <v/>
      </c>
      <c r="M803" s="38" t="str">
        <f t="shared" si="170"/>
        <v/>
      </c>
      <c r="N803" s="38" t="str">
        <f t="shared" si="184"/>
        <v/>
      </c>
      <c r="O803" s="38" t="str">
        <f t="shared" si="175"/>
        <v/>
      </c>
      <c r="P803" s="38" t="str">
        <f t="shared" si="179"/>
        <v/>
      </c>
      <c r="Q803" s="38"/>
    </row>
    <row r="804" spans="1:17" x14ac:dyDescent="0.2">
      <c r="A804" t="str">
        <f t="shared" si="180"/>
        <v/>
      </c>
      <c r="B804" s="38" t="str">
        <f t="shared" si="176"/>
        <v/>
      </c>
      <c r="C804" s="38" t="str">
        <f t="shared" si="181"/>
        <v/>
      </c>
      <c r="D804" s="38" t="str">
        <f t="shared" si="182"/>
        <v/>
      </c>
      <c r="E804" s="38" t="str">
        <f t="shared" si="183"/>
        <v/>
      </c>
      <c r="F804" s="38" t="str">
        <f t="shared" si="174"/>
        <v/>
      </c>
      <c r="G804" s="38" t="str">
        <f t="shared" si="177"/>
        <v/>
      </c>
      <c r="H804" s="38"/>
      <c r="J804" t="str">
        <f t="shared" si="172"/>
        <v/>
      </c>
      <c r="K804" s="38" t="str">
        <f t="shared" si="178"/>
        <v/>
      </c>
      <c r="L804" s="38" t="str">
        <f t="shared" si="173"/>
        <v/>
      </c>
      <c r="M804" s="38" t="str">
        <f t="shared" ref="M804:M867" si="185">IF(J804="","", $B$5)</f>
        <v/>
      </c>
      <c r="N804" s="38" t="str">
        <f t="shared" si="184"/>
        <v/>
      </c>
      <c r="O804" s="38" t="str">
        <f t="shared" si="175"/>
        <v/>
      </c>
      <c r="P804" s="38" t="str">
        <f t="shared" si="179"/>
        <v/>
      </c>
      <c r="Q804" s="38"/>
    </row>
    <row r="805" spans="1:17" x14ac:dyDescent="0.2">
      <c r="A805" t="str">
        <f t="shared" si="180"/>
        <v/>
      </c>
      <c r="B805" s="38" t="str">
        <f t="shared" si="176"/>
        <v/>
      </c>
      <c r="C805" s="38" t="str">
        <f t="shared" si="181"/>
        <v/>
      </c>
      <c r="D805" s="38" t="str">
        <f t="shared" si="182"/>
        <v/>
      </c>
      <c r="E805" s="38" t="str">
        <f t="shared" si="183"/>
        <v/>
      </c>
      <c r="F805" s="38" t="str">
        <f t="shared" si="174"/>
        <v/>
      </c>
      <c r="G805" s="38" t="str">
        <f t="shared" si="177"/>
        <v/>
      </c>
      <c r="H805" s="38"/>
      <c r="J805" t="str">
        <f t="shared" si="172"/>
        <v/>
      </c>
      <c r="K805" s="38" t="str">
        <f t="shared" si="178"/>
        <v/>
      </c>
      <c r="L805" s="38" t="str">
        <f t="shared" si="173"/>
        <v/>
      </c>
      <c r="M805" s="38" t="str">
        <f t="shared" si="185"/>
        <v/>
      </c>
      <c r="N805" s="38" t="str">
        <f t="shared" si="184"/>
        <v/>
      </c>
      <c r="O805" s="38" t="str">
        <f t="shared" si="175"/>
        <v/>
      </c>
      <c r="P805" s="38" t="str">
        <f t="shared" si="179"/>
        <v/>
      </c>
      <c r="Q805" s="38"/>
    </row>
    <row r="806" spans="1:17" x14ac:dyDescent="0.2">
      <c r="A806" t="str">
        <f t="shared" si="180"/>
        <v/>
      </c>
      <c r="B806" s="38" t="str">
        <f t="shared" si="176"/>
        <v/>
      </c>
      <c r="C806" s="38" t="str">
        <f t="shared" si="181"/>
        <v/>
      </c>
      <c r="D806" s="38" t="str">
        <f t="shared" si="182"/>
        <v/>
      </c>
      <c r="E806" s="38" t="str">
        <f t="shared" si="183"/>
        <v/>
      </c>
      <c r="F806" s="38" t="str">
        <f t="shared" si="174"/>
        <v/>
      </c>
      <c r="G806" s="38" t="str">
        <f t="shared" si="177"/>
        <v/>
      </c>
      <c r="H806" s="38"/>
      <c r="J806" t="str">
        <f t="shared" si="172"/>
        <v/>
      </c>
      <c r="K806" s="38" t="str">
        <f t="shared" si="178"/>
        <v/>
      </c>
      <c r="L806" s="38" t="str">
        <f t="shared" si="173"/>
        <v/>
      </c>
      <c r="M806" s="38" t="str">
        <f t="shared" si="185"/>
        <v/>
      </c>
      <c r="N806" s="38" t="str">
        <f t="shared" si="184"/>
        <v/>
      </c>
      <c r="O806" s="38" t="str">
        <f t="shared" si="175"/>
        <v/>
      </c>
      <c r="P806" s="38" t="str">
        <f t="shared" si="179"/>
        <v/>
      </c>
      <c r="Q806" s="38"/>
    </row>
    <row r="807" spans="1:17" x14ac:dyDescent="0.2">
      <c r="A807" t="str">
        <f t="shared" si="180"/>
        <v/>
      </c>
      <c r="B807" s="38" t="str">
        <f t="shared" si="176"/>
        <v/>
      </c>
      <c r="C807" s="38" t="str">
        <f t="shared" si="181"/>
        <v/>
      </c>
      <c r="D807" s="38" t="str">
        <f t="shared" si="182"/>
        <v/>
      </c>
      <c r="E807" s="38" t="str">
        <f t="shared" si="183"/>
        <v/>
      </c>
      <c r="F807" s="38" t="str">
        <f t="shared" si="174"/>
        <v/>
      </c>
      <c r="G807" s="38" t="str">
        <f t="shared" si="177"/>
        <v/>
      </c>
      <c r="H807" s="38"/>
      <c r="J807" t="str">
        <f t="shared" si="172"/>
        <v/>
      </c>
      <c r="K807" s="38" t="str">
        <f t="shared" si="178"/>
        <v/>
      </c>
      <c r="L807" s="38" t="str">
        <f t="shared" si="173"/>
        <v/>
      </c>
      <c r="M807" s="38" t="str">
        <f t="shared" si="185"/>
        <v/>
      </c>
      <c r="N807" s="38" t="str">
        <f t="shared" si="184"/>
        <v/>
      </c>
      <c r="O807" s="38" t="str">
        <f t="shared" si="175"/>
        <v/>
      </c>
      <c r="P807" s="38" t="str">
        <f t="shared" si="179"/>
        <v/>
      </c>
      <c r="Q807" s="38"/>
    </row>
    <row r="808" spans="1:17" x14ac:dyDescent="0.2">
      <c r="A808" t="str">
        <f t="shared" si="180"/>
        <v/>
      </c>
      <c r="B808" s="38" t="str">
        <f t="shared" si="176"/>
        <v/>
      </c>
      <c r="C808" s="38" t="str">
        <f t="shared" si="181"/>
        <v/>
      </c>
      <c r="D808" s="38" t="str">
        <f t="shared" si="182"/>
        <v/>
      </c>
      <c r="E808" s="38" t="str">
        <f t="shared" si="183"/>
        <v/>
      </c>
      <c r="F808" s="38" t="str">
        <f t="shared" si="174"/>
        <v/>
      </c>
      <c r="G808" s="38" t="str">
        <f t="shared" si="177"/>
        <v/>
      </c>
      <c r="H808" s="38"/>
      <c r="J808" t="str">
        <f t="shared" si="172"/>
        <v/>
      </c>
      <c r="K808" s="38" t="str">
        <f t="shared" si="178"/>
        <v/>
      </c>
      <c r="L808" s="38" t="str">
        <f t="shared" si="173"/>
        <v/>
      </c>
      <c r="M808" s="38" t="str">
        <f t="shared" si="185"/>
        <v/>
      </c>
      <c r="N808" s="38" t="str">
        <f t="shared" si="184"/>
        <v/>
      </c>
      <c r="O808" s="38" t="str">
        <f t="shared" si="175"/>
        <v/>
      </c>
      <c r="P808" s="38" t="str">
        <f t="shared" si="179"/>
        <v/>
      </c>
      <c r="Q808" s="38"/>
    </row>
    <row r="809" spans="1:17" x14ac:dyDescent="0.2">
      <c r="A809" t="str">
        <f t="shared" si="180"/>
        <v/>
      </c>
      <c r="B809" s="38" t="str">
        <f t="shared" si="176"/>
        <v/>
      </c>
      <c r="C809" s="38" t="str">
        <f t="shared" si="181"/>
        <v/>
      </c>
      <c r="D809" s="38" t="str">
        <f t="shared" si="182"/>
        <v/>
      </c>
      <c r="E809" s="38" t="str">
        <f t="shared" si="183"/>
        <v/>
      </c>
      <c r="F809" s="38" t="str">
        <f t="shared" si="174"/>
        <v/>
      </c>
      <c r="G809" s="38" t="str">
        <f t="shared" si="177"/>
        <v/>
      </c>
      <c r="H809" s="38"/>
      <c r="J809" t="str">
        <f t="shared" si="172"/>
        <v/>
      </c>
      <c r="K809" s="38" t="str">
        <f t="shared" si="178"/>
        <v/>
      </c>
      <c r="L809" s="38" t="str">
        <f t="shared" si="173"/>
        <v/>
      </c>
      <c r="M809" s="38" t="str">
        <f t="shared" si="185"/>
        <v/>
      </c>
      <c r="N809" s="38" t="str">
        <f t="shared" si="184"/>
        <v/>
      </c>
      <c r="O809" s="38" t="str">
        <f t="shared" si="175"/>
        <v/>
      </c>
      <c r="P809" s="38" t="str">
        <f t="shared" si="179"/>
        <v/>
      </c>
      <c r="Q809" s="38"/>
    </row>
    <row r="810" spans="1:17" x14ac:dyDescent="0.2">
      <c r="A810" t="str">
        <f t="shared" si="180"/>
        <v/>
      </c>
      <c r="B810" s="38" t="str">
        <f t="shared" si="176"/>
        <v/>
      </c>
      <c r="C810" s="38" t="str">
        <f t="shared" si="181"/>
        <v/>
      </c>
      <c r="D810" s="38" t="str">
        <f t="shared" si="182"/>
        <v/>
      </c>
      <c r="E810" s="38" t="str">
        <f t="shared" si="183"/>
        <v/>
      </c>
      <c r="F810" s="38" t="str">
        <f t="shared" si="174"/>
        <v/>
      </c>
      <c r="G810" s="38" t="str">
        <f t="shared" si="177"/>
        <v/>
      </c>
      <c r="H810" s="38"/>
      <c r="J810" t="str">
        <f t="shared" si="172"/>
        <v/>
      </c>
      <c r="K810" s="38" t="str">
        <f t="shared" si="178"/>
        <v/>
      </c>
      <c r="L810" s="38" t="str">
        <f t="shared" si="173"/>
        <v/>
      </c>
      <c r="M810" s="38" t="str">
        <f t="shared" si="185"/>
        <v/>
      </c>
      <c r="N810" s="38" t="str">
        <f t="shared" si="184"/>
        <v/>
      </c>
      <c r="O810" s="38" t="str">
        <f t="shared" si="175"/>
        <v/>
      </c>
      <c r="P810" s="38" t="str">
        <f t="shared" si="179"/>
        <v/>
      </c>
      <c r="Q810" s="38"/>
    </row>
    <row r="811" spans="1:17" x14ac:dyDescent="0.2">
      <c r="A811" t="str">
        <f t="shared" si="180"/>
        <v/>
      </c>
      <c r="B811" s="38" t="str">
        <f t="shared" si="176"/>
        <v/>
      </c>
      <c r="C811" s="38" t="str">
        <f t="shared" si="181"/>
        <v/>
      </c>
      <c r="D811" s="38" t="str">
        <f t="shared" si="182"/>
        <v/>
      </c>
      <c r="E811" s="38" t="str">
        <f t="shared" si="183"/>
        <v/>
      </c>
      <c r="F811" s="38" t="str">
        <f t="shared" si="174"/>
        <v/>
      </c>
      <c r="G811" s="38" t="str">
        <f t="shared" si="177"/>
        <v/>
      </c>
      <c r="H811" s="38"/>
      <c r="J811" t="str">
        <f t="shared" si="172"/>
        <v/>
      </c>
      <c r="K811" s="38" t="str">
        <f t="shared" si="178"/>
        <v/>
      </c>
      <c r="L811" s="38" t="str">
        <f t="shared" si="173"/>
        <v/>
      </c>
      <c r="M811" s="38" t="str">
        <f t="shared" si="185"/>
        <v/>
      </c>
      <c r="N811" s="38" t="str">
        <f t="shared" si="184"/>
        <v/>
      </c>
      <c r="O811" s="38" t="str">
        <f t="shared" si="175"/>
        <v/>
      </c>
      <c r="P811" s="38" t="str">
        <f t="shared" si="179"/>
        <v/>
      </c>
      <c r="Q811" s="38"/>
    </row>
    <row r="812" spans="1:17" x14ac:dyDescent="0.2">
      <c r="A812" t="str">
        <f t="shared" si="180"/>
        <v/>
      </c>
      <c r="B812" s="38" t="str">
        <f t="shared" si="176"/>
        <v/>
      </c>
      <c r="C812" s="38" t="str">
        <f t="shared" si="181"/>
        <v/>
      </c>
      <c r="D812" s="38" t="str">
        <f t="shared" si="182"/>
        <v/>
      </c>
      <c r="E812" s="38" t="str">
        <f t="shared" si="183"/>
        <v/>
      </c>
      <c r="F812" s="38" t="str">
        <f t="shared" si="174"/>
        <v/>
      </c>
      <c r="G812" s="38" t="str">
        <f t="shared" si="177"/>
        <v/>
      </c>
      <c r="H812" s="38"/>
      <c r="J812" t="str">
        <f t="shared" si="172"/>
        <v/>
      </c>
      <c r="K812" s="38" t="str">
        <f t="shared" si="178"/>
        <v/>
      </c>
      <c r="L812" s="38" t="str">
        <f t="shared" si="173"/>
        <v/>
      </c>
      <c r="M812" s="38" t="str">
        <f t="shared" si="185"/>
        <v/>
      </c>
      <c r="N812" s="38" t="str">
        <f t="shared" si="184"/>
        <v/>
      </c>
      <c r="O812" s="38" t="str">
        <f t="shared" si="175"/>
        <v/>
      </c>
      <c r="P812" s="38" t="str">
        <f t="shared" si="179"/>
        <v/>
      </c>
      <c r="Q812" s="38"/>
    </row>
    <row r="813" spans="1:17" x14ac:dyDescent="0.2">
      <c r="A813" t="str">
        <f t="shared" si="180"/>
        <v/>
      </c>
      <c r="B813" s="38" t="str">
        <f t="shared" si="176"/>
        <v/>
      </c>
      <c r="C813" s="38" t="str">
        <f t="shared" si="181"/>
        <v/>
      </c>
      <c r="D813" s="38" t="str">
        <f t="shared" si="182"/>
        <v/>
      </c>
      <c r="E813" s="38" t="str">
        <f t="shared" si="183"/>
        <v/>
      </c>
      <c r="F813" s="38" t="str">
        <f t="shared" si="174"/>
        <v/>
      </c>
      <c r="G813" s="38" t="str">
        <f t="shared" si="177"/>
        <v/>
      </c>
      <c r="H813" s="38"/>
      <c r="J813" t="str">
        <f t="shared" si="172"/>
        <v/>
      </c>
      <c r="K813" s="38" t="str">
        <f t="shared" si="178"/>
        <v/>
      </c>
      <c r="L813" s="38" t="str">
        <f t="shared" ref="L813:L817" si="186">IF(J813="","",(K813*$B$6))</f>
        <v/>
      </c>
      <c r="M813" s="38" t="str">
        <f t="shared" si="185"/>
        <v/>
      </c>
      <c r="N813" s="38" t="str">
        <f t="shared" si="184"/>
        <v/>
      </c>
      <c r="O813" s="38" t="str">
        <f t="shared" si="175"/>
        <v/>
      </c>
      <c r="P813" s="38" t="str">
        <f t="shared" si="179"/>
        <v/>
      </c>
      <c r="Q813" s="38"/>
    </row>
    <row r="814" spans="1:17" x14ac:dyDescent="0.2">
      <c r="A814" t="str">
        <f t="shared" si="180"/>
        <v/>
      </c>
      <c r="B814" s="38" t="str">
        <f t="shared" si="176"/>
        <v/>
      </c>
      <c r="C814" s="38" t="str">
        <f t="shared" si="181"/>
        <v/>
      </c>
      <c r="D814" s="38" t="str">
        <f t="shared" si="182"/>
        <v/>
      </c>
      <c r="E814" s="38" t="str">
        <f t="shared" si="183"/>
        <v/>
      </c>
      <c r="F814" s="38" t="str">
        <f t="shared" si="174"/>
        <v/>
      </c>
      <c r="G814" s="38" t="str">
        <f t="shared" si="177"/>
        <v/>
      </c>
      <c r="H814" s="38"/>
      <c r="J814" t="str">
        <f t="shared" si="172"/>
        <v/>
      </c>
      <c r="K814" s="38" t="str">
        <f t="shared" si="178"/>
        <v/>
      </c>
      <c r="L814" s="38" t="str">
        <f t="shared" si="186"/>
        <v/>
      </c>
      <c r="M814" s="38" t="str">
        <f t="shared" si="185"/>
        <v/>
      </c>
      <c r="N814" s="38" t="str">
        <f t="shared" si="184"/>
        <v/>
      </c>
      <c r="O814" s="38" t="str">
        <f t="shared" si="175"/>
        <v/>
      </c>
      <c r="P814" s="38" t="str">
        <f t="shared" si="179"/>
        <v/>
      </c>
      <c r="Q814" s="38"/>
    </row>
    <row r="815" spans="1:17" x14ac:dyDescent="0.2">
      <c r="A815" t="str">
        <f t="shared" si="180"/>
        <v/>
      </c>
      <c r="B815" s="38" t="str">
        <f t="shared" si="176"/>
        <v/>
      </c>
      <c r="C815" s="38" t="str">
        <f t="shared" si="181"/>
        <v/>
      </c>
      <c r="D815" s="38" t="str">
        <f t="shared" si="182"/>
        <v/>
      </c>
      <c r="E815" s="38" t="str">
        <f t="shared" si="183"/>
        <v/>
      </c>
      <c r="F815" s="38" t="str">
        <f t="shared" si="174"/>
        <v/>
      </c>
      <c r="G815" s="38" t="str">
        <f t="shared" si="177"/>
        <v/>
      </c>
      <c r="H815" s="38"/>
      <c r="J815" t="str">
        <f t="shared" si="172"/>
        <v/>
      </c>
      <c r="K815" s="38" t="str">
        <f t="shared" si="178"/>
        <v/>
      </c>
      <c r="L815" s="38" t="str">
        <f t="shared" si="186"/>
        <v/>
      </c>
      <c r="M815" s="38" t="str">
        <f t="shared" si="185"/>
        <v/>
      </c>
      <c r="N815" s="38" t="str">
        <f t="shared" si="184"/>
        <v/>
      </c>
      <c r="O815" s="38" t="str">
        <f t="shared" si="175"/>
        <v/>
      </c>
      <c r="P815" s="38" t="str">
        <f t="shared" si="179"/>
        <v/>
      </c>
      <c r="Q815" s="38"/>
    </row>
    <row r="816" spans="1:17" x14ac:dyDescent="0.2">
      <c r="A816" t="str">
        <f t="shared" si="180"/>
        <v/>
      </c>
      <c r="B816" s="38" t="str">
        <f t="shared" si="176"/>
        <v/>
      </c>
      <c r="C816" s="38" t="str">
        <f t="shared" si="181"/>
        <v/>
      </c>
      <c r="D816" s="38" t="str">
        <f t="shared" si="182"/>
        <v/>
      </c>
      <c r="E816" s="38" t="str">
        <f t="shared" si="183"/>
        <v/>
      </c>
      <c r="F816" s="38" t="str">
        <f t="shared" si="174"/>
        <v/>
      </c>
      <c r="G816" s="38" t="str">
        <f t="shared" si="177"/>
        <v/>
      </c>
      <c r="H816" s="38"/>
      <c r="J816" t="str">
        <f t="shared" si="172"/>
        <v/>
      </c>
      <c r="K816" s="38" t="str">
        <f t="shared" si="178"/>
        <v/>
      </c>
      <c r="L816" s="38" t="str">
        <f t="shared" si="186"/>
        <v/>
      </c>
      <c r="M816" s="38" t="str">
        <f t="shared" si="185"/>
        <v/>
      </c>
      <c r="N816" s="38" t="str">
        <f t="shared" si="184"/>
        <v/>
      </c>
      <c r="O816" s="38" t="str">
        <f t="shared" si="175"/>
        <v/>
      </c>
      <c r="P816" s="38" t="str">
        <f t="shared" si="179"/>
        <v/>
      </c>
      <c r="Q816" s="38"/>
    </row>
    <row r="817" spans="1:17" x14ac:dyDescent="0.2">
      <c r="A817" t="str">
        <f t="shared" si="180"/>
        <v/>
      </c>
      <c r="B817" s="38" t="str">
        <f t="shared" si="176"/>
        <v/>
      </c>
      <c r="C817" s="38" t="str">
        <f t="shared" si="181"/>
        <v/>
      </c>
      <c r="D817" s="38" t="str">
        <f t="shared" si="182"/>
        <v/>
      </c>
      <c r="E817" s="38" t="str">
        <f t="shared" si="183"/>
        <v/>
      </c>
      <c r="F817" s="38" t="str">
        <f t="shared" si="174"/>
        <v/>
      </c>
      <c r="G817" s="38" t="str">
        <f t="shared" si="177"/>
        <v/>
      </c>
      <c r="H817" s="38"/>
      <c r="J817" t="str">
        <f t="shared" si="172"/>
        <v/>
      </c>
      <c r="K817" s="38" t="str">
        <f t="shared" si="178"/>
        <v/>
      </c>
      <c r="L817" s="38" t="str">
        <f t="shared" si="186"/>
        <v/>
      </c>
      <c r="M817" s="38" t="str">
        <f t="shared" si="185"/>
        <v/>
      </c>
      <c r="N817" s="38" t="str">
        <f t="shared" si="184"/>
        <v/>
      </c>
      <c r="O817" s="38" t="str">
        <f t="shared" si="175"/>
        <v/>
      </c>
      <c r="P817" s="38" t="str">
        <f t="shared" si="179"/>
        <v/>
      </c>
      <c r="Q817" s="38"/>
    </row>
    <row r="818" spans="1:17" x14ac:dyDescent="0.2">
      <c r="A818" t="str">
        <f t="shared" si="180"/>
        <v/>
      </c>
      <c r="B818" s="38" t="str">
        <f t="shared" si="176"/>
        <v/>
      </c>
      <c r="C818" s="38" t="str">
        <f t="shared" ref="C818:C855" si="187">IF(A818="","",(B818*$B$8))</f>
        <v/>
      </c>
      <c r="D818" s="38" t="str">
        <f t="shared" si="182"/>
        <v/>
      </c>
      <c r="E818" s="38" t="str">
        <f t="shared" si="183"/>
        <v/>
      </c>
      <c r="F818" s="38" t="str">
        <f t="shared" si="174"/>
        <v/>
      </c>
      <c r="G818" s="38" t="str">
        <f t="shared" si="177"/>
        <v/>
      </c>
      <c r="H818" s="38"/>
      <c r="J818" t="str">
        <f t="shared" si="172"/>
        <v/>
      </c>
      <c r="K818" s="38" t="str">
        <f t="shared" si="178"/>
        <v/>
      </c>
      <c r="L818" s="38" t="str">
        <f t="shared" ref="L818:L880" si="188">IF(J818="","",(K818*$B$8))</f>
        <v/>
      </c>
      <c r="M818" s="38" t="str">
        <f t="shared" si="185"/>
        <v/>
      </c>
      <c r="N818" s="38" t="str">
        <f t="shared" si="184"/>
        <v/>
      </c>
      <c r="O818" s="38" t="str">
        <f t="shared" si="175"/>
        <v/>
      </c>
      <c r="P818" s="38" t="str">
        <f t="shared" si="179"/>
        <v/>
      </c>
      <c r="Q818" s="38"/>
    </row>
    <row r="819" spans="1:17" x14ac:dyDescent="0.2">
      <c r="A819" t="str">
        <f t="shared" si="180"/>
        <v/>
      </c>
      <c r="B819" s="38" t="str">
        <f t="shared" si="176"/>
        <v/>
      </c>
      <c r="C819" s="38" t="str">
        <f t="shared" si="187"/>
        <v/>
      </c>
      <c r="D819" s="38" t="str">
        <f t="shared" si="182"/>
        <v/>
      </c>
      <c r="E819" s="38" t="str">
        <f t="shared" si="183"/>
        <v/>
      </c>
      <c r="F819" s="38" t="str">
        <f t="shared" si="174"/>
        <v/>
      </c>
      <c r="G819" s="38" t="str">
        <f t="shared" si="177"/>
        <v/>
      </c>
      <c r="H819" s="38"/>
      <c r="J819" t="str">
        <f t="shared" si="172"/>
        <v/>
      </c>
      <c r="K819" s="38" t="str">
        <f t="shared" si="178"/>
        <v/>
      </c>
      <c r="L819" s="38" t="str">
        <f t="shared" si="188"/>
        <v/>
      </c>
      <c r="M819" s="38" t="str">
        <f t="shared" si="185"/>
        <v/>
      </c>
      <c r="N819" s="38" t="str">
        <f t="shared" si="184"/>
        <v/>
      </c>
      <c r="O819" s="38" t="str">
        <f t="shared" ref="O819:O850" si="189">IF(J819="","", K819-N819)</f>
        <v/>
      </c>
      <c r="P819" s="38" t="str">
        <f t="shared" si="179"/>
        <v/>
      </c>
      <c r="Q819" s="38"/>
    </row>
    <row r="820" spans="1:17" x14ac:dyDescent="0.2">
      <c r="A820" t="str">
        <f t="shared" si="180"/>
        <v/>
      </c>
      <c r="B820" s="38" t="str">
        <f t="shared" si="176"/>
        <v/>
      </c>
      <c r="C820" s="38" t="str">
        <f t="shared" si="187"/>
        <v/>
      </c>
      <c r="D820" s="38" t="str">
        <f t="shared" si="182"/>
        <v/>
      </c>
      <c r="E820" s="38" t="str">
        <f t="shared" si="183"/>
        <v/>
      </c>
      <c r="F820" s="38" t="str">
        <f t="shared" si="174"/>
        <v/>
      </c>
      <c r="G820" s="38" t="str">
        <f t="shared" si="177"/>
        <v/>
      </c>
      <c r="H820" s="38"/>
      <c r="J820" t="str">
        <f t="shared" si="172"/>
        <v/>
      </c>
      <c r="K820" s="38" t="str">
        <f t="shared" si="178"/>
        <v/>
      </c>
      <c r="L820" s="38" t="str">
        <f t="shared" si="188"/>
        <v/>
      </c>
      <c r="M820" s="38" t="str">
        <f t="shared" si="185"/>
        <v/>
      </c>
      <c r="N820" s="38" t="str">
        <f t="shared" si="184"/>
        <v/>
      </c>
      <c r="O820" s="38" t="str">
        <f t="shared" si="189"/>
        <v/>
      </c>
      <c r="P820" s="38" t="str">
        <f t="shared" si="179"/>
        <v/>
      </c>
      <c r="Q820" s="38"/>
    </row>
    <row r="821" spans="1:17" x14ac:dyDescent="0.2">
      <c r="A821" t="str">
        <f t="shared" si="180"/>
        <v/>
      </c>
      <c r="B821" s="38" t="str">
        <f t="shared" si="176"/>
        <v/>
      </c>
      <c r="C821" s="38" t="str">
        <f t="shared" si="187"/>
        <v/>
      </c>
      <c r="D821" s="38" t="str">
        <f t="shared" si="182"/>
        <v/>
      </c>
      <c r="E821" s="38" t="str">
        <f t="shared" si="183"/>
        <v/>
      </c>
      <c r="F821" s="38" t="str">
        <f t="shared" si="174"/>
        <v/>
      </c>
      <c r="G821" s="38" t="str">
        <f t="shared" si="177"/>
        <v/>
      </c>
      <c r="H821" s="38"/>
      <c r="J821" t="str">
        <f t="shared" si="172"/>
        <v/>
      </c>
      <c r="K821" s="38" t="str">
        <f t="shared" si="178"/>
        <v/>
      </c>
      <c r="L821" s="38" t="str">
        <f t="shared" si="188"/>
        <v/>
      </c>
      <c r="M821" s="38" t="str">
        <f t="shared" si="185"/>
        <v/>
      </c>
      <c r="N821" s="38" t="str">
        <f t="shared" si="184"/>
        <v/>
      </c>
      <c r="O821" s="38" t="str">
        <f t="shared" si="189"/>
        <v/>
      </c>
      <c r="P821" s="38" t="str">
        <f t="shared" si="179"/>
        <v/>
      </c>
      <c r="Q821" s="38"/>
    </row>
    <row r="822" spans="1:17" x14ac:dyDescent="0.2">
      <c r="A822" t="str">
        <f t="shared" si="180"/>
        <v/>
      </c>
      <c r="B822" s="38" t="str">
        <f t="shared" si="176"/>
        <v/>
      </c>
      <c r="C822" s="38" t="str">
        <f t="shared" si="187"/>
        <v/>
      </c>
      <c r="D822" s="38" t="str">
        <f t="shared" si="182"/>
        <v/>
      </c>
      <c r="E822" s="38" t="str">
        <f t="shared" si="183"/>
        <v/>
      </c>
      <c r="F822" s="38" t="str">
        <f t="shared" si="174"/>
        <v/>
      </c>
      <c r="G822" s="38" t="str">
        <f t="shared" si="177"/>
        <v/>
      </c>
      <c r="H822" s="38"/>
      <c r="J822" t="str">
        <f t="shared" ref="J822:J880" si="190">IF(J821&lt;($B$6*$B$7),J821+1,"")</f>
        <v/>
      </c>
      <c r="K822" s="38" t="str">
        <f t="shared" si="178"/>
        <v/>
      </c>
      <c r="L822" s="38" t="str">
        <f t="shared" si="188"/>
        <v/>
      </c>
      <c r="M822" s="38" t="str">
        <f t="shared" si="185"/>
        <v/>
      </c>
      <c r="N822" s="38" t="str">
        <f t="shared" si="184"/>
        <v/>
      </c>
      <c r="O822" s="38" t="str">
        <f t="shared" si="189"/>
        <v/>
      </c>
      <c r="P822" s="38" t="str">
        <f t="shared" si="179"/>
        <v/>
      </c>
      <c r="Q822" s="38"/>
    </row>
    <row r="823" spans="1:17" x14ac:dyDescent="0.2">
      <c r="A823" t="str">
        <f t="shared" si="180"/>
        <v/>
      </c>
      <c r="B823" s="38" t="str">
        <f t="shared" si="176"/>
        <v/>
      </c>
      <c r="C823" s="38" t="str">
        <f t="shared" si="187"/>
        <v/>
      </c>
      <c r="D823" s="38" t="str">
        <f t="shared" si="182"/>
        <v/>
      </c>
      <c r="E823" s="38" t="str">
        <f t="shared" si="183"/>
        <v/>
      </c>
      <c r="F823" s="38" t="str">
        <f t="shared" si="174"/>
        <v/>
      </c>
      <c r="G823" s="38" t="str">
        <f t="shared" si="177"/>
        <v/>
      </c>
      <c r="H823" s="38"/>
      <c r="J823" t="str">
        <f t="shared" si="190"/>
        <v/>
      </c>
      <c r="K823" s="38" t="str">
        <f t="shared" si="178"/>
        <v/>
      </c>
      <c r="L823" s="38" t="str">
        <f t="shared" si="188"/>
        <v/>
      </c>
      <c r="M823" s="38" t="str">
        <f t="shared" si="185"/>
        <v/>
      </c>
      <c r="N823" s="38" t="str">
        <f t="shared" si="184"/>
        <v/>
      </c>
      <c r="O823" s="38" t="str">
        <f t="shared" si="189"/>
        <v/>
      </c>
      <c r="P823" s="38" t="str">
        <f t="shared" si="179"/>
        <v/>
      </c>
      <c r="Q823" s="38"/>
    </row>
    <row r="824" spans="1:17" x14ac:dyDescent="0.2">
      <c r="A824" t="str">
        <f t="shared" si="180"/>
        <v/>
      </c>
      <c r="B824" s="38" t="str">
        <f t="shared" si="176"/>
        <v/>
      </c>
      <c r="C824" s="38" t="str">
        <f t="shared" si="187"/>
        <v/>
      </c>
      <c r="D824" s="38" t="str">
        <f t="shared" si="182"/>
        <v/>
      </c>
      <c r="E824" s="38" t="str">
        <f t="shared" si="183"/>
        <v/>
      </c>
      <c r="F824" s="38" t="str">
        <f t="shared" si="174"/>
        <v/>
      </c>
      <c r="G824" s="38" t="str">
        <f t="shared" si="177"/>
        <v/>
      </c>
      <c r="H824" s="38"/>
      <c r="J824" t="str">
        <f t="shared" si="190"/>
        <v/>
      </c>
      <c r="K824" s="38" t="str">
        <f t="shared" si="178"/>
        <v/>
      </c>
      <c r="L824" s="38" t="str">
        <f t="shared" si="188"/>
        <v/>
      </c>
      <c r="M824" s="38" t="str">
        <f t="shared" si="185"/>
        <v/>
      </c>
      <c r="N824" s="38" t="str">
        <f t="shared" si="184"/>
        <v/>
      </c>
      <c r="O824" s="38" t="str">
        <f t="shared" si="189"/>
        <v/>
      </c>
      <c r="P824" s="38" t="str">
        <f t="shared" si="179"/>
        <v/>
      </c>
      <c r="Q824" s="38"/>
    </row>
    <row r="825" spans="1:17" x14ac:dyDescent="0.2">
      <c r="A825" t="str">
        <f t="shared" si="180"/>
        <v/>
      </c>
      <c r="B825" s="38" t="str">
        <f t="shared" si="176"/>
        <v/>
      </c>
      <c r="C825" s="38" t="str">
        <f t="shared" si="187"/>
        <v/>
      </c>
      <c r="D825" s="38" t="str">
        <f t="shared" si="182"/>
        <v/>
      </c>
      <c r="E825" s="38" t="str">
        <f t="shared" si="183"/>
        <v/>
      </c>
      <c r="F825" s="38" t="str">
        <f t="shared" si="174"/>
        <v/>
      </c>
      <c r="G825" s="38" t="str">
        <f t="shared" si="177"/>
        <v/>
      </c>
      <c r="H825" s="38"/>
      <c r="J825" t="str">
        <f t="shared" si="190"/>
        <v/>
      </c>
      <c r="K825" s="38" t="str">
        <f t="shared" si="178"/>
        <v/>
      </c>
      <c r="L825" s="38" t="str">
        <f t="shared" si="188"/>
        <v/>
      </c>
      <c r="M825" s="38" t="str">
        <f t="shared" si="185"/>
        <v/>
      </c>
      <c r="N825" s="38" t="str">
        <f t="shared" si="184"/>
        <v/>
      </c>
      <c r="O825" s="38" t="str">
        <f t="shared" si="189"/>
        <v/>
      </c>
      <c r="P825" s="38" t="str">
        <f t="shared" si="179"/>
        <v/>
      </c>
      <c r="Q825" s="38"/>
    </row>
    <row r="826" spans="1:17" x14ac:dyDescent="0.2">
      <c r="A826" t="str">
        <f t="shared" si="180"/>
        <v/>
      </c>
      <c r="B826" s="38" t="str">
        <f t="shared" si="176"/>
        <v/>
      </c>
      <c r="C826" s="38" t="str">
        <f t="shared" si="187"/>
        <v/>
      </c>
      <c r="D826" s="38" t="str">
        <f t="shared" si="182"/>
        <v/>
      </c>
      <c r="E826" s="38" t="str">
        <f t="shared" si="183"/>
        <v/>
      </c>
      <c r="F826" s="38" t="str">
        <f t="shared" si="174"/>
        <v/>
      </c>
      <c r="G826" s="38" t="str">
        <f t="shared" si="177"/>
        <v/>
      </c>
      <c r="H826" s="38"/>
      <c r="J826" t="str">
        <f t="shared" si="190"/>
        <v/>
      </c>
      <c r="K826" s="38" t="str">
        <f t="shared" si="178"/>
        <v/>
      </c>
      <c r="L826" s="38" t="str">
        <f t="shared" si="188"/>
        <v/>
      </c>
      <c r="M826" s="38" t="str">
        <f t="shared" si="185"/>
        <v/>
      </c>
      <c r="N826" s="38" t="str">
        <f t="shared" si="184"/>
        <v/>
      </c>
      <c r="O826" s="38" t="str">
        <f t="shared" si="189"/>
        <v/>
      </c>
      <c r="P826" s="38" t="str">
        <f t="shared" si="179"/>
        <v/>
      </c>
      <c r="Q826" s="38"/>
    </row>
    <row r="827" spans="1:17" x14ac:dyDescent="0.2">
      <c r="A827" t="str">
        <f t="shared" si="180"/>
        <v/>
      </c>
      <c r="B827" s="38" t="str">
        <f t="shared" si="176"/>
        <v/>
      </c>
      <c r="C827" s="38" t="str">
        <f t="shared" si="187"/>
        <v/>
      </c>
      <c r="D827" s="38" t="str">
        <f t="shared" si="182"/>
        <v/>
      </c>
      <c r="E827" s="38" t="str">
        <f t="shared" si="183"/>
        <v/>
      </c>
      <c r="F827" s="38" t="str">
        <f t="shared" si="174"/>
        <v/>
      </c>
      <c r="G827" s="38" t="str">
        <f t="shared" si="177"/>
        <v/>
      </c>
      <c r="H827" s="38"/>
      <c r="J827" t="str">
        <f t="shared" si="190"/>
        <v/>
      </c>
      <c r="K827" s="38" t="str">
        <f t="shared" si="178"/>
        <v/>
      </c>
      <c r="L827" s="38" t="str">
        <f t="shared" si="188"/>
        <v/>
      </c>
      <c r="M827" s="38" t="str">
        <f t="shared" si="185"/>
        <v/>
      </c>
      <c r="N827" s="38" t="str">
        <f t="shared" si="184"/>
        <v/>
      </c>
      <c r="O827" s="38" t="str">
        <f t="shared" si="189"/>
        <v/>
      </c>
      <c r="P827" s="38" t="str">
        <f t="shared" si="179"/>
        <v/>
      </c>
      <c r="Q827" s="38"/>
    </row>
    <row r="828" spans="1:17" x14ac:dyDescent="0.2">
      <c r="A828" t="str">
        <f t="shared" si="180"/>
        <v/>
      </c>
      <c r="B828" s="38" t="str">
        <f t="shared" si="176"/>
        <v/>
      </c>
      <c r="C828" s="38" t="str">
        <f t="shared" si="187"/>
        <v/>
      </c>
      <c r="D828" s="38" t="str">
        <f t="shared" si="182"/>
        <v/>
      </c>
      <c r="E828" s="38" t="str">
        <f t="shared" si="183"/>
        <v/>
      </c>
      <c r="F828" s="38" t="str">
        <f t="shared" si="174"/>
        <v/>
      </c>
      <c r="G828" s="38" t="str">
        <f t="shared" si="177"/>
        <v/>
      </c>
      <c r="H828" s="38"/>
      <c r="J828" t="str">
        <f t="shared" si="190"/>
        <v/>
      </c>
      <c r="K828" s="38" t="str">
        <f t="shared" si="178"/>
        <v/>
      </c>
      <c r="L828" s="38" t="str">
        <f t="shared" si="188"/>
        <v/>
      </c>
      <c r="M828" s="38" t="str">
        <f t="shared" si="185"/>
        <v/>
      </c>
      <c r="N828" s="38" t="str">
        <f t="shared" si="184"/>
        <v/>
      </c>
      <c r="O828" s="38" t="str">
        <f t="shared" si="189"/>
        <v/>
      </c>
      <c r="P828" s="38" t="str">
        <f t="shared" si="179"/>
        <v/>
      </c>
      <c r="Q828" s="38"/>
    </row>
    <row r="829" spans="1:17" x14ac:dyDescent="0.2">
      <c r="A829" t="str">
        <f t="shared" si="180"/>
        <v/>
      </c>
      <c r="B829" s="38" t="str">
        <f t="shared" si="176"/>
        <v/>
      </c>
      <c r="C829" s="38" t="str">
        <f t="shared" si="187"/>
        <v/>
      </c>
      <c r="D829" s="38" t="str">
        <f t="shared" si="182"/>
        <v/>
      </c>
      <c r="E829" s="38" t="str">
        <f t="shared" si="183"/>
        <v/>
      </c>
      <c r="F829" s="38" t="str">
        <f t="shared" si="174"/>
        <v/>
      </c>
      <c r="G829" s="38" t="str">
        <f t="shared" si="177"/>
        <v/>
      </c>
      <c r="H829" s="38"/>
      <c r="J829" t="str">
        <f t="shared" si="190"/>
        <v/>
      </c>
      <c r="K829" s="38" t="str">
        <f t="shared" si="178"/>
        <v/>
      </c>
      <c r="L829" s="38" t="str">
        <f t="shared" si="188"/>
        <v/>
      </c>
      <c r="M829" s="38" t="str">
        <f t="shared" si="185"/>
        <v/>
      </c>
      <c r="N829" s="38" t="str">
        <f t="shared" si="184"/>
        <v/>
      </c>
      <c r="O829" s="38" t="str">
        <f t="shared" si="189"/>
        <v/>
      </c>
      <c r="P829" s="38" t="str">
        <f t="shared" si="179"/>
        <v/>
      </c>
      <c r="Q829" s="38"/>
    </row>
    <row r="830" spans="1:17" x14ac:dyDescent="0.2">
      <c r="A830" t="str">
        <f t="shared" si="180"/>
        <v/>
      </c>
      <c r="B830" s="38" t="str">
        <f t="shared" si="176"/>
        <v/>
      </c>
      <c r="C830" s="38" t="str">
        <f t="shared" si="187"/>
        <v/>
      </c>
      <c r="D830" s="38" t="str">
        <f t="shared" si="182"/>
        <v/>
      </c>
      <c r="E830" s="38" t="str">
        <f t="shared" si="183"/>
        <v/>
      </c>
      <c r="F830" s="38" t="str">
        <f t="shared" si="174"/>
        <v/>
      </c>
      <c r="G830" s="38" t="str">
        <f t="shared" si="177"/>
        <v/>
      </c>
      <c r="H830" s="38"/>
      <c r="J830" t="str">
        <f t="shared" si="190"/>
        <v/>
      </c>
      <c r="K830" s="38" t="str">
        <f t="shared" si="178"/>
        <v/>
      </c>
      <c r="L830" s="38" t="str">
        <f t="shared" si="188"/>
        <v/>
      </c>
      <c r="M830" s="38" t="str">
        <f t="shared" si="185"/>
        <v/>
      </c>
      <c r="N830" s="38" t="str">
        <f t="shared" si="184"/>
        <v/>
      </c>
      <c r="O830" s="38" t="str">
        <f t="shared" si="189"/>
        <v/>
      </c>
      <c r="P830" s="38" t="str">
        <f t="shared" si="179"/>
        <v/>
      </c>
      <c r="Q830" s="38"/>
    </row>
    <row r="831" spans="1:17" x14ac:dyDescent="0.2">
      <c r="A831" t="str">
        <f t="shared" si="180"/>
        <v/>
      </c>
      <c r="B831" s="38" t="str">
        <f t="shared" si="176"/>
        <v/>
      </c>
      <c r="C831" s="38" t="str">
        <f t="shared" si="187"/>
        <v/>
      </c>
      <c r="D831" s="38" t="str">
        <f t="shared" si="182"/>
        <v/>
      </c>
      <c r="E831" s="38" t="str">
        <f t="shared" si="183"/>
        <v/>
      </c>
      <c r="F831" s="38" t="str">
        <f t="shared" si="174"/>
        <v/>
      </c>
      <c r="G831" s="38" t="str">
        <f t="shared" si="177"/>
        <v/>
      </c>
      <c r="H831" s="38"/>
      <c r="J831" t="str">
        <f t="shared" si="190"/>
        <v/>
      </c>
      <c r="K831" s="38" t="str">
        <f t="shared" si="178"/>
        <v/>
      </c>
      <c r="L831" s="38" t="str">
        <f t="shared" si="188"/>
        <v/>
      </c>
      <c r="M831" s="38" t="str">
        <f t="shared" si="185"/>
        <v/>
      </c>
      <c r="N831" s="38" t="str">
        <f t="shared" si="184"/>
        <v/>
      </c>
      <c r="O831" s="38" t="str">
        <f t="shared" si="189"/>
        <v/>
      </c>
      <c r="P831" s="38" t="str">
        <f t="shared" si="179"/>
        <v/>
      </c>
      <c r="Q831" s="38"/>
    </row>
    <row r="832" spans="1:17" x14ac:dyDescent="0.2">
      <c r="A832" t="str">
        <f t="shared" si="180"/>
        <v/>
      </c>
      <c r="B832" s="38" t="str">
        <f t="shared" si="176"/>
        <v/>
      </c>
      <c r="C832" s="38" t="str">
        <f t="shared" si="187"/>
        <v/>
      </c>
      <c r="D832" s="38" t="str">
        <f t="shared" si="182"/>
        <v/>
      </c>
      <c r="E832" s="38" t="str">
        <f t="shared" si="183"/>
        <v/>
      </c>
      <c r="F832" s="38" t="str">
        <f t="shared" si="174"/>
        <v/>
      </c>
      <c r="G832" s="38" t="str">
        <f t="shared" si="177"/>
        <v/>
      </c>
      <c r="H832" s="38"/>
      <c r="J832" t="str">
        <f t="shared" si="190"/>
        <v/>
      </c>
      <c r="K832" s="38" t="str">
        <f t="shared" si="178"/>
        <v/>
      </c>
      <c r="L832" s="38" t="str">
        <f t="shared" si="188"/>
        <v/>
      </c>
      <c r="M832" s="38" t="str">
        <f t="shared" si="185"/>
        <v/>
      </c>
      <c r="N832" s="38" t="str">
        <f t="shared" si="184"/>
        <v/>
      </c>
      <c r="O832" s="38" t="str">
        <f t="shared" si="189"/>
        <v/>
      </c>
      <c r="P832" s="38" t="str">
        <f t="shared" si="179"/>
        <v/>
      </c>
      <c r="Q832" s="38"/>
    </row>
    <row r="833" spans="1:17" x14ac:dyDescent="0.2">
      <c r="A833" t="str">
        <f t="shared" si="180"/>
        <v/>
      </c>
      <c r="B833" s="38" t="str">
        <f t="shared" si="176"/>
        <v/>
      </c>
      <c r="C833" s="38" t="str">
        <f t="shared" si="187"/>
        <v/>
      </c>
      <c r="D833" s="38" t="str">
        <f t="shared" si="182"/>
        <v/>
      </c>
      <c r="E833" s="38" t="str">
        <f t="shared" si="183"/>
        <v/>
      </c>
      <c r="F833" s="38" t="str">
        <f t="shared" si="174"/>
        <v/>
      </c>
      <c r="G833" s="38" t="str">
        <f t="shared" si="177"/>
        <v/>
      </c>
      <c r="H833" s="38"/>
      <c r="J833" t="str">
        <f t="shared" si="190"/>
        <v/>
      </c>
      <c r="K833" s="38" t="str">
        <f t="shared" si="178"/>
        <v/>
      </c>
      <c r="L833" s="38" t="str">
        <f t="shared" si="188"/>
        <v/>
      </c>
      <c r="M833" s="38" t="str">
        <f t="shared" si="185"/>
        <v/>
      </c>
      <c r="N833" s="38" t="str">
        <f t="shared" si="184"/>
        <v/>
      </c>
      <c r="O833" s="38" t="str">
        <f t="shared" si="189"/>
        <v/>
      </c>
      <c r="P833" s="38" t="str">
        <f t="shared" si="179"/>
        <v/>
      </c>
      <c r="Q833" s="38"/>
    </row>
    <row r="834" spans="1:17" x14ac:dyDescent="0.2">
      <c r="A834" t="str">
        <f t="shared" si="180"/>
        <v/>
      </c>
      <c r="B834" s="38" t="str">
        <f t="shared" si="176"/>
        <v/>
      </c>
      <c r="C834" s="38" t="str">
        <f t="shared" si="187"/>
        <v/>
      </c>
      <c r="D834" s="38" t="str">
        <f t="shared" si="182"/>
        <v/>
      </c>
      <c r="E834" s="38" t="str">
        <f t="shared" si="183"/>
        <v/>
      </c>
      <c r="F834" s="38" t="str">
        <f t="shared" si="174"/>
        <v/>
      </c>
      <c r="G834" s="38" t="str">
        <f t="shared" si="177"/>
        <v/>
      </c>
      <c r="H834" s="38"/>
      <c r="J834" t="str">
        <f t="shared" si="190"/>
        <v/>
      </c>
      <c r="K834" s="38" t="str">
        <f t="shared" si="178"/>
        <v/>
      </c>
      <c r="L834" s="38" t="str">
        <f t="shared" si="188"/>
        <v/>
      </c>
      <c r="M834" s="38" t="str">
        <f t="shared" si="185"/>
        <v/>
      </c>
      <c r="N834" s="38" t="str">
        <f t="shared" si="184"/>
        <v/>
      </c>
      <c r="O834" s="38" t="str">
        <f t="shared" si="189"/>
        <v/>
      </c>
      <c r="P834" s="38" t="str">
        <f t="shared" si="179"/>
        <v/>
      </c>
      <c r="Q834" s="38"/>
    </row>
    <row r="835" spans="1:17" x14ac:dyDescent="0.2">
      <c r="A835" t="str">
        <f t="shared" si="180"/>
        <v/>
      </c>
      <c r="B835" s="38" t="str">
        <f t="shared" si="176"/>
        <v/>
      </c>
      <c r="C835" s="38" t="str">
        <f t="shared" si="187"/>
        <v/>
      </c>
      <c r="D835" s="38" t="str">
        <f t="shared" si="182"/>
        <v/>
      </c>
      <c r="E835" s="38" t="str">
        <f t="shared" si="183"/>
        <v/>
      </c>
      <c r="F835" s="38" t="str">
        <f t="shared" si="174"/>
        <v/>
      </c>
      <c r="G835" s="38" t="str">
        <f t="shared" si="177"/>
        <v/>
      </c>
      <c r="H835" s="38"/>
      <c r="J835" t="str">
        <f t="shared" si="190"/>
        <v/>
      </c>
      <c r="K835" s="38" t="str">
        <f t="shared" si="178"/>
        <v/>
      </c>
      <c r="L835" s="38" t="str">
        <f t="shared" si="188"/>
        <v/>
      </c>
      <c r="M835" s="38" t="str">
        <f t="shared" si="185"/>
        <v/>
      </c>
      <c r="N835" s="38" t="str">
        <f t="shared" si="184"/>
        <v/>
      </c>
      <c r="O835" s="38" t="str">
        <f t="shared" si="189"/>
        <v/>
      </c>
      <c r="P835" s="38" t="str">
        <f t="shared" si="179"/>
        <v/>
      </c>
      <c r="Q835" s="38"/>
    </row>
    <row r="836" spans="1:17" x14ac:dyDescent="0.2">
      <c r="A836" t="str">
        <f t="shared" si="180"/>
        <v/>
      </c>
      <c r="B836" s="38" t="str">
        <f t="shared" si="176"/>
        <v/>
      </c>
      <c r="C836" s="38" t="str">
        <f t="shared" si="187"/>
        <v/>
      </c>
      <c r="D836" s="38" t="str">
        <f t="shared" si="182"/>
        <v/>
      </c>
      <c r="E836" s="38" t="str">
        <f t="shared" si="183"/>
        <v/>
      </c>
      <c r="F836" s="38" t="str">
        <f t="shared" si="174"/>
        <v/>
      </c>
      <c r="G836" s="38" t="str">
        <f t="shared" si="177"/>
        <v/>
      </c>
      <c r="H836" s="38"/>
      <c r="J836" t="str">
        <f t="shared" si="190"/>
        <v/>
      </c>
      <c r="K836" s="38" t="str">
        <f t="shared" si="178"/>
        <v/>
      </c>
      <c r="L836" s="38" t="str">
        <f t="shared" si="188"/>
        <v/>
      </c>
      <c r="M836" s="38" t="str">
        <f t="shared" si="185"/>
        <v/>
      </c>
      <c r="N836" s="38" t="str">
        <f t="shared" si="184"/>
        <v/>
      </c>
      <c r="O836" s="38" t="str">
        <f t="shared" si="189"/>
        <v/>
      </c>
      <c r="P836" s="38" t="str">
        <f t="shared" si="179"/>
        <v/>
      </c>
      <c r="Q836" s="38"/>
    </row>
    <row r="837" spans="1:17" x14ac:dyDescent="0.2">
      <c r="A837" t="str">
        <f t="shared" si="180"/>
        <v/>
      </c>
      <c r="B837" s="38" t="str">
        <f t="shared" si="176"/>
        <v/>
      </c>
      <c r="C837" s="38" t="str">
        <f t="shared" si="187"/>
        <v/>
      </c>
      <c r="D837" s="38" t="str">
        <f t="shared" si="182"/>
        <v/>
      </c>
      <c r="E837" s="38" t="str">
        <f t="shared" si="183"/>
        <v/>
      </c>
      <c r="F837" s="38" t="str">
        <f t="shared" si="174"/>
        <v/>
      </c>
      <c r="G837" s="38" t="str">
        <f t="shared" si="177"/>
        <v/>
      </c>
      <c r="H837" s="38"/>
      <c r="J837" t="str">
        <f t="shared" si="190"/>
        <v/>
      </c>
      <c r="K837" s="38" t="str">
        <f t="shared" si="178"/>
        <v/>
      </c>
      <c r="L837" s="38" t="str">
        <f t="shared" si="188"/>
        <v/>
      </c>
      <c r="M837" s="38" t="str">
        <f t="shared" si="185"/>
        <v/>
      </c>
      <c r="N837" s="38" t="str">
        <f t="shared" si="184"/>
        <v/>
      </c>
      <c r="O837" s="38" t="str">
        <f t="shared" si="189"/>
        <v/>
      </c>
      <c r="P837" s="38" t="str">
        <f t="shared" si="179"/>
        <v/>
      </c>
      <c r="Q837" s="38"/>
    </row>
    <row r="838" spans="1:17" x14ac:dyDescent="0.2">
      <c r="A838" t="str">
        <f t="shared" si="180"/>
        <v/>
      </c>
      <c r="B838" s="38" t="str">
        <f t="shared" si="176"/>
        <v/>
      </c>
      <c r="C838" s="38" t="str">
        <f t="shared" si="187"/>
        <v/>
      </c>
      <c r="D838" s="38" t="str">
        <f t="shared" si="182"/>
        <v/>
      </c>
      <c r="E838" s="38" t="str">
        <f t="shared" si="183"/>
        <v/>
      </c>
      <c r="F838" s="38" t="str">
        <f t="shared" si="174"/>
        <v/>
      </c>
      <c r="G838" s="38" t="str">
        <f t="shared" si="177"/>
        <v/>
      </c>
      <c r="H838" s="38"/>
      <c r="J838" t="str">
        <f t="shared" si="190"/>
        <v/>
      </c>
      <c r="K838" s="38" t="str">
        <f t="shared" si="178"/>
        <v/>
      </c>
      <c r="L838" s="38" t="str">
        <f t="shared" si="188"/>
        <v/>
      </c>
      <c r="M838" s="38" t="str">
        <f t="shared" si="185"/>
        <v/>
      </c>
      <c r="N838" s="38" t="str">
        <f t="shared" si="184"/>
        <v/>
      </c>
      <c r="O838" s="38" t="str">
        <f t="shared" si="189"/>
        <v/>
      </c>
      <c r="P838" s="38" t="str">
        <f t="shared" si="179"/>
        <v/>
      </c>
      <c r="Q838" s="38"/>
    </row>
    <row r="839" spans="1:17" x14ac:dyDescent="0.2">
      <c r="A839" t="str">
        <f t="shared" si="180"/>
        <v/>
      </c>
      <c r="B839" s="38" t="str">
        <f t="shared" si="176"/>
        <v/>
      </c>
      <c r="C839" s="38" t="str">
        <f t="shared" si="187"/>
        <v/>
      </c>
      <c r="D839" s="38" t="str">
        <f t="shared" si="182"/>
        <v/>
      </c>
      <c r="E839" s="38" t="str">
        <f t="shared" si="183"/>
        <v/>
      </c>
      <c r="F839" s="38" t="str">
        <f t="shared" si="174"/>
        <v/>
      </c>
      <c r="G839" s="38" t="str">
        <f t="shared" si="177"/>
        <v/>
      </c>
      <c r="H839" s="38"/>
      <c r="J839" t="str">
        <f t="shared" si="190"/>
        <v/>
      </c>
      <c r="K839" s="38" t="str">
        <f t="shared" si="178"/>
        <v/>
      </c>
      <c r="L839" s="38" t="str">
        <f t="shared" si="188"/>
        <v/>
      </c>
      <c r="M839" s="38" t="str">
        <f t="shared" si="185"/>
        <v/>
      </c>
      <c r="N839" s="38" t="str">
        <f t="shared" si="184"/>
        <v/>
      </c>
      <c r="O839" s="38" t="str">
        <f t="shared" si="189"/>
        <v/>
      </c>
      <c r="P839" s="38" t="str">
        <f t="shared" si="179"/>
        <v/>
      </c>
      <c r="Q839" s="38"/>
    </row>
    <row r="840" spans="1:17" x14ac:dyDescent="0.2">
      <c r="A840" t="str">
        <f t="shared" si="180"/>
        <v/>
      </c>
      <c r="B840" s="38" t="str">
        <f t="shared" si="176"/>
        <v/>
      </c>
      <c r="C840" s="38" t="str">
        <f t="shared" si="187"/>
        <v/>
      </c>
      <c r="D840" s="38" t="str">
        <f t="shared" si="182"/>
        <v/>
      </c>
      <c r="E840" s="38" t="str">
        <f t="shared" si="183"/>
        <v/>
      </c>
      <c r="F840" s="38" t="str">
        <f t="shared" si="174"/>
        <v/>
      </c>
      <c r="G840" s="38" t="str">
        <f t="shared" si="177"/>
        <v/>
      </c>
      <c r="H840" s="38"/>
      <c r="J840" t="str">
        <f t="shared" si="190"/>
        <v/>
      </c>
      <c r="K840" s="38" t="str">
        <f t="shared" si="178"/>
        <v/>
      </c>
      <c r="L840" s="38" t="str">
        <f t="shared" si="188"/>
        <v/>
      </c>
      <c r="M840" s="38" t="str">
        <f t="shared" si="185"/>
        <v/>
      </c>
      <c r="N840" s="38" t="str">
        <f t="shared" si="184"/>
        <v/>
      </c>
      <c r="O840" s="38" t="str">
        <f t="shared" si="189"/>
        <v/>
      </c>
      <c r="P840" s="38" t="str">
        <f t="shared" si="179"/>
        <v/>
      </c>
      <c r="Q840" s="38"/>
    </row>
    <row r="841" spans="1:17" x14ac:dyDescent="0.2">
      <c r="A841" t="str">
        <f t="shared" si="180"/>
        <v/>
      </c>
      <c r="B841" s="38" t="str">
        <f t="shared" si="176"/>
        <v/>
      </c>
      <c r="C841" s="38" t="str">
        <f t="shared" si="187"/>
        <v/>
      </c>
      <c r="D841" s="38" t="str">
        <f t="shared" si="182"/>
        <v/>
      </c>
      <c r="E841" s="38" t="str">
        <f t="shared" si="183"/>
        <v/>
      </c>
      <c r="F841" s="38" t="str">
        <f t="shared" si="174"/>
        <v/>
      </c>
      <c r="G841" s="38" t="str">
        <f t="shared" si="177"/>
        <v/>
      </c>
      <c r="H841" s="38"/>
      <c r="J841" t="str">
        <f t="shared" si="190"/>
        <v/>
      </c>
      <c r="K841" s="38" t="str">
        <f t="shared" si="178"/>
        <v/>
      </c>
      <c r="L841" s="38" t="str">
        <f t="shared" si="188"/>
        <v/>
      </c>
      <c r="M841" s="38" t="str">
        <f t="shared" si="185"/>
        <v/>
      </c>
      <c r="N841" s="38" t="str">
        <f t="shared" si="184"/>
        <v/>
      </c>
      <c r="O841" s="38" t="str">
        <f t="shared" si="189"/>
        <v/>
      </c>
      <c r="P841" s="38" t="str">
        <f t="shared" si="179"/>
        <v/>
      </c>
      <c r="Q841" s="38"/>
    </row>
    <row r="842" spans="1:17" x14ac:dyDescent="0.2">
      <c r="A842" t="str">
        <f t="shared" si="180"/>
        <v/>
      </c>
      <c r="B842" s="38" t="str">
        <f t="shared" si="176"/>
        <v/>
      </c>
      <c r="C842" s="38" t="str">
        <f t="shared" si="187"/>
        <v/>
      </c>
      <c r="D842" s="38" t="str">
        <f t="shared" si="182"/>
        <v/>
      </c>
      <c r="E842" s="38" t="str">
        <f t="shared" si="183"/>
        <v/>
      </c>
      <c r="F842" s="38" t="str">
        <f t="shared" si="174"/>
        <v/>
      </c>
      <c r="G842" s="38" t="str">
        <f t="shared" si="177"/>
        <v/>
      </c>
      <c r="H842" s="38"/>
      <c r="J842" t="str">
        <f t="shared" si="190"/>
        <v/>
      </c>
      <c r="K842" s="38" t="str">
        <f t="shared" si="178"/>
        <v/>
      </c>
      <c r="L842" s="38" t="str">
        <f t="shared" si="188"/>
        <v/>
      </c>
      <c r="M842" s="38" t="str">
        <f t="shared" si="185"/>
        <v/>
      </c>
      <c r="N842" s="38" t="str">
        <f t="shared" si="184"/>
        <v/>
      </c>
      <c r="O842" s="38" t="str">
        <f t="shared" si="189"/>
        <v/>
      </c>
      <c r="P842" s="38" t="str">
        <f t="shared" si="179"/>
        <v/>
      </c>
      <c r="Q842" s="38"/>
    </row>
    <row r="843" spans="1:17" x14ac:dyDescent="0.2">
      <c r="A843" t="str">
        <f t="shared" si="180"/>
        <v/>
      </c>
      <c r="B843" s="38" t="str">
        <f t="shared" si="176"/>
        <v/>
      </c>
      <c r="C843" s="38" t="str">
        <f t="shared" si="187"/>
        <v/>
      </c>
      <c r="D843" s="38" t="str">
        <f t="shared" si="182"/>
        <v/>
      </c>
      <c r="E843" s="38" t="str">
        <f t="shared" si="183"/>
        <v/>
      </c>
      <c r="F843" s="38" t="str">
        <f t="shared" si="174"/>
        <v/>
      </c>
      <c r="G843" s="38" t="str">
        <f t="shared" si="177"/>
        <v/>
      </c>
      <c r="H843" s="38"/>
      <c r="J843" t="str">
        <f t="shared" si="190"/>
        <v/>
      </c>
      <c r="K843" s="38" t="str">
        <f t="shared" si="178"/>
        <v/>
      </c>
      <c r="L843" s="38" t="str">
        <f t="shared" si="188"/>
        <v/>
      </c>
      <c r="M843" s="38" t="str">
        <f t="shared" si="185"/>
        <v/>
      </c>
      <c r="N843" s="38" t="str">
        <f t="shared" si="184"/>
        <v/>
      </c>
      <c r="O843" s="38" t="str">
        <f t="shared" si="189"/>
        <v/>
      </c>
      <c r="P843" s="38" t="str">
        <f t="shared" si="179"/>
        <v/>
      </c>
      <c r="Q843" s="38"/>
    </row>
    <row r="844" spans="1:17" x14ac:dyDescent="0.2">
      <c r="A844" t="str">
        <f t="shared" si="180"/>
        <v/>
      </c>
      <c r="B844" s="38" t="str">
        <f t="shared" si="176"/>
        <v/>
      </c>
      <c r="C844" s="38" t="str">
        <f t="shared" si="187"/>
        <v/>
      </c>
      <c r="D844" s="38" t="str">
        <f t="shared" si="182"/>
        <v/>
      </c>
      <c r="E844" s="38" t="str">
        <f t="shared" si="183"/>
        <v/>
      </c>
      <c r="F844" s="38" t="str">
        <f t="shared" si="174"/>
        <v/>
      </c>
      <c r="G844" s="38" t="str">
        <f t="shared" si="177"/>
        <v/>
      </c>
      <c r="H844" s="38"/>
      <c r="J844" t="str">
        <f t="shared" si="190"/>
        <v/>
      </c>
      <c r="K844" s="38" t="str">
        <f t="shared" si="178"/>
        <v/>
      </c>
      <c r="L844" s="38" t="str">
        <f t="shared" si="188"/>
        <v/>
      </c>
      <c r="M844" s="38" t="str">
        <f t="shared" si="185"/>
        <v/>
      </c>
      <c r="N844" s="38" t="str">
        <f t="shared" si="184"/>
        <v/>
      </c>
      <c r="O844" s="38" t="str">
        <f t="shared" si="189"/>
        <v/>
      </c>
      <c r="P844" s="38" t="str">
        <f t="shared" si="179"/>
        <v/>
      </c>
      <c r="Q844" s="38"/>
    </row>
    <row r="845" spans="1:17" x14ac:dyDescent="0.2">
      <c r="A845" t="str">
        <f t="shared" si="180"/>
        <v/>
      </c>
      <c r="B845" s="38" t="str">
        <f t="shared" si="176"/>
        <v/>
      </c>
      <c r="C845" s="38" t="str">
        <f t="shared" si="187"/>
        <v/>
      </c>
      <c r="D845" s="38" t="str">
        <f t="shared" si="182"/>
        <v/>
      </c>
      <c r="E845" s="38" t="str">
        <f t="shared" si="183"/>
        <v/>
      </c>
      <c r="F845" s="38" t="str">
        <f t="shared" si="174"/>
        <v/>
      </c>
      <c r="G845" s="38" t="str">
        <f t="shared" si="177"/>
        <v/>
      </c>
      <c r="H845" s="38"/>
      <c r="J845" t="str">
        <f t="shared" si="190"/>
        <v/>
      </c>
      <c r="K845" s="38" t="str">
        <f t="shared" si="178"/>
        <v/>
      </c>
      <c r="L845" s="38" t="str">
        <f t="shared" si="188"/>
        <v/>
      </c>
      <c r="M845" s="38" t="str">
        <f t="shared" si="185"/>
        <v/>
      </c>
      <c r="N845" s="38" t="str">
        <f t="shared" si="184"/>
        <v/>
      </c>
      <c r="O845" s="38" t="str">
        <f t="shared" si="189"/>
        <v/>
      </c>
      <c r="P845" s="38" t="str">
        <f t="shared" si="179"/>
        <v/>
      </c>
      <c r="Q845" s="38"/>
    </row>
    <row r="846" spans="1:17" x14ac:dyDescent="0.2">
      <c r="A846" t="str">
        <f t="shared" si="180"/>
        <v/>
      </c>
      <c r="B846" s="38" t="str">
        <f t="shared" si="176"/>
        <v/>
      </c>
      <c r="C846" s="38" t="str">
        <f t="shared" si="187"/>
        <v/>
      </c>
      <c r="D846" s="38" t="str">
        <f t="shared" si="182"/>
        <v/>
      </c>
      <c r="E846" s="38" t="str">
        <f t="shared" si="183"/>
        <v/>
      </c>
      <c r="F846" s="38" t="str">
        <f t="shared" si="174"/>
        <v/>
      </c>
      <c r="G846" s="38" t="str">
        <f t="shared" si="177"/>
        <v/>
      </c>
      <c r="H846" s="38"/>
      <c r="J846" t="str">
        <f t="shared" si="190"/>
        <v/>
      </c>
      <c r="K846" s="38" t="str">
        <f t="shared" si="178"/>
        <v/>
      </c>
      <c r="L846" s="38" t="str">
        <f t="shared" si="188"/>
        <v/>
      </c>
      <c r="M846" s="38" t="str">
        <f t="shared" si="185"/>
        <v/>
      </c>
      <c r="N846" s="38" t="str">
        <f t="shared" si="184"/>
        <v/>
      </c>
      <c r="O846" s="38" t="str">
        <f t="shared" si="189"/>
        <v/>
      </c>
      <c r="P846" s="38" t="str">
        <f t="shared" si="179"/>
        <v/>
      </c>
      <c r="Q846" s="38"/>
    </row>
    <row r="847" spans="1:17" x14ac:dyDescent="0.2">
      <c r="A847" t="str">
        <f t="shared" si="180"/>
        <v/>
      </c>
      <c r="B847" s="38" t="str">
        <f t="shared" si="176"/>
        <v/>
      </c>
      <c r="C847" s="38" t="str">
        <f t="shared" si="187"/>
        <v/>
      </c>
      <c r="D847" s="38" t="str">
        <f t="shared" si="182"/>
        <v/>
      </c>
      <c r="E847" s="38" t="str">
        <f t="shared" si="183"/>
        <v/>
      </c>
      <c r="F847" s="38" t="str">
        <f t="shared" si="174"/>
        <v/>
      </c>
      <c r="G847" s="38" t="str">
        <f t="shared" si="177"/>
        <v/>
      </c>
      <c r="H847" s="38"/>
      <c r="J847" t="str">
        <f t="shared" si="190"/>
        <v/>
      </c>
      <c r="K847" s="38" t="str">
        <f t="shared" si="178"/>
        <v/>
      </c>
      <c r="L847" s="38" t="str">
        <f t="shared" si="188"/>
        <v/>
      </c>
      <c r="M847" s="38" t="str">
        <f t="shared" si="185"/>
        <v/>
      </c>
      <c r="N847" s="38" t="str">
        <f t="shared" si="184"/>
        <v/>
      </c>
      <c r="O847" s="38" t="str">
        <f t="shared" si="189"/>
        <v/>
      </c>
      <c r="P847" s="38" t="str">
        <f t="shared" si="179"/>
        <v/>
      </c>
      <c r="Q847" s="38"/>
    </row>
    <row r="848" spans="1:17" x14ac:dyDescent="0.2">
      <c r="A848" t="str">
        <f t="shared" si="180"/>
        <v/>
      </c>
      <c r="B848" s="38" t="str">
        <f t="shared" si="176"/>
        <v/>
      </c>
      <c r="C848" s="38" t="str">
        <f t="shared" si="187"/>
        <v/>
      </c>
      <c r="D848" s="38" t="str">
        <f t="shared" si="182"/>
        <v/>
      </c>
      <c r="E848" s="38" t="str">
        <f t="shared" si="183"/>
        <v/>
      </c>
      <c r="F848" s="38" t="str">
        <f t="shared" si="174"/>
        <v/>
      </c>
      <c r="G848" s="38" t="str">
        <f t="shared" si="177"/>
        <v/>
      </c>
      <c r="H848" s="38"/>
      <c r="J848" t="str">
        <f t="shared" si="190"/>
        <v/>
      </c>
      <c r="K848" s="38" t="str">
        <f t="shared" si="178"/>
        <v/>
      </c>
      <c r="L848" s="38" t="str">
        <f t="shared" si="188"/>
        <v/>
      </c>
      <c r="M848" s="38" t="str">
        <f t="shared" si="185"/>
        <v/>
      </c>
      <c r="N848" s="38" t="str">
        <f t="shared" si="184"/>
        <v/>
      </c>
      <c r="O848" s="38" t="str">
        <f t="shared" si="189"/>
        <v/>
      </c>
      <c r="P848" s="38" t="str">
        <f t="shared" si="179"/>
        <v/>
      </c>
      <c r="Q848" s="38"/>
    </row>
    <row r="849" spans="1:17" x14ac:dyDescent="0.2">
      <c r="A849" t="str">
        <f t="shared" si="180"/>
        <v/>
      </c>
      <c r="B849" s="38" t="str">
        <f t="shared" si="176"/>
        <v/>
      </c>
      <c r="C849" s="38" t="str">
        <f t="shared" si="187"/>
        <v/>
      </c>
      <c r="D849" s="38" t="str">
        <f t="shared" si="182"/>
        <v/>
      </c>
      <c r="E849" s="38" t="str">
        <f t="shared" si="183"/>
        <v/>
      </c>
      <c r="F849" s="38" t="str">
        <f t="shared" si="174"/>
        <v/>
      </c>
      <c r="G849" s="38" t="str">
        <f t="shared" si="177"/>
        <v/>
      </c>
      <c r="H849" s="38"/>
      <c r="J849" t="str">
        <f t="shared" si="190"/>
        <v/>
      </c>
      <c r="K849" s="38" t="str">
        <f t="shared" si="178"/>
        <v/>
      </c>
      <c r="L849" s="38" t="str">
        <f t="shared" si="188"/>
        <v/>
      </c>
      <c r="M849" s="38" t="str">
        <f t="shared" si="185"/>
        <v/>
      </c>
      <c r="N849" s="38" t="str">
        <f t="shared" si="184"/>
        <v/>
      </c>
      <c r="O849" s="38" t="str">
        <f t="shared" si="189"/>
        <v/>
      </c>
      <c r="P849" s="38" t="str">
        <f t="shared" si="179"/>
        <v/>
      </c>
      <c r="Q849" s="38"/>
    </row>
    <row r="850" spans="1:17" x14ac:dyDescent="0.2">
      <c r="A850" t="str">
        <f t="shared" si="180"/>
        <v/>
      </c>
      <c r="B850" s="38" t="str">
        <f t="shared" si="176"/>
        <v/>
      </c>
      <c r="C850" s="38" t="str">
        <f t="shared" si="187"/>
        <v/>
      </c>
      <c r="D850" s="38" t="str">
        <f t="shared" si="182"/>
        <v/>
      </c>
      <c r="E850" s="38" t="str">
        <f t="shared" si="183"/>
        <v/>
      </c>
      <c r="F850" s="38" t="str">
        <f t="shared" si="174"/>
        <v/>
      </c>
      <c r="G850" s="38" t="str">
        <f t="shared" si="177"/>
        <v/>
      </c>
      <c r="H850" s="38"/>
      <c r="J850" t="str">
        <f t="shared" si="190"/>
        <v/>
      </c>
      <c r="K850" s="38" t="str">
        <f t="shared" si="178"/>
        <v/>
      </c>
      <c r="L850" s="38" t="str">
        <f t="shared" si="188"/>
        <v/>
      </c>
      <c r="M850" s="38" t="str">
        <f t="shared" si="185"/>
        <v/>
      </c>
      <c r="N850" s="38" t="str">
        <f t="shared" si="184"/>
        <v/>
      </c>
      <c r="O850" s="38" t="str">
        <f t="shared" si="189"/>
        <v/>
      </c>
      <c r="P850" s="38" t="str">
        <f t="shared" si="179"/>
        <v/>
      </c>
      <c r="Q850" s="38"/>
    </row>
    <row r="851" spans="1:17" x14ac:dyDescent="0.2">
      <c r="A851" t="str">
        <f t="shared" si="180"/>
        <v/>
      </c>
      <c r="B851" s="38" t="str">
        <f t="shared" si="176"/>
        <v/>
      </c>
      <c r="C851" s="38" t="str">
        <f t="shared" si="187"/>
        <v/>
      </c>
      <c r="D851" s="38" t="str">
        <f t="shared" si="182"/>
        <v/>
      </c>
      <c r="E851" s="38" t="str">
        <f t="shared" si="183"/>
        <v/>
      </c>
      <c r="F851" s="38" t="str">
        <f t="shared" ref="F851:F914" si="191">IF(A851="","", B851-E851)</f>
        <v/>
      </c>
      <c r="G851" s="38" t="str">
        <f t="shared" si="177"/>
        <v/>
      </c>
      <c r="H851" s="38"/>
      <c r="J851" t="str">
        <f t="shared" si="190"/>
        <v/>
      </c>
      <c r="K851" s="38" t="str">
        <f t="shared" si="178"/>
        <v/>
      </c>
      <c r="L851" s="38" t="str">
        <f t="shared" si="188"/>
        <v/>
      </c>
      <c r="M851" s="38" t="str">
        <f t="shared" si="185"/>
        <v/>
      </c>
      <c r="N851" s="38" t="str">
        <f t="shared" si="184"/>
        <v/>
      </c>
      <c r="O851" s="38" t="str">
        <f t="shared" ref="O851:O880" si="192">IF(J851="","", K851-N851)</f>
        <v/>
      </c>
      <c r="P851" s="38" t="str">
        <f t="shared" si="179"/>
        <v/>
      </c>
      <c r="Q851" s="38"/>
    </row>
    <row r="852" spans="1:17" x14ac:dyDescent="0.2">
      <c r="A852" t="str">
        <f t="shared" si="180"/>
        <v/>
      </c>
      <c r="B852" s="38" t="str">
        <f t="shared" si="176"/>
        <v/>
      </c>
      <c r="C852" s="38" t="str">
        <f t="shared" si="187"/>
        <v/>
      </c>
      <c r="D852" s="38" t="str">
        <f t="shared" si="182"/>
        <v/>
      </c>
      <c r="E852" s="38" t="str">
        <f t="shared" si="183"/>
        <v/>
      </c>
      <c r="F852" s="38" t="str">
        <f t="shared" si="191"/>
        <v/>
      </c>
      <c r="G852" s="38" t="str">
        <f t="shared" si="177"/>
        <v/>
      </c>
      <c r="H852" s="38"/>
      <c r="J852" t="str">
        <f t="shared" si="190"/>
        <v/>
      </c>
      <c r="K852" s="38" t="str">
        <f t="shared" si="178"/>
        <v/>
      </c>
      <c r="L852" s="38" t="str">
        <f t="shared" si="188"/>
        <v/>
      </c>
      <c r="M852" s="38" t="str">
        <f t="shared" si="185"/>
        <v/>
      </c>
      <c r="N852" s="38" t="str">
        <f t="shared" si="184"/>
        <v/>
      </c>
      <c r="O852" s="38" t="str">
        <f t="shared" si="192"/>
        <v/>
      </c>
      <c r="P852" s="38" t="str">
        <f t="shared" si="179"/>
        <v/>
      </c>
      <c r="Q852" s="38"/>
    </row>
    <row r="853" spans="1:17" x14ac:dyDescent="0.2">
      <c r="A853" t="str">
        <f t="shared" si="180"/>
        <v/>
      </c>
      <c r="B853" s="38" t="str">
        <f t="shared" si="176"/>
        <v/>
      </c>
      <c r="C853" s="38" t="str">
        <f t="shared" si="187"/>
        <v/>
      </c>
      <c r="D853" s="38" t="str">
        <f t="shared" si="182"/>
        <v/>
      </c>
      <c r="E853" s="38" t="str">
        <f t="shared" si="183"/>
        <v/>
      </c>
      <c r="F853" s="38" t="str">
        <f t="shared" si="191"/>
        <v/>
      </c>
      <c r="G853" s="38" t="str">
        <f t="shared" si="177"/>
        <v/>
      </c>
      <c r="H853" s="38"/>
      <c r="J853" t="str">
        <f t="shared" si="190"/>
        <v/>
      </c>
      <c r="K853" s="38" t="str">
        <f t="shared" si="178"/>
        <v/>
      </c>
      <c r="L853" s="38" t="str">
        <f t="shared" si="188"/>
        <v/>
      </c>
      <c r="M853" s="38" t="str">
        <f t="shared" si="185"/>
        <v/>
      </c>
      <c r="N853" s="38" t="str">
        <f t="shared" si="184"/>
        <v/>
      </c>
      <c r="O853" s="38" t="str">
        <f t="shared" si="192"/>
        <v/>
      </c>
      <c r="P853" s="38" t="str">
        <f t="shared" si="179"/>
        <v/>
      </c>
      <c r="Q853" s="38"/>
    </row>
    <row r="854" spans="1:17" x14ac:dyDescent="0.2">
      <c r="A854" t="str">
        <f t="shared" si="180"/>
        <v/>
      </c>
      <c r="B854" s="38" t="str">
        <f t="shared" si="176"/>
        <v/>
      </c>
      <c r="C854" s="38" t="str">
        <f t="shared" si="187"/>
        <v/>
      </c>
      <c r="D854" s="38" t="str">
        <f t="shared" si="182"/>
        <v/>
      </c>
      <c r="E854" s="38" t="str">
        <f t="shared" si="183"/>
        <v/>
      </c>
      <c r="F854" s="38" t="str">
        <f t="shared" si="191"/>
        <v/>
      </c>
      <c r="G854" s="38" t="str">
        <f t="shared" si="177"/>
        <v/>
      </c>
      <c r="H854" s="38"/>
      <c r="J854" t="str">
        <f t="shared" si="190"/>
        <v/>
      </c>
      <c r="K854" s="38" t="str">
        <f t="shared" si="178"/>
        <v/>
      </c>
      <c r="L854" s="38" t="str">
        <f t="shared" si="188"/>
        <v/>
      </c>
      <c r="M854" s="38" t="str">
        <f t="shared" si="185"/>
        <v/>
      </c>
      <c r="N854" s="38" t="str">
        <f t="shared" si="184"/>
        <v/>
      </c>
      <c r="O854" s="38" t="str">
        <f t="shared" si="192"/>
        <v/>
      </c>
      <c r="P854" s="38" t="str">
        <f t="shared" si="179"/>
        <v/>
      </c>
      <c r="Q854" s="38"/>
    </row>
    <row r="855" spans="1:17" x14ac:dyDescent="0.2">
      <c r="A855" t="str">
        <f t="shared" si="180"/>
        <v/>
      </c>
      <c r="B855" s="38" t="str">
        <f t="shared" ref="B855:B888" si="193">IF(A855="","",F854)</f>
        <v/>
      </c>
      <c r="C855" s="38" t="str">
        <f t="shared" si="187"/>
        <v/>
      </c>
      <c r="D855" s="38" t="str">
        <f t="shared" si="182"/>
        <v/>
      </c>
      <c r="E855" s="38" t="str">
        <f t="shared" si="183"/>
        <v/>
      </c>
      <c r="F855" s="38" t="str">
        <f t="shared" si="191"/>
        <v/>
      </c>
      <c r="G855" s="38" t="str">
        <f t="shared" ref="G855:G918" si="194">IF(A855="","", (G854+C855))</f>
        <v/>
      </c>
      <c r="H855" s="38"/>
      <c r="J855" t="str">
        <f t="shared" si="190"/>
        <v/>
      </c>
      <c r="K855" s="38" t="str">
        <f t="shared" ref="K855:K880" si="195">IF(J855="","",O854)</f>
        <v/>
      </c>
      <c r="L855" s="38" t="str">
        <f t="shared" si="188"/>
        <v/>
      </c>
      <c r="M855" s="38" t="str">
        <f t="shared" si="185"/>
        <v/>
      </c>
      <c r="N855" s="38" t="str">
        <f t="shared" si="184"/>
        <v/>
      </c>
      <c r="O855" s="38" t="str">
        <f t="shared" si="192"/>
        <v/>
      </c>
      <c r="P855" s="38" t="str">
        <f t="shared" ref="P855:P880" si="196">IF(J855="","", (P854+L855))</f>
        <v/>
      </c>
      <c r="Q855" s="38"/>
    </row>
    <row r="856" spans="1:17" x14ac:dyDescent="0.2">
      <c r="A856" t="str">
        <f t="shared" ref="A856:A919" si="197">IF(A855&lt;($B$6*$B$7),A855+1,"")</f>
        <v/>
      </c>
      <c r="B856" s="38" t="str">
        <f t="shared" si="193"/>
        <v/>
      </c>
      <c r="C856" s="38" t="str">
        <f t="shared" ref="C856:C919" si="198">IF(A856="","",(B856*$B$8))</f>
        <v/>
      </c>
      <c r="D856" s="38" t="str">
        <f t="shared" ref="D856:D919" si="199">IF(A856="","", $B$5)</f>
        <v/>
      </c>
      <c r="E856" s="38" t="str">
        <f t="shared" ref="E856:E919" si="200">IF(D856="","",(D856-C856))</f>
        <v/>
      </c>
      <c r="F856" s="38" t="str">
        <f t="shared" si="191"/>
        <v/>
      </c>
      <c r="G856" s="38" t="str">
        <f t="shared" si="194"/>
        <v/>
      </c>
      <c r="H856" s="38"/>
      <c r="J856" t="str">
        <f t="shared" si="190"/>
        <v/>
      </c>
      <c r="K856" s="38" t="str">
        <f t="shared" si="195"/>
        <v/>
      </c>
      <c r="L856" s="38" t="str">
        <f t="shared" si="188"/>
        <v/>
      </c>
      <c r="M856" s="38" t="str">
        <f t="shared" si="185"/>
        <v/>
      </c>
      <c r="N856" s="38" t="str">
        <f t="shared" ref="N856:N880" si="201">IF(M856="","",(M856-L856))</f>
        <v/>
      </c>
      <c r="O856" s="38" t="str">
        <f t="shared" si="192"/>
        <v/>
      </c>
      <c r="P856" s="38" t="str">
        <f t="shared" si="196"/>
        <v/>
      </c>
      <c r="Q856" s="38"/>
    </row>
    <row r="857" spans="1:17" x14ac:dyDescent="0.2">
      <c r="A857" t="str">
        <f t="shared" si="197"/>
        <v/>
      </c>
      <c r="B857" s="38" t="str">
        <f t="shared" si="193"/>
        <v/>
      </c>
      <c r="C857" s="38" t="str">
        <f t="shared" si="198"/>
        <v/>
      </c>
      <c r="D857" s="38" t="str">
        <f t="shared" si="199"/>
        <v/>
      </c>
      <c r="E857" s="38" t="str">
        <f t="shared" si="200"/>
        <v/>
      </c>
      <c r="F857" s="38" t="str">
        <f t="shared" si="191"/>
        <v/>
      </c>
      <c r="G857" s="38" t="str">
        <f t="shared" si="194"/>
        <v/>
      </c>
      <c r="H857" s="38"/>
      <c r="J857" t="str">
        <f t="shared" si="190"/>
        <v/>
      </c>
      <c r="K857" s="38" t="str">
        <f t="shared" si="195"/>
        <v/>
      </c>
      <c r="L857" s="38" t="str">
        <f t="shared" si="188"/>
        <v/>
      </c>
      <c r="M857" s="38" t="str">
        <f t="shared" si="185"/>
        <v/>
      </c>
      <c r="N857" s="38" t="str">
        <f t="shared" si="201"/>
        <v/>
      </c>
      <c r="O857" s="38" t="str">
        <f t="shared" si="192"/>
        <v/>
      </c>
      <c r="P857" s="38" t="str">
        <f t="shared" si="196"/>
        <v/>
      </c>
      <c r="Q857" s="38"/>
    </row>
    <row r="858" spans="1:17" x14ac:dyDescent="0.2">
      <c r="A858" t="str">
        <f t="shared" si="197"/>
        <v/>
      </c>
      <c r="B858" s="38" t="str">
        <f t="shared" si="193"/>
        <v/>
      </c>
      <c r="C858" s="38" t="str">
        <f t="shared" si="198"/>
        <v/>
      </c>
      <c r="D858" s="38" t="str">
        <f t="shared" si="199"/>
        <v/>
      </c>
      <c r="E858" s="38" t="str">
        <f t="shared" si="200"/>
        <v/>
      </c>
      <c r="F858" s="38" t="str">
        <f t="shared" si="191"/>
        <v/>
      </c>
      <c r="G858" s="38" t="str">
        <f t="shared" si="194"/>
        <v/>
      </c>
      <c r="H858" s="38"/>
      <c r="J858" t="str">
        <f t="shared" si="190"/>
        <v/>
      </c>
      <c r="K858" s="38" t="str">
        <f t="shared" si="195"/>
        <v/>
      </c>
      <c r="L858" s="38" t="str">
        <f t="shared" si="188"/>
        <v/>
      </c>
      <c r="M858" s="38" t="str">
        <f t="shared" si="185"/>
        <v/>
      </c>
      <c r="N858" s="38" t="str">
        <f t="shared" si="201"/>
        <v/>
      </c>
      <c r="O858" s="38" t="str">
        <f t="shared" si="192"/>
        <v/>
      </c>
      <c r="P858" s="38" t="str">
        <f t="shared" si="196"/>
        <v/>
      </c>
      <c r="Q858" s="38"/>
    </row>
    <row r="859" spans="1:17" x14ac:dyDescent="0.2">
      <c r="A859" t="str">
        <f t="shared" si="197"/>
        <v/>
      </c>
      <c r="B859" s="38" t="str">
        <f t="shared" si="193"/>
        <v/>
      </c>
      <c r="C859" s="38" t="str">
        <f t="shared" si="198"/>
        <v/>
      </c>
      <c r="D859" s="38" t="str">
        <f t="shared" si="199"/>
        <v/>
      </c>
      <c r="E859" s="38" t="str">
        <f t="shared" si="200"/>
        <v/>
      </c>
      <c r="F859" s="38" t="str">
        <f t="shared" si="191"/>
        <v/>
      </c>
      <c r="G859" s="38" t="str">
        <f t="shared" si="194"/>
        <v/>
      </c>
      <c r="H859" s="38"/>
      <c r="J859" t="str">
        <f t="shared" si="190"/>
        <v/>
      </c>
      <c r="K859" s="38" t="str">
        <f t="shared" si="195"/>
        <v/>
      </c>
      <c r="L859" s="38" t="str">
        <f t="shared" si="188"/>
        <v/>
      </c>
      <c r="M859" s="38" t="str">
        <f t="shared" si="185"/>
        <v/>
      </c>
      <c r="N859" s="38" t="str">
        <f t="shared" si="201"/>
        <v/>
      </c>
      <c r="O859" s="38" t="str">
        <f t="shared" si="192"/>
        <v/>
      </c>
      <c r="P859" s="38" t="str">
        <f t="shared" si="196"/>
        <v/>
      </c>
      <c r="Q859" s="38"/>
    </row>
    <row r="860" spans="1:17" x14ac:dyDescent="0.2">
      <c r="A860" t="str">
        <f t="shared" si="197"/>
        <v/>
      </c>
      <c r="B860" s="38" t="str">
        <f t="shared" si="193"/>
        <v/>
      </c>
      <c r="C860" s="38" t="str">
        <f t="shared" si="198"/>
        <v/>
      </c>
      <c r="D860" s="38" t="str">
        <f t="shared" si="199"/>
        <v/>
      </c>
      <c r="E860" s="38" t="str">
        <f t="shared" si="200"/>
        <v/>
      </c>
      <c r="F860" s="38" t="str">
        <f t="shared" si="191"/>
        <v/>
      </c>
      <c r="G860" s="38" t="str">
        <f t="shared" si="194"/>
        <v/>
      </c>
      <c r="H860" s="38"/>
      <c r="J860" t="str">
        <f t="shared" si="190"/>
        <v/>
      </c>
      <c r="K860" s="38" t="str">
        <f t="shared" si="195"/>
        <v/>
      </c>
      <c r="L860" s="38" t="str">
        <f t="shared" si="188"/>
        <v/>
      </c>
      <c r="M860" s="38" t="str">
        <f t="shared" si="185"/>
        <v/>
      </c>
      <c r="N860" s="38" t="str">
        <f t="shared" si="201"/>
        <v/>
      </c>
      <c r="O860" s="38" t="str">
        <f t="shared" si="192"/>
        <v/>
      </c>
      <c r="P860" s="38" t="str">
        <f t="shared" si="196"/>
        <v/>
      </c>
      <c r="Q860" s="38"/>
    </row>
    <row r="861" spans="1:17" x14ac:dyDescent="0.2">
      <c r="A861" t="str">
        <f t="shared" si="197"/>
        <v/>
      </c>
      <c r="B861" s="38" t="str">
        <f t="shared" si="193"/>
        <v/>
      </c>
      <c r="C861" s="38" t="str">
        <f t="shared" si="198"/>
        <v/>
      </c>
      <c r="D861" s="38" t="str">
        <f t="shared" si="199"/>
        <v/>
      </c>
      <c r="E861" s="38" t="str">
        <f t="shared" si="200"/>
        <v/>
      </c>
      <c r="F861" s="38" t="str">
        <f t="shared" si="191"/>
        <v/>
      </c>
      <c r="G861" s="38" t="str">
        <f t="shared" si="194"/>
        <v/>
      </c>
      <c r="H861" s="38"/>
      <c r="J861" t="str">
        <f t="shared" si="190"/>
        <v/>
      </c>
      <c r="K861" s="38" t="str">
        <f t="shared" si="195"/>
        <v/>
      </c>
      <c r="L861" s="38" t="str">
        <f t="shared" si="188"/>
        <v/>
      </c>
      <c r="M861" s="38" t="str">
        <f t="shared" si="185"/>
        <v/>
      </c>
      <c r="N861" s="38" t="str">
        <f t="shared" si="201"/>
        <v/>
      </c>
      <c r="O861" s="38" t="str">
        <f t="shared" si="192"/>
        <v/>
      </c>
      <c r="P861" s="38" t="str">
        <f t="shared" si="196"/>
        <v/>
      </c>
      <c r="Q861" s="38"/>
    </row>
    <row r="862" spans="1:17" x14ac:dyDescent="0.2">
      <c r="A862" t="str">
        <f t="shared" si="197"/>
        <v/>
      </c>
      <c r="B862" s="38" t="str">
        <f t="shared" si="193"/>
        <v/>
      </c>
      <c r="C862" s="38" t="str">
        <f t="shared" si="198"/>
        <v/>
      </c>
      <c r="D862" s="38" t="str">
        <f t="shared" si="199"/>
        <v/>
      </c>
      <c r="E862" s="38" t="str">
        <f t="shared" si="200"/>
        <v/>
      </c>
      <c r="F862" s="38" t="str">
        <f t="shared" si="191"/>
        <v/>
      </c>
      <c r="G862" s="38" t="str">
        <f t="shared" si="194"/>
        <v/>
      </c>
      <c r="H862" s="38"/>
      <c r="J862" t="str">
        <f t="shared" si="190"/>
        <v/>
      </c>
      <c r="K862" s="38" t="str">
        <f t="shared" si="195"/>
        <v/>
      </c>
      <c r="L862" s="38" t="str">
        <f t="shared" si="188"/>
        <v/>
      </c>
      <c r="M862" s="38" t="str">
        <f t="shared" si="185"/>
        <v/>
      </c>
      <c r="N862" s="38" t="str">
        <f t="shared" si="201"/>
        <v/>
      </c>
      <c r="O862" s="38" t="str">
        <f t="shared" si="192"/>
        <v/>
      </c>
      <c r="P862" s="38" t="str">
        <f t="shared" si="196"/>
        <v/>
      </c>
      <c r="Q862" s="38"/>
    </row>
    <row r="863" spans="1:17" x14ac:dyDescent="0.2">
      <c r="A863" t="str">
        <f t="shared" si="197"/>
        <v/>
      </c>
      <c r="B863" s="38" t="str">
        <f t="shared" si="193"/>
        <v/>
      </c>
      <c r="C863" s="38" t="str">
        <f t="shared" si="198"/>
        <v/>
      </c>
      <c r="D863" s="38" t="str">
        <f t="shared" si="199"/>
        <v/>
      </c>
      <c r="E863" s="38" t="str">
        <f t="shared" si="200"/>
        <v/>
      </c>
      <c r="F863" s="38" t="str">
        <f t="shared" si="191"/>
        <v/>
      </c>
      <c r="G863" s="38" t="str">
        <f t="shared" si="194"/>
        <v/>
      </c>
      <c r="H863" s="38"/>
      <c r="J863" t="str">
        <f t="shared" si="190"/>
        <v/>
      </c>
      <c r="K863" s="38" t="str">
        <f t="shared" si="195"/>
        <v/>
      </c>
      <c r="L863" s="38" t="str">
        <f t="shared" si="188"/>
        <v/>
      </c>
      <c r="M863" s="38" t="str">
        <f t="shared" si="185"/>
        <v/>
      </c>
      <c r="N863" s="38" t="str">
        <f t="shared" si="201"/>
        <v/>
      </c>
      <c r="O863" s="38" t="str">
        <f t="shared" si="192"/>
        <v/>
      </c>
      <c r="P863" s="38" t="str">
        <f t="shared" si="196"/>
        <v/>
      </c>
      <c r="Q863" s="38"/>
    </row>
    <row r="864" spans="1:17" x14ac:dyDescent="0.2">
      <c r="A864" t="str">
        <f t="shared" si="197"/>
        <v/>
      </c>
      <c r="B864" s="38" t="str">
        <f t="shared" si="193"/>
        <v/>
      </c>
      <c r="C864" s="38" t="str">
        <f t="shared" si="198"/>
        <v/>
      </c>
      <c r="D864" s="38" t="str">
        <f t="shared" si="199"/>
        <v/>
      </c>
      <c r="E864" s="38" t="str">
        <f t="shared" si="200"/>
        <v/>
      </c>
      <c r="F864" s="38" t="str">
        <f t="shared" si="191"/>
        <v/>
      </c>
      <c r="G864" s="38" t="str">
        <f t="shared" si="194"/>
        <v/>
      </c>
      <c r="H864" s="38"/>
      <c r="J864" t="str">
        <f t="shared" si="190"/>
        <v/>
      </c>
      <c r="K864" s="38" t="str">
        <f t="shared" si="195"/>
        <v/>
      </c>
      <c r="L864" s="38" t="str">
        <f t="shared" si="188"/>
        <v/>
      </c>
      <c r="M864" s="38" t="str">
        <f t="shared" si="185"/>
        <v/>
      </c>
      <c r="N864" s="38" t="str">
        <f t="shared" si="201"/>
        <v/>
      </c>
      <c r="O864" s="38" t="str">
        <f t="shared" si="192"/>
        <v/>
      </c>
      <c r="P864" s="38" t="str">
        <f t="shared" si="196"/>
        <v/>
      </c>
      <c r="Q864" s="38"/>
    </row>
    <row r="865" spans="1:17" x14ac:dyDescent="0.2">
      <c r="A865" t="str">
        <f t="shared" si="197"/>
        <v/>
      </c>
      <c r="B865" s="38" t="str">
        <f t="shared" si="193"/>
        <v/>
      </c>
      <c r="C865" s="38" t="str">
        <f t="shared" si="198"/>
        <v/>
      </c>
      <c r="D865" s="38" t="str">
        <f t="shared" si="199"/>
        <v/>
      </c>
      <c r="E865" s="38" t="str">
        <f t="shared" si="200"/>
        <v/>
      </c>
      <c r="F865" s="38" t="str">
        <f t="shared" si="191"/>
        <v/>
      </c>
      <c r="G865" s="38" t="str">
        <f t="shared" si="194"/>
        <v/>
      </c>
      <c r="H865" s="38"/>
      <c r="J865" t="str">
        <f t="shared" si="190"/>
        <v/>
      </c>
      <c r="K865" s="38" t="str">
        <f t="shared" si="195"/>
        <v/>
      </c>
      <c r="L865" s="38" t="str">
        <f t="shared" si="188"/>
        <v/>
      </c>
      <c r="M865" s="38" t="str">
        <f t="shared" si="185"/>
        <v/>
      </c>
      <c r="N865" s="38" t="str">
        <f t="shared" si="201"/>
        <v/>
      </c>
      <c r="O865" s="38" t="str">
        <f t="shared" si="192"/>
        <v/>
      </c>
      <c r="P865" s="38" t="str">
        <f t="shared" si="196"/>
        <v/>
      </c>
      <c r="Q865" s="38"/>
    </row>
    <row r="866" spans="1:17" x14ac:dyDescent="0.2">
      <c r="A866" t="str">
        <f t="shared" si="197"/>
        <v/>
      </c>
      <c r="B866" s="38" t="str">
        <f t="shared" si="193"/>
        <v/>
      </c>
      <c r="C866" s="38" t="str">
        <f t="shared" si="198"/>
        <v/>
      </c>
      <c r="D866" s="38" t="str">
        <f t="shared" si="199"/>
        <v/>
      </c>
      <c r="E866" s="38" t="str">
        <f t="shared" si="200"/>
        <v/>
      </c>
      <c r="F866" s="38" t="str">
        <f t="shared" si="191"/>
        <v/>
      </c>
      <c r="G866" s="38" t="str">
        <f t="shared" si="194"/>
        <v/>
      </c>
      <c r="H866" s="38"/>
      <c r="J866" t="str">
        <f t="shared" si="190"/>
        <v/>
      </c>
      <c r="K866" s="38" t="str">
        <f t="shared" si="195"/>
        <v/>
      </c>
      <c r="L866" s="38" t="str">
        <f t="shared" si="188"/>
        <v/>
      </c>
      <c r="M866" s="38" t="str">
        <f t="shared" si="185"/>
        <v/>
      </c>
      <c r="N866" s="38" t="str">
        <f t="shared" si="201"/>
        <v/>
      </c>
      <c r="O866" s="38" t="str">
        <f t="shared" si="192"/>
        <v/>
      </c>
      <c r="P866" s="38" t="str">
        <f t="shared" si="196"/>
        <v/>
      </c>
      <c r="Q866" s="38"/>
    </row>
    <row r="867" spans="1:17" x14ac:dyDescent="0.2">
      <c r="A867" t="str">
        <f t="shared" si="197"/>
        <v/>
      </c>
      <c r="B867" s="38" t="str">
        <f t="shared" si="193"/>
        <v/>
      </c>
      <c r="C867" s="38" t="str">
        <f t="shared" si="198"/>
        <v/>
      </c>
      <c r="D867" s="38" t="str">
        <f t="shared" si="199"/>
        <v/>
      </c>
      <c r="E867" s="38" t="str">
        <f t="shared" si="200"/>
        <v/>
      </c>
      <c r="F867" s="38" t="str">
        <f t="shared" si="191"/>
        <v/>
      </c>
      <c r="G867" s="38" t="str">
        <f t="shared" si="194"/>
        <v/>
      </c>
      <c r="H867" s="38"/>
      <c r="J867" t="str">
        <f t="shared" si="190"/>
        <v/>
      </c>
      <c r="K867" s="38" t="str">
        <f t="shared" si="195"/>
        <v/>
      </c>
      <c r="L867" s="38" t="str">
        <f t="shared" si="188"/>
        <v/>
      </c>
      <c r="M867" s="38" t="str">
        <f t="shared" si="185"/>
        <v/>
      </c>
      <c r="N867" s="38" t="str">
        <f t="shared" si="201"/>
        <v/>
      </c>
      <c r="O867" s="38" t="str">
        <f t="shared" si="192"/>
        <v/>
      </c>
      <c r="P867" s="38" t="str">
        <f t="shared" si="196"/>
        <v/>
      </c>
      <c r="Q867" s="38"/>
    </row>
    <row r="868" spans="1:17" x14ac:dyDescent="0.2">
      <c r="A868" t="str">
        <f t="shared" si="197"/>
        <v/>
      </c>
      <c r="B868" s="38" t="str">
        <f t="shared" si="193"/>
        <v/>
      </c>
      <c r="C868" s="38" t="str">
        <f t="shared" si="198"/>
        <v/>
      </c>
      <c r="D868" s="38" t="str">
        <f t="shared" si="199"/>
        <v/>
      </c>
      <c r="E868" s="38" t="str">
        <f t="shared" si="200"/>
        <v/>
      </c>
      <c r="F868" s="38" t="str">
        <f t="shared" si="191"/>
        <v/>
      </c>
      <c r="G868" s="38" t="str">
        <f t="shared" si="194"/>
        <v/>
      </c>
      <c r="H868" s="38"/>
      <c r="J868" t="str">
        <f t="shared" si="190"/>
        <v/>
      </c>
      <c r="K868" s="38" t="str">
        <f t="shared" si="195"/>
        <v/>
      </c>
      <c r="L868" s="38" t="str">
        <f t="shared" si="188"/>
        <v/>
      </c>
      <c r="M868" s="38" t="str">
        <f t="shared" ref="M868:M880" si="202">IF(J868="","", $B$5)</f>
        <v/>
      </c>
      <c r="N868" s="38" t="str">
        <f t="shared" si="201"/>
        <v/>
      </c>
      <c r="O868" s="38" t="str">
        <f t="shared" si="192"/>
        <v/>
      </c>
      <c r="P868" s="38" t="str">
        <f t="shared" si="196"/>
        <v/>
      </c>
      <c r="Q868" s="38"/>
    </row>
    <row r="869" spans="1:17" x14ac:dyDescent="0.2">
      <c r="A869" t="str">
        <f t="shared" si="197"/>
        <v/>
      </c>
      <c r="B869" s="38" t="str">
        <f t="shared" si="193"/>
        <v/>
      </c>
      <c r="C869" s="38" t="str">
        <f t="shared" si="198"/>
        <v/>
      </c>
      <c r="D869" s="38" t="str">
        <f t="shared" si="199"/>
        <v/>
      </c>
      <c r="E869" s="38" t="str">
        <f t="shared" si="200"/>
        <v/>
      </c>
      <c r="F869" s="38" t="str">
        <f t="shared" si="191"/>
        <v/>
      </c>
      <c r="G869" s="38" t="str">
        <f t="shared" si="194"/>
        <v/>
      </c>
      <c r="H869" s="38"/>
      <c r="J869" t="str">
        <f t="shared" si="190"/>
        <v/>
      </c>
      <c r="K869" s="38" t="str">
        <f t="shared" si="195"/>
        <v/>
      </c>
      <c r="L869" s="38" t="str">
        <f t="shared" si="188"/>
        <v/>
      </c>
      <c r="M869" s="38" t="str">
        <f t="shared" si="202"/>
        <v/>
      </c>
      <c r="N869" s="38" t="str">
        <f t="shared" si="201"/>
        <v/>
      </c>
      <c r="O869" s="38" t="str">
        <f t="shared" si="192"/>
        <v/>
      </c>
      <c r="P869" s="38" t="str">
        <f t="shared" si="196"/>
        <v/>
      </c>
      <c r="Q869" s="38"/>
    </row>
    <row r="870" spans="1:17" x14ac:dyDescent="0.2">
      <c r="A870" t="str">
        <f t="shared" si="197"/>
        <v/>
      </c>
      <c r="B870" s="38" t="str">
        <f t="shared" si="193"/>
        <v/>
      </c>
      <c r="C870" s="38" t="str">
        <f t="shared" si="198"/>
        <v/>
      </c>
      <c r="D870" s="38" t="str">
        <f t="shared" si="199"/>
        <v/>
      </c>
      <c r="E870" s="38" t="str">
        <f t="shared" si="200"/>
        <v/>
      </c>
      <c r="F870" s="38" t="str">
        <f t="shared" si="191"/>
        <v/>
      </c>
      <c r="G870" s="38" t="str">
        <f t="shared" si="194"/>
        <v/>
      </c>
      <c r="H870" s="38"/>
      <c r="J870" t="str">
        <f t="shared" si="190"/>
        <v/>
      </c>
      <c r="K870" s="38" t="str">
        <f t="shared" si="195"/>
        <v/>
      </c>
      <c r="L870" s="38" t="str">
        <f t="shared" si="188"/>
        <v/>
      </c>
      <c r="M870" s="38" t="str">
        <f t="shared" si="202"/>
        <v/>
      </c>
      <c r="N870" s="38" t="str">
        <f t="shared" si="201"/>
        <v/>
      </c>
      <c r="O870" s="38" t="str">
        <f t="shared" si="192"/>
        <v/>
      </c>
      <c r="P870" s="38" t="str">
        <f t="shared" si="196"/>
        <v/>
      </c>
      <c r="Q870" s="38"/>
    </row>
    <row r="871" spans="1:17" x14ac:dyDescent="0.2">
      <c r="A871" t="str">
        <f t="shared" si="197"/>
        <v/>
      </c>
      <c r="B871" s="38" t="str">
        <f t="shared" si="193"/>
        <v/>
      </c>
      <c r="C871" s="38" t="str">
        <f t="shared" si="198"/>
        <v/>
      </c>
      <c r="D871" s="38" t="str">
        <f t="shared" si="199"/>
        <v/>
      </c>
      <c r="E871" s="38" t="str">
        <f t="shared" si="200"/>
        <v/>
      </c>
      <c r="F871" s="38" t="str">
        <f t="shared" si="191"/>
        <v/>
      </c>
      <c r="G871" s="38" t="str">
        <f t="shared" si="194"/>
        <v/>
      </c>
      <c r="H871" s="38"/>
      <c r="J871" t="str">
        <f t="shared" si="190"/>
        <v/>
      </c>
      <c r="K871" s="38" t="str">
        <f t="shared" si="195"/>
        <v/>
      </c>
      <c r="L871" s="38" t="str">
        <f t="shared" si="188"/>
        <v/>
      </c>
      <c r="M871" s="38" t="str">
        <f t="shared" si="202"/>
        <v/>
      </c>
      <c r="N871" s="38" t="str">
        <f t="shared" si="201"/>
        <v/>
      </c>
      <c r="O871" s="38" t="str">
        <f t="shared" si="192"/>
        <v/>
      </c>
      <c r="P871" s="38" t="str">
        <f t="shared" si="196"/>
        <v/>
      </c>
      <c r="Q871" s="38"/>
    </row>
    <row r="872" spans="1:17" x14ac:dyDescent="0.2">
      <c r="A872" t="str">
        <f t="shared" si="197"/>
        <v/>
      </c>
      <c r="B872" s="38" t="str">
        <f t="shared" si="193"/>
        <v/>
      </c>
      <c r="C872" s="38" t="str">
        <f t="shared" si="198"/>
        <v/>
      </c>
      <c r="D872" s="38" t="str">
        <f t="shared" si="199"/>
        <v/>
      </c>
      <c r="E872" s="38" t="str">
        <f t="shared" si="200"/>
        <v/>
      </c>
      <c r="F872" s="38" t="str">
        <f t="shared" si="191"/>
        <v/>
      </c>
      <c r="G872" s="38" t="str">
        <f t="shared" si="194"/>
        <v/>
      </c>
      <c r="H872" s="38"/>
      <c r="J872" t="str">
        <f t="shared" si="190"/>
        <v/>
      </c>
      <c r="K872" s="38" t="str">
        <f t="shared" si="195"/>
        <v/>
      </c>
      <c r="L872" s="38" t="str">
        <f t="shared" si="188"/>
        <v/>
      </c>
      <c r="M872" s="38" t="str">
        <f t="shared" si="202"/>
        <v/>
      </c>
      <c r="N872" s="38" t="str">
        <f t="shared" si="201"/>
        <v/>
      </c>
      <c r="O872" s="38" t="str">
        <f t="shared" si="192"/>
        <v/>
      </c>
      <c r="P872" s="38" t="str">
        <f t="shared" si="196"/>
        <v/>
      </c>
      <c r="Q872" s="38"/>
    </row>
    <row r="873" spans="1:17" x14ac:dyDescent="0.2">
      <c r="A873" t="str">
        <f t="shared" si="197"/>
        <v/>
      </c>
      <c r="B873" s="38" t="str">
        <f t="shared" si="193"/>
        <v/>
      </c>
      <c r="C873" s="38" t="str">
        <f t="shared" si="198"/>
        <v/>
      </c>
      <c r="D873" s="38" t="str">
        <f t="shared" si="199"/>
        <v/>
      </c>
      <c r="E873" s="38" t="str">
        <f t="shared" si="200"/>
        <v/>
      </c>
      <c r="F873" s="38" t="str">
        <f t="shared" si="191"/>
        <v/>
      </c>
      <c r="G873" s="38" t="str">
        <f t="shared" si="194"/>
        <v/>
      </c>
      <c r="H873" s="38"/>
      <c r="J873" t="str">
        <f t="shared" si="190"/>
        <v/>
      </c>
      <c r="K873" s="38" t="str">
        <f t="shared" si="195"/>
        <v/>
      </c>
      <c r="L873" s="38" t="str">
        <f t="shared" si="188"/>
        <v/>
      </c>
      <c r="M873" s="38" t="str">
        <f t="shared" si="202"/>
        <v/>
      </c>
      <c r="N873" s="38" t="str">
        <f t="shared" si="201"/>
        <v/>
      </c>
      <c r="O873" s="38" t="str">
        <f t="shared" si="192"/>
        <v/>
      </c>
      <c r="P873" s="38" t="str">
        <f t="shared" si="196"/>
        <v/>
      </c>
      <c r="Q873" s="38"/>
    </row>
    <row r="874" spans="1:17" x14ac:dyDescent="0.2">
      <c r="A874" t="str">
        <f t="shared" si="197"/>
        <v/>
      </c>
      <c r="B874" s="38" t="str">
        <f t="shared" si="193"/>
        <v/>
      </c>
      <c r="C874" s="38" t="str">
        <f t="shared" si="198"/>
        <v/>
      </c>
      <c r="D874" s="38" t="str">
        <f t="shared" si="199"/>
        <v/>
      </c>
      <c r="E874" s="38" t="str">
        <f t="shared" si="200"/>
        <v/>
      </c>
      <c r="F874" s="38" t="str">
        <f t="shared" si="191"/>
        <v/>
      </c>
      <c r="G874" s="38" t="str">
        <f t="shared" si="194"/>
        <v/>
      </c>
      <c r="H874" s="38"/>
      <c r="J874" t="str">
        <f t="shared" si="190"/>
        <v/>
      </c>
      <c r="K874" s="38" t="str">
        <f t="shared" si="195"/>
        <v/>
      </c>
      <c r="L874" s="38" t="str">
        <f t="shared" si="188"/>
        <v/>
      </c>
      <c r="M874" s="38" t="str">
        <f t="shared" si="202"/>
        <v/>
      </c>
      <c r="N874" s="38" t="str">
        <f t="shared" si="201"/>
        <v/>
      </c>
      <c r="O874" s="38" t="str">
        <f t="shared" si="192"/>
        <v/>
      </c>
      <c r="P874" s="38" t="str">
        <f t="shared" si="196"/>
        <v/>
      </c>
      <c r="Q874" s="38"/>
    </row>
    <row r="875" spans="1:17" x14ac:dyDescent="0.2">
      <c r="A875" t="str">
        <f t="shared" si="197"/>
        <v/>
      </c>
      <c r="B875" s="38" t="str">
        <f t="shared" si="193"/>
        <v/>
      </c>
      <c r="C875" s="38" t="str">
        <f t="shared" si="198"/>
        <v/>
      </c>
      <c r="D875" s="38" t="str">
        <f t="shared" si="199"/>
        <v/>
      </c>
      <c r="E875" s="38" t="str">
        <f t="shared" si="200"/>
        <v/>
      </c>
      <c r="F875" s="38" t="str">
        <f t="shared" si="191"/>
        <v/>
      </c>
      <c r="G875" s="38" t="str">
        <f t="shared" si="194"/>
        <v/>
      </c>
      <c r="H875" s="38"/>
      <c r="J875" t="str">
        <f t="shared" si="190"/>
        <v/>
      </c>
      <c r="K875" s="38" t="str">
        <f t="shared" si="195"/>
        <v/>
      </c>
      <c r="L875" s="38" t="str">
        <f t="shared" si="188"/>
        <v/>
      </c>
      <c r="M875" s="38" t="str">
        <f t="shared" si="202"/>
        <v/>
      </c>
      <c r="N875" s="38" t="str">
        <f t="shared" si="201"/>
        <v/>
      </c>
      <c r="O875" s="38" t="str">
        <f t="shared" si="192"/>
        <v/>
      </c>
      <c r="P875" s="38" t="str">
        <f t="shared" si="196"/>
        <v/>
      </c>
      <c r="Q875" s="38"/>
    </row>
    <row r="876" spans="1:17" x14ac:dyDescent="0.2">
      <c r="A876" t="str">
        <f t="shared" si="197"/>
        <v/>
      </c>
      <c r="B876" s="38" t="str">
        <f t="shared" si="193"/>
        <v/>
      </c>
      <c r="C876" s="38" t="str">
        <f t="shared" si="198"/>
        <v/>
      </c>
      <c r="D876" s="38" t="str">
        <f t="shared" si="199"/>
        <v/>
      </c>
      <c r="E876" s="38" t="str">
        <f t="shared" si="200"/>
        <v/>
      </c>
      <c r="F876" s="38" t="str">
        <f t="shared" si="191"/>
        <v/>
      </c>
      <c r="G876" s="38" t="str">
        <f t="shared" si="194"/>
        <v/>
      </c>
      <c r="H876" s="38"/>
      <c r="J876" t="str">
        <f t="shared" si="190"/>
        <v/>
      </c>
      <c r="K876" s="38" t="str">
        <f t="shared" si="195"/>
        <v/>
      </c>
      <c r="L876" s="38" t="str">
        <f t="shared" si="188"/>
        <v/>
      </c>
      <c r="M876" s="38" t="str">
        <f t="shared" si="202"/>
        <v/>
      </c>
      <c r="N876" s="38" t="str">
        <f t="shared" si="201"/>
        <v/>
      </c>
      <c r="O876" s="38" t="str">
        <f t="shared" si="192"/>
        <v/>
      </c>
      <c r="P876" s="38" t="str">
        <f t="shared" si="196"/>
        <v/>
      </c>
      <c r="Q876" s="38"/>
    </row>
    <row r="877" spans="1:17" x14ac:dyDescent="0.2">
      <c r="A877" t="str">
        <f t="shared" si="197"/>
        <v/>
      </c>
      <c r="B877" s="38" t="str">
        <f t="shared" si="193"/>
        <v/>
      </c>
      <c r="C877" s="38" t="str">
        <f t="shared" si="198"/>
        <v/>
      </c>
      <c r="D877" s="38" t="str">
        <f t="shared" si="199"/>
        <v/>
      </c>
      <c r="E877" s="38" t="str">
        <f t="shared" si="200"/>
        <v/>
      </c>
      <c r="F877" s="38" t="str">
        <f t="shared" si="191"/>
        <v/>
      </c>
      <c r="G877" s="38" t="str">
        <f t="shared" si="194"/>
        <v/>
      </c>
      <c r="H877" s="38"/>
      <c r="J877" t="str">
        <f t="shared" si="190"/>
        <v/>
      </c>
      <c r="K877" s="38" t="str">
        <f t="shared" si="195"/>
        <v/>
      </c>
      <c r="L877" s="38" t="str">
        <f t="shared" si="188"/>
        <v/>
      </c>
      <c r="M877" s="38" t="str">
        <f t="shared" si="202"/>
        <v/>
      </c>
      <c r="N877" s="38" t="str">
        <f t="shared" si="201"/>
        <v/>
      </c>
      <c r="O877" s="38" t="str">
        <f t="shared" si="192"/>
        <v/>
      </c>
      <c r="P877" s="38" t="str">
        <f t="shared" si="196"/>
        <v/>
      </c>
      <c r="Q877" s="38"/>
    </row>
    <row r="878" spans="1:17" x14ac:dyDescent="0.2">
      <c r="A878" t="str">
        <f t="shared" si="197"/>
        <v/>
      </c>
      <c r="B878" s="38" t="str">
        <f t="shared" si="193"/>
        <v/>
      </c>
      <c r="C878" s="38" t="str">
        <f t="shared" si="198"/>
        <v/>
      </c>
      <c r="D878" s="38" t="str">
        <f t="shared" si="199"/>
        <v/>
      </c>
      <c r="E878" s="38" t="str">
        <f t="shared" si="200"/>
        <v/>
      </c>
      <c r="F878" s="38" t="str">
        <f t="shared" si="191"/>
        <v/>
      </c>
      <c r="G878" s="38" t="str">
        <f t="shared" si="194"/>
        <v/>
      </c>
      <c r="H878" s="38" t="str">
        <f t="shared" ref="H878:H909" si="203">IF(A878="","",(H877+E878))</f>
        <v/>
      </c>
      <c r="J878" t="str">
        <f t="shared" si="190"/>
        <v/>
      </c>
      <c r="K878" s="38" t="str">
        <f t="shared" si="195"/>
        <v/>
      </c>
      <c r="L878" s="38" t="str">
        <f t="shared" si="188"/>
        <v/>
      </c>
      <c r="M878" s="38" t="str">
        <f t="shared" si="202"/>
        <v/>
      </c>
      <c r="N878" s="38" t="str">
        <f t="shared" si="201"/>
        <v/>
      </c>
      <c r="O878" s="38" t="str">
        <f t="shared" si="192"/>
        <v/>
      </c>
      <c r="P878" s="38" t="str">
        <f t="shared" si="196"/>
        <v/>
      </c>
      <c r="Q878" s="38" t="str">
        <f>IF(J878="","",(Q877+N878))</f>
        <v/>
      </c>
    </row>
    <row r="879" spans="1:17" x14ac:dyDescent="0.2">
      <c r="A879" t="str">
        <f t="shared" si="197"/>
        <v/>
      </c>
      <c r="B879" s="38" t="str">
        <f t="shared" si="193"/>
        <v/>
      </c>
      <c r="C879" s="38" t="str">
        <f t="shared" si="198"/>
        <v/>
      </c>
      <c r="D879" s="38" t="str">
        <f t="shared" si="199"/>
        <v/>
      </c>
      <c r="E879" s="38" t="str">
        <f t="shared" si="200"/>
        <v/>
      </c>
      <c r="F879" s="38" t="str">
        <f t="shared" si="191"/>
        <v/>
      </c>
      <c r="G879" s="38" t="str">
        <f t="shared" si="194"/>
        <v/>
      </c>
      <c r="H879" s="38" t="str">
        <f t="shared" si="203"/>
        <v/>
      </c>
      <c r="J879" t="str">
        <f t="shared" si="190"/>
        <v/>
      </c>
      <c r="K879" s="38" t="str">
        <f t="shared" si="195"/>
        <v/>
      </c>
      <c r="L879" s="38" t="str">
        <f t="shared" si="188"/>
        <v/>
      </c>
      <c r="M879" s="38" t="str">
        <f t="shared" si="202"/>
        <v/>
      </c>
      <c r="N879" s="38" t="str">
        <f t="shared" si="201"/>
        <v/>
      </c>
      <c r="O879" s="38" t="str">
        <f t="shared" si="192"/>
        <v/>
      </c>
      <c r="P879" s="38" t="str">
        <f t="shared" si="196"/>
        <v/>
      </c>
      <c r="Q879" s="38" t="str">
        <f>IF(J879="","",(Q878+N879))</f>
        <v/>
      </c>
    </row>
    <row r="880" spans="1:17" x14ac:dyDescent="0.2">
      <c r="A880" t="str">
        <f t="shared" si="197"/>
        <v/>
      </c>
      <c r="B880" s="38" t="str">
        <f t="shared" si="193"/>
        <v/>
      </c>
      <c r="C880" s="38" t="str">
        <f t="shared" si="198"/>
        <v/>
      </c>
      <c r="D880" s="38" t="str">
        <f t="shared" si="199"/>
        <v/>
      </c>
      <c r="E880" s="38" t="str">
        <f t="shared" si="200"/>
        <v/>
      </c>
      <c r="F880" s="38" t="str">
        <f t="shared" si="191"/>
        <v/>
      </c>
      <c r="G880" s="38" t="str">
        <f t="shared" si="194"/>
        <v/>
      </c>
      <c r="H880" s="38" t="str">
        <f t="shared" si="203"/>
        <v/>
      </c>
      <c r="J880" t="str">
        <f t="shared" si="190"/>
        <v/>
      </c>
      <c r="K880" s="38" t="str">
        <f t="shared" si="195"/>
        <v/>
      </c>
      <c r="L880" s="38" t="str">
        <f t="shared" si="188"/>
        <v/>
      </c>
      <c r="M880" s="38" t="str">
        <f t="shared" si="202"/>
        <v/>
      </c>
      <c r="N880" s="38" t="str">
        <f t="shared" si="201"/>
        <v/>
      </c>
      <c r="O880" s="38" t="str">
        <f t="shared" si="192"/>
        <v/>
      </c>
      <c r="P880" s="38" t="str">
        <f t="shared" si="196"/>
        <v/>
      </c>
      <c r="Q880" s="38" t="str">
        <f>IF(J880="","",(Q879+N880))</f>
        <v/>
      </c>
    </row>
    <row r="881" spans="1:8" x14ac:dyDescent="0.2">
      <c r="A881" t="str">
        <f t="shared" si="197"/>
        <v/>
      </c>
      <c r="B881" s="38" t="str">
        <f t="shared" si="193"/>
        <v/>
      </c>
      <c r="C881" s="38" t="str">
        <f t="shared" si="198"/>
        <v/>
      </c>
      <c r="D881" s="38" t="str">
        <f t="shared" si="199"/>
        <v/>
      </c>
      <c r="E881" s="38" t="str">
        <f t="shared" si="200"/>
        <v/>
      </c>
      <c r="F881" s="38" t="str">
        <f t="shared" si="191"/>
        <v/>
      </c>
      <c r="G881" s="38" t="str">
        <f t="shared" si="194"/>
        <v/>
      </c>
      <c r="H881" s="38" t="str">
        <f t="shared" si="203"/>
        <v/>
      </c>
    </row>
    <row r="882" spans="1:8" x14ac:dyDescent="0.2">
      <c r="A882" t="str">
        <f t="shared" si="197"/>
        <v/>
      </c>
      <c r="B882" s="38" t="str">
        <f t="shared" si="193"/>
        <v/>
      </c>
      <c r="C882" s="38" t="str">
        <f t="shared" si="198"/>
        <v/>
      </c>
      <c r="D882" s="38" t="str">
        <f t="shared" si="199"/>
        <v/>
      </c>
      <c r="E882" s="38" t="str">
        <f t="shared" si="200"/>
        <v/>
      </c>
      <c r="F882" s="38" t="str">
        <f t="shared" si="191"/>
        <v/>
      </c>
      <c r="G882" s="38" t="str">
        <f t="shared" si="194"/>
        <v/>
      </c>
      <c r="H882" s="38" t="str">
        <f t="shared" si="203"/>
        <v/>
      </c>
    </row>
    <row r="883" spans="1:8" x14ac:dyDescent="0.2">
      <c r="A883" t="str">
        <f t="shared" si="197"/>
        <v/>
      </c>
      <c r="B883" s="38" t="str">
        <f t="shared" si="193"/>
        <v/>
      </c>
      <c r="C883" s="38" t="str">
        <f t="shared" si="198"/>
        <v/>
      </c>
      <c r="D883" s="38" t="str">
        <f t="shared" si="199"/>
        <v/>
      </c>
      <c r="E883" s="38" t="str">
        <f t="shared" si="200"/>
        <v/>
      </c>
      <c r="F883" s="38" t="str">
        <f t="shared" si="191"/>
        <v/>
      </c>
      <c r="G883" s="38" t="str">
        <f t="shared" si="194"/>
        <v/>
      </c>
      <c r="H883" s="38" t="str">
        <f t="shared" si="203"/>
        <v/>
      </c>
    </row>
    <row r="884" spans="1:8" x14ac:dyDescent="0.2">
      <c r="A884" t="str">
        <f t="shared" si="197"/>
        <v/>
      </c>
      <c r="B884" s="38" t="str">
        <f t="shared" si="193"/>
        <v/>
      </c>
      <c r="C884" s="38" t="str">
        <f t="shared" si="198"/>
        <v/>
      </c>
      <c r="D884" s="38" t="str">
        <f t="shared" si="199"/>
        <v/>
      </c>
      <c r="E884" s="38" t="str">
        <f t="shared" si="200"/>
        <v/>
      </c>
      <c r="F884" s="38" t="str">
        <f t="shared" si="191"/>
        <v/>
      </c>
      <c r="G884" s="38" t="str">
        <f t="shared" si="194"/>
        <v/>
      </c>
      <c r="H884" s="38" t="str">
        <f t="shared" si="203"/>
        <v/>
      </c>
    </row>
    <row r="885" spans="1:8" x14ac:dyDescent="0.2">
      <c r="A885" t="str">
        <f t="shared" si="197"/>
        <v/>
      </c>
      <c r="B885" s="38" t="str">
        <f t="shared" si="193"/>
        <v/>
      </c>
      <c r="C885" s="38" t="str">
        <f t="shared" si="198"/>
        <v/>
      </c>
      <c r="D885" s="38" t="str">
        <f t="shared" si="199"/>
        <v/>
      </c>
      <c r="E885" s="38" t="str">
        <f t="shared" si="200"/>
        <v/>
      </c>
      <c r="F885" s="38" t="str">
        <f t="shared" si="191"/>
        <v/>
      </c>
      <c r="G885" s="38" t="str">
        <f t="shared" si="194"/>
        <v/>
      </c>
      <c r="H885" s="38" t="str">
        <f t="shared" si="203"/>
        <v/>
      </c>
    </row>
    <row r="886" spans="1:8" x14ac:dyDescent="0.2">
      <c r="A886" t="str">
        <f t="shared" si="197"/>
        <v/>
      </c>
      <c r="B886" s="38" t="str">
        <f t="shared" si="193"/>
        <v/>
      </c>
      <c r="C886" s="38" t="str">
        <f t="shared" si="198"/>
        <v/>
      </c>
      <c r="D886" s="38" t="str">
        <f t="shared" si="199"/>
        <v/>
      </c>
      <c r="E886" s="38" t="str">
        <f t="shared" si="200"/>
        <v/>
      </c>
      <c r="F886" s="38" t="str">
        <f t="shared" si="191"/>
        <v/>
      </c>
      <c r="G886" s="38" t="str">
        <f t="shared" si="194"/>
        <v/>
      </c>
      <c r="H886" s="38" t="str">
        <f t="shared" si="203"/>
        <v/>
      </c>
    </row>
    <row r="887" spans="1:8" x14ac:dyDescent="0.2">
      <c r="A887" t="str">
        <f t="shared" si="197"/>
        <v/>
      </c>
      <c r="B887" s="38" t="str">
        <f t="shared" si="193"/>
        <v/>
      </c>
      <c r="C887" s="38" t="str">
        <f t="shared" si="198"/>
        <v/>
      </c>
      <c r="D887" s="38" t="str">
        <f t="shared" si="199"/>
        <v/>
      </c>
      <c r="E887" s="38" t="str">
        <f t="shared" si="200"/>
        <v/>
      </c>
      <c r="F887" s="38" t="str">
        <f t="shared" si="191"/>
        <v/>
      </c>
      <c r="G887" s="38" t="str">
        <f t="shared" si="194"/>
        <v/>
      </c>
      <c r="H887" s="38" t="str">
        <f t="shared" si="203"/>
        <v/>
      </c>
    </row>
    <row r="888" spans="1:8" x14ac:dyDescent="0.2">
      <c r="A888" t="str">
        <f t="shared" si="197"/>
        <v/>
      </c>
      <c r="B888" s="38" t="str">
        <f t="shared" si="193"/>
        <v/>
      </c>
      <c r="C888" s="38" t="str">
        <f t="shared" si="198"/>
        <v/>
      </c>
      <c r="D888" s="38" t="str">
        <f t="shared" si="199"/>
        <v/>
      </c>
      <c r="E888" s="38" t="str">
        <f t="shared" si="200"/>
        <v/>
      </c>
      <c r="F888" s="38" t="str">
        <f t="shared" si="191"/>
        <v/>
      </c>
      <c r="G888" s="38" t="str">
        <f t="shared" si="194"/>
        <v/>
      </c>
      <c r="H888" s="38" t="str">
        <f t="shared" si="203"/>
        <v/>
      </c>
    </row>
    <row r="889" spans="1:8" x14ac:dyDescent="0.2">
      <c r="A889" t="str">
        <f t="shared" si="197"/>
        <v/>
      </c>
      <c r="B889" s="38"/>
      <c r="C889" s="38" t="str">
        <f t="shared" si="198"/>
        <v/>
      </c>
      <c r="D889" s="38" t="str">
        <f t="shared" si="199"/>
        <v/>
      </c>
      <c r="E889" s="38" t="str">
        <f t="shared" si="200"/>
        <v/>
      </c>
      <c r="F889" s="38" t="str">
        <f t="shared" si="191"/>
        <v/>
      </c>
      <c r="G889" s="38" t="str">
        <f t="shared" si="194"/>
        <v/>
      </c>
      <c r="H889" s="38" t="str">
        <f t="shared" si="203"/>
        <v/>
      </c>
    </row>
    <row r="890" spans="1:8" x14ac:dyDescent="0.2">
      <c r="A890" t="str">
        <f t="shared" si="197"/>
        <v/>
      </c>
      <c r="B890" s="38"/>
      <c r="C890" s="38" t="str">
        <f t="shared" si="198"/>
        <v/>
      </c>
      <c r="D890" s="38" t="str">
        <f t="shared" si="199"/>
        <v/>
      </c>
      <c r="E890" s="38" t="str">
        <f t="shared" si="200"/>
        <v/>
      </c>
      <c r="F890" s="38" t="str">
        <f t="shared" si="191"/>
        <v/>
      </c>
      <c r="G890" s="38" t="str">
        <f t="shared" si="194"/>
        <v/>
      </c>
      <c r="H890" s="38" t="str">
        <f t="shared" si="203"/>
        <v/>
      </c>
    </row>
    <row r="891" spans="1:8" x14ac:dyDescent="0.2">
      <c r="A891" t="str">
        <f t="shared" si="197"/>
        <v/>
      </c>
      <c r="B891" s="38"/>
      <c r="C891" s="38" t="str">
        <f t="shared" si="198"/>
        <v/>
      </c>
      <c r="D891" s="38" t="str">
        <f t="shared" si="199"/>
        <v/>
      </c>
      <c r="E891" s="38" t="str">
        <f t="shared" si="200"/>
        <v/>
      </c>
      <c r="F891" s="38" t="str">
        <f t="shared" si="191"/>
        <v/>
      </c>
      <c r="G891" s="38" t="str">
        <f t="shared" si="194"/>
        <v/>
      </c>
      <c r="H891" s="38" t="str">
        <f t="shared" si="203"/>
        <v/>
      </c>
    </row>
    <row r="892" spans="1:8" x14ac:dyDescent="0.2">
      <c r="A892" t="str">
        <f t="shared" si="197"/>
        <v/>
      </c>
      <c r="B892" s="38"/>
      <c r="C892" s="38" t="str">
        <f t="shared" si="198"/>
        <v/>
      </c>
      <c r="D892" s="38" t="str">
        <f t="shared" si="199"/>
        <v/>
      </c>
      <c r="E892" s="38" t="str">
        <f t="shared" si="200"/>
        <v/>
      </c>
      <c r="F892" s="38" t="str">
        <f t="shared" si="191"/>
        <v/>
      </c>
      <c r="G892" s="38" t="str">
        <f t="shared" si="194"/>
        <v/>
      </c>
      <c r="H892" s="38" t="str">
        <f t="shared" si="203"/>
        <v/>
      </c>
    </row>
    <row r="893" spans="1:8" x14ac:dyDescent="0.2">
      <c r="A893" t="str">
        <f t="shared" si="197"/>
        <v/>
      </c>
      <c r="B893" s="38"/>
      <c r="C893" s="38" t="str">
        <f t="shared" si="198"/>
        <v/>
      </c>
      <c r="D893" s="38" t="str">
        <f t="shared" si="199"/>
        <v/>
      </c>
      <c r="E893" s="38" t="str">
        <f t="shared" si="200"/>
        <v/>
      </c>
      <c r="F893" s="38" t="str">
        <f t="shared" si="191"/>
        <v/>
      </c>
      <c r="G893" s="38" t="str">
        <f t="shared" si="194"/>
        <v/>
      </c>
      <c r="H893" s="38" t="str">
        <f t="shared" si="203"/>
        <v/>
      </c>
    </row>
    <row r="894" spans="1:8" x14ac:dyDescent="0.2">
      <c r="A894" t="str">
        <f t="shared" si="197"/>
        <v/>
      </c>
      <c r="B894" s="38"/>
      <c r="C894" s="38" t="str">
        <f t="shared" si="198"/>
        <v/>
      </c>
      <c r="D894" s="38" t="str">
        <f t="shared" si="199"/>
        <v/>
      </c>
      <c r="E894" s="38" t="str">
        <f t="shared" si="200"/>
        <v/>
      </c>
      <c r="F894" s="38" t="str">
        <f t="shared" si="191"/>
        <v/>
      </c>
      <c r="G894" s="38" t="str">
        <f t="shared" si="194"/>
        <v/>
      </c>
      <c r="H894" s="38" t="str">
        <f t="shared" si="203"/>
        <v/>
      </c>
    </row>
    <row r="895" spans="1:8" x14ac:dyDescent="0.2">
      <c r="A895" t="str">
        <f t="shared" si="197"/>
        <v/>
      </c>
      <c r="B895" s="38"/>
      <c r="C895" s="38" t="str">
        <f t="shared" si="198"/>
        <v/>
      </c>
      <c r="D895" s="38" t="str">
        <f t="shared" si="199"/>
        <v/>
      </c>
      <c r="E895" s="38" t="str">
        <f t="shared" si="200"/>
        <v/>
      </c>
      <c r="F895" s="38" t="str">
        <f t="shared" si="191"/>
        <v/>
      </c>
      <c r="G895" s="38" t="str">
        <f t="shared" si="194"/>
        <v/>
      </c>
      <c r="H895" s="38" t="str">
        <f t="shared" si="203"/>
        <v/>
      </c>
    </row>
    <row r="896" spans="1:8" x14ac:dyDescent="0.2">
      <c r="A896" t="str">
        <f t="shared" si="197"/>
        <v/>
      </c>
      <c r="B896" s="38"/>
      <c r="C896" s="38" t="str">
        <f t="shared" si="198"/>
        <v/>
      </c>
      <c r="D896" s="38" t="str">
        <f t="shared" si="199"/>
        <v/>
      </c>
      <c r="E896" s="38" t="str">
        <f t="shared" si="200"/>
        <v/>
      </c>
      <c r="F896" s="38" t="str">
        <f t="shared" si="191"/>
        <v/>
      </c>
      <c r="G896" s="38" t="str">
        <f t="shared" si="194"/>
        <v/>
      </c>
      <c r="H896" s="38" t="str">
        <f t="shared" si="203"/>
        <v/>
      </c>
    </row>
    <row r="897" spans="1:8" x14ac:dyDescent="0.2">
      <c r="A897" t="str">
        <f t="shared" si="197"/>
        <v/>
      </c>
      <c r="B897" s="38"/>
      <c r="C897" s="38" t="str">
        <f t="shared" si="198"/>
        <v/>
      </c>
      <c r="D897" s="38" t="str">
        <f t="shared" si="199"/>
        <v/>
      </c>
      <c r="E897" s="38" t="str">
        <f t="shared" si="200"/>
        <v/>
      </c>
      <c r="F897" s="38" t="str">
        <f t="shared" si="191"/>
        <v/>
      </c>
      <c r="G897" s="38" t="str">
        <f t="shared" si="194"/>
        <v/>
      </c>
      <c r="H897" s="38" t="str">
        <f t="shared" si="203"/>
        <v/>
      </c>
    </row>
    <row r="898" spans="1:8" x14ac:dyDescent="0.2">
      <c r="A898" t="str">
        <f t="shared" si="197"/>
        <v/>
      </c>
      <c r="B898" s="38"/>
      <c r="C898" s="38" t="str">
        <f t="shared" si="198"/>
        <v/>
      </c>
      <c r="D898" s="38" t="str">
        <f t="shared" si="199"/>
        <v/>
      </c>
      <c r="E898" s="38" t="str">
        <f t="shared" si="200"/>
        <v/>
      </c>
      <c r="F898" s="38" t="str">
        <f t="shared" si="191"/>
        <v/>
      </c>
      <c r="G898" s="38" t="str">
        <f t="shared" si="194"/>
        <v/>
      </c>
      <c r="H898" s="38" t="str">
        <f t="shared" si="203"/>
        <v/>
      </c>
    </row>
    <row r="899" spans="1:8" x14ac:dyDescent="0.2">
      <c r="A899" t="str">
        <f t="shared" si="197"/>
        <v/>
      </c>
      <c r="B899" s="38"/>
      <c r="C899" s="38" t="str">
        <f t="shared" si="198"/>
        <v/>
      </c>
      <c r="D899" s="38" t="str">
        <f t="shared" si="199"/>
        <v/>
      </c>
      <c r="E899" s="38" t="str">
        <f t="shared" si="200"/>
        <v/>
      </c>
      <c r="F899" s="38" t="str">
        <f t="shared" si="191"/>
        <v/>
      </c>
      <c r="G899" s="38" t="str">
        <f t="shared" si="194"/>
        <v/>
      </c>
      <c r="H899" s="38" t="str">
        <f t="shared" si="203"/>
        <v/>
      </c>
    </row>
    <row r="900" spans="1:8" x14ac:dyDescent="0.2">
      <c r="A900" t="str">
        <f t="shared" si="197"/>
        <v/>
      </c>
      <c r="B900" s="38"/>
      <c r="C900" s="38" t="str">
        <f t="shared" si="198"/>
        <v/>
      </c>
      <c r="D900" s="38" t="str">
        <f t="shared" si="199"/>
        <v/>
      </c>
      <c r="E900" s="38" t="str">
        <f t="shared" si="200"/>
        <v/>
      </c>
      <c r="F900" s="38" t="str">
        <f t="shared" si="191"/>
        <v/>
      </c>
      <c r="G900" s="38" t="str">
        <f t="shared" si="194"/>
        <v/>
      </c>
      <c r="H900" s="38" t="str">
        <f t="shared" si="203"/>
        <v/>
      </c>
    </row>
    <row r="901" spans="1:8" x14ac:dyDescent="0.2">
      <c r="A901" t="str">
        <f t="shared" si="197"/>
        <v/>
      </c>
      <c r="B901" s="38"/>
      <c r="C901" s="38" t="str">
        <f t="shared" si="198"/>
        <v/>
      </c>
      <c r="D901" s="38" t="str">
        <f t="shared" si="199"/>
        <v/>
      </c>
      <c r="E901" s="38" t="str">
        <f t="shared" si="200"/>
        <v/>
      </c>
      <c r="F901" s="38" t="str">
        <f t="shared" si="191"/>
        <v/>
      </c>
      <c r="G901" s="38" t="str">
        <f t="shared" si="194"/>
        <v/>
      </c>
      <c r="H901" s="38" t="str">
        <f t="shared" si="203"/>
        <v/>
      </c>
    </row>
    <row r="902" spans="1:8" x14ac:dyDescent="0.2">
      <c r="A902" t="str">
        <f t="shared" si="197"/>
        <v/>
      </c>
      <c r="B902" s="38"/>
      <c r="C902" s="38" t="str">
        <f t="shared" si="198"/>
        <v/>
      </c>
      <c r="D902" s="38" t="str">
        <f t="shared" si="199"/>
        <v/>
      </c>
      <c r="E902" s="38" t="str">
        <f t="shared" si="200"/>
        <v/>
      </c>
      <c r="F902" s="38" t="str">
        <f t="shared" si="191"/>
        <v/>
      </c>
      <c r="G902" s="38" t="str">
        <f t="shared" si="194"/>
        <v/>
      </c>
      <c r="H902" s="38" t="str">
        <f t="shared" si="203"/>
        <v/>
      </c>
    </row>
    <row r="903" spans="1:8" x14ac:dyDescent="0.2">
      <c r="A903" t="str">
        <f t="shared" si="197"/>
        <v/>
      </c>
      <c r="B903" s="38"/>
      <c r="C903" s="38" t="str">
        <f t="shared" si="198"/>
        <v/>
      </c>
      <c r="D903" s="38" t="str">
        <f t="shared" si="199"/>
        <v/>
      </c>
      <c r="E903" s="38" t="str">
        <f t="shared" si="200"/>
        <v/>
      </c>
      <c r="F903" s="38" t="str">
        <f t="shared" si="191"/>
        <v/>
      </c>
      <c r="G903" s="38" t="str">
        <f t="shared" si="194"/>
        <v/>
      </c>
      <c r="H903" s="38" t="str">
        <f t="shared" si="203"/>
        <v/>
      </c>
    </row>
    <row r="904" spans="1:8" x14ac:dyDescent="0.2">
      <c r="A904" t="str">
        <f t="shared" si="197"/>
        <v/>
      </c>
      <c r="B904" s="38"/>
      <c r="C904" s="38" t="str">
        <f t="shared" si="198"/>
        <v/>
      </c>
      <c r="D904" s="38" t="str">
        <f t="shared" si="199"/>
        <v/>
      </c>
      <c r="E904" s="38" t="str">
        <f t="shared" si="200"/>
        <v/>
      </c>
      <c r="F904" s="38" t="str">
        <f t="shared" si="191"/>
        <v/>
      </c>
      <c r="G904" s="38" t="str">
        <f t="shared" si="194"/>
        <v/>
      </c>
      <c r="H904" s="38" t="str">
        <f t="shared" si="203"/>
        <v/>
      </c>
    </row>
    <row r="905" spans="1:8" x14ac:dyDescent="0.2">
      <c r="A905" t="str">
        <f t="shared" si="197"/>
        <v/>
      </c>
      <c r="B905" s="38"/>
      <c r="C905" s="38" t="str">
        <f t="shared" si="198"/>
        <v/>
      </c>
      <c r="D905" s="38" t="str">
        <f t="shared" si="199"/>
        <v/>
      </c>
      <c r="E905" s="38" t="str">
        <f t="shared" si="200"/>
        <v/>
      </c>
      <c r="F905" s="38" t="str">
        <f t="shared" si="191"/>
        <v/>
      </c>
      <c r="G905" s="38" t="str">
        <f t="shared" si="194"/>
        <v/>
      </c>
      <c r="H905" s="38" t="str">
        <f t="shared" si="203"/>
        <v/>
      </c>
    </row>
    <row r="906" spans="1:8" x14ac:dyDescent="0.2">
      <c r="A906" t="str">
        <f t="shared" si="197"/>
        <v/>
      </c>
      <c r="B906" s="38"/>
      <c r="C906" s="38" t="str">
        <f t="shared" si="198"/>
        <v/>
      </c>
      <c r="D906" s="38" t="str">
        <f t="shared" si="199"/>
        <v/>
      </c>
      <c r="E906" s="38" t="str">
        <f t="shared" si="200"/>
        <v/>
      </c>
      <c r="F906" s="38" t="str">
        <f t="shared" si="191"/>
        <v/>
      </c>
      <c r="G906" s="38" t="str">
        <f t="shared" si="194"/>
        <v/>
      </c>
      <c r="H906" s="38" t="str">
        <f t="shared" si="203"/>
        <v/>
      </c>
    </row>
    <row r="907" spans="1:8" x14ac:dyDescent="0.2">
      <c r="A907" t="str">
        <f t="shared" si="197"/>
        <v/>
      </c>
      <c r="B907" s="38"/>
      <c r="C907" s="38" t="str">
        <f t="shared" si="198"/>
        <v/>
      </c>
      <c r="D907" s="38" t="str">
        <f t="shared" si="199"/>
        <v/>
      </c>
      <c r="E907" s="38" t="str">
        <f t="shared" si="200"/>
        <v/>
      </c>
      <c r="F907" s="38" t="str">
        <f t="shared" si="191"/>
        <v/>
      </c>
      <c r="G907" s="38" t="str">
        <f t="shared" si="194"/>
        <v/>
      </c>
      <c r="H907" s="38" t="str">
        <f t="shared" si="203"/>
        <v/>
      </c>
    </row>
    <row r="908" spans="1:8" x14ac:dyDescent="0.2">
      <c r="A908" t="str">
        <f t="shared" si="197"/>
        <v/>
      </c>
      <c r="B908" s="38"/>
      <c r="C908" s="38" t="str">
        <f t="shared" si="198"/>
        <v/>
      </c>
      <c r="D908" s="38" t="str">
        <f t="shared" si="199"/>
        <v/>
      </c>
      <c r="E908" s="38" t="str">
        <f t="shared" si="200"/>
        <v/>
      </c>
      <c r="F908" s="38" t="str">
        <f t="shared" si="191"/>
        <v/>
      </c>
      <c r="G908" s="38" t="str">
        <f t="shared" si="194"/>
        <v/>
      </c>
      <c r="H908" s="38" t="str">
        <f t="shared" si="203"/>
        <v/>
      </c>
    </row>
    <row r="909" spans="1:8" x14ac:dyDescent="0.2">
      <c r="A909" t="str">
        <f t="shared" si="197"/>
        <v/>
      </c>
      <c r="B909" s="38"/>
      <c r="C909" s="38" t="str">
        <f t="shared" si="198"/>
        <v/>
      </c>
      <c r="D909" s="38" t="str">
        <f t="shared" si="199"/>
        <v/>
      </c>
      <c r="E909" s="38" t="str">
        <f t="shared" si="200"/>
        <v/>
      </c>
      <c r="F909" s="38" t="str">
        <f t="shared" si="191"/>
        <v/>
      </c>
      <c r="G909" s="38" t="str">
        <f t="shared" si="194"/>
        <v/>
      </c>
      <c r="H909" s="38" t="str">
        <f t="shared" si="203"/>
        <v/>
      </c>
    </row>
    <row r="910" spans="1:8" x14ac:dyDescent="0.2">
      <c r="A910" t="str">
        <f t="shared" si="197"/>
        <v/>
      </c>
      <c r="B910" s="38"/>
      <c r="C910" s="38" t="str">
        <f t="shared" si="198"/>
        <v/>
      </c>
      <c r="D910" s="38" t="str">
        <f t="shared" si="199"/>
        <v/>
      </c>
      <c r="E910" s="38" t="str">
        <f t="shared" si="200"/>
        <v/>
      </c>
      <c r="F910" s="38" t="str">
        <f t="shared" si="191"/>
        <v/>
      </c>
      <c r="G910" s="38" t="str">
        <f t="shared" si="194"/>
        <v/>
      </c>
      <c r="H910" s="38" t="str">
        <f t="shared" ref="H910:H941" si="204">IF(A910="","",(H909+E910))</f>
        <v/>
      </c>
    </row>
    <row r="911" spans="1:8" x14ac:dyDescent="0.2">
      <c r="A911" t="str">
        <f t="shared" si="197"/>
        <v/>
      </c>
      <c r="B911" s="38"/>
      <c r="C911" s="38" t="str">
        <f t="shared" si="198"/>
        <v/>
      </c>
      <c r="D911" s="38" t="str">
        <f t="shared" si="199"/>
        <v/>
      </c>
      <c r="E911" s="38" t="str">
        <f t="shared" si="200"/>
        <v/>
      </c>
      <c r="F911" s="38" t="str">
        <f t="shared" si="191"/>
        <v/>
      </c>
      <c r="G911" s="38" t="str">
        <f t="shared" si="194"/>
        <v/>
      </c>
      <c r="H911" s="38" t="str">
        <f t="shared" si="204"/>
        <v/>
      </c>
    </row>
    <row r="912" spans="1:8" x14ac:dyDescent="0.2">
      <c r="A912" t="str">
        <f t="shared" si="197"/>
        <v/>
      </c>
      <c r="B912" s="38"/>
      <c r="C912" s="38" t="str">
        <f t="shared" si="198"/>
        <v/>
      </c>
      <c r="D912" s="38" t="str">
        <f t="shared" si="199"/>
        <v/>
      </c>
      <c r="E912" s="38" t="str">
        <f t="shared" si="200"/>
        <v/>
      </c>
      <c r="F912" s="38" t="str">
        <f t="shared" si="191"/>
        <v/>
      </c>
      <c r="G912" s="38" t="str">
        <f t="shared" si="194"/>
        <v/>
      </c>
      <c r="H912" s="38" t="str">
        <f t="shared" si="204"/>
        <v/>
      </c>
    </row>
    <row r="913" spans="1:8" x14ac:dyDescent="0.2">
      <c r="A913" t="str">
        <f t="shared" si="197"/>
        <v/>
      </c>
      <c r="B913" s="38"/>
      <c r="C913" s="38" t="str">
        <f t="shared" si="198"/>
        <v/>
      </c>
      <c r="D913" s="38" t="str">
        <f t="shared" si="199"/>
        <v/>
      </c>
      <c r="E913" s="38" t="str">
        <f t="shared" si="200"/>
        <v/>
      </c>
      <c r="F913" s="38" t="str">
        <f t="shared" si="191"/>
        <v/>
      </c>
      <c r="G913" s="38" t="str">
        <f t="shared" si="194"/>
        <v/>
      </c>
      <c r="H913" s="38" t="str">
        <f t="shared" si="204"/>
        <v/>
      </c>
    </row>
    <row r="914" spans="1:8" x14ac:dyDescent="0.2">
      <c r="A914" t="str">
        <f t="shared" si="197"/>
        <v/>
      </c>
      <c r="B914" s="38"/>
      <c r="C914" s="38" t="str">
        <f t="shared" si="198"/>
        <v/>
      </c>
      <c r="D914" s="38" t="str">
        <f t="shared" si="199"/>
        <v/>
      </c>
      <c r="E914" s="38" t="str">
        <f t="shared" si="200"/>
        <v/>
      </c>
      <c r="F914" s="38" t="str">
        <f t="shared" si="191"/>
        <v/>
      </c>
      <c r="G914" s="38" t="str">
        <f t="shared" si="194"/>
        <v/>
      </c>
      <c r="H914" s="38" t="str">
        <f t="shared" si="204"/>
        <v/>
      </c>
    </row>
    <row r="915" spans="1:8" x14ac:dyDescent="0.2">
      <c r="A915" t="str">
        <f t="shared" si="197"/>
        <v/>
      </c>
      <c r="B915" s="38"/>
      <c r="C915" s="38" t="str">
        <f t="shared" si="198"/>
        <v/>
      </c>
      <c r="D915" s="38" t="str">
        <f t="shared" si="199"/>
        <v/>
      </c>
      <c r="E915" s="38" t="str">
        <f t="shared" si="200"/>
        <v/>
      </c>
      <c r="F915" s="38" t="str">
        <f t="shared" ref="F915:F973" si="205">IF(A915="","", B915-E915)</f>
        <v/>
      </c>
      <c r="G915" s="38" t="str">
        <f t="shared" si="194"/>
        <v/>
      </c>
      <c r="H915" s="38" t="str">
        <f t="shared" si="204"/>
        <v/>
      </c>
    </row>
    <row r="916" spans="1:8" x14ac:dyDescent="0.2">
      <c r="A916" t="str">
        <f t="shared" si="197"/>
        <v/>
      </c>
      <c r="B916" s="38"/>
      <c r="C916" s="38" t="str">
        <f t="shared" si="198"/>
        <v/>
      </c>
      <c r="D916" s="38" t="str">
        <f t="shared" si="199"/>
        <v/>
      </c>
      <c r="E916" s="38" t="str">
        <f t="shared" si="200"/>
        <v/>
      </c>
      <c r="F916" s="38" t="str">
        <f t="shared" si="205"/>
        <v/>
      </c>
      <c r="G916" s="38" t="str">
        <f t="shared" si="194"/>
        <v/>
      </c>
      <c r="H916" s="38" t="str">
        <f t="shared" si="204"/>
        <v/>
      </c>
    </row>
    <row r="917" spans="1:8" x14ac:dyDescent="0.2">
      <c r="A917" t="str">
        <f t="shared" si="197"/>
        <v/>
      </c>
      <c r="B917" s="38"/>
      <c r="C917" s="38" t="str">
        <f t="shared" si="198"/>
        <v/>
      </c>
      <c r="D917" s="38" t="str">
        <f t="shared" si="199"/>
        <v/>
      </c>
      <c r="E917" s="38" t="str">
        <f t="shared" si="200"/>
        <v/>
      </c>
      <c r="F917" s="38" t="str">
        <f t="shared" si="205"/>
        <v/>
      </c>
      <c r="G917" s="38" t="str">
        <f t="shared" si="194"/>
        <v/>
      </c>
      <c r="H917" s="38" t="str">
        <f t="shared" si="204"/>
        <v/>
      </c>
    </row>
    <row r="918" spans="1:8" x14ac:dyDescent="0.2">
      <c r="A918" t="str">
        <f t="shared" si="197"/>
        <v/>
      </c>
      <c r="B918" s="38"/>
      <c r="C918" s="38" t="str">
        <f t="shared" si="198"/>
        <v/>
      </c>
      <c r="D918" s="38" t="str">
        <f t="shared" si="199"/>
        <v/>
      </c>
      <c r="E918" s="38" t="str">
        <f t="shared" si="200"/>
        <v/>
      </c>
      <c r="F918" s="38" t="str">
        <f t="shared" si="205"/>
        <v/>
      </c>
      <c r="G918" s="38" t="str">
        <f t="shared" si="194"/>
        <v/>
      </c>
      <c r="H918" s="38" t="str">
        <f t="shared" si="204"/>
        <v/>
      </c>
    </row>
    <row r="919" spans="1:8" x14ac:dyDescent="0.2">
      <c r="A919" t="str">
        <f t="shared" si="197"/>
        <v/>
      </c>
      <c r="B919" s="38"/>
      <c r="C919" s="38" t="str">
        <f t="shared" si="198"/>
        <v/>
      </c>
      <c r="D919" s="38" t="str">
        <f t="shared" si="199"/>
        <v/>
      </c>
      <c r="E919" s="38" t="str">
        <f t="shared" si="200"/>
        <v/>
      </c>
      <c r="F919" s="38" t="str">
        <f t="shared" si="205"/>
        <v/>
      </c>
      <c r="G919" s="38" t="str">
        <f t="shared" ref="G919:G973" si="206">IF(A919="","", (G918+C919))</f>
        <v/>
      </c>
      <c r="H919" s="38" t="str">
        <f t="shared" si="204"/>
        <v/>
      </c>
    </row>
    <row r="920" spans="1:8" x14ac:dyDescent="0.2">
      <c r="A920" t="str">
        <f t="shared" ref="A920:A973" si="207">IF(A919&lt;($B$6*$B$7),A919+1,"")</f>
        <v/>
      </c>
      <c r="B920" s="38"/>
      <c r="C920" s="38" t="str">
        <f t="shared" ref="C920:C973" si="208">IF(A920="","",(B920*$B$8))</f>
        <v/>
      </c>
      <c r="D920" s="38" t="str">
        <f t="shared" ref="D920:D973" si="209">IF(A920="","", $B$5)</f>
        <v/>
      </c>
      <c r="E920" s="38" t="str">
        <f t="shared" ref="E920:E973" si="210">IF(D920="","",(D920-C920))</f>
        <v/>
      </c>
      <c r="F920" s="38" t="str">
        <f t="shared" si="205"/>
        <v/>
      </c>
      <c r="G920" s="38" t="str">
        <f t="shared" si="206"/>
        <v/>
      </c>
      <c r="H920" s="38" t="str">
        <f t="shared" si="204"/>
        <v/>
      </c>
    </row>
    <row r="921" spans="1:8" x14ac:dyDescent="0.2">
      <c r="A921" t="str">
        <f t="shared" si="207"/>
        <v/>
      </c>
      <c r="B921" s="38"/>
      <c r="C921" s="38" t="str">
        <f t="shared" si="208"/>
        <v/>
      </c>
      <c r="D921" s="38" t="str">
        <f t="shared" si="209"/>
        <v/>
      </c>
      <c r="E921" s="38" t="str">
        <f t="shared" si="210"/>
        <v/>
      </c>
      <c r="F921" s="38" t="str">
        <f t="shared" si="205"/>
        <v/>
      </c>
      <c r="G921" s="38" t="str">
        <f t="shared" si="206"/>
        <v/>
      </c>
      <c r="H921" s="38" t="str">
        <f t="shared" si="204"/>
        <v/>
      </c>
    </row>
    <row r="922" spans="1:8" x14ac:dyDescent="0.2">
      <c r="A922" t="str">
        <f t="shared" si="207"/>
        <v/>
      </c>
      <c r="B922" s="38"/>
      <c r="C922" s="38" t="str">
        <f t="shared" si="208"/>
        <v/>
      </c>
      <c r="D922" s="38" t="str">
        <f t="shared" si="209"/>
        <v/>
      </c>
      <c r="E922" s="38" t="str">
        <f t="shared" si="210"/>
        <v/>
      </c>
      <c r="F922" s="38" t="str">
        <f t="shared" si="205"/>
        <v/>
      </c>
      <c r="G922" s="38" t="str">
        <f t="shared" si="206"/>
        <v/>
      </c>
      <c r="H922" s="38" t="str">
        <f t="shared" si="204"/>
        <v/>
      </c>
    </row>
    <row r="923" spans="1:8" x14ac:dyDescent="0.2">
      <c r="A923" t="str">
        <f t="shared" si="207"/>
        <v/>
      </c>
      <c r="B923" s="38"/>
      <c r="C923" s="38" t="str">
        <f t="shared" si="208"/>
        <v/>
      </c>
      <c r="D923" s="38" t="str">
        <f t="shared" si="209"/>
        <v/>
      </c>
      <c r="E923" s="38" t="str">
        <f t="shared" si="210"/>
        <v/>
      </c>
      <c r="F923" s="38" t="str">
        <f t="shared" si="205"/>
        <v/>
      </c>
      <c r="G923" s="38" t="str">
        <f t="shared" si="206"/>
        <v/>
      </c>
      <c r="H923" s="38" t="str">
        <f t="shared" si="204"/>
        <v/>
      </c>
    </row>
    <row r="924" spans="1:8" x14ac:dyDescent="0.2">
      <c r="A924" t="str">
        <f t="shared" si="207"/>
        <v/>
      </c>
      <c r="B924" s="38"/>
      <c r="C924" s="38" t="str">
        <f t="shared" si="208"/>
        <v/>
      </c>
      <c r="D924" s="38" t="str">
        <f t="shared" si="209"/>
        <v/>
      </c>
      <c r="E924" s="38" t="str">
        <f t="shared" si="210"/>
        <v/>
      </c>
      <c r="F924" s="38" t="str">
        <f t="shared" si="205"/>
        <v/>
      </c>
      <c r="G924" s="38" t="str">
        <f t="shared" si="206"/>
        <v/>
      </c>
      <c r="H924" s="38" t="str">
        <f t="shared" si="204"/>
        <v/>
      </c>
    </row>
    <row r="925" spans="1:8" x14ac:dyDescent="0.2">
      <c r="A925" t="str">
        <f t="shared" si="207"/>
        <v/>
      </c>
      <c r="B925" s="38"/>
      <c r="C925" s="38" t="str">
        <f t="shared" si="208"/>
        <v/>
      </c>
      <c r="D925" s="38" t="str">
        <f t="shared" si="209"/>
        <v/>
      </c>
      <c r="E925" s="38" t="str">
        <f t="shared" si="210"/>
        <v/>
      </c>
      <c r="F925" s="38" t="str">
        <f t="shared" si="205"/>
        <v/>
      </c>
      <c r="G925" s="38" t="str">
        <f t="shared" si="206"/>
        <v/>
      </c>
      <c r="H925" s="38" t="str">
        <f t="shared" si="204"/>
        <v/>
      </c>
    </row>
    <row r="926" spans="1:8" x14ac:dyDescent="0.2">
      <c r="A926" t="str">
        <f t="shared" si="207"/>
        <v/>
      </c>
      <c r="B926" s="38"/>
      <c r="C926" s="38" t="str">
        <f t="shared" si="208"/>
        <v/>
      </c>
      <c r="D926" s="38" t="str">
        <f t="shared" si="209"/>
        <v/>
      </c>
      <c r="E926" s="38" t="str">
        <f t="shared" si="210"/>
        <v/>
      </c>
      <c r="F926" s="38" t="str">
        <f t="shared" si="205"/>
        <v/>
      </c>
      <c r="G926" s="38" t="str">
        <f t="shared" si="206"/>
        <v/>
      </c>
      <c r="H926" s="38" t="str">
        <f t="shared" si="204"/>
        <v/>
      </c>
    </row>
    <row r="927" spans="1:8" x14ac:dyDescent="0.2">
      <c r="A927" t="str">
        <f t="shared" si="207"/>
        <v/>
      </c>
      <c r="B927" s="38"/>
      <c r="C927" s="38" t="str">
        <f t="shared" si="208"/>
        <v/>
      </c>
      <c r="D927" s="38" t="str">
        <f t="shared" si="209"/>
        <v/>
      </c>
      <c r="E927" s="38" t="str">
        <f t="shared" si="210"/>
        <v/>
      </c>
      <c r="F927" s="38" t="str">
        <f t="shared" si="205"/>
        <v/>
      </c>
      <c r="G927" s="38" t="str">
        <f t="shared" si="206"/>
        <v/>
      </c>
      <c r="H927" s="38" t="str">
        <f t="shared" si="204"/>
        <v/>
      </c>
    </row>
    <row r="928" spans="1:8" x14ac:dyDescent="0.2">
      <c r="A928" t="str">
        <f t="shared" si="207"/>
        <v/>
      </c>
      <c r="B928" s="38"/>
      <c r="C928" s="38" t="str">
        <f t="shared" si="208"/>
        <v/>
      </c>
      <c r="D928" s="38" t="str">
        <f t="shared" si="209"/>
        <v/>
      </c>
      <c r="E928" s="38" t="str">
        <f t="shared" si="210"/>
        <v/>
      </c>
      <c r="F928" s="38" t="str">
        <f t="shared" si="205"/>
        <v/>
      </c>
      <c r="G928" s="38" t="str">
        <f t="shared" si="206"/>
        <v/>
      </c>
      <c r="H928" s="38" t="str">
        <f t="shared" si="204"/>
        <v/>
      </c>
    </row>
    <row r="929" spans="1:8" x14ac:dyDescent="0.2">
      <c r="A929" t="str">
        <f t="shared" si="207"/>
        <v/>
      </c>
      <c r="B929" s="38"/>
      <c r="C929" s="38" t="str">
        <f t="shared" si="208"/>
        <v/>
      </c>
      <c r="D929" s="38" t="str">
        <f t="shared" si="209"/>
        <v/>
      </c>
      <c r="E929" s="38" t="str">
        <f t="shared" si="210"/>
        <v/>
      </c>
      <c r="F929" s="38" t="str">
        <f t="shared" si="205"/>
        <v/>
      </c>
      <c r="G929" s="38" t="str">
        <f t="shared" si="206"/>
        <v/>
      </c>
      <c r="H929" s="38" t="str">
        <f t="shared" si="204"/>
        <v/>
      </c>
    </row>
    <row r="930" spans="1:8" x14ac:dyDescent="0.2">
      <c r="A930" t="str">
        <f t="shared" si="207"/>
        <v/>
      </c>
      <c r="B930" s="38"/>
      <c r="C930" s="38" t="str">
        <f t="shared" si="208"/>
        <v/>
      </c>
      <c r="D930" s="38" t="str">
        <f t="shared" si="209"/>
        <v/>
      </c>
      <c r="E930" s="38" t="str">
        <f t="shared" si="210"/>
        <v/>
      </c>
      <c r="F930" s="38" t="str">
        <f t="shared" si="205"/>
        <v/>
      </c>
      <c r="G930" s="38" t="str">
        <f t="shared" si="206"/>
        <v/>
      </c>
      <c r="H930" s="38" t="str">
        <f t="shared" si="204"/>
        <v/>
      </c>
    </row>
    <row r="931" spans="1:8" x14ac:dyDescent="0.2">
      <c r="A931" t="str">
        <f t="shared" si="207"/>
        <v/>
      </c>
      <c r="B931" s="38"/>
      <c r="C931" s="38" t="str">
        <f t="shared" si="208"/>
        <v/>
      </c>
      <c r="D931" s="38" t="str">
        <f t="shared" si="209"/>
        <v/>
      </c>
      <c r="E931" s="38" t="str">
        <f t="shared" si="210"/>
        <v/>
      </c>
      <c r="F931" s="38" t="str">
        <f t="shared" si="205"/>
        <v/>
      </c>
      <c r="G931" s="38" t="str">
        <f t="shared" si="206"/>
        <v/>
      </c>
      <c r="H931" s="38" t="str">
        <f t="shared" si="204"/>
        <v/>
      </c>
    </row>
    <row r="932" spans="1:8" x14ac:dyDescent="0.2">
      <c r="A932" t="str">
        <f t="shared" si="207"/>
        <v/>
      </c>
      <c r="B932" s="38"/>
      <c r="C932" s="38" t="str">
        <f t="shared" si="208"/>
        <v/>
      </c>
      <c r="D932" s="38" t="str">
        <f t="shared" si="209"/>
        <v/>
      </c>
      <c r="E932" s="38" t="str">
        <f t="shared" si="210"/>
        <v/>
      </c>
      <c r="F932" s="38" t="str">
        <f t="shared" si="205"/>
        <v/>
      </c>
      <c r="G932" s="38" t="str">
        <f t="shared" si="206"/>
        <v/>
      </c>
      <c r="H932" s="38" t="str">
        <f t="shared" si="204"/>
        <v/>
      </c>
    </row>
    <row r="933" spans="1:8" x14ac:dyDescent="0.2">
      <c r="A933" t="str">
        <f t="shared" si="207"/>
        <v/>
      </c>
      <c r="B933" s="38"/>
      <c r="C933" s="38" t="str">
        <f t="shared" si="208"/>
        <v/>
      </c>
      <c r="D933" s="38" t="str">
        <f t="shared" si="209"/>
        <v/>
      </c>
      <c r="E933" s="38" t="str">
        <f t="shared" si="210"/>
        <v/>
      </c>
      <c r="F933" s="38" t="str">
        <f t="shared" si="205"/>
        <v/>
      </c>
      <c r="G933" s="38" t="str">
        <f t="shared" si="206"/>
        <v/>
      </c>
      <c r="H933" s="38" t="str">
        <f t="shared" si="204"/>
        <v/>
      </c>
    </row>
    <row r="934" spans="1:8" x14ac:dyDescent="0.2">
      <c r="A934" t="str">
        <f t="shared" si="207"/>
        <v/>
      </c>
      <c r="B934" s="38"/>
      <c r="C934" s="38" t="str">
        <f t="shared" si="208"/>
        <v/>
      </c>
      <c r="D934" s="38" t="str">
        <f t="shared" si="209"/>
        <v/>
      </c>
      <c r="E934" s="38" t="str">
        <f t="shared" si="210"/>
        <v/>
      </c>
      <c r="F934" s="38" t="str">
        <f t="shared" si="205"/>
        <v/>
      </c>
      <c r="G934" s="38" t="str">
        <f t="shared" si="206"/>
        <v/>
      </c>
      <c r="H934" s="38" t="str">
        <f t="shared" si="204"/>
        <v/>
      </c>
    </row>
    <row r="935" spans="1:8" x14ac:dyDescent="0.2">
      <c r="A935" t="str">
        <f t="shared" si="207"/>
        <v/>
      </c>
      <c r="B935" s="38"/>
      <c r="C935" s="38" t="str">
        <f t="shared" si="208"/>
        <v/>
      </c>
      <c r="D935" s="38" t="str">
        <f t="shared" si="209"/>
        <v/>
      </c>
      <c r="E935" s="38" t="str">
        <f t="shared" si="210"/>
        <v/>
      </c>
      <c r="F935" s="38" t="str">
        <f t="shared" si="205"/>
        <v/>
      </c>
      <c r="G935" s="38" t="str">
        <f t="shared" si="206"/>
        <v/>
      </c>
      <c r="H935" s="38" t="str">
        <f t="shared" si="204"/>
        <v/>
      </c>
    </row>
    <row r="936" spans="1:8" x14ac:dyDescent="0.2">
      <c r="A936" t="str">
        <f t="shared" si="207"/>
        <v/>
      </c>
      <c r="B936" s="38"/>
      <c r="C936" s="38" t="str">
        <f t="shared" si="208"/>
        <v/>
      </c>
      <c r="D936" s="38" t="str">
        <f t="shared" si="209"/>
        <v/>
      </c>
      <c r="E936" s="38" t="str">
        <f t="shared" si="210"/>
        <v/>
      </c>
      <c r="F936" s="38" t="str">
        <f t="shared" si="205"/>
        <v/>
      </c>
      <c r="G936" s="38" t="str">
        <f t="shared" si="206"/>
        <v/>
      </c>
      <c r="H936" s="38" t="str">
        <f t="shared" si="204"/>
        <v/>
      </c>
    </row>
    <row r="937" spans="1:8" x14ac:dyDescent="0.2">
      <c r="A937" t="str">
        <f t="shared" si="207"/>
        <v/>
      </c>
      <c r="B937" s="38"/>
      <c r="C937" s="38" t="str">
        <f t="shared" si="208"/>
        <v/>
      </c>
      <c r="D937" s="38" t="str">
        <f t="shared" si="209"/>
        <v/>
      </c>
      <c r="E937" s="38" t="str">
        <f t="shared" si="210"/>
        <v/>
      </c>
      <c r="F937" s="38" t="str">
        <f t="shared" si="205"/>
        <v/>
      </c>
      <c r="G937" s="38" t="str">
        <f t="shared" si="206"/>
        <v/>
      </c>
      <c r="H937" s="38" t="str">
        <f t="shared" si="204"/>
        <v/>
      </c>
    </row>
    <row r="938" spans="1:8" x14ac:dyDescent="0.2">
      <c r="A938" t="str">
        <f t="shared" si="207"/>
        <v/>
      </c>
      <c r="B938" s="38"/>
      <c r="C938" s="38" t="str">
        <f t="shared" si="208"/>
        <v/>
      </c>
      <c r="D938" s="38" t="str">
        <f t="shared" si="209"/>
        <v/>
      </c>
      <c r="E938" s="38" t="str">
        <f t="shared" si="210"/>
        <v/>
      </c>
      <c r="F938" s="38" t="str">
        <f t="shared" si="205"/>
        <v/>
      </c>
      <c r="G938" s="38" t="str">
        <f t="shared" si="206"/>
        <v/>
      </c>
      <c r="H938" s="38" t="str">
        <f t="shared" si="204"/>
        <v/>
      </c>
    </row>
    <row r="939" spans="1:8" x14ac:dyDescent="0.2">
      <c r="A939" t="str">
        <f t="shared" si="207"/>
        <v/>
      </c>
      <c r="B939" s="38"/>
      <c r="C939" s="38" t="str">
        <f t="shared" si="208"/>
        <v/>
      </c>
      <c r="D939" s="38" t="str">
        <f t="shared" si="209"/>
        <v/>
      </c>
      <c r="E939" s="38" t="str">
        <f t="shared" si="210"/>
        <v/>
      </c>
      <c r="F939" s="38" t="str">
        <f t="shared" si="205"/>
        <v/>
      </c>
      <c r="G939" s="38" t="str">
        <f t="shared" si="206"/>
        <v/>
      </c>
      <c r="H939" s="38" t="str">
        <f t="shared" si="204"/>
        <v/>
      </c>
    </row>
    <row r="940" spans="1:8" x14ac:dyDescent="0.2">
      <c r="A940" t="str">
        <f t="shared" si="207"/>
        <v/>
      </c>
      <c r="B940" s="38"/>
      <c r="C940" s="38" t="str">
        <f t="shared" si="208"/>
        <v/>
      </c>
      <c r="D940" s="38" t="str">
        <f t="shared" si="209"/>
        <v/>
      </c>
      <c r="E940" s="38" t="str">
        <f t="shared" si="210"/>
        <v/>
      </c>
      <c r="F940" s="38" t="str">
        <f t="shared" si="205"/>
        <v/>
      </c>
      <c r="G940" s="38" t="str">
        <f t="shared" si="206"/>
        <v/>
      </c>
      <c r="H940" s="38" t="str">
        <f t="shared" si="204"/>
        <v/>
      </c>
    </row>
    <row r="941" spans="1:8" x14ac:dyDescent="0.2">
      <c r="A941" t="str">
        <f t="shared" si="207"/>
        <v/>
      </c>
      <c r="B941" s="38"/>
      <c r="C941" s="38" t="str">
        <f t="shared" si="208"/>
        <v/>
      </c>
      <c r="D941" s="38" t="str">
        <f t="shared" si="209"/>
        <v/>
      </c>
      <c r="E941" s="38" t="str">
        <f t="shared" si="210"/>
        <v/>
      </c>
      <c r="F941" s="38" t="str">
        <f t="shared" si="205"/>
        <v/>
      </c>
      <c r="G941" s="38" t="str">
        <f t="shared" si="206"/>
        <v/>
      </c>
      <c r="H941" s="38" t="str">
        <f t="shared" si="204"/>
        <v/>
      </c>
    </row>
    <row r="942" spans="1:8" x14ac:dyDescent="0.2">
      <c r="A942" t="str">
        <f t="shared" si="207"/>
        <v/>
      </c>
      <c r="B942" s="38"/>
      <c r="C942" s="38" t="str">
        <f t="shared" si="208"/>
        <v/>
      </c>
      <c r="D942" s="38" t="str">
        <f t="shared" si="209"/>
        <v/>
      </c>
      <c r="E942" s="38" t="str">
        <f t="shared" si="210"/>
        <v/>
      </c>
      <c r="F942" s="38" t="str">
        <f t="shared" si="205"/>
        <v/>
      </c>
      <c r="G942" s="38" t="str">
        <f t="shared" si="206"/>
        <v/>
      </c>
      <c r="H942" s="38" t="str">
        <f t="shared" ref="H942:H973" si="211">IF(A942="","",(H941+E942))</f>
        <v/>
      </c>
    </row>
    <row r="943" spans="1:8" x14ac:dyDescent="0.2">
      <c r="A943" t="str">
        <f t="shared" si="207"/>
        <v/>
      </c>
      <c r="B943" s="38"/>
      <c r="C943" s="38" t="str">
        <f t="shared" si="208"/>
        <v/>
      </c>
      <c r="D943" s="38" t="str">
        <f t="shared" si="209"/>
        <v/>
      </c>
      <c r="E943" s="38" t="str">
        <f t="shared" si="210"/>
        <v/>
      </c>
      <c r="F943" s="38" t="str">
        <f t="shared" si="205"/>
        <v/>
      </c>
      <c r="G943" s="38" t="str">
        <f t="shared" si="206"/>
        <v/>
      </c>
      <c r="H943" s="38" t="str">
        <f t="shared" si="211"/>
        <v/>
      </c>
    </row>
    <row r="944" spans="1:8" x14ac:dyDescent="0.2">
      <c r="A944" t="str">
        <f t="shared" si="207"/>
        <v/>
      </c>
      <c r="B944" s="38"/>
      <c r="C944" s="38" t="str">
        <f t="shared" si="208"/>
        <v/>
      </c>
      <c r="D944" s="38" t="str">
        <f t="shared" si="209"/>
        <v/>
      </c>
      <c r="E944" s="38" t="str">
        <f t="shared" si="210"/>
        <v/>
      </c>
      <c r="F944" s="38" t="str">
        <f t="shared" si="205"/>
        <v/>
      </c>
      <c r="G944" s="38" t="str">
        <f t="shared" si="206"/>
        <v/>
      </c>
      <c r="H944" s="38" t="str">
        <f t="shared" si="211"/>
        <v/>
      </c>
    </row>
    <row r="945" spans="1:8" x14ac:dyDescent="0.2">
      <c r="A945" t="str">
        <f t="shared" si="207"/>
        <v/>
      </c>
      <c r="B945" s="38"/>
      <c r="C945" s="38" t="str">
        <f t="shared" si="208"/>
        <v/>
      </c>
      <c r="D945" s="38" t="str">
        <f t="shared" si="209"/>
        <v/>
      </c>
      <c r="E945" s="38" t="str">
        <f t="shared" si="210"/>
        <v/>
      </c>
      <c r="F945" s="38" t="str">
        <f t="shared" si="205"/>
        <v/>
      </c>
      <c r="G945" s="38" t="str">
        <f t="shared" si="206"/>
        <v/>
      </c>
      <c r="H945" s="38" t="str">
        <f t="shared" si="211"/>
        <v/>
      </c>
    </row>
    <row r="946" spans="1:8" x14ac:dyDescent="0.2">
      <c r="A946" t="str">
        <f t="shared" si="207"/>
        <v/>
      </c>
      <c r="B946" s="38"/>
      <c r="C946" s="38" t="str">
        <f t="shared" si="208"/>
        <v/>
      </c>
      <c r="D946" s="38" t="str">
        <f t="shared" si="209"/>
        <v/>
      </c>
      <c r="E946" s="38" t="str">
        <f t="shared" si="210"/>
        <v/>
      </c>
      <c r="F946" s="38" t="str">
        <f t="shared" si="205"/>
        <v/>
      </c>
      <c r="G946" s="38" t="str">
        <f t="shared" si="206"/>
        <v/>
      </c>
      <c r="H946" s="38" t="str">
        <f t="shared" si="211"/>
        <v/>
      </c>
    </row>
    <row r="947" spans="1:8" x14ac:dyDescent="0.2">
      <c r="A947" t="str">
        <f t="shared" si="207"/>
        <v/>
      </c>
      <c r="B947" s="38"/>
      <c r="C947" s="38" t="str">
        <f t="shared" si="208"/>
        <v/>
      </c>
      <c r="D947" s="38" t="str">
        <f t="shared" si="209"/>
        <v/>
      </c>
      <c r="E947" s="38" t="str">
        <f t="shared" si="210"/>
        <v/>
      </c>
      <c r="F947" s="38" t="str">
        <f t="shared" si="205"/>
        <v/>
      </c>
      <c r="G947" s="38" t="str">
        <f t="shared" si="206"/>
        <v/>
      </c>
      <c r="H947" s="38" t="str">
        <f t="shared" si="211"/>
        <v/>
      </c>
    </row>
    <row r="948" spans="1:8" x14ac:dyDescent="0.2">
      <c r="A948" t="str">
        <f t="shared" si="207"/>
        <v/>
      </c>
      <c r="B948" s="38"/>
      <c r="C948" s="38" t="str">
        <f t="shared" si="208"/>
        <v/>
      </c>
      <c r="D948" s="38" t="str">
        <f t="shared" si="209"/>
        <v/>
      </c>
      <c r="E948" s="38" t="str">
        <f t="shared" si="210"/>
        <v/>
      </c>
      <c r="F948" s="38" t="str">
        <f t="shared" si="205"/>
        <v/>
      </c>
      <c r="G948" s="38" t="str">
        <f t="shared" si="206"/>
        <v/>
      </c>
      <c r="H948" s="38" t="str">
        <f t="shared" si="211"/>
        <v/>
      </c>
    </row>
    <row r="949" spans="1:8" x14ac:dyDescent="0.2">
      <c r="A949" t="str">
        <f t="shared" si="207"/>
        <v/>
      </c>
      <c r="B949" s="38"/>
      <c r="C949" s="38" t="str">
        <f t="shared" si="208"/>
        <v/>
      </c>
      <c r="D949" s="38" t="str">
        <f t="shared" si="209"/>
        <v/>
      </c>
      <c r="E949" s="38" t="str">
        <f t="shared" si="210"/>
        <v/>
      </c>
      <c r="F949" s="38" t="str">
        <f t="shared" si="205"/>
        <v/>
      </c>
      <c r="G949" s="38" t="str">
        <f t="shared" si="206"/>
        <v/>
      </c>
      <c r="H949" s="38" t="str">
        <f t="shared" si="211"/>
        <v/>
      </c>
    </row>
    <row r="950" spans="1:8" x14ac:dyDescent="0.2">
      <c r="A950" t="str">
        <f t="shared" si="207"/>
        <v/>
      </c>
      <c r="B950" s="38"/>
      <c r="C950" s="38" t="str">
        <f t="shared" si="208"/>
        <v/>
      </c>
      <c r="D950" s="38" t="str">
        <f t="shared" si="209"/>
        <v/>
      </c>
      <c r="E950" s="38" t="str">
        <f t="shared" si="210"/>
        <v/>
      </c>
      <c r="F950" s="38" t="str">
        <f t="shared" si="205"/>
        <v/>
      </c>
      <c r="G950" s="38" t="str">
        <f t="shared" si="206"/>
        <v/>
      </c>
      <c r="H950" s="38" t="str">
        <f t="shared" si="211"/>
        <v/>
      </c>
    </row>
    <row r="951" spans="1:8" x14ac:dyDescent="0.2">
      <c r="A951" t="str">
        <f t="shared" si="207"/>
        <v/>
      </c>
      <c r="B951" s="38"/>
      <c r="C951" s="38" t="str">
        <f t="shared" si="208"/>
        <v/>
      </c>
      <c r="D951" s="38" t="str">
        <f t="shared" si="209"/>
        <v/>
      </c>
      <c r="E951" s="38" t="str">
        <f t="shared" si="210"/>
        <v/>
      </c>
      <c r="F951" s="38" t="str">
        <f t="shared" si="205"/>
        <v/>
      </c>
      <c r="G951" s="38" t="str">
        <f t="shared" si="206"/>
        <v/>
      </c>
      <c r="H951" s="38" t="str">
        <f t="shared" si="211"/>
        <v/>
      </c>
    </row>
    <row r="952" spans="1:8" x14ac:dyDescent="0.2">
      <c r="A952" t="str">
        <f t="shared" si="207"/>
        <v/>
      </c>
      <c r="B952" s="38"/>
      <c r="C952" s="38" t="str">
        <f t="shared" si="208"/>
        <v/>
      </c>
      <c r="D952" s="38" t="str">
        <f t="shared" si="209"/>
        <v/>
      </c>
      <c r="E952" s="38" t="str">
        <f t="shared" si="210"/>
        <v/>
      </c>
      <c r="F952" s="38" t="str">
        <f t="shared" si="205"/>
        <v/>
      </c>
      <c r="G952" s="38" t="str">
        <f t="shared" si="206"/>
        <v/>
      </c>
      <c r="H952" s="38" t="str">
        <f t="shared" si="211"/>
        <v/>
      </c>
    </row>
    <row r="953" spans="1:8" x14ac:dyDescent="0.2">
      <c r="A953" t="str">
        <f t="shared" si="207"/>
        <v/>
      </c>
      <c r="B953" s="38"/>
      <c r="C953" s="38" t="str">
        <f t="shared" si="208"/>
        <v/>
      </c>
      <c r="D953" s="38" t="str">
        <f t="shared" si="209"/>
        <v/>
      </c>
      <c r="E953" s="38" t="str">
        <f t="shared" si="210"/>
        <v/>
      </c>
      <c r="F953" s="38" t="str">
        <f t="shared" si="205"/>
        <v/>
      </c>
      <c r="G953" s="38" t="str">
        <f t="shared" si="206"/>
        <v/>
      </c>
      <c r="H953" s="38" t="str">
        <f t="shared" si="211"/>
        <v/>
      </c>
    </row>
    <row r="954" spans="1:8" x14ac:dyDescent="0.2">
      <c r="A954" t="str">
        <f t="shared" si="207"/>
        <v/>
      </c>
      <c r="B954" s="38"/>
      <c r="C954" s="38" t="str">
        <f t="shared" si="208"/>
        <v/>
      </c>
      <c r="D954" s="38" t="str">
        <f t="shared" si="209"/>
        <v/>
      </c>
      <c r="E954" s="38" t="str">
        <f t="shared" si="210"/>
        <v/>
      </c>
      <c r="F954" s="38" t="str">
        <f t="shared" si="205"/>
        <v/>
      </c>
      <c r="G954" s="38" t="str">
        <f t="shared" si="206"/>
        <v/>
      </c>
      <c r="H954" s="38" t="str">
        <f t="shared" si="211"/>
        <v/>
      </c>
    </row>
    <row r="955" spans="1:8" x14ac:dyDescent="0.2">
      <c r="A955" t="str">
        <f t="shared" si="207"/>
        <v/>
      </c>
      <c r="B955" s="38"/>
      <c r="C955" s="38" t="str">
        <f t="shared" si="208"/>
        <v/>
      </c>
      <c r="D955" s="38" t="str">
        <f t="shared" si="209"/>
        <v/>
      </c>
      <c r="E955" s="38" t="str">
        <f t="shared" si="210"/>
        <v/>
      </c>
      <c r="F955" s="38" t="str">
        <f t="shared" si="205"/>
        <v/>
      </c>
      <c r="G955" s="38" t="str">
        <f t="shared" si="206"/>
        <v/>
      </c>
      <c r="H955" s="38" t="str">
        <f t="shared" si="211"/>
        <v/>
      </c>
    </row>
    <row r="956" spans="1:8" x14ac:dyDescent="0.2">
      <c r="A956" t="str">
        <f t="shared" si="207"/>
        <v/>
      </c>
      <c r="B956" s="38"/>
      <c r="C956" s="38" t="str">
        <f t="shared" si="208"/>
        <v/>
      </c>
      <c r="D956" s="38" t="str">
        <f t="shared" si="209"/>
        <v/>
      </c>
      <c r="E956" s="38" t="str">
        <f t="shared" si="210"/>
        <v/>
      </c>
      <c r="F956" s="38" t="str">
        <f t="shared" si="205"/>
        <v/>
      </c>
      <c r="G956" s="38" t="str">
        <f t="shared" si="206"/>
        <v/>
      </c>
      <c r="H956" s="38" t="str">
        <f t="shared" si="211"/>
        <v/>
      </c>
    </row>
    <row r="957" spans="1:8" x14ac:dyDescent="0.2">
      <c r="A957" t="str">
        <f t="shared" si="207"/>
        <v/>
      </c>
      <c r="B957" s="38"/>
      <c r="C957" s="38" t="str">
        <f t="shared" si="208"/>
        <v/>
      </c>
      <c r="D957" s="38" t="str">
        <f t="shared" si="209"/>
        <v/>
      </c>
      <c r="E957" s="38" t="str">
        <f t="shared" si="210"/>
        <v/>
      </c>
      <c r="F957" s="38" t="str">
        <f t="shared" si="205"/>
        <v/>
      </c>
      <c r="G957" s="38" t="str">
        <f t="shared" si="206"/>
        <v/>
      </c>
      <c r="H957" s="38" t="str">
        <f t="shared" si="211"/>
        <v/>
      </c>
    </row>
    <row r="958" spans="1:8" x14ac:dyDescent="0.2">
      <c r="A958" t="str">
        <f t="shared" si="207"/>
        <v/>
      </c>
      <c r="B958" s="38"/>
      <c r="C958" s="38" t="str">
        <f t="shared" si="208"/>
        <v/>
      </c>
      <c r="D958" s="38" t="str">
        <f t="shared" si="209"/>
        <v/>
      </c>
      <c r="E958" s="38" t="str">
        <f t="shared" si="210"/>
        <v/>
      </c>
      <c r="F958" s="38" t="str">
        <f t="shared" si="205"/>
        <v/>
      </c>
      <c r="G958" s="38" t="str">
        <f t="shared" si="206"/>
        <v/>
      </c>
      <c r="H958" s="38" t="str">
        <f t="shared" si="211"/>
        <v/>
      </c>
    </row>
    <row r="959" spans="1:8" x14ac:dyDescent="0.2">
      <c r="A959" t="str">
        <f t="shared" si="207"/>
        <v/>
      </c>
      <c r="B959" s="38"/>
      <c r="C959" s="38" t="str">
        <f t="shared" si="208"/>
        <v/>
      </c>
      <c r="D959" s="38" t="str">
        <f t="shared" si="209"/>
        <v/>
      </c>
      <c r="E959" s="38" t="str">
        <f t="shared" si="210"/>
        <v/>
      </c>
      <c r="F959" s="38" t="str">
        <f t="shared" si="205"/>
        <v/>
      </c>
      <c r="G959" s="38" t="str">
        <f t="shared" si="206"/>
        <v/>
      </c>
      <c r="H959" s="38" t="str">
        <f t="shared" si="211"/>
        <v/>
      </c>
    </row>
    <row r="960" spans="1:8" x14ac:dyDescent="0.2">
      <c r="A960" t="str">
        <f t="shared" si="207"/>
        <v/>
      </c>
      <c r="B960" s="38"/>
      <c r="C960" s="38" t="str">
        <f t="shared" si="208"/>
        <v/>
      </c>
      <c r="D960" s="38" t="str">
        <f t="shared" si="209"/>
        <v/>
      </c>
      <c r="E960" s="38" t="str">
        <f t="shared" si="210"/>
        <v/>
      </c>
      <c r="F960" s="38" t="str">
        <f t="shared" si="205"/>
        <v/>
      </c>
      <c r="G960" s="38" t="str">
        <f t="shared" si="206"/>
        <v/>
      </c>
      <c r="H960" s="38" t="str">
        <f t="shared" si="211"/>
        <v/>
      </c>
    </row>
    <row r="961" spans="1:8" x14ac:dyDescent="0.2">
      <c r="A961" t="str">
        <f t="shared" si="207"/>
        <v/>
      </c>
      <c r="B961" s="38"/>
      <c r="C961" s="38" t="str">
        <f t="shared" si="208"/>
        <v/>
      </c>
      <c r="D961" s="38" t="str">
        <f t="shared" si="209"/>
        <v/>
      </c>
      <c r="E961" s="38" t="str">
        <f t="shared" si="210"/>
        <v/>
      </c>
      <c r="F961" s="38" t="str">
        <f t="shared" si="205"/>
        <v/>
      </c>
      <c r="G961" s="38" t="str">
        <f t="shared" si="206"/>
        <v/>
      </c>
      <c r="H961" s="38" t="str">
        <f t="shared" si="211"/>
        <v/>
      </c>
    </row>
    <row r="962" spans="1:8" x14ac:dyDescent="0.2">
      <c r="A962" t="str">
        <f t="shared" si="207"/>
        <v/>
      </c>
      <c r="B962" s="38"/>
      <c r="C962" s="38" t="str">
        <f t="shared" si="208"/>
        <v/>
      </c>
      <c r="D962" s="38" t="str">
        <f t="shared" si="209"/>
        <v/>
      </c>
      <c r="E962" s="38" t="str">
        <f t="shared" si="210"/>
        <v/>
      </c>
      <c r="F962" s="38" t="str">
        <f t="shared" si="205"/>
        <v/>
      </c>
      <c r="G962" s="38" t="str">
        <f t="shared" si="206"/>
        <v/>
      </c>
      <c r="H962" s="38" t="str">
        <f t="shared" si="211"/>
        <v/>
      </c>
    </row>
    <row r="963" spans="1:8" x14ac:dyDescent="0.2">
      <c r="A963" t="str">
        <f t="shared" si="207"/>
        <v/>
      </c>
      <c r="B963" s="38"/>
      <c r="C963" s="38" t="str">
        <f t="shared" si="208"/>
        <v/>
      </c>
      <c r="D963" s="38" t="str">
        <f t="shared" si="209"/>
        <v/>
      </c>
      <c r="E963" s="38" t="str">
        <f t="shared" si="210"/>
        <v/>
      </c>
      <c r="F963" s="38" t="str">
        <f t="shared" si="205"/>
        <v/>
      </c>
      <c r="G963" s="38" t="str">
        <f t="shared" si="206"/>
        <v/>
      </c>
      <c r="H963" s="38" t="str">
        <f t="shared" si="211"/>
        <v/>
      </c>
    </row>
    <row r="964" spans="1:8" x14ac:dyDescent="0.2">
      <c r="A964" t="str">
        <f t="shared" si="207"/>
        <v/>
      </c>
      <c r="B964" s="38"/>
      <c r="C964" s="38" t="str">
        <f t="shared" si="208"/>
        <v/>
      </c>
      <c r="D964" s="38" t="str">
        <f t="shared" si="209"/>
        <v/>
      </c>
      <c r="E964" s="38" t="str">
        <f t="shared" si="210"/>
        <v/>
      </c>
      <c r="F964" s="38" t="str">
        <f t="shared" si="205"/>
        <v/>
      </c>
      <c r="G964" s="38" t="str">
        <f t="shared" si="206"/>
        <v/>
      </c>
      <c r="H964" s="38" t="str">
        <f t="shared" si="211"/>
        <v/>
      </c>
    </row>
    <row r="965" spans="1:8" x14ac:dyDescent="0.2">
      <c r="A965" t="str">
        <f t="shared" si="207"/>
        <v/>
      </c>
      <c r="B965" s="38"/>
      <c r="C965" s="38" t="str">
        <f t="shared" si="208"/>
        <v/>
      </c>
      <c r="D965" s="38" t="str">
        <f t="shared" si="209"/>
        <v/>
      </c>
      <c r="E965" s="38" t="str">
        <f t="shared" si="210"/>
        <v/>
      </c>
      <c r="F965" s="38" t="str">
        <f t="shared" si="205"/>
        <v/>
      </c>
      <c r="G965" s="38" t="str">
        <f t="shared" si="206"/>
        <v/>
      </c>
      <c r="H965" s="38" t="str">
        <f t="shared" si="211"/>
        <v/>
      </c>
    </row>
    <row r="966" spans="1:8" x14ac:dyDescent="0.2">
      <c r="A966" t="str">
        <f t="shared" si="207"/>
        <v/>
      </c>
      <c r="B966" s="38"/>
      <c r="C966" s="38" t="str">
        <f t="shared" si="208"/>
        <v/>
      </c>
      <c r="D966" s="38" t="str">
        <f t="shared" si="209"/>
        <v/>
      </c>
      <c r="E966" s="38" t="str">
        <f t="shared" si="210"/>
        <v/>
      </c>
      <c r="F966" s="38" t="str">
        <f t="shared" si="205"/>
        <v/>
      </c>
      <c r="G966" s="38" t="str">
        <f t="shared" si="206"/>
        <v/>
      </c>
      <c r="H966" s="38" t="str">
        <f t="shared" si="211"/>
        <v/>
      </c>
    </row>
    <row r="967" spans="1:8" x14ac:dyDescent="0.2">
      <c r="A967" t="str">
        <f t="shared" si="207"/>
        <v/>
      </c>
      <c r="B967" s="38"/>
      <c r="C967" s="38" t="str">
        <f t="shared" si="208"/>
        <v/>
      </c>
      <c r="D967" s="38" t="str">
        <f t="shared" si="209"/>
        <v/>
      </c>
      <c r="E967" s="38" t="str">
        <f t="shared" si="210"/>
        <v/>
      </c>
      <c r="F967" s="38" t="str">
        <f t="shared" si="205"/>
        <v/>
      </c>
      <c r="G967" s="38" t="str">
        <f t="shared" si="206"/>
        <v/>
      </c>
      <c r="H967" s="38" t="str">
        <f t="shared" si="211"/>
        <v/>
      </c>
    </row>
    <row r="968" spans="1:8" x14ac:dyDescent="0.2">
      <c r="A968" t="str">
        <f t="shared" si="207"/>
        <v/>
      </c>
      <c r="B968" s="38"/>
      <c r="C968" s="38" t="str">
        <f t="shared" si="208"/>
        <v/>
      </c>
      <c r="D968" s="38" t="str">
        <f t="shared" si="209"/>
        <v/>
      </c>
      <c r="E968" s="38" t="str">
        <f t="shared" si="210"/>
        <v/>
      </c>
      <c r="F968" s="38" t="str">
        <f t="shared" si="205"/>
        <v/>
      </c>
      <c r="G968" s="38" t="str">
        <f t="shared" si="206"/>
        <v/>
      </c>
      <c r="H968" s="38" t="str">
        <f t="shared" si="211"/>
        <v/>
      </c>
    </row>
    <row r="969" spans="1:8" x14ac:dyDescent="0.2">
      <c r="A969" t="str">
        <f t="shared" si="207"/>
        <v/>
      </c>
      <c r="B969" s="38"/>
      <c r="C969" s="38" t="str">
        <f t="shared" si="208"/>
        <v/>
      </c>
      <c r="D969" s="38" t="str">
        <f t="shared" si="209"/>
        <v/>
      </c>
      <c r="E969" s="38" t="str">
        <f t="shared" si="210"/>
        <v/>
      </c>
      <c r="F969" s="38" t="str">
        <f t="shared" si="205"/>
        <v/>
      </c>
      <c r="G969" s="38" t="str">
        <f t="shared" si="206"/>
        <v/>
      </c>
      <c r="H969" s="38" t="str">
        <f t="shared" si="211"/>
        <v/>
      </c>
    </row>
    <row r="970" spans="1:8" x14ac:dyDescent="0.2">
      <c r="A970" t="str">
        <f t="shared" si="207"/>
        <v/>
      </c>
      <c r="B970" s="38"/>
      <c r="C970" s="38" t="str">
        <f t="shared" si="208"/>
        <v/>
      </c>
      <c r="D970" s="38" t="str">
        <f t="shared" si="209"/>
        <v/>
      </c>
      <c r="E970" s="38" t="str">
        <f t="shared" si="210"/>
        <v/>
      </c>
      <c r="F970" s="38" t="str">
        <f t="shared" si="205"/>
        <v/>
      </c>
      <c r="G970" s="38" t="str">
        <f t="shared" si="206"/>
        <v/>
      </c>
      <c r="H970" s="38" t="str">
        <f t="shared" si="211"/>
        <v/>
      </c>
    </row>
    <row r="971" spans="1:8" x14ac:dyDescent="0.2">
      <c r="A971" t="str">
        <f t="shared" si="207"/>
        <v/>
      </c>
      <c r="B971" s="38"/>
      <c r="C971" s="38" t="str">
        <f t="shared" si="208"/>
        <v/>
      </c>
      <c r="D971" s="38" t="str">
        <f t="shared" si="209"/>
        <v/>
      </c>
      <c r="E971" s="38" t="str">
        <f t="shared" si="210"/>
        <v/>
      </c>
      <c r="F971" s="38" t="str">
        <f t="shared" si="205"/>
        <v/>
      </c>
      <c r="G971" s="38" t="str">
        <f t="shared" si="206"/>
        <v/>
      </c>
      <c r="H971" s="38" t="str">
        <f t="shared" si="211"/>
        <v/>
      </c>
    </row>
    <row r="972" spans="1:8" x14ac:dyDescent="0.2">
      <c r="A972" t="str">
        <f t="shared" si="207"/>
        <v/>
      </c>
      <c r="B972" s="38"/>
      <c r="C972" s="38" t="str">
        <f t="shared" si="208"/>
        <v/>
      </c>
      <c r="D972" s="38" t="str">
        <f t="shared" si="209"/>
        <v/>
      </c>
      <c r="E972" s="38" t="str">
        <f t="shared" si="210"/>
        <v/>
      </c>
      <c r="F972" s="38" t="str">
        <f t="shared" si="205"/>
        <v/>
      </c>
      <c r="G972" s="38" t="str">
        <f t="shared" si="206"/>
        <v/>
      </c>
      <c r="H972" s="38" t="str">
        <f t="shared" si="211"/>
        <v/>
      </c>
    </row>
    <row r="973" spans="1:8" x14ac:dyDescent="0.2">
      <c r="A973" t="str">
        <f t="shared" si="207"/>
        <v/>
      </c>
      <c r="B973" s="38"/>
      <c r="C973" s="38" t="str">
        <f t="shared" si="208"/>
        <v/>
      </c>
      <c r="D973" s="38" t="str">
        <f t="shared" si="209"/>
        <v/>
      </c>
      <c r="E973" s="38" t="str">
        <f t="shared" si="210"/>
        <v/>
      </c>
      <c r="F973" s="38" t="str">
        <f t="shared" si="205"/>
        <v/>
      </c>
      <c r="G973" s="38" t="str">
        <f t="shared" si="206"/>
        <v/>
      </c>
      <c r="H973" s="38" t="str">
        <f t="shared" si="211"/>
        <v/>
      </c>
    </row>
  </sheetData>
  <mergeCells count="3">
    <mergeCell ref="A1:B1"/>
    <mergeCell ref="A20:H20"/>
    <mergeCell ref="J20:Q2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8255E-D195-491E-A168-4AAE276D77BA}">
  <dimension ref="A3:M26"/>
  <sheetViews>
    <sheetView workbookViewId="0">
      <selection activeCell="C21" sqref="C21"/>
    </sheetView>
  </sheetViews>
  <sheetFormatPr baseColWidth="10" defaultColWidth="8.83203125" defaultRowHeight="15" x14ac:dyDescent="0.2"/>
  <cols>
    <col min="1" max="1" width="25.83203125" customWidth="1"/>
    <col min="2" max="2" width="10.5" bestFit="1" customWidth="1"/>
    <col min="7" max="8" width="9.5" bestFit="1" customWidth="1"/>
    <col min="9" max="9" width="14.33203125" customWidth="1"/>
    <col min="10" max="10" width="12.5" bestFit="1" customWidth="1"/>
    <col min="12" max="12" width="10.83203125" customWidth="1"/>
    <col min="13" max="13" width="13.5" customWidth="1"/>
  </cols>
  <sheetData>
    <row r="3" spans="1:13" x14ac:dyDescent="0.2">
      <c r="A3" s="90" t="s">
        <v>131</v>
      </c>
      <c r="B3" s="90"/>
    </row>
    <row r="4" spans="1:13" x14ac:dyDescent="0.2">
      <c r="A4" t="s">
        <v>133</v>
      </c>
      <c r="B4">
        <f>'Assignment6 (User Interface)'!B5</f>
        <v>10000</v>
      </c>
    </row>
    <row r="5" spans="1:13" x14ac:dyDescent="0.2">
      <c r="A5" t="s">
        <v>134</v>
      </c>
      <c r="B5" s="1">
        <f>'Assignment6 (User Interface)'!B6</f>
        <v>0.02</v>
      </c>
    </row>
    <row r="6" spans="1:13" x14ac:dyDescent="0.2">
      <c r="A6" t="s">
        <v>135</v>
      </c>
      <c r="B6" s="1">
        <f>'Assignment6 (User Interface)'!B7</f>
        <v>0.05</v>
      </c>
    </row>
    <row r="7" spans="1:13" x14ac:dyDescent="0.2">
      <c r="A7" t="s">
        <v>123</v>
      </c>
      <c r="B7">
        <f>'Assignment6 (User Interface)'!B8</f>
        <v>4</v>
      </c>
    </row>
    <row r="8" spans="1:13" x14ac:dyDescent="0.2">
      <c r="A8" t="s">
        <v>124</v>
      </c>
      <c r="B8">
        <f>'Assignment6 (User Interface)'!B9</f>
        <v>10</v>
      </c>
    </row>
    <row r="9" spans="1:13" x14ac:dyDescent="0.2">
      <c r="A9" t="s">
        <v>29</v>
      </c>
      <c r="B9" s="21">
        <f>'Assignment6 (User Interface)'!B10</f>
        <v>106347.05</v>
      </c>
      <c r="G9" s="90" t="s">
        <v>131</v>
      </c>
      <c r="H9" s="90"/>
      <c r="I9" s="90"/>
      <c r="J9" s="90"/>
      <c r="K9" s="90"/>
      <c r="L9" s="90"/>
      <c r="M9" s="90"/>
    </row>
    <row r="10" spans="1:13" x14ac:dyDescent="0.2">
      <c r="A10" t="s">
        <v>23</v>
      </c>
      <c r="B10">
        <f>'Assignment6 (User Interface)'!B11</f>
        <v>322222</v>
      </c>
      <c r="G10" s="61" t="s">
        <v>125</v>
      </c>
      <c r="H10" s="61" t="s">
        <v>126</v>
      </c>
      <c r="I10" s="61" t="s">
        <v>127</v>
      </c>
      <c r="J10" s="61" t="s">
        <v>128</v>
      </c>
      <c r="K10" s="61" t="s">
        <v>116</v>
      </c>
      <c r="L10" s="61" t="s">
        <v>138</v>
      </c>
      <c r="M10" s="61" t="s">
        <v>130</v>
      </c>
    </row>
    <row r="11" spans="1:13" x14ac:dyDescent="0.2">
      <c r="F11" s="60" t="s">
        <v>90</v>
      </c>
      <c r="G11">
        <f>((((1+B5)^B7)-1)/B5)</f>
        <v>4.1216079999999984</v>
      </c>
      <c r="H11" s="57">
        <f>((1+B5)^(B7*B8)) - ((1+B6)^B8)</f>
        <v>0.57914503683741025</v>
      </c>
      <c r="I11" s="58">
        <f>((1+B5)^(B7))-(1+B6)</f>
        <v>3.2432159999999932E-2</v>
      </c>
      <c r="J11" s="17">
        <f>G11*(H11/I11)*B4</f>
        <v>736000.56764315697</v>
      </c>
      <c r="K11">
        <f>B9*(1+B6)^(-B7*B8)</f>
        <v>15106.139277871762</v>
      </c>
      <c r="L11" s="17">
        <f>J11*I11/(G11*H11)</f>
        <v>10000</v>
      </c>
      <c r="M11" s="17">
        <f>K11*((1+$B$6)^($B$7*$B$8))*I11/(G11*H11)</f>
        <v>1444.9316301554998</v>
      </c>
    </row>
    <row r="12" spans="1:13" x14ac:dyDescent="0.2">
      <c r="F12" s="60" t="s">
        <v>91</v>
      </c>
      <c r="G12" s="56">
        <f>((((1+B5)^B7)-1)/B5)</f>
        <v>4.1216079999999984</v>
      </c>
      <c r="H12">
        <f>(1+B5)^(B7*B8)-(1+B6)^(B8)</f>
        <v>0.57914503683741025</v>
      </c>
      <c r="I12">
        <f>(1+B5)^(B7)-(1+B6)</f>
        <v>3.2432159999999932E-2</v>
      </c>
      <c r="J12" s="17">
        <f>G12*(H12/I12)*(B4*(1+B5))</f>
        <v>750720.57899602014</v>
      </c>
      <c r="K12">
        <f>B9*(1+B6)^-(B7*B8)</f>
        <v>15106.139277871762</v>
      </c>
      <c r="L12" s="17">
        <f>J12*I12/(G12*H12)</f>
        <v>10200</v>
      </c>
      <c r="M12" s="17">
        <f>K12*((1+$B$6)^($B$7*$B$8))*I12/(G12*H12)</f>
        <v>1444.9316301554998</v>
      </c>
    </row>
    <row r="17" spans="1:13" x14ac:dyDescent="0.2">
      <c r="A17" s="84" t="s">
        <v>132</v>
      </c>
      <c r="B17" s="84"/>
    </row>
    <row r="18" spans="1:13" x14ac:dyDescent="0.2">
      <c r="A18" t="s">
        <v>133</v>
      </c>
      <c r="B18">
        <f>'Assignment6 (User Interface)'!J5</f>
        <v>400</v>
      </c>
    </row>
    <row r="19" spans="1:13" x14ac:dyDescent="0.2">
      <c r="A19" t="s">
        <v>136</v>
      </c>
      <c r="B19" s="1">
        <f>'Assignment6 (User Interface)'!J6</f>
        <v>0.01</v>
      </c>
    </row>
    <row r="20" spans="1:13" x14ac:dyDescent="0.2">
      <c r="A20" t="s">
        <v>137</v>
      </c>
      <c r="B20" s="1">
        <f>'Assignment6 (User Interface)'!J7</f>
        <v>0.04</v>
      </c>
    </row>
    <row r="21" spans="1:13" x14ac:dyDescent="0.2">
      <c r="A21" t="s">
        <v>123</v>
      </c>
      <c r="B21">
        <f>'Assignment6 (User Interface)'!J8</f>
        <v>12</v>
      </c>
    </row>
    <row r="22" spans="1:13" x14ac:dyDescent="0.2">
      <c r="A22" t="s">
        <v>124</v>
      </c>
      <c r="B22">
        <f>'Assignment6 (User Interface)'!J9</f>
        <v>10</v>
      </c>
    </row>
    <row r="23" spans="1:13" x14ac:dyDescent="0.2">
      <c r="A23" t="s">
        <v>29</v>
      </c>
      <c r="B23" s="21">
        <f>'Assignment6 (User Interface)'!J10</f>
        <v>106347.05</v>
      </c>
      <c r="G23" s="84" t="s">
        <v>132</v>
      </c>
      <c r="H23" s="84"/>
      <c r="I23" s="84"/>
      <c r="J23" s="84"/>
      <c r="K23" s="84"/>
      <c r="L23" s="84"/>
      <c r="M23" s="84"/>
    </row>
    <row r="24" spans="1:13" x14ac:dyDescent="0.2">
      <c r="A24" t="s">
        <v>23</v>
      </c>
      <c r="B24">
        <f>'Assignment6 (User Interface)'!J11</f>
        <v>322222</v>
      </c>
      <c r="G24" s="61" t="s">
        <v>125</v>
      </c>
      <c r="H24" s="61" t="s">
        <v>126</v>
      </c>
      <c r="I24" s="61" t="s">
        <v>127</v>
      </c>
      <c r="J24" s="61" t="s">
        <v>128</v>
      </c>
      <c r="K24" s="61" t="s">
        <v>116</v>
      </c>
      <c r="L24" s="61" t="s">
        <v>129</v>
      </c>
      <c r="M24" s="61" t="s">
        <v>130</v>
      </c>
    </row>
    <row r="25" spans="1:13" x14ac:dyDescent="0.2">
      <c r="F25" s="60" t="s">
        <v>90</v>
      </c>
      <c r="G25">
        <f>((((1+B19)^B21)-1)/B19)</f>
        <v>12.682503013196976</v>
      </c>
      <c r="H25" s="57">
        <f>((1+B19)^(B21*B22)) - ((1+B20)^B22)</f>
        <v>1.8201426096553253</v>
      </c>
      <c r="I25" s="58">
        <f>((1+B19)^(B21))-(1+B20)</f>
        <v>8.6825030131969738E-2</v>
      </c>
      <c r="J25" s="17">
        <f>(G25*(H25/I25))*B18</f>
        <v>106347.04806351528</v>
      </c>
      <c r="K25">
        <f>B23*(1+B20)^(-B21*B22)</f>
        <v>961.00297360829779</v>
      </c>
      <c r="L25" s="17">
        <f>J25*I25/(G25*H25)</f>
        <v>400</v>
      </c>
      <c r="M25" s="17">
        <f>K25*((1+B20)^(B21*B22))*I25/(G25*H25)</f>
        <v>400.00000728364267</v>
      </c>
    </row>
    <row r="26" spans="1:13" x14ac:dyDescent="0.2">
      <c r="F26" s="60" t="s">
        <v>91</v>
      </c>
      <c r="G26" s="56">
        <f>((((1+B19)^B21)-1)/B19)</f>
        <v>12.682503013196976</v>
      </c>
      <c r="H26">
        <f>(1+B19)^(B21*B22)-(1+B20)^(B22)</f>
        <v>1.8201426096553253</v>
      </c>
      <c r="I26">
        <f>(1+B19)^(B21)-(1+B20)</f>
        <v>8.6825030131969738E-2</v>
      </c>
      <c r="J26" s="17">
        <f>G26*(H26/I26)*(B18*(1+B19))</f>
        <v>107410.51854415044</v>
      </c>
      <c r="K26">
        <f>B23*(1+B20)^-(B21*B22)</f>
        <v>961.00297360829779</v>
      </c>
      <c r="L26" s="17">
        <f>J26*I26/(G26*H26)</f>
        <v>404</v>
      </c>
      <c r="M26" s="17">
        <f>K26*((1+B20)^(B21*B22))*I26/(G26*H26)</f>
        <v>400.00000728364267</v>
      </c>
    </row>
  </sheetData>
  <sheetProtection algorithmName="SHA-512" hashValue="Y0ZpKt3nHPtUcJQcxMdutbekIDQbvLhTnYdQC4sAkfBvaSzN9Bhlg4oBl/o4hd2tqqCLdmk3/+MU7quIV08gcQ==" saltValue="ljp+bMV2a5aRfnu10O6Mow==" spinCount="100000" sheet="1" objects="1" scenarios="1"/>
  <mergeCells count="4">
    <mergeCell ref="G9:M9"/>
    <mergeCell ref="G23:M23"/>
    <mergeCell ref="A3:B3"/>
    <mergeCell ref="A17:B17"/>
  </mergeCells>
  <pageMargins left="0.7" right="0.7" top="0.75" bottom="0.75" header="0.3" footer="0.3"/>
  <pageSetup paperSize="9" orientation="portrait" horizontalDpi="30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84EC-6829-4AEF-AE95-28F4F40C2789}">
  <dimension ref="A1:AA19"/>
  <sheetViews>
    <sheetView topLeftCell="A10" workbookViewId="0">
      <selection sqref="A1:N1"/>
    </sheetView>
  </sheetViews>
  <sheetFormatPr baseColWidth="10" defaultColWidth="8.83203125" defaultRowHeight="15" x14ac:dyDescent="0.2"/>
  <cols>
    <col min="1" max="1" width="23.6640625" bestFit="1" customWidth="1"/>
    <col min="2" max="2" width="14.83203125" customWidth="1"/>
    <col min="4" max="4" width="13.5" customWidth="1"/>
    <col min="5" max="5" width="18" customWidth="1"/>
    <col min="9" max="9" width="23.6640625" bestFit="1" customWidth="1"/>
    <col min="10" max="10" width="12.5" customWidth="1"/>
    <col min="12" max="12" width="12.33203125" customWidth="1"/>
    <col min="13" max="13" width="18.1640625" customWidth="1"/>
  </cols>
  <sheetData>
    <row r="1" spans="1:27" ht="24" x14ac:dyDescent="0.3">
      <c r="A1" s="93" t="s">
        <v>139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</row>
    <row r="2" spans="1:27" x14ac:dyDescent="0.2">
      <c r="Z2" t="s">
        <v>90</v>
      </c>
      <c r="AA2" t="s">
        <v>29</v>
      </c>
    </row>
    <row r="3" spans="1:27" x14ac:dyDescent="0.2">
      <c r="A3" s="89" t="s">
        <v>140</v>
      </c>
      <c r="B3" s="89"/>
      <c r="C3" s="89"/>
      <c r="D3" s="89"/>
      <c r="E3" s="89"/>
      <c r="F3" s="55"/>
      <c r="G3" s="55"/>
      <c r="I3" s="89" t="s">
        <v>141</v>
      </c>
      <c r="J3" s="89"/>
      <c r="K3" s="89"/>
      <c r="L3" s="89"/>
      <c r="M3" s="89"/>
      <c r="Z3" t="s">
        <v>91</v>
      </c>
      <c r="AA3" t="s">
        <v>23</v>
      </c>
    </row>
    <row r="4" spans="1:27" ht="16" thickBot="1" x14ac:dyDescent="0.25">
      <c r="A4" s="79" t="s">
        <v>142</v>
      </c>
      <c r="B4" s="79"/>
      <c r="D4" s="79" t="s">
        <v>143</v>
      </c>
      <c r="E4" s="79"/>
      <c r="F4" s="55"/>
      <c r="G4" s="55"/>
      <c r="I4" s="79" t="s">
        <v>142</v>
      </c>
      <c r="J4" s="79"/>
      <c r="L4" s="79" t="s">
        <v>143</v>
      </c>
      <c r="M4" s="79"/>
      <c r="AA4" t="s">
        <v>145</v>
      </c>
    </row>
    <row r="5" spans="1:27" ht="16" thickBot="1" x14ac:dyDescent="0.25">
      <c r="A5" t="s">
        <v>133</v>
      </c>
      <c r="B5">
        <v>10000</v>
      </c>
      <c r="D5" t="s">
        <v>144</v>
      </c>
      <c r="E5" s="59" t="s">
        <v>90</v>
      </c>
      <c r="I5" t="s">
        <v>133</v>
      </c>
      <c r="J5">
        <v>400</v>
      </c>
      <c r="L5" t="s">
        <v>144</v>
      </c>
      <c r="M5" s="59" t="s">
        <v>91</v>
      </c>
      <c r="AA5" t="s">
        <v>146</v>
      </c>
    </row>
    <row r="6" spans="1:27" ht="16" thickBot="1" x14ac:dyDescent="0.25">
      <c r="A6" t="s">
        <v>134</v>
      </c>
      <c r="B6" s="1">
        <v>0.02</v>
      </c>
      <c r="I6" t="s">
        <v>134</v>
      </c>
      <c r="J6" s="1">
        <v>0.01</v>
      </c>
    </row>
    <row r="7" spans="1:27" ht="16" thickBot="1" x14ac:dyDescent="0.25">
      <c r="A7" t="s">
        <v>135</v>
      </c>
      <c r="B7" s="1">
        <v>0.05</v>
      </c>
      <c r="D7" t="s">
        <v>48</v>
      </c>
      <c r="E7" s="59" t="s">
        <v>29</v>
      </c>
      <c r="I7" t="s">
        <v>135</v>
      </c>
      <c r="J7" s="1">
        <v>0.04</v>
      </c>
      <c r="L7" t="s">
        <v>48</v>
      </c>
      <c r="M7" s="59" t="s">
        <v>146</v>
      </c>
    </row>
    <row r="8" spans="1:27" ht="16" thickBot="1" x14ac:dyDescent="0.25">
      <c r="A8" t="s">
        <v>123</v>
      </c>
      <c r="B8">
        <v>4</v>
      </c>
      <c r="I8" t="s">
        <v>123</v>
      </c>
      <c r="J8">
        <v>12</v>
      </c>
    </row>
    <row r="9" spans="1:27" ht="16" thickBot="1" x14ac:dyDescent="0.25">
      <c r="A9" t="s">
        <v>124</v>
      </c>
      <c r="B9">
        <v>10</v>
      </c>
      <c r="D9" t="s">
        <v>147</v>
      </c>
      <c r="E9" s="91">
        <f>IF(AND(E5=Z2,E7=AA2),'Assignment6 (Back Office)'!J11,IF(AND(E5=Z2,E7=AA3),'Assignment6 (Back Office)'!K11,IF(AND(E5=Z2,E7=AA4),'Assignment6 (Back Office)'!L11,IF(AND(E5=Z2,E7=AA5),'Assignment6 (Back Office)'!M11,IF(AND(E5=Z3,E7=AA2),'Assignment6 (Back Office)'!J12,IF(AND(E5=Z3,E7=AA3),'Assignment6 (Back Office)'!K12,IF(AND(E5=Z3,E7=AA4),'Assignment6 (Back Office)'!L12,IF(AND(E5=Z3,E7=AA5),'Assignment6 (Back Office)'!M12,"More to be done"))))))))</f>
        <v>736000.56764315697</v>
      </c>
      <c r="F9" s="92"/>
      <c r="I9" t="s">
        <v>124</v>
      </c>
      <c r="J9">
        <v>10</v>
      </c>
      <c r="L9" t="s">
        <v>147</v>
      </c>
      <c r="M9" s="91">
        <f>IF(AND(M5=Z2,M7=AA2),'Assignment6 (Back Office)'!J25,IF(AND(M5=Z2,M7=AA3),'Assignment6 (Back Office)'!K25,IF(AND(M5=Z2,M7=AA4),'Assignment6 (Back Office)'!L25,IF(AND(M5=Z2,M7=AA5),'Assignment6 (Back Office)'!M25,IF(AND(M5=Z3,M7=AA2),'Assignment6 (Back Office)'!J26,IF(AND(M5=Z3,M7=AA3),'Assignment6 (Back Office)'!K26,IF(AND(M5=Z3,M7=AA4),'Assignment6 (Back Office)'!L26,IF(AND(M5=Z3,M7=AA5),'Assignment6 (Back Office)'!M26,"More work to be done"))))))))</f>
        <v>400.00000728364267</v>
      </c>
      <c r="N9" s="92"/>
    </row>
    <row r="10" spans="1:27" x14ac:dyDescent="0.2">
      <c r="A10" t="s">
        <v>29</v>
      </c>
      <c r="B10" s="21">
        <v>106347.05</v>
      </c>
      <c r="I10" t="s">
        <v>29</v>
      </c>
      <c r="J10" s="21">
        <v>106347.05</v>
      </c>
    </row>
    <row r="11" spans="1:27" x14ac:dyDescent="0.2">
      <c r="A11" t="s">
        <v>23</v>
      </c>
      <c r="B11">
        <v>322222</v>
      </c>
      <c r="I11" t="s">
        <v>23</v>
      </c>
      <c r="J11">
        <v>322222</v>
      </c>
    </row>
    <row r="13" spans="1:27" x14ac:dyDescent="0.2">
      <c r="A13" s="3" t="s">
        <v>148</v>
      </c>
    </row>
    <row r="14" spans="1:27" x14ac:dyDescent="0.2">
      <c r="A14" s="3"/>
    </row>
    <row r="15" spans="1:27" x14ac:dyDescent="0.2">
      <c r="A15" s="3" t="s">
        <v>149</v>
      </c>
    </row>
    <row r="16" spans="1:27" x14ac:dyDescent="0.2">
      <c r="A16" s="3"/>
    </row>
    <row r="17" spans="1:5" x14ac:dyDescent="0.2">
      <c r="A17" s="3" t="s">
        <v>197</v>
      </c>
    </row>
    <row r="19" spans="1:5" x14ac:dyDescent="0.2">
      <c r="A19" s="90" t="s">
        <v>151</v>
      </c>
      <c r="B19" s="90"/>
      <c r="C19" s="90"/>
      <c r="D19" s="90"/>
      <c r="E19" s="90"/>
    </row>
  </sheetData>
  <mergeCells count="10">
    <mergeCell ref="M9:N9"/>
    <mergeCell ref="L4:M4"/>
    <mergeCell ref="A3:E3"/>
    <mergeCell ref="I3:M3"/>
    <mergeCell ref="A1:N1"/>
    <mergeCell ref="A19:E19"/>
    <mergeCell ref="A4:B4"/>
    <mergeCell ref="I4:J4"/>
    <mergeCell ref="D4:E4"/>
    <mergeCell ref="E9:F9"/>
  </mergeCells>
  <dataValidations count="2">
    <dataValidation type="list" allowBlank="1" showInputMessage="1" showErrorMessage="1" sqref="E5 M5" xr:uid="{91A2BE4C-E7AF-4381-95EC-B46EC1A27D6A}">
      <formula1>$Z$2:$Z$3</formula1>
    </dataValidation>
    <dataValidation type="list" allowBlank="1" showInputMessage="1" showErrorMessage="1" sqref="E7 M7" xr:uid="{8946AB44-1703-4CFC-983A-10C9B53D3812}">
      <formula1>$AA$2:$AA$5</formula1>
    </dataValidation>
  </dataValidations>
  <pageMargins left="0.7" right="0.7" top="0.75" bottom="0.75" header="0.3" footer="0.3"/>
  <pageSetup paperSize="9" orientation="portrait" horizontalDpi="30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FF19B-911C-44E2-AC35-4696B74512D4}">
  <dimension ref="A1:S22"/>
  <sheetViews>
    <sheetView zoomScale="90" zoomScaleNormal="90" workbookViewId="0">
      <selection sqref="A1:N1"/>
    </sheetView>
  </sheetViews>
  <sheetFormatPr baseColWidth="10" defaultColWidth="8.83203125" defaultRowHeight="15" x14ac:dyDescent="0.2"/>
  <cols>
    <col min="1" max="1" width="34.1640625" customWidth="1"/>
    <col min="2" max="2" width="19.83203125" customWidth="1"/>
    <col min="4" max="4" width="18" customWidth="1"/>
    <col min="5" max="5" width="28.33203125" customWidth="1"/>
    <col min="6" max="6" width="15.33203125" customWidth="1"/>
    <col min="9" max="9" width="32.5" customWidth="1"/>
    <col min="10" max="10" width="16.83203125" customWidth="1"/>
    <col min="12" max="12" width="15" customWidth="1"/>
    <col min="13" max="13" width="30" customWidth="1"/>
    <col min="14" max="14" width="12.33203125" customWidth="1"/>
    <col min="17" max="17" width="22" customWidth="1"/>
    <col min="19" max="19" width="24.1640625" customWidth="1"/>
  </cols>
  <sheetData>
    <row r="1" spans="1:19" ht="50.25" customHeight="1" x14ac:dyDescent="0.2">
      <c r="A1" s="96" t="s">
        <v>193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</row>
    <row r="2" spans="1:19" ht="26" x14ac:dyDescent="0.3">
      <c r="A2" s="97" t="s">
        <v>173</v>
      </c>
      <c r="B2" s="97"/>
      <c r="C2" s="97"/>
      <c r="D2" s="97"/>
      <c r="E2" s="97"/>
      <c r="F2" s="55"/>
      <c r="G2" s="55"/>
      <c r="I2" s="98" t="s">
        <v>184</v>
      </c>
      <c r="J2" s="98"/>
      <c r="K2" s="98"/>
      <c r="L2" s="98"/>
      <c r="M2" s="98"/>
    </row>
    <row r="3" spans="1:19" x14ac:dyDescent="0.2">
      <c r="A3" s="80" t="s">
        <v>142</v>
      </c>
      <c r="B3" s="80"/>
      <c r="C3" s="3"/>
      <c r="D3" s="80" t="s">
        <v>143</v>
      </c>
      <c r="E3" s="80"/>
      <c r="F3" s="65"/>
      <c r="G3" s="65"/>
      <c r="H3" s="3"/>
      <c r="I3" s="80" t="s">
        <v>142</v>
      </c>
      <c r="J3" s="80"/>
      <c r="K3" s="3"/>
      <c r="L3" s="80" t="s">
        <v>143</v>
      </c>
      <c r="M3" s="80"/>
      <c r="Q3" s="45" t="s">
        <v>173</v>
      </c>
      <c r="R3" s="45"/>
      <c r="S3" s="45" t="s">
        <v>29</v>
      </c>
    </row>
    <row r="4" spans="1:19" ht="16" thickBot="1" x14ac:dyDescent="0.25">
      <c r="A4" t="s">
        <v>180</v>
      </c>
      <c r="I4" t="s">
        <v>181</v>
      </c>
      <c r="Q4" s="45" t="s">
        <v>174</v>
      </c>
      <c r="R4" s="45"/>
      <c r="S4" s="45" t="s">
        <v>23</v>
      </c>
    </row>
    <row r="5" spans="1:19" ht="16" thickBot="1" x14ac:dyDescent="0.25">
      <c r="A5" t="s">
        <v>133</v>
      </c>
      <c r="D5" s="3" t="s">
        <v>194</v>
      </c>
      <c r="E5" s="59" t="s">
        <v>29</v>
      </c>
      <c r="I5" t="s">
        <v>133</v>
      </c>
      <c r="L5" s="3" t="s">
        <v>194</v>
      </c>
      <c r="M5" s="59" t="s">
        <v>189</v>
      </c>
      <c r="Q5" s="45"/>
      <c r="R5" s="45"/>
      <c r="S5" s="45" t="s">
        <v>94</v>
      </c>
    </row>
    <row r="6" spans="1:19" x14ac:dyDescent="0.2">
      <c r="A6" t="s">
        <v>134</v>
      </c>
      <c r="B6" s="66"/>
      <c r="I6" t="s">
        <v>134</v>
      </c>
      <c r="J6" s="28"/>
      <c r="Q6" s="45" t="s">
        <v>169</v>
      </c>
      <c r="R6" s="45"/>
      <c r="S6" s="45" t="s">
        <v>175</v>
      </c>
    </row>
    <row r="7" spans="1:19" x14ac:dyDescent="0.2">
      <c r="A7" t="s">
        <v>135</v>
      </c>
      <c r="B7" s="66"/>
      <c r="I7" t="s">
        <v>135</v>
      </c>
      <c r="J7" s="28"/>
      <c r="Q7" s="45" t="s">
        <v>80</v>
      </c>
      <c r="R7" s="45"/>
      <c r="S7" s="45" t="s">
        <v>157</v>
      </c>
    </row>
    <row r="8" spans="1:19" ht="16" thickBot="1" x14ac:dyDescent="0.25">
      <c r="A8" t="s">
        <v>178</v>
      </c>
      <c r="I8" t="s">
        <v>178</v>
      </c>
      <c r="Q8" s="45" t="s">
        <v>23</v>
      </c>
      <c r="R8" s="45"/>
      <c r="S8" s="45" t="s">
        <v>176</v>
      </c>
    </row>
    <row r="9" spans="1:19" ht="20" thickBot="1" x14ac:dyDescent="0.3">
      <c r="A9" t="s">
        <v>179</v>
      </c>
      <c r="D9" s="4" t="s">
        <v>147</v>
      </c>
      <c r="E9" s="94" t="e">
        <f>IF(E5=Q6,'Single + Increasing Annuity(Bac'!G18,IF(E5=Q7,'Single + Increasing Annuity(Bac'!G19,IF(E5=Q8,'Single + Increasing Annuity(Bac'!G22,IF(E5=Q9,'Single + Increasing Annuity(Bac'!G23,IF(E5=Q10,'Single + Increasing Annuity(Bac'!G24)))))</f>
        <v>#N/A</v>
      </c>
      <c r="F9" s="95"/>
      <c r="I9" t="s">
        <v>179</v>
      </c>
      <c r="L9" s="4" t="s">
        <v>147</v>
      </c>
      <c r="M9" s="94" t="e">
        <f>IF(M5=S12,'Single + Increasing Annuity(Bac'!G4,IF(M5=S13,'Single + Increasing Annuity(Bac'!G5,IF(M5=S14,'Single + Increasing Annuity(Bac'!G7,IF(M5=S15,'Single + Increasing Annuity(Bac'!G8,IF(M5=S16,'Single + Increasing Annuity(Bac'!G9,IF(M5=S17,'Single + Increasing Annuity(Bac'!G10,IF(M5=S18,'Single + Increasing Annuity(Bac'!G11,IF(M5=S19,'Single + Increasing Annuity(Bac'!G12,IF(M5=S20,'Single + Increasing Annuity(Bac'!G13, IF(M5=S21, 'Single + Increasing Annuity(Bac'!G14, IF(M5=S22, 'Single + Increasing Annuity(Bac'!G15)))))))))))</f>
        <v>#N/A</v>
      </c>
      <c r="N9" s="95"/>
      <c r="Q9" s="45" t="s">
        <v>157</v>
      </c>
      <c r="R9" s="45"/>
      <c r="S9" s="45" t="s">
        <v>177</v>
      </c>
    </row>
    <row r="10" spans="1:19" x14ac:dyDescent="0.2">
      <c r="A10" t="s">
        <v>29</v>
      </c>
      <c r="B10" s="21"/>
      <c r="I10" t="s">
        <v>29</v>
      </c>
      <c r="J10" s="21"/>
      <c r="Q10" s="45" t="s">
        <v>29</v>
      </c>
      <c r="R10" s="45"/>
      <c r="S10" s="45"/>
    </row>
    <row r="11" spans="1:19" x14ac:dyDescent="0.2">
      <c r="A11" t="s">
        <v>23</v>
      </c>
      <c r="D11" s="3" t="s">
        <v>199</v>
      </c>
      <c r="E11" s="67" t="e">
        <f>IF(E5=Q10, E9*(1+5%)^(-B9), "")</f>
        <v>#N/A</v>
      </c>
      <c r="I11" t="s">
        <v>23</v>
      </c>
      <c r="R11" s="45"/>
      <c r="S11" s="45"/>
    </row>
    <row r="12" spans="1:19" x14ac:dyDescent="0.2">
      <c r="I12" t="s">
        <v>186</v>
      </c>
      <c r="R12" s="45"/>
      <c r="S12" s="45" t="s">
        <v>83</v>
      </c>
    </row>
    <row r="13" spans="1:19" x14ac:dyDescent="0.2">
      <c r="A13" s="3" t="s">
        <v>148</v>
      </c>
      <c r="I13" t="s">
        <v>187</v>
      </c>
      <c r="R13" s="45"/>
      <c r="S13" s="45" t="s">
        <v>80</v>
      </c>
    </row>
    <row r="14" spans="1:19" x14ac:dyDescent="0.2">
      <c r="A14" s="3"/>
      <c r="I14" t="s">
        <v>191</v>
      </c>
      <c r="R14" s="45"/>
      <c r="S14" s="45" t="s">
        <v>192</v>
      </c>
    </row>
    <row r="15" spans="1:19" x14ac:dyDescent="0.2">
      <c r="A15" s="3" t="s">
        <v>149</v>
      </c>
      <c r="I15" t="s">
        <v>192</v>
      </c>
      <c r="R15" s="45"/>
      <c r="S15" s="45" t="s">
        <v>86</v>
      </c>
    </row>
    <row r="16" spans="1:19" x14ac:dyDescent="0.2">
      <c r="A16" s="3"/>
      <c r="R16" s="45"/>
      <c r="S16" s="45" t="s">
        <v>87</v>
      </c>
    </row>
    <row r="17" spans="1:19" x14ac:dyDescent="0.2">
      <c r="A17" s="3"/>
      <c r="R17" s="45"/>
      <c r="S17" s="45" t="s">
        <v>88</v>
      </c>
    </row>
    <row r="18" spans="1:19" x14ac:dyDescent="0.2">
      <c r="A18" s="3" t="s">
        <v>197</v>
      </c>
      <c r="R18" s="45"/>
      <c r="S18" s="45" t="s">
        <v>89</v>
      </c>
    </row>
    <row r="19" spans="1:19" x14ac:dyDescent="0.2">
      <c r="R19" s="45"/>
      <c r="S19" s="45" t="s">
        <v>102</v>
      </c>
    </row>
    <row r="20" spans="1:19" x14ac:dyDescent="0.2">
      <c r="R20" s="45"/>
      <c r="S20" s="45" t="s">
        <v>157</v>
      </c>
    </row>
    <row r="21" spans="1:19" x14ac:dyDescent="0.2">
      <c r="R21" s="45"/>
      <c r="S21" s="45" t="s">
        <v>158</v>
      </c>
    </row>
    <row r="22" spans="1:19" x14ac:dyDescent="0.2">
      <c r="R22" s="45"/>
      <c r="S22" s="45" t="s">
        <v>189</v>
      </c>
    </row>
  </sheetData>
  <mergeCells count="9">
    <mergeCell ref="E9:F9"/>
    <mergeCell ref="M9:N9"/>
    <mergeCell ref="A1:N1"/>
    <mergeCell ref="A2:E2"/>
    <mergeCell ref="I2:M2"/>
    <mergeCell ref="A3:B3"/>
    <mergeCell ref="D3:E3"/>
    <mergeCell ref="I3:J3"/>
    <mergeCell ref="L3:M3"/>
  </mergeCells>
  <dataValidations count="3">
    <dataValidation type="list" allowBlank="1" showInputMessage="1" showErrorMessage="1" sqref="E7 M7" xr:uid="{0A954680-C8A5-4B62-AF7D-1EC12C8B40D7}">
      <formula1>$AA$2:$AA$5</formula1>
    </dataValidation>
    <dataValidation type="list" allowBlank="1" showInputMessage="1" showErrorMessage="1" sqref="E5" xr:uid="{E8ECF534-A19F-46E2-AF9E-5754B9F4EB9C}">
      <formula1>$Q$6:$Q$10</formula1>
    </dataValidation>
    <dataValidation type="list" allowBlank="1" showInputMessage="1" showErrorMessage="1" sqref="M5" xr:uid="{62410C88-0A4F-493F-B7AF-8F6F5301F4A6}">
      <formula1>$S$12:$S$22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3EC52-69E2-45A2-8761-49CE0FE0F56B}">
  <dimension ref="A3:R890"/>
  <sheetViews>
    <sheetView topLeftCell="C42" zoomScaleNormal="70" workbookViewId="0">
      <selection activeCell="A71" sqref="A71:XFD71"/>
    </sheetView>
  </sheetViews>
  <sheetFormatPr baseColWidth="10" defaultColWidth="8.83203125" defaultRowHeight="15" x14ac:dyDescent="0.2"/>
  <cols>
    <col min="1" max="1" width="27.1640625" customWidth="1"/>
    <col min="2" max="2" width="20.5" customWidth="1"/>
    <col min="3" max="3" width="19.5" customWidth="1"/>
    <col min="4" max="4" width="18.33203125" customWidth="1"/>
    <col min="5" max="5" width="16.5" customWidth="1"/>
    <col min="6" max="6" width="32.5" customWidth="1"/>
    <col min="7" max="7" width="24.5" customWidth="1"/>
    <col min="8" max="8" width="14.5" customWidth="1"/>
    <col min="10" max="10" width="18.83203125" customWidth="1"/>
    <col min="11" max="11" width="17.1640625" customWidth="1"/>
    <col min="12" max="12" width="13.1640625" customWidth="1"/>
    <col min="13" max="13" width="16.83203125" customWidth="1"/>
    <col min="14" max="14" width="13.6640625" bestFit="1" customWidth="1"/>
    <col min="15" max="15" width="13.1640625" customWidth="1"/>
    <col min="16" max="16" width="16.1640625" customWidth="1"/>
    <col min="17" max="17" width="14" customWidth="1"/>
  </cols>
  <sheetData>
    <row r="3" spans="1:7" ht="19" x14ac:dyDescent="0.25">
      <c r="A3" s="73" t="s">
        <v>173</v>
      </c>
      <c r="B3" s="73"/>
      <c r="G3" s="62" t="s">
        <v>159</v>
      </c>
    </row>
    <row r="4" spans="1:7" x14ac:dyDescent="0.2">
      <c r="A4" t="s">
        <v>180</v>
      </c>
      <c r="B4">
        <f>'Single + Increasing Annuity'!B4</f>
        <v>0</v>
      </c>
      <c r="F4" t="s">
        <v>83</v>
      </c>
      <c r="G4" s="38" t="e">
        <f>B24 + B19*(((1+B20)^(B22*B23) - (1+B21)^(B23*B22))/(B20-B21))</f>
        <v>#DIV/0!</v>
      </c>
    </row>
    <row r="5" spans="1:7" x14ac:dyDescent="0.2">
      <c r="A5" t="s">
        <v>133</v>
      </c>
      <c r="B5">
        <f>'Single + Increasing Annuity'!B5</f>
        <v>0</v>
      </c>
      <c r="F5" t="s">
        <v>80</v>
      </c>
      <c r="G5" s="38" t="e">
        <f>(-B24 +B18*(1+B20)^(B22*B23))/(((1+B20)^(B22*B23) - (1+B21)^(B22*B23))/(B20-B21))</f>
        <v>#DIV/0!</v>
      </c>
    </row>
    <row r="6" spans="1:7" x14ac:dyDescent="0.2">
      <c r="A6" t="s">
        <v>134</v>
      </c>
      <c r="B6" s="66">
        <f>'Single + Increasing Annuity'!B6</f>
        <v>0</v>
      </c>
      <c r="G6" s="9"/>
    </row>
    <row r="7" spans="1:7" x14ac:dyDescent="0.2">
      <c r="A7" t="s">
        <v>135</v>
      </c>
      <c r="B7" s="66">
        <f>'Single + Increasing Annuity'!B7</f>
        <v>0</v>
      </c>
      <c r="F7" t="s">
        <v>85</v>
      </c>
      <c r="G7" s="38" t="e">
        <f>VLOOKUP(B29, A31:H636,2,  FALSE)</f>
        <v>#N/A</v>
      </c>
    </row>
    <row r="8" spans="1:7" x14ac:dyDescent="0.2">
      <c r="A8" t="s">
        <v>178</v>
      </c>
      <c r="B8">
        <f>'Single + Increasing Annuity'!B8</f>
        <v>0</v>
      </c>
      <c r="F8" t="s">
        <v>86</v>
      </c>
      <c r="G8" s="38" t="e">
        <f>VLOOKUP(B28, A31:H636,7,  FALSE)</f>
        <v>#N/A</v>
      </c>
    </row>
    <row r="9" spans="1:7" x14ac:dyDescent="0.2">
      <c r="A9" t="s">
        <v>179</v>
      </c>
      <c r="B9">
        <f>'Single + Increasing Annuity'!B9</f>
        <v>0</v>
      </c>
      <c r="F9" t="s">
        <v>87</v>
      </c>
      <c r="G9" s="38" t="e">
        <f>VLOOKUP(B28, A31:H636,5,  FALSE)</f>
        <v>#N/A</v>
      </c>
    </row>
    <row r="10" spans="1:7" x14ac:dyDescent="0.2">
      <c r="A10" t="s">
        <v>29</v>
      </c>
      <c r="B10" s="21">
        <v>1135009.3096318636</v>
      </c>
      <c r="F10" t="s">
        <v>88</v>
      </c>
      <c r="G10" s="38" t="e">
        <f>SUM(INDEX(C31:C611, MATCH(B26, A31:A611, 0)) : INDEX(C31:C611, MATCH(B27, A31:A611, 0)))</f>
        <v>#N/A</v>
      </c>
    </row>
    <row r="11" spans="1:7" x14ac:dyDescent="0.2">
      <c r="A11" t="s">
        <v>23</v>
      </c>
      <c r="B11">
        <f>'Single + Increasing Annuity'!B11</f>
        <v>0</v>
      </c>
      <c r="F11" t="s">
        <v>89</v>
      </c>
      <c r="G11" s="38" t="e">
        <f>SUM(INDEX(E31:E611, MATCH(B26, A31:A611, 0)) : INDEX(E31:E611, MATCH(B27, A31:A611, 0)))</f>
        <v>#N/A</v>
      </c>
    </row>
    <row r="12" spans="1:7" x14ac:dyDescent="0.2">
      <c r="F12" t="s">
        <v>102</v>
      </c>
      <c r="G12" s="38" t="e" cm="1">
        <f t="array" ref="G12">LOOKUP(2, 1/(B32:B611), B32:B611)</f>
        <v>#N/A</v>
      </c>
    </row>
    <row r="13" spans="1:7" x14ac:dyDescent="0.2">
      <c r="F13" t="s">
        <v>157</v>
      </c>
      <c r="G13" t="e" cm="1">
        <f t="array" ref="G13">LOOKUP(2, 1/(G32:G611), G32:G611)</f>
        <v>#N/A</v>
      </c>
    </row>
    <row r="14" spans="1:7" x14ac:dyDescent="0.2">
      <c r="F14" t="s">
        <v>158</v>
      </c>
      <c r="G14" t="e" cm="1">
        <f t="array" ref="G14">LOOKUP(2, 1/(H32:H611), H32:H611)</f>
        <v>#N/A</v>
      </c>
    </row>
    <row r="15" spans="1:7" x14ac:dyDescent="0.2">
      <c r="F15" t="s">
        <v>189</v>
      </c>
      <c r="G15" t="e" cm="1">
        <f t="array" ref="G15">LOOKUP(2, 1/(F32:F611), F32:F611)</f>
        <v>#N/A</v>
      </c>
    </row>
    <row r="17" spans="1:18" ht="19" x14ac:dyDescent="0.25">
      <c r="A17" s="99" t="s">
        <v>182</v>
      </c>
      <c r="B17" s="99"/>
      <c r="G17" s="63" t="s">
        <v>188</v>
      </c>
    </row>
    <row r="18" spans="1:18" x14ac:dyDescent="0.2">
      <c r="A18" t="s">
        <v>183</v>
      </c>
      <c r="B18">
        <f>'Single + Increasing Annuity'!J4</f>
        <v>0</v>
      </c>
      <c r="F18" t="s">
        <v>169</v>
      </c>
      <c r="G18" s="38" t="e">
        <f>(B10-B5*(((1+B6)^(B8*B9)-(1+B7)^(B9*B8)/B6-B7))/((1+B6)^(B8*B9)))</f>
        <v>#DIV/0!</v>
      </c>
    </row>
    <row r="19" spans="1:18" x14ac:dyDescent="0.2">
      <c r="A19" t="s">
        <v>133</v>
      </c>
      <c r="B19">
        <f>'Single + Increasing Annuity'!J5</f>
        <v>0</v>
      </c>
      <c r="F19" t="s">
        <v>80</v>
      </c>
      <c r="G19" s="38" t="e">
        <f>(B10 - B4*(1+B6)^(B8*B9))/(((1+B6)^(B8*B9) - (1+B7)^(B8*B9))/(B6 - B7))</f>
        <v>#DIV/0!</v>
      </c>
    </row>
    <row r="20" spans="1:18" x14ac:dyDescent="0.2">
      <c r="A20" t="s">
        <v>134</v>
      </c>
      <c r="B20" s="1">
        <f>'Single + Increasing Annuity'!J6</f>
        <v>0</v>
      </c>
      <c r="G20" s="9"/>
    </row>
    <row r="21" spans="1:18" x14ac:dyDescent="0.2">
      <c r="A21" t="s">
        <v>135</v>
      </c>
      <c r="B21" s="1">
        <f>'Single + Increasing Annuity'!J7</f>
        <v>0</v>
      </c>
      <c r="G21" s="9"/>
    </row>
    <row r="22" spans="1:18" x14ac:dyDescent="0.2">
      <c r="A22" t="s">
        <v>178</v>
      </c>
      <c r="B22">
        <f>'Single + Increasing Annuity'!J8</f>
        <v>0</v>
      </c>
      <c r="F22" t="s">
        <v>23</v>
      </c>
      <c r="G22" s="38">
        <f>B10*(1+B6)^(-B8*B9)</f>
        <v>1135009.3096318636</v>
      </c>
    </row>
    <row r="23" spans="1:18" x14ac:dyDescent="0.2">
      <c r="A23" t="s">
        <v>179</v>
      </c>
      <c r="B23">
        <f>'Single + Increasing Annuity'!J9</f>
        <v>0</v>
      </c>
      <c r="F23" t="s">
        <v>157</v>
      </c>
      <c r="G23" t="e" cm="1">
        <f t="array" ref="G23">LOOKUP(2, 1/(Q32:Q611), Q32:Q611)</f>
        <v>#N/A</v>
      </c>
    </row>
    <row r="24" spans="1:18" x14ac:dyDescent="0.2">
      <c r="A24" t="s">
        <v>29</v>
      </c>
      <c r="B24" s="21">
        <v>0</v>
      </c>
      <c r="F24" t="s">
        <v>29</v>
      </c>
      <c r="G24" t="e" cm="1">
        <f t="array" ref="G24">LOOKUP(2, 1/(P32:P611), P32:P611)</f>
        <v>#N/A</v>
      </c>
    </row>
    <row r="25" spans="1:18" x14ac:dyDescent="0.2">
      <c r="A25" t="s">
        <v>23</v>
      </c>
      <c r="B25">
        <f>'Single + Increasing Annuity'!J11</f>
        <v>0</v>
      </c>
    </row>
    <row r="26" spans="1:18" x14ac:dyDescent="0.2">
      <c r="A26" t="s">
        <v>186</v>
      </c>
      <c r="B26">
        <f>'Single + Increasing Annuity'!J12</f>
        <v>0</v>
      </c>
    </row>
    <row r="27" spans="1:18" x14ac:dyDescent="0.2">
      <c r="A27" t="s">
        <v>187</v>
      </c>
      <c r="B27">
        <f>'Single + Increasing Annuity'!J13</f>
        <v>0</v>
      </c>
    </row>
    <row r="28" spans="1:18" x14ac:dyDescent="0.2">
      <c r="A28" t="s">
        <v>190</v>
      </c>
      <c r="B28">
        <f>'Single + Increasing Annuity'!J14</f>
        <v>0</v>
      </c>
    </row>
    <row r="29" spans="1:18" x14ac:dyDescent="0.2">
      <c r="A29" t="s">
        <v>192</v>
      </c>
      <c r="B29">
        <f>'Single + Increasing Annuity'!J15</f>
        <v>0</v>
      </c>
    </row>
    <row r="30" spans="1:18" ht="21" x14ac:dyDescent="0.25">
      <c r="A30" s="83" t="s">
        <v>185</v>
      </c>
      <c r="B30" s="83"/>
      <c r="C30" s="83"/>
      <c r="D30" s="83"/>
      <c r="E30" s="83"/>
      <c r="F30" s="83"/>
      <c r="G30" s="83"/>
      <c r="H30" s="83"/>
      <c r="L30" s="100" t="s">
        <v>97</v>
      </c>
      <c r="M30" s="100"/>
      <c r="N30" s="100"/>
      <c r="O30" s="100"/>
      <c r="P30" s="100"/>
      <c r="Q30" s="100"/>
      <c r="R30" s="100"/>
    </row>
    <row r="31" spans="1:18" x14ac:dyDescent="0.2">
      <c r="A31" t="s">
        <v>24</v>
      </c>
      <c r="B31" t="s">
        <v>93</v>
      </c>
      <c r="C31" t="s">
        <v>25</v>
      </c>
      <c r="D31" t="s">
        <v>80</v>
      </c>
      <c r="E31" t="s">
        <v>94</v>
      </c>
      <c r="F31" t="s">
        <v>111</v>
      </c>
      <c r="G31" t="s">
        <v>95</v>
      </c>
      <c r="H31" t="s">
        <v>96</v>
      </c>
      <c r="L31" s="3" t="s">
        <v>24</v>
      </c>
      <c r="M31" s="3" t="s">
        <v>93</v>
      </c>
      <c r="N31" s="3" t="s">
        <v>25</v>
      </c>
      <c r="O31" s="3" t="s">
        <v>80</v>
      </c>
      <c r="P31" s="3" t="s">
        <v>111</v>
      </c>
      <c r="Q31" s="3" t="s">
        <v>95</v>
      </c>
      <c r="R31" s="3"/>
    </row>
    <row r="32" spans="1:18" x14ac:dyDescent="0.2">
      <c r="A32">
        <v>1</v>
      </c>
      <c r="B32" s="38">
        <f>B18</f>
        <v>0</v>
      </c>
      <c r="C32" s="38">
        <f>$B$20*B32</f>
        <v>0</v>
      </c>
      <c r="D32" s="38">
        <f>$B$19</f>
        <v>0</v>
      </c>
      <c r="E32" s="38">
        <f>D32-C32</f>
        <v>0</v>
      </c>
      <c r="F32" s="38">
        <f>B32-E32</f>
        <v>0</v>
      </c>
      <c r="G32" s="38">
        <f>C32</f>
        <v>0</v>
      </c>
      <c r="H32" s="38">
        <f>E32</f>
        <v>0</v>
      </c>
      <c r="L32">
        <v>1</v>
      </c>
      <c r="M32" s="38">
        <f>B4</f>
        <v>0</v>
      </c>
      <c r="N32" s="38">
        <f>$B$6 *M32</f>
        <v>0</v>
      </c>
      <c r="O32" s="38">
        <f>B5</f>
        <v>0</v>
      </c>
      <c r="P32" s="38">
        <f>M32+N32+O32</f>
        <v>0</v>
      </c>
      <c r="Q32" s="38">
        <f>N32</f>
        <v>0</v>
      </c>
      <c r="R32" s="38"/>
    </row>
    <row r="33" spans="1:18" x14ac:dyDescent="0.2">
      <c r="A33" t="str">
        <f>IF(A32&lt;($B$22*$B$23),A32+1,"")</f>
        <v/>
      </c>
      <c r="B33" s="38" t="str">
        <f>IF(A33="","",F32)</f>
        <v/>
      </c>
      <c r="C33" s="38" t="str">
        <f>IF(A33="","",(B33*$B$20))</f>
        <v/>
      </c>
      <c r="D33" s="38" t="str">
        <f>IF(A33="","", D32*(1+$B$21))</f>
        <v/>
      </c>
      <c r="E33" s="38" t="str">
        <f>IF(D33="","",(D33-C33))</f>
        <v/>
      </c>
      <c r="F33" s="38" t="str">
        <f>IF(A33="","", B33-E33)</f>
        <v/>
      </c>
      <c r="G33" s="38" t="str">
        <f>IF(A33="","", (G32+C33))</f>
        <v/>
      </c>
      <c r="H33" s="38" t="str">
        <f>IF(A33="","",(H32+E33))</f>
        <v/>
      </c>
      <c r="L33" t="str">
        <f>IF(L32&lt;($B$8*$B$9),L32+1,"")</f>
        <v/>
      </c>
      <c r="M33" s="38" t="str">
        <f t="shared" ref="M33:M96" si="0">IF(L33="","",P32)</f>
        <v/>
      </c>
      <c r="N33" s="38" t="str">
        <f>IF(L33="","",(M33 *$B$6))</f>
        <v/>
      </c>
      <c r="O33" s="38" t="str">
        <f>IF(L33="","",O32*(1+$B$7))</f>
        <v/>
      </c>
      <c r="P33" s="38" t="str">
        <f t="shared" ref="P33:P96" si="1">IF(L33="","", M33+N33+O33)</f>
        <v/>
      </c>
      <c r="Q33" s="38" t="str">
        <f t="shared" ref="Q33:Q96" si="2">IF(L33="","", (Q32+N33))</f>
        <v/>
      </c>
      <c r="R33" s="38"/>
    </row>
    <row r="34" spans="1:18" x14ac:dyDescent="0.2">
      <c r="A34" t="str">
        <f t="shared" ref="A34:A97" si="3">IF(A33&lt;($B$22*$B$23),A33+1,"")</f>
        <v/>
      </c>
      <c r="B34" s="38" t="str">
        <f t="shared" ref="B34:B97" si="4">IF(A34="","",F33)</f>
        <v/>
      </c>
      <c r="C34" s="38" t="str">
        <f>IF(A34="","",(B34*$B$20))</f>
        <v/>
      </c>
      <c r="D34" s="38" t="str">
        <f t="shared" ref="D34:D97" si="5">IF(A34="","", D33*(1+$B$21))</f>
        <v/>
      </c>
      <c r="E34" s="38" t="str">
        <f t="shared" ref="E34:E97" si="6">IF(D34="","",(D34-C34))</f>
        <v/>
      </c>
      <c r="F34" s="38" t="str">
        <f t="shared" ref="F34:F97" si="7">IF(A34="","", B34-E34)</f>
        <v/>
      </c>
      <c r="G34" s="38" t="str">
        <f t="shared" ref="G34:G97" si="8">IF(A34="","", (G33+C34))</f>
        <v/>
      </c>
      <c r="H34" s="38" t="str">
        <f t="shared" ref="H34:H97" si="9">IF(A34="","",(H33+E34))</f>
        <v/>
      </c>
      <c r="L34" t="str">
        <f t="shared" ref="L34:L97" si="10">IF(L33&lt;($B$8*$B$9),L33+1,"")</f>
        <v/>
      </c>
      <c r="M34" s="38" t="str">
        <f t="shared" si="0"/>
        <v/>
      </c>
      <c r="N34" s="38" t="str">
        <f t="shared" ref="N34:N97" si="11">IF(L34="","",(M34 *$B$6))</f>
        <v/>
      </c>
      <c r="O34" s="38" t="str">
        <f t="shared" ref="O34:O97" si="12">IF(L34="","",O33*(1+$B$7))</f>
        <v/>
      </c>
      <c r="P34" s="38" t="str">
        <f t="shared" si="1"/>
        <v/>
      </c>
      <c r="Q34" s="38" t="str">
        <f t="shared" si="2"/>
        <v/>
      </c>
      <c r="R34" s="38"/>
    </row>
    <row r="35" spans="1:18" x14ac:dyDescent="0.2">
      <c r="A35" t="str">
        <f t="shared" si="3"/>
        <v/>
      </c>
      <c r="B35" s="38" t="str">
        <f t="shared" si="4"/>
        <v/>
      </c>
      <c r="C35" s="38" t="str">
        <f t="shared" ref="C35:C98" si="13">IF(A35="","",(B35*$B$20))</f>
        <v/>
      </c>
      <c r="D35" s="38" t="str">
        <f t="shared" si="5"/>
        <v/>
      </c>
      <c r="E35" s="38" t="str">
        <f t="shared" si="6"/>
        <v/>
      </c>
      <c r="F35" s="38" t="str">
        <f t="shared" si="7"/>
        <v/>
      </c>
      <c r="G35" s="38" t="str">
        <f t="shared" si="8"/>
        <v/>
      </c>
      <c r="H35" s="38" t="str">
        <f t="shared" si="9"/>
        <v/>
      </c>
      <c r="L35" t="str">
        <f t="shared" si="10"/>
        <v/>
      </c>
      <c r="M35" s="38" t="str">
        <f t="shared" si="0"/>
        <v/>
      </c>
      <c r="N35" s="38" t="str">
        <f t="shared" si="11"/>
        <v/>
      </c>
      <c r="O35" s="38" t="str">
        <f t="shared" si="12"/>
        <v/>
      </c>
      <c r="P35" s="38" t="str">
        <f t="shared" si="1"/>
        <v/>
      </c>
      <c r="Q35" s="38" t="str">
        <f t="shared" si="2"/>
        <v/>
      </c>
      <c r="R35" s="38"/>
    </row>
    <row r="36" spans="1:18" x14ac:dyDescent="0.2">
      <c r="A36" t="str">
        <f t="shared" si="3"/>
        <v/>
      </c>
      <c r="B36" s="38" t="str">
        <f t="shared" si="4"/>
        <v/>
      </c>
      <c r="C36" s="38" t="str">
        <f t="shared" si="13"/>
        <v/>
      </c>
      <c r="D36" s="38" t="str">
        <f t="shared" si="5"/>
        <v/>
      </c>
      <c r="E36" s="38" t="str">
        <f t="shared" si="6"/>
        <v/>
      </c>
      <c r="F36" s="38" t="str">
        <f t="shared" si="7"/>
        <v/>
      </c>
      <c r="G36" s="38" t="str">
        <f t="shared" si="8"/>
        <v/>
      </c>
      <c r="H36" s="38" t="str">
        <f t="shared" si="9"/>
        <v/>
      </c>
      <c r="L36" t="str">
        <f t="shared" si="10"/>
        <v/>
      </c>
      <c r="M36" s="38" t="str">
        <f t="shared" si="0"/>
        <v/>
      </c>
      <c r="N36" s="38" t="str">
        <f t="shared" si="11"/>
        <v/>
      </c>
      <c r="O36" s="38" t="str">
        <f t="shared" si="12"/>
        <v/>
      </c>
      <c r="P36" s="38" t="str">
        <f t="shared" si="1"/>
        <v/>
      </c>
      <c r="Q36" s="38" t="str">
        <f t="shared" si="2"/>
        <v/>
      </c>
      <c r="R36" s="38"/>
    </row>
    <row r="37" spans="1:18" x14ac:dyDescent="0.2">
      <c r="A37" t="str">
        <f t="shared" si="3"/>
        <v/>
      </c>
      <c r="B37" s="38" t="str">
        <f t="shared" si="4"/>
        <v/>
      </c>
      <c r="C37" s="38" t="str">
        <f t="shared" si="13"/>
        <v/>
      </c>
      <c r="D37" s="38" t="str">
        <f t="shared" si="5"/>
        <v/>
      </c>
      <c r="E37" s="38" t="str">
        <f t="shared" si="6"/>
        <v/>
      </c>
      <c r="F37" s="38" t="str">
        <f t="shared" si="7"/>
        <v/>
      </c>
      <c r="G37" s="38" t="str">
        <f t="shared" si="8"/>
        <v/>
      </c>
      <c r="H37" s="38" t="str">
        <f t="shared" si="9"/>
        <v/>
      </c>
      <c r="L37" t="str">
        <f t="shared" si="10"/>
        <v/>
      </c>
      <c r="M37" s="38" t="str">
        <f t="shared" si="0"/>
        <v/>
      </c>
      <c r="N37" s="38" t="str">
        <f t="shared" si="11"/>
        <v/>
      </c>
      <c r="O37" s="38" t="str">
        <f t="shared" si="12"/>
        <v/>
      </c>
      <c r="P37" s="38" t="str">
        <f t="shared" si="1"/>
        <v/>
      </c>
      <c r="Q37" s="38" t="str">
        <f t="shared" si="2"/>
        <v/>
      </c>
      <c r="R37" s="38"/>
    </row>
    <row r="38" spans="1:18" x14ac:dyDescent="0.2">
      <c r="A38" t="str">
        <f t="shared" si="3"/>
        <v/>
      </c>
      <c r="B38" s="38" t="str">
        <f t="shared" si="4"/>
        <v/>
      </c>
      <c r="C38" s="38" t="str">
        <f t="shared" si="13"/>
        <v/>
      </c>
      <c r="D38" s="38" t="str">
        <f t="shared" si="5"/>
        <v/>
      </c>
      <c r="E38" s="38" t="str">
        <f t="shared" si="6"/>
        <v/>
      </c>
      <c r="F38" s="38" t="str">
        <f t="shared" si="7"/>
        <v/>
      </c>
      <c r="G38" s="38" t="str">
        <f t="shared" si="8"/>
        <v/>
      </c>
      <c r="H38" s="38" t="str">
        <f t="shared" si="9"/>
        <v/>
      </c>
      <c r="L38" t="str">
        <f t="shared" si="10"/>
        <v/>
      </c>
      <c r="M38" s="38" t="str">
        <f t="shared" si="0"/>
        <v/>
      </c>
      <c r="N38" s="38" t="str">
        <f t="shared" si="11"/>
        <v/>
      </c>
      <c r="O38" s="38" t="str">
        <f t="shared" si="12"/>
        <v/>
      </c>
      <c r="P38" s="38" t="str">
        <f t="shared" si="1"/>
        <v/>
      </c>
      <c r="Q38" s="38" t="str">
        <f t="shared" si="2"/>
        <v/>
      </c>
      <c r="R38" s="38"/>
    </row>
    <row r="39" spans="1:18" x14ac:dyDescent="0.2">
      <c r="A39" t="str">
        <f t="shared" si="3"/>
        <v/>
      </c>
      <c r="B39" s="38" t="str">
        <f t="shared" si="4"/>
        <v/>
      </c>
      <c r="C39" s="38" t="str">
        <f t="shared" si="13"/>
        <v/>
      </c>
      <c r="D39" s="38" t="str">
        <f t="shared" si="5"/>
        <v/>
      </c>
      <c r="E39" s="38" t="str">
        <f t="shared" si="6"/>
        <v/>
      </c>
      <c r="F39" s="38" t="str">
        <f t="shared" si="7"/>
        <v/>
      </c>
      <c r="G39" s="38" t="str">
        <f t="shared" si="8"/>
        <v/>
      </c>
      <c r="H39" s="38" t="str">
        <f t="shared" si="9"/>
        <v/>
      </c>
      <c r="L39" t="str">
        <f t="shared" si="10"/>
        <v/>
      </c>
      <c r="M39" s="38" t="str">
        <f t="shared" si="0"/>
        <v/>
      </c>
      <c r="N39" s="38" t="str">
        <f t="shared" si="11"/>
        <v/>
      </c>
      <c r="O39" s="38" t="str">
        <f t="shared" si="12"/>
        <v/>
      </c>
      <c r="P39" s="38" t="str">
        <f t="shared" si="1"/>
        <v/>
      </c>
      <c r="Q39" s="38" t="str">
        <f t="shared" si="2"/>
        <v/>
      </c>
      <c r="R39" s="38"/>
    </row>
    <row r="40" spans="1:18" x14ac:dyDescent="0.2">
      <c r="A40" t="str">
        <f t="shared" si="3"/>
        <v/>
      </c>
      <c r="B40" s="38" t="str">
        <f t="shared" si="4"/>
        <v/>
      </c>
      <c r="C40" s="38" t="str">
        <f t="shared" si="13"/>
        <v/>
      </c>
      <c r="D40" s="38" t="str">
        <f t="shared" si="5"/>
        <v/>
      </c>
      <c r="E40" s="38" t="str">
        <f t="shared" si="6"/>
        <v/>
      </c>
      <c r="F40" s="38" t="str">
        <f t="shared" si="7"/>
        <v/>
      </c>
      <c r="G40" s="38" t="str">
        <f t="shared" si="8"/>
        <v/>
      </c>
      <c r="H40" s="38" t="str">
        <f t="shared" si="9"/>
        <v/>
      </c>
      <c r="L40" t="str">
        <f t="shared" si="10"/>
        <v/>
      </c>
      <c r="M40" s="38" t="str">
        <f t="shared" si="0"/>
        <v/>
      </c>
      <c r="N40" s="38" t="str">
        <f t="shared" si="11"/>
        <v/>
      </c>
      <c r="O40" s="38" t="str">
        <f t="shared" si="12"/>
        <v/>
      </c>
      <c r="P40" s="38" t="str">
        <f t="shared" si="1"/>
        <v/>
      </c>
      <c r="Q40" s="38" t="str">
        <f t="shared" si="2"/>
        <v/>
      </c>
      <c r="R40" s="38"/>
    </row>
    <row r="41" spans="1:18" x14ac:dyDescent="0.2">
      <c r="A41" t="str">
        <f t="shared" si="3"/>
        <v/>
      </c>
      <c r="B41" s="38" t="str">
        <f t="shared" si="4"/>
        <v/>
      </c>
      <c r="C41" s="38" t="str">
        <f t="shared" si="13"/>
        <v/>
      </c>
      <c r="D41" s="38" t="str">
        <f t="shared" si="5"/>
        <v/>
      </c>
      <c r="E41" s="38" t="str">
        <f t="shared" si="6"/>
        <v/>
      </c>
      <c r="F41" s="38" t="str">
        <f t="shared" si="7"/>
        <v/>
      </c>
      <c r="G41" s="38" t="str">
        <f t="shared" si="8"/>
        <v/>
      </c>
      <c r="H41" s="38" t="str">
        <f t="shared" si="9"/>
        <v/>
      </c>
      <c r="L41" t="str">
        <f t="shared" si="10"/>
        <v/>
      </c>
      <c r="M41" s="38" t="str">
        <f t="shared" si="0"/>
        <v/>
      </c>
      <c r="N41" s="38" t="str">
        <f t="shared" si="11"/>
        <v/>
      </c>
      <c r="O41" s="38" t="str">
        <f t="shared" si="12"/>
        <v/>
      </c>
      <c r="P41" s="38" t="str">
        <f t="shared" si="1"/>
        <v/>
      </c>
      <c r="Q41" s="38" t="str">
        <f t="shared" si="2"/>
        <v/>
      </c>
      <c r="R41" s="38"/>
    </row>
    <row r="42" spans="1:18" x14ac:dyDescent="0.2">
      <c r="A42" t="str">
        <f t="shared" si="3"/>
        <v/>
      </c>
      <c r="B42" s="38" t="str">
        <f t="shared" si="4"/>
        <v/>
      </c>
      <c r="C42" s="38" t="str">
        <f t="shared" si="13"/>
        <v/>
      </c>
      <c r="D42" s="38" t="str">
        <f t="shared" si="5"/>
        <v/>
      </c>
      <c r="E42" s="38" t="str">
        <f t="shared" si="6"/>
        <v/>
      </c>
      <c r="F42" s="38" t="str">
        <f t="shared" si="7"/>
        <v/>
      </c>
      <c r="G42" s="38" t="str">
        <f t="shared" si="8"/>
        <v/>
      </c>
      <c r="H42" s="38" t="str">
        <f t="shared" si="9"/>
        <v/>
      </c>
      <c r="L42" t="str">
        <f t="shared" si="10"/>
        <v/>
      </c>
      <c r="M42" s="38" t="str">
        <f t="shared" si="0"/>
        <v/>
      </c>
      <c r="N42" s="38" t="str">
        <f t="shared" si="11"/>
        <v/>
      </c>
      <c r="O42" s="38" t="str">
        <f t="shared" si="12"/>
        <v/>
      </c>
      <c r="P42" s="38" t="str">
        <f t="shared" si="1"/>
        <v/>
      </c>
      <c r="Q42" s="38" t="str">
        <f t="shared" si="2"/>
        <v/>
      </c>
      <c r="R42" s="38"/>
    </row>
    <row r="43" spans="1:18" x14ac:dyDescent="0.2">
      <c r="A43" t="str">
        <f t="shared" si="3"/>
        <v/>
      </c>
      <c r="B43" s="38" t="str">
        <f t="shared" si="4"/>
        <v/>
      </c>
      <c r="C43" s="38" t="str">
        <f t="shared" si="13"/>
        <v/>
      </c>
      <c r="D43" s="38" t="str">
        <f t="shared" si="5"/>
        <v/>
      </c>
      <c r="E43" s="38" t="str">
        <f t="shared" si="6"/>
        <v/>
      </c>
      <c r="F43" s="38" t="str">
        <f t="shared" si="7"/>
        <v/>
      </c>
      <c r="G43" s="38" t="str">
        <f t="shared" si="8"/>
        <v/>
      </c>
      <c r="H43" s="38" t="str">
        <f t="shared" si="9"/>
        <v/>
      </c>
      <c r="L43" t="str">
        <f t="shared" si="10"/>
        <v/>
      </c>
      <c r="M43" s="38" t="str">
        <f t="shared" si="0"/>
        <v/>
      </c>
      <c r="N43" s="38" t="str">
        <f t="shared" si="11"/>
        <v/>
      </c>
      <c r="O43" s="38" t="str">
        <f t="shared" si="12"/>
        <v/>
      </c>
      <c r="P43" s="38" t="str">
        <f t="shared" si="1"/>
        <v/>
      </c>
      <c r="Q43" s="38" t="str">
        <f t="shared" si="2"/>
        <v/>
      </c>
      <c r="R43" s="38"/>
    </row>
    <row r="44" spans="1:18" x14ac:dyDescent="0.2">
      <c r="A44" t="str">
        <f t="shared" si="3"/>
        <v/>
      </c>
      <c r="B44" s="38" t="str">
        <f t="shared" si="4"/>
        <v/>
      </c>
      <c r="C44" s="38" t="str">
        <f t="shared" si="13"/>
        <v/>
      </c>
      <c r="D44" s="38" t="str">
        <f t="shared" si="5"/>
        <v/>
      </c>
      <c r="E44" s="38" t="str">
        <f t="shared" si="6"/>
        <v/>
      </c>
      <c r="F44" s="38" t="str">
        <f t="shared" si="7"/>
        <v/>
      </c>
      <c r="G44" s="38" t="str">
        <f t="shared" si="8"/>
        <v/>
      </c>
      <c r="H44" s="38" t="str">
        <f t="shared" si="9"/>
        <v/>
      </c>
      <c r="L44" t="str">
        <f t="shared" si="10"/>
        <v/>
      </c>
      <c r="M44" s="38" t="str">
        <f t="shared" si="0"/>
        <v/>
      </c>
      <c r="N44" s="38" t="str">
        <f t="shared" si="11"/>
        <v/>
      </c>
      <c r="O44" s="38" t="str">
        <f t="shared" si="12"/>
        <v/>
      </c>
      <c r="P44" s="38" t="str">
        <f t="shared" si="1"/>
        <v/>
      </c>
      <c r="Q44" s="38" t="str">
        <f t="shared" si="2"/>
        <v/>
      </c>
      <c r="R44" s="38"/>
    </row>
    <row r="45" spans="1:18" x14ac:dyDescent="0.2">
      <c r="A45" t="str">
        <f t="shared" si="3"/>
        <v/>
      </c>
      <c r="B45" s="38" t="str">
        <f t="shared" si="4"/>
        <v/>
      </c>
      <c r="C45" s="38" t="str">
        <f t="shared" si="13"/>
        <v/>
      </c>
      <c r="D45" s="38" t="str">
        <f t="shared" si="5"/>
        <v/>
      </c>
      <c r="E45" s="38" t="str">
        <f t="shared" si="6"/>
        <v/>
      </c>
      <c r="F45" s="38" t="str">
        <f t="shared" si="7"/>
        <v/>
      </c>
      <c r="G45" s="38" t="str">
        <f t="shared" si="8"/>
        <v/>
      </c>
      <c r="H45" s="38" t="str">
        <f t="shared" si="9"/>
        <v/>
      </c>
      <c r="L45" t="str">
        <f t="shared" si="10"/>
        <v/>
      </c>
      <c r="M45" s="38" t="str">
        <f t="shared" si="0"/>
        <v/>
      </c>
      <c r="N45" s="38" t="str">
        <f t="shared" si="11"/>
        <v/>
      </c>
      <c r="O45" s="38" t="str">
        <f t="shared" si="12"/>
        <v/>
      </c>
      <c r="P45" s="38" t="str">
        <f t="shared" si="1"/>
        <v/>
      </c>
      <c r="Q45" s="38" t="str">
        <f t="shared" si="2"/>
        <v/>
      </c>
      <c r="R45" s="38"/>
    </row>
    <row r="46" spans="1:18" x14ac:dyDescent="0.2">
      <c r="A46" t="str">
        <f t="shared" si="3"/>
        <v/>
      </c>
      <c r="B46" s="38" t="str">
        <f t="shared" si="4"/>
        <v/>
      </c>
      <c r="C46" s="38" t="str">
        <f t="shared" si="13"/>
        <v/>
      </c>
      <c r="D46" s="38" t="str">
        <f t="shared" si="5"/>
        <v/>
      </c>
      <c r="E46" s="38" t="str">
        <f t="shared" si="6"/>
        <v/>
      </c>
      <c r="F46" s="38" t="str">
        <f t="shared" si="7"/>
        <v/>
      </c>
      <c r="G46" s="38" t="str">
        <f t="shared" si="8"/>
        <v/>
      </c>
      <c r="H46" s="38" t="str">
        <f t="shared" si="9"/>
        <v/>
      </c>
      <c r="L46" t="str">
        <f t="shared" si="10"/>
        <v/>
      </c>
      <c r="M46" s="38" t="str">
        <f t="shared" si="0"/>
        <v/>
      </c>
      <c r="N46" s="38" t="str">
        <f t="shared" si="11"/>
        <v/>
      </c>
      <c r="O46" s="38" t="str">
        <f t="shared" si="12"/>
        <v/>
      </c>
      <c r="P46" s="38" t="str">
        <f t="shared" si="1"/>
        <v/>
      </c>
      <c r="Q46" s="38" t="str">
        <f t="shared" si="2"/>
        <v/>
      </c>
      <c r="R46" s="38"/>
    </row>
    <row r="47" spans="1:18" x14ac:dyDescent="0.2">
      <c r="A47" t="str">
        <f t="shared" si="3"/>
        <v/>
      </c>
      <c r="B47" s="38" t="str">
        <f t="shared" si="4"/>
        <v/>
      </c>
      <c r="C47" s="38" t="str">
        <f t="shared" si="13"/>
        <v/>
      </c>
      <c r="D47" s="38" t="str">
        <f t="shared" si="5"/>
        <v/>
      </c>
      <c r="E47" s="38" t="str">
        <f t="shared" si="6"/>
        <v/>
      </c>
      <c r="F47" s="38" t="str">
        <f t="shared" si="7"/>
        <v/>
      </c>
      <c r="G47" s="38" t="str">
        <f t="shared" si="8"/>
        <v/>
      </c>
      <c r="H47" s="38" t="str">
        <f t="shared" si="9"/>
        <v/>
      </c>
      <c r="L47" t="str">
        <f t="shared" si="10"/>
        <v/>
      </c>
      <c r="M47" s="38" t="str">
        <f t="shared" si="0"/>
        <v/>
      </c>
      <c r="N47" s="38" t="str">
        <f t="shared" si="11"/>
        <v/>
      </c>
      <c r="O47" s="38" t="str">
        <f t="shared" si="12"/>
        <v/>
      </c>
      <c r="P47" s="38" t="str">
        <f t="shared" si="1"/>
        <v/>
      </c>
      <c r="Q47" s="38" t="str">
        <f t="shared" si="2"/>
        <v/>
      </c>
      <c r="R47" s="38"/>
    </row>
    <row r="48" spans="1:18" x14ac:dyDescent="0.2">
      <c r="A48" t="str">
        <f t="shared" si="3"/>
        <v/>
      </c>
      <c r="B48" s="38" t="str">
        <f t="shared" si="4"/>
        <v/>
      </c>
      <c r="C48" s="38" t="str">
        <f t="shared" si="13"/>
        <v/>
      </c>
      <c r="D48" s="38" t="str">
        <f t="shared" si="5"/>
        <v/>
      </c>
      <c r="E48" s="38" t="str">
        <f t="shared" si="6"/>
        <v/>
      </c>
      <c r="F48" s="38" t="str">
        <f t="shared" si="7"/>
        <v/>
      </c>
      <c r="G48" s="38" t="str">
        <f t="shared" si="8"/>
        <v/>
      </c>
      <c r="H48" s="38" t="str">
        <f t="shared" si="9"/>
        <v/>
      </c>
      <c r="L48" t="str">
        <f t="shared" si="10"/>
        <v/>
      </c>
      <c r="M48" s="38" t="str">
        <f t="shared" si="0"/>
        <v/>
      </c>
      <c r="N48" s="38" t="str">
        <f t="shared" si="11"/>
        <v/>
      </c>
      <c r="O48" s="38" t="str">
        <f t="shared" si="12"/>
        <v/>
      </c>
      <c r="P48" s="38" t="str">
        <f t="shared" si="1"/>
        <v/>
      </c>
      <c r="Q48" s="38" t="str">
        <f t="shared" si="2"/>
        <v/>
      </c>
      <c r="R48" s="38"/>
    </row>
    <row r="49" spans="1:18" x14ac:dyDescent="0.2">
      <c r="A49" t="str">
        <f t="shared" si="3"/>
        <v/>
      </c>
      <c r="B49" s="38" t="str">
        <f t="shared" si="4"/>
        <v/>
      </c>
      <c r="C49" s="38" t="str">
        <f t="shared" si="13"/>
        <v/>
      </c>
      <c r="D49" s="38" t="str">
        <f t="shared" si="5"/>
        <v/>
      </c>
      <c r="E49" s="38" t="str">
        <f t="shared" si="6"/>
        <v/>
      </c>
      <c r="F49" s="38" t="str">
        <f t="shared" si="7"/>
        <v/>
      </c>
      <c r="G49" s="38" t="str">
        <f t="shared" si="8"/>
        <v/>
      </c>
      <c r="H49" s="38" t="str">
        <f t="shared" si="9"/>
        <v/>
      </c>
      <c r="L49" t="str">
        <f t="shared" si="10"/>
        <v/>
      </c>
      <c r="M49" s="38" t="str">
        <f t="shared" si="0"/>
        <v/>
      </c>
      <c r="N49" s="38" t="str">
        <f t="shared" si="11"/>
        <v/>
      </c>
      <c r="O49" s="38" t="str">
        <f t="shared" si="12"/>
        <v/>
      </c>
      <c r="P49" s="38" t="str">
        <f t="shared" si="1"/>
        <v/>
      </c>
      <c r="Q49" s="38" t="str">
        <f t="shared" si="2"/>
        <v/>
      </c>
      <c r="R49" s="38"/>
    </row>
    <row r="50" spans="1:18" x14ac:dyDescent="0.2">
      <c r="A50" t="str">
        <f t="shared" si="3"/>
        <v/>
      </c>
      <c r="B50" s="38" t="str">
        <f t="shared" si="4"/>
        <v/>
      </c>
      <c r="C50" s="38" t="str">
        <f t="shared" si="13"/>
        <v/>
      </c>
      <c r="D50" s="38" t="str">
        <f t="shared" si="5"/>
        <v/>
      </c>
      <c r="E50" s="38" t="str">
        <f t="shared" si="6"/>
        <v/>
      </c>
      <c r="F50" s="38" t="str">
        <f t="shared" si="7"/>
        <v/>
      </c>
      <c r="G50" s="38" t="str">
        <f t="shared" si="8"/>
        <v/>
      </c>
      <c r="H50" s="38" t="str">
        <f t="shared" si="9"/>
        <v/>
      </c>
      <c r="L50" t="str">
        <f t="shared" si="10"/>
        <v/>
      </c>
      <c r="M50" s="38" t="str">
        <f t="shared" si="0"/>
        <v/>
      </c>
      <c r="N50" s="38" t="str">
        <f t="shared" si="11"/>
        <v/>
      </c>
      <c r="O50" s="38" t="str">
        <f t="shared" si="12"/>
        <v/>
      </c>
      <c r="P50" s="38" t="str">
        <f t="shared" si="1"/>
        <v/>
      </c>
      <c r="Q50" s="38" t="str">
        <f t="shared" si="2"/>
        <v/>
      </c>
      <c r="R50" s="38"/>
    </row>
    <row r="51" spans="1:18" x14ac:dyDescent="0.2">
      <c r="A51" t="str">
        <f t="shared" si="3"/>
        <v/>
      </c>
      <c r="B51" s="38" t="str">
        <f t="shared" si="4"/>
        <v/>
      </c>
      <c r="C51" s="38" t="str">
        <f t="shared" si="13"/>
        <v/>
      </c>
      <c r="D51" s="38" t="str">
        <f t="shared" si="5"/>
        <v/>
      </c>
      <c r="E51" s="38" t="str">
        <f t="shared" si="6"/>
        <v/>
      </c>
      <c r="F51" s="38" t="str">
        <f t="shared" si="7"/>
        <v/>
      </c>
      <c r="G51" s="38" t="str">
        <f t="shared" si="8"/>
        <v/>
      </c>
      <c r="H51" s="38" t="str">
        <f t="shared" si="9"/>
        <v/>
      </c>
      <c r="L51" t="str">
        <f t="shared" si="10"/>
        <v/>
      </c>
      <c r="M51" s="38" t="str">
        <f t="shared" si="0"/>
        <v/>
      </c>
      <c r="N51" s="38" t="str">
        <f t="shared" si="11"/>
        <v/>
      </c>
      <c r="O51" s="38" t="str">
        <f t="shared" si="12"/>
        <v/>
      </c>
      <c r="P51" s="38" t="str">
        <f t="shared" si="1"/>
        <v/>
      </c>
      <c r="Q51" s="38" t="str">
        <f t="shared" si="2"/>
        <v/>
      </c>
      <c r="R51" s="38"/>
    </row>
    <row r="52" spans="1:18" x14ac:dyDescent="0.2">
      <c r="A52" t="str">
        <f t="shared" si="3"/>
        <v/>
      </c>
      <c r="B52" s="38" t="str">
        <f t="shared" si="4"/>
        <v/>
      </c>
      <c r="C52" s="38" t="str">
        <f t="shared" si="13"/>
        <v/>
      </c>
      <c r="D52" s="38" t="str">
        <f t="shared" si="5"/>
        <v/>
      </c>
      <c r="E52" s="38" t="str">
        <f t="shared" si="6"/>
        <v/>
      </c>
      <c r="F52" s="38" t="str">
        <f t="shared" si="7"/>
        <v/>
      </c>
      <c r="G52" s="38" t="str">
        <f t="shared" si="8"/>
        <v/>
      </c>
      <c r="H52" s="38" t="str">
        <f t="shared" si="9"/>
        <v/>
      </c>
      <c r="L52" t="str">
        <f t="shared" si="10"/>
        <v/>
      </c>
      <c r="M52" s="38" t="str">
        <f t="shared" si="0"/>
        <v/>
      </c>
      <c r="N52" s="38" t="str">
        <f t="shared" si="11"/>
        <v/>
      </c>
      <c r="O52" s="38" t="str">
        <f t="shared" si="12"/>
        <v/>
      </c>
      <c r="P52" s="38" t="str">
        <f t="shared" si="1"/>
        <v/>
      </c>
      <c r="Q52" s="38" t="str">
        <f t="shared" si="2"/>
        <v/>
      </c>
      <c r="R52" s="38"/>
    </row>
    <row r="53" spans="1:18" x14ac:dyDescent="0.2">
      <c r="A53" t="str">
        <f t="shared" si="3"/>
        <v/>
      </c>
      <c r="B53" s="38" t="str">
        <f t="shared" si="4"/>
        <v/>
      </c>
      <c r="C53" s="38" t="str">
        <f t="shared" si="13"/>
        <v/>
      </c>
      <c r="D53" s="38" t="str">
        <f t="shared" si="5"/>
        <v/>
      </c>
      <c r="E53" s="38" t="str">
        <f t="shared" si="6"/>
        <v/>
      </c>
      <c r="F53" s="38" t="str">
        <f t="shared" si="7"/>
        <v/>
      </c>
      <c r="G53" s="38" t="str">
        <f t="shared" si="8"/>
        <v/>
      </c>
      <c r="H53" s="38" t="str">
        <f t="shared" si="9"/>
        <v/>
      </c>
      <c r="L53" t="str">
        <f t="shared" si="10"/>
        <v/>
      </c>
      <c r="M53" s="38" t="str">
        <f t="shared" si="0"/>
        <v/>
      </c>
      <c r="N53" s="38" t="str">
        <f t="shared" si="11"/>
        <v/>
      </c>
      <c r="O53" s="38" t="str">
        <f t="shared" si="12"/>
        <v/>
      </c>
      <c r="P53" s="38" t="str">
        <f t="shared" si="1"/>
        <v/>
      </c>
      <c r="Q53" s="38" t="str">
        <f t="shared" si="2"/>
        <v/>
      </c>
      <c r="R53" s="38"/>
    </row>
    <row r="54" spans="1:18" x14ac:dyDescent="0.2">
      <c r="A54" t="str">
        <f t="shared" si="3"/>
        <v/>
      </c>
      <c r="B54" s="38" t="str">
        <f t="shared" si="4"/>
        <v/>
      </c>
      <c r="C54" s="38" t="str">
        <f t="shared" si="13"/>
        <v/>
      </c>
      <c r="D54" s="38" t="str">
        <f t="shared" si="5"/>
        <v/>
      </c>
      <c r="E54" s="38" t="str">
        <f t="shared" si="6"/>
        <v/>
      </c>
      <c r="F54" s="38" t="str">
        <f t="shared" si="7"/>
        <v/>
      </c>
      <c r="G54" s="38" t="str">
        <f t="shared" si="8"/>
        <v/>
      </c>
      <c r="H54" s="38" t="str">
        <f t="shared" si="9"/>
        <v/>
      </c>
      <c r="L54" t="str">
        <f t="shared" si="10"/>
        <v/>
      </c>
      <c r="M54" s="38" t="str">
        <f t="shared" si="0"/>
        <v/>
      </c>
      <c r="N54" s="38" t="str">
        <f t="shared" si="11"/>
        <v/>
      </c>
      <c r="O54" s="38" t="str">
        <f t="shared" si="12"/>
        <v/>
      </c>
      <c r="P54" s="38" t="str">
        <f t="shared" si="1"/>
        <v/>
      </c>
      <c r="Q54" s="38" t="str">
        <f t="shared" si="2"/>
        <v/>
      </c>
      <c r="R54" s="38"/>
    </row>
    <row r="55" spans="1:18" x14ac:dyDescent="0.2">
      <c r="A55" t="str">
        <f t="shared" si="3"/>
        <v/>
      </c>
      <c r="B55" s="38" t="str">
        <f t="shared" si="4"/>
        <v/>
      </c>
      <c r="C55" s="38" t="str">
        <f t="shared" si="13"/>
        <v/>
      </c>
      <c r="D55" s="38" t="str">
        <f t="shared" si="5"/>
        <v/>
      </c>
      <c r="E55" s="38" t="str">
        <f t="shared" si="6"/>
        <v/>
      </c>
      <c r="F55" s="38" t="str">
        <f t="shared" si="7"/>
        <v/>
      </c>
      <c r="G55" s="38" t="str">
        <f t="shared" si="8"/>
        <v/>
      </c>
      <c r="H55" s="38" t="str">
        <f t="shared" si="9"/>
        <v/>
      </c>
      <c r="L55" t="str">
        <f t="shared" si="10"/>
        <v/>
      </c>
      <c r="M55" s="38" t="str">
        <f t="shared" si="0"/>
        <v/>
      </c>
      <c r="N55" s="38" t="str">
        <f t="shared" si="11"/>
        <v/>
      </c>
      <c r="O55" s="38" t="str">
        <f t="shared" si="12"/>
        <v/>
      </c>
      <c r="P55" s="38" t="str">
        <f t="shared" si="1"/>
        <v/>
      </c>
      <c r="Q55" s="38" t="str">
        <f t="shared" si="2"/>
        <v/>
      </c>
      <c r="R55" s="38"/>
    </row>
    <row r="56" spans="1:18" x14ac:dyDescent="0.2">
      <c r="A56" t="str">
        <f t="shared" si="3"/>
        <v/>
      </c>
      <c r="B56" s="38" t="str">
        <f t="shared" si="4"/>
        <v/>
      </c>
      <c r="C56" s="38" t="str">
        <f t="shared" si="13"/>
        <v/>
      </c>
      <c r="D56" s="38" t="str">
        <f t="shared" si="5"/>
        <v/>
      </c>
      <c r="E56" s="38" t="str">
        <f t="shared" si="6"/>
        <v/>
      </c>
      <c r="F56" s="38" t="str">
        <f t="shared" si="7"/>
        <v/>
      </c>
      <c r="G56" s="38" t="str">
        <f t="shared" si="8"/>
        <v/>
      </c>
      <c r="H56" s="38" t="str">
        <f t="shared" si="9"/>
        <v/>
      </c>
      <c r="L56" t="str">
        <f t="shared" si="10"/>
        <v/>
      </c>
      <c r="M56" s="38" t="str">
        <f t="shared" si="0"/>
        <v/>
      </c>
      <c r="N56" s="38" t="str">
        <f t="shared" si="11"/>
        <v/>
      </c>
      <c r="O56" s="38" t="str">
        <f t="shared" si="12"/>
        <v/>
      </c>
      <c r="P56" s="38" t="str">
        <f t="shared" si="1"/>
        <v/>
      </c>
      <c r="Q56" s="38" t="str">
        <f t="shared" si="2"/>
        <v/>
      </c>
      <c r="R56" s="38"/>
    </row>
    <row r="57" spans="1:18" x14ac:dyDescent="0.2">
      <c r="A57" t="str">
        <f t="shared" si="3"/>
        <v/>
      </c>
      <c r="B57" s="38" t="str">
        <f t="shared" si="4"/>
        <v/>
      </c>
      <c r="C57" s="38" t="str">
        <f t="shared" si="13"/>
        <v/>
      </c>
      <c r="D57" s="38" t="str">
        <f t="shared" si="5"/>
        <v/>
      </c>
      <c r="E57" s="38" t="str">
        <f t="shared" si="6"/>
        <v/>
      </c>
      <c r="F57" s="38" t="str">
        <f t="shared" si="7"/>
        <v/>
      </c>
      <c r="G57" s="38" t="str">
        <f t="shared" si="8"/>
        <v/>
      </c>
      <c r="H57" s="38" t="str">
        <f t="shared" si="9"/>
        <v/>
      </c>
      <c r="L57" t="str">
        <f t="shared" si="10"/>
        <v/>
      </c>
      <c r="M57" s="38" t="str">
        <f t="shared" si="0"/>
        <v/>
      </c>
      <c r="N57" s="38" t="str">
        <f t="shared" si="11"/>
        <v/>
      </c>
      <c r="O57" s="38" t="str">
        <f t="shared" si="12"/>
        <v/>
      </c>
      <c r="P57" s="38" t="str">
        <f t="shared" si="1"/>
        <v/>
      </c>
      <c r="Q57" s="38" t="str">
        <f t="shared" si="2"/>
        <v/>
      </c>
      <c r="R57" s="38"/>
    </row>
    <row r="58" spans="1:18" x14ac:dyDescent="0.2">
      <c r="A58" t="str">
        <f t="shared" si="3"/>
        <v/>
      </c>
      <c r="B58" s="38" t="str">
        <f t="shared" si="4"/>
        <v/>
      </c>
      <c r="C58" s="38" t="str">
        <f t="shared" si="13"/>
        <v/>
      </c>
      <c r="D58" s="38" t="str">
        <f t="shared" si="5"/>
        <v/>
      </c>
      <c r="E58" s="38" t="str">
        <f t="shared" si="6"/>
        <v/>
      </c>
      <c r="F58" s="38" t="str">
        <f t="shared" si="7"/>
        <v/>
      </c>
      <c r="G58" s="38" t="str">
        <f t="shared" si="8"/>
        <v/>
      </c>
      <c r="H58" s="38" t="str">
        <f t="shared" si="9"/>
        <v/>
      </c>
      <c r="L58" t="str">
        <f t="shared" si="10"/>
        <v/>
      </c>
      <c r="M58" s="38" t="str">
        <f t="shared" si="0"/>
        <v/>
      </c>
      <c r="N58" s="38" t="str">
        <f t="shared" si="11"/>
        <v/>
      </c>
      <c r="O58" s="38" t="str">
        <f t="shared" si="12"/>
        <v/>
      </c>
      <c r="P58" s="38" t="str">
        <f t="shared" si="1"/>
        <v/>
      </c>
      <c r="Q58" s="38" t="str">
        <f t="shared" si="2"/>
        <v/>
      </c>
      <c r="R58" s="38"/>
    </row>
    <row r="59" spans="1:18" x14ac:dyDescent="0.2">
      <c r="A59" t="str">
        <f t="shared" si="3"/>
        <v/>
      </c>
      <c r="B59" s="38" t="str">
        <f t="shared" si="4"/>
        <v/>
      </c>
      <c r="C59" s="38" t="str">
        <f t="shared" si="13"/>
        <v/>
      </c>
      <c r="D59" s="38" t="str">
        <f t="shared" si="5"/>
        <v/>
      </c>
      <c r="E59" s="38" t="str">
        <f t="shared" si="6"/>
        <v/>
      </c>
      <c r="F59" s="38" t="str">
        <f t="shared" si="7"/>
        <v/>
      </c>
      <c r="G59" s="38" t="str">
        <f t="shared" si="8"/>
        <v/>
      </c>
      <c r="H59" s="38" t="str">
        <f t="shared" si="9"/>
        <v/>
      </c>
      <c r="L59" t="str">
        <f t="shared" si="10"/>
        <v/>
      </c>
      <c r="M59" s="38" t="str">
        <f t="shared" si="0"/>
        <v/>
      </c>
      <c r="N59" s="38" t="str">
        <f t="shared" si="11"/>
        <v/>
      </c>
      <c r="O59" s="38" t="str">
        <f t="shared" si="12"/>
        <v/>
      </c>
      <c r="P59" s="38" t="str">
        <f t="shared" si="1"/>
        <v/>
      </c>
      <c r="Q59" s="38" t="str">
        <f t="shared" si="2"/>
        <v/>
      </c>
      <c r="R59" s="38"/>
    </row>
    <row r="60" spans="1:18" x14ac:dyDescent="0.2">
      <c r="A60" t="str">
        <f t="shared" si="3"/>
        <v/>
      </c>
      <c r="B60" s="38" t="str">
        <f t="shared" si="4"/>
        <v/>
      </c>
      <c r="C60" s="38" t="str">
        <f t="shared" si="13"/>
        <v/>
      </c>
      <c r="D60" s="38" t="str">
        <f t="shared" si="5"/>
        <v/>
      </c>
      <c r="E60" s="38" t="str">
        <f t="shared" si="6"/>
        <v/>
      </c>
      <c r="F60" s="38" t="str">
        <f t="shared" si="7"/>
        <v/>
      </c>
      <c r="G60" s="38" t="str">
        <f t="shared" si="8"/>
        <v/>
      </c>
      <c r="H60" s="38" t="str">
        <f t="shared" si="9"/>
        <v/>
      </c>
      <c r="L60" t="str">
        <f t="shared" si="10"/>
        <v/>
      </c>
      <c r="M60" s="38" t="str">
        <f t="shared" si="0"/>
        <v/>
      </c>
      <c r="N60" s="38" t="str">
        <f t="shared" si="11"/>
        <v/>
      </c>
      <c r="O60" s="38" t="str">
        <f t="shared" si="12"/>
        <v/>
      </c>
      <c r="P60" s="38" t="str">
        <f t="shared" si="1"/>
        <v/>
      </c>
      <c r="Q60" s="38" t="str">
        <f t="shared" si="2"/>
        <v/>
      </c>
      <c r="R60" s="38"/>
    </row>
    <row r="61" spans="1:18" x14ac:dyDescent="0.2">
      <c r="A61" t="str">
        <f t="shared" si="3"/>
        <v/>
      </c>
      <c r="B61" s="38" t="str">
        <f t="shared" si="4"/>
        <v/>
      </c>
      <c r="C61" s="38" t="str">
        <f t="shared" si="13"/>
        <v/>
      </c>
      <c r="D61" s="38" t="str">
        <f t="shared" si="5"/>
        <v/>
      </c>
      <c r="E61" s="38" t="str">
        <f t="shared" si="6"/>
        <v/>
      </c>
      <c r="F61" s="38" t="str">
        <f t="shared" si="7"/>
        <v/>
      </c>
      <c r="G61" s="38" t="str">
        <f t="shared" si="8"/>
        <v/>
      </c>
      <c r="H61" s="38" t="str">
        <f t="shared" si="9"/>
        <v/>
      </c>
      <c r="L61" t="str">
        <f t="shared" si="10"/>
        <v/>
      </c>
      <c r="M61" s="38" t="str">
        <f t="shared" si="0"/>
        <v/>
      </c>
      <c r="N61" s="38" t="str">
        <f t="shared" si="11"/>
        <v/>
      </c>
      <c r="O61" s="38" t="str">
        <f t="shared" si="12"/>
        <v/>
      </c>
      <c r="P61" s="38" t="str">
        <f t="shared" si="1"/>
        <v/>
      </c>
      <c r="Q61" s="38" t="str">
        <f t="shared" si="2"/>
        <v/>
      </c>
      <c r="R61" s="38"/>
    </row>
    <row r="62" spans="1:18" x14ac:dyDescent="0.2">
      <c r="A62" t="str">
        <f t="shared" si="3"/>
        <v/>
      </c>
      <c r="B62" s="38" t="str">
        <f t="shared" si="4"/>
        <v/>
      </c>
      <c r="C62" s="38" t="str">
        <f t="shared" si="13"/>
        <v/>
      </c>
      <c r="D62" s="38" t="str">
        <f t="shared" si="5"/>
        <v/>
      </c>
      <c r="E62" s="38" t="str">
        <f t="shared" si="6"/>
        <v/>
      </c>
      <c r="F62" s="38" t="str">
        <f t="shared" si="7"/>
        <v/>
      </c>
      <c r="G62" s="38" t="str">
        <f t="shared" si="8"/>
        <v/>
      </c>
      <c r="H62" s="38" t="str">
        <f t="shared" si="9"/>
        <v/>
      </c>
      <c r="L62" t="str">
        <f t="shared" si="10"/>
        <v/>
      </c>
      <c r="M62" s="38" t="str">
        <f t="shared" si="0"/>
        <v/>
      </c>
      <c r="N62" s="38" t="str">
        <f t="shared" si="11"/>
        <v/>
      </c>
      <c r="O62" s="38" t="str">
        <f t="shared" si="12"/>
        <v/>
      </c>
      <c r="P62" s="38" t="str">
        <f t="shared" si="1"/>
        <v/>
      </c>
      <c r="Q62" s="38" t="str">
        <f t="shared" si="2"/>
        <v/>
      </c>
      <c r="R62" s="38"/>
    </row>
    <row r="63" spans="1:18" x14ac:dyDescent="0.2">
      <c r="A63" t="str">
        <f t="shared" si="3"/>
        <v/>
      </c>
      <c r="B63" s="38" t="str">
        <f t="shared" si="4"/>
        <v/>
      </c>
      <c r="C63" s="38" t="str">
        <f t="shared" si="13"/>
        <v/>
      </c>
      <c r="D63" s="38" t="str">
        <f t="shared" si="5"/>
        <v/>
      </c>
      <c r="E63" s="38" t="str">
        <f t="shared" si="6"/>
        <v/>
      </c>
      <c r="F63" s="38" t="str">
        <f t="shared" si="7"/>
        <v/>
      </c>
      <c r="G63" s="38" t="str">
        <f t="shared" si="8"/>
        <v/>
      </c>
      <c r="H63" s="38" t="str">
        <f t="shared" si="9"/>
        <v/>
      </c>
      <c r="L63" t="str">
        <f t="shared" si="10"/>
        <v/>
      </c>
      <c r="M63" s="38" t="str">
        <f t="shared" si="0"/>
        <v/>
      </c>
      <c r="N63" s="38" t="str">
        <f t="shared" si="11"/>
        <v/>
      </c>
      <c r="O63" s="38" t="str">
        <f t="shared" si="12"/>
        <v/>
      </c>
      <c r="P63" s="38" t="str">
        <f t="shared" si="1"/>
        <v/>
      </c>
      <c r="Q63" s="38" t="str">
        <f t="shared" si="2"/>
        <v/>
      </c>
      <c r="R63" s="38"/>
    </row>
    <row r="64" spans="1:18" x14ac:dyDescent="0.2">
      <c r="A64" t="str">
        <f t="shared" si="3"/>
        <v/>
      </c>
      <c r="B64" s="38" t="str">
        <f t="shared" si="4"/>
        <v/>
      </c>
      <c r="C64" s="38" t="str">
        <f t="shared" si="13"/>
        <v/>
      </c>
      <c r="D64" s="38" t="str">
        <f t="shared" si="5"/>
        <v/>
      </c>
      <c r="E64" s="38" t="str">
        <f t="shared" si="6"/>
        <v/>
      </c>
      <c r="F64" s="38" t="str">
        <f t="shared" si="7"/>
        <v/>
      </c>
      <c r="G64" s="38" t="str">
        <f t="shared" si="8"/>
        <v/>
      </c>
      <c r="H64" s="38" t="str">
        <f t="shared" si="9"/>
        <v/>
      </c>
      <c r="L64" t="str">
        <f t="shared" si="10"/>
        <v/>
      </c>
      <c r="M64" s="38" t="str">
        <f t="shared" si="0"/>
        <v/>
      </c>
      <c r="N64" s="38" t="str">
        <f t="shared" si="11"/>
        <v/>
      </c>
      <c r="O64" s="38" t="str">
        <f t="shared" si="12"/>
        <v/>
      </c>
      <c r="P64" s="38" t="str">
        <f t="shared" si="1"/>
        <v/>
      </c>
      <c r="Q64" s="38" t="str">
        <f t="shared" si="2"/>
        <v/>
      </c>
      <c r="R64" s="38"/>
    </row>
    <row r="65" spans="1:18" x14ac:dyDescent="0.2">
      <c r="A65" t="str">
        <f t="shared" si="3"/>
        <v/>
      </c>
      <c r="B65" s="38" t="str">
        <f t="shared" si="4"/>
        <v/>
      </c>
      <c r="C65" s="38" t="str">
        <f t="shared" si="13"/>
        <v/>
      </c>
      <c r="D65" s="38" t="str">
        <f t="shared" si="5"/>
        <v/>
      </c>
      <c r="E65" s="38" t="str">
        <f t="shared" si="6"/>
        <v/>
      </c>
      <c r="F65" s="38" t="str">
        <f t="shared" si="7"/>
        <v/>
      </c>
      <c r="G65" s="38" t="str">
        <f t="shared" si="8"/>
        <v/>
      </c>
      <c r="H65" s="38" t="str">
        <f t="shared" si="9"/>
        <v/>
      </c>
      <c r="L65" t="str">
        <f t="shared" si="10"/>
        <v/>
      </c>
      <c r="M65" s="38" t="str">
        <f t="shared" si="0"/>
        <v/>
      </c>
      <c r="N65" s="38" t="str">
        <f t="shared" si="11"/>
        <v/>
      </c>
      <c r="O65" s="38" t="str">
        <f t="shared" si="12"/>
        <v/>
      </c>
      <c r="P65" s="38" t="str">
        <f t="shared" si="1"/>
        <v/>
      </c>
      <c r="Q65" s="38" t="str">
        <f t="shared" si="2"/>
        <v/>
      </c>
      <c r="R65" s="38"/>
    </row>
    <row r="66" spans="1:18" x14ac:dyDescent="0.2">
      <c r="A66" t="str">
        <f t="shared" si="3"/>
        <v/>
      </c>
      <c r="B66" s="38" t="str">
        <f t="shared" si="4"/>
        <v/>
      </c>
      <c r="C66" s="38" t="str">
        <f t="shared" si="13"/>
        <v/>
      </c>
      <c r="D66" s="38" t="str">
        <f t="shared" si="5"/>
        <v/>
      </c>
      <c r="E66" s="38" t="str">
        <f t="shared" si="6"/>
        <v/>
      </c>
      <c r="F66" s="38" t="str">
        <f t="shared" si="7"/>
        <v/>
      </c>
      <c r="G66" s="38" t="str">
        <f t="shared" si="8"/>
        <v/>
      </c>
      <c r="H66" s="38" t="str">
        <f t="shared" si="9"/>
        <v/>
      </c>
      <c r="L66" t="str">
        <f t="shared" si="10"/>
        <v/>
      </c>
      <c r="M66" s="38" t="str">
        <f t="shared" si="0"/>
        <v/>
      </c>
      <c r="N66" s="38" t="str">
        <f t="shared" si="11"/>
        <v/>
      </c>
      <c r="O66" s="38" t="str">
        <f t="shared" si="12"/>
        <v/>
      </c>
      <c r="P66" s="38" t="str">
        <f t="shared" si="1"/>
        <v/>
      </c>
      <c r="Q66" s="38" t="str">
        <f t="shared" si="2"/>
        <v/>
      </c>
      <c r="R66" s="38"/>
    </row>
    <row r="67" spans="1:18" x14ac:dyDescent="0.2">
      <c r="A67" t="str">
        <f t="shared" si="3"/>
        <v/>
      </c>
      <c r="B67" s="38" t="str">
        <f t="shared" si="4"/>
        <v/>
      </c>
      <c r="C67" s="38" t="str">
        <f t="shared" si="13"/>
        <v/>
      </c>
      <c r="D67" s="38" t="str">
        <f t="shared" si="5"/>
        <v/>
      </c>
      <c r="E67" s="38" t="str">
        <f t="shared" si="6"/>
        <v/>
      </c>
      <c r="F67" s="38" t="str">
        <f t="shared" si="7"/>
        <v/>
      </c>
      <c r="G67" s="38" t="str">
        <f t="shared" si="8"/>
        <v/>
      </c>
      <c r="H67" s="38" t="str">
        <f t="shared" si="9"/>
        <v/>
      </c>
      <c r="L67" t="str">
        <f t="shared" si="10"/>
        <v/>
      </c>
      <c r="M67" s="38" t="str">
        <f t="shared" si="0"/>
        <v/>
      </c>
      <c r="N67" s="38" t="str">
        <f t="shared" si="11"/>
        <v/>
      </c>
      <c r="O67" s="38" t="str">
        <f t="shared" si="12"/>
        <v/>
      </c>
      <c r="P67" s="38" t="str">
        <f t="shared" si="1"/>
        <v/>
      </c>
      <c r="Q67" s="38" t="str">
        <f t="shared" si="2"/>
        <v/>
      </c>
      <c r="R67" s="38"/>
    </row>
    <row r="68" spans="1:18" x14ac:dyDescent="0.2">
      <c r="A68" t="str">
        <f t="shared" si="3"/>
        <v/>
      </c>
      <c r="B68" s="38" t="str">
        <f t="shared" si="4"/>
        <v/>
      </c>
      <c r="C68" s="38" t="str">
        <f t="shared" si="13"/>
        <v/>
      </c>
      <c r="D68" s="38" t="str">
        <f t="shared" si="5"/>
        <v/>
      </c>
      <c r="E68" s="38" t="str">
        <f t="shared" si="6"/>
        <v/>
      </c>
      <c r="F68" s="38" t="str">
        <f t="shared" si="7"/>
        <v/>
      </c>
      <c r="G68" s="38" t="str">
        <f t="shared" si="8"/>
        <v/>
      </c>
      <c r="H68" s="38" t="str">
        <f t="shared" si="9"/>
        <v/>
      </c>
      <c r="L68" t="str">
        <f t="shared" si="10"/>
        <v/>
      </c>
      <c r="M68" s="38" t="str">
        <f t="shared" si="0"/>
        <v/>
      </c>
      <c r="N68" s="38" t="str">
        <f t="shared" si="11"/>
        <v/>
      </c>
      <c r="O68" s="38" t="str">
        <f t="shared" si="12"/>
        <v/>
      </c>
      <c r="P68" s="38" t="str">
        <f t="shared" si="1"/>
        <v/>
      </c>
      <c r="Q68" s="38" t="str">
        <f t="shared" si="2"/>
        <v/>
      </c>
      <c r="R68" s="38"/>
    </row>
    <row r="69" spans="1:18" x14ac:dyDescent="0.2">
      <c r="A69" t="str">
        <f t="shared" si="3"/>
        <v/>
      </c>
      <c r="B69" s="38" t="str">
        <f t="shared" si="4"/>
        <v/>
      </c>
      <c r="C69" s="38" t="str">
        <f t="shared" si="13"/>
        <v/>
      </c>
      <c r="D69" s="38" t="str">
        <f t="shared" si="5"/>
        <v/>
      </c>
      <c r="E69" s="38" t="str">
        <f t="shared" si="6"/>
        <v/>
      </c>
      <c r="F69" s="38" t="str">
        <f t="shared" si="7"/>
        <v/>
      </c>
      <c r="G69" s="38" t="str">
        <f t="shared" si="8"/>
        <v/>
      </c>
      <c r="H69" s="38" t="str">
        <f t="shared" si="9"/>
        <v/>
      </c>
      <c r="L69" t="str">
        <f t="shared" si="10"/>
        <v/>
      </c>
      <c r="M69" s="38" t="str">
        <f t="shared" si="0"/>
        <v/>
      </c>
      <c r="N69" s="38" t="str">
        <f t="shared" si="11"/>
        <v/>
      </c>
      <c r="O69" s="38" t="str">
        <f t="shared" si="12"/>
        <v/>
      </c>
      <c r="P69" s="38" t="str">
        <f t="shared" si="1"/>
        <v/>
      </c>
      <c r="Q69" s="38" t="str">
        <f t="shared" si="2"/>
        <v/>
      </c>
      <c r="R69" s="38"/>
    </row>
    <row r="70" spans="1:18" x14ac:dyDescent="0.2">
      <c r="A70" t="str">
        <f t="shared" si="3"/>
        <v/>
      </c>
      <c r="B70" s="38" t="str">
        <f t="shared" si="4"/>
        <v/>
      </c>
      <c r="C70" s="38" t="str">
        <f t="shared" si="13"/>
        <v/>
      </c>
      <c r="D70" s="38" t="str">
        <f t="shared" si="5"/>
        <v/>
      </c>
      <c r="E70" s="38" t="str">
        <f t="shared" si="6"/>
        <v/>
      </c>
      <c r="F70" s="38" t="str">
        <f t="shared" si="7"/>
        <v/>
      </c>
      <c r="G70" s="38" t="str">
        <f t="shared" si="8"/>
        <v/>
      </c>
      <c r="H70" s="38" t="str">
        <f t="shared" si="9"/>
        <v/>
      </c>
      <c r="L70" t="str">
        <f t="shared" si="10"/>
        <v/>
      </c>
      <c r="M70" s="38" t="str">
        <f t="shared" si="0"/>
        <v/>
      </c>
      <c r="N70" s="38" t="str">
        <f t="shared" si="11"/>
        <v/>
      </c>
      <c r="O70" s="38" t="str">
        <f t="shared" si="12"/>
        <v/>
      </c>
      <c r="P70" s="38" t="str">
        <f t="shared" si="1"/>
        <v/>
      </c>
      <c r="Q70" s="38" t="str">
        <f t="shared" si="2"/>
        <v/>
      </c>
      <c r="R70" s="38"/>
    </row>
    <row r="71" spans="1:18" x14ac:dyDescent="0.2">
      <c r="A71" t="str">
        <f t="shared" si="3"/>
        <v/>
      </c>
      <c r="B71" s="38" t="str">
        <f t="shared" si="4"/>
        <v/>
      </c>
      <c r="C71" s="38" t="str">
        <f t="shared" si="13"/>
        <v/>
      </c>
      <c r="D71" s="38" t="str">
        <f t="shared" si="5"/>
        <v/>
      </c>
      <c r="E71" s="38" t="str">
        <f t="shared" si="6"/>
        <v/>
      </c>
      <c r="F71" s="38" t="str">
        <f t="shared" si="7"/>
        <v/>
      </c>
      <c r="G71" s="38" t="str">
        <f t="shared" si="8"/>
        <v/>
      </c>
      <c r="H71" s="38" t="str">
        <f t="shared" si="9"/>
        <v/>
      </c>
      <c r="L71" t="str">
        <f t="shared" si="10"/>
        <v/>
      </c>
      <c r="M71" s="38" t="str">
        <f t="shared" si="0"/>
        <v/>
      </c>
      <c r="N71" s="38" t="str">
        <f t="shared" si="11"/>
        <v/>
      </c>
      <c r="O71" s="38" t="str">
        <f t="shared" si="12"/>
        <v/>
      </c>
      <c r="P71" s="38" t="str">
        <f t="shared" si="1"/>
        <v/>
      </c>
      <c r="Q71" s="38" t="str">
        <f t="shared" si="2"/>
        <v/>
      </c>
      <c r="R71" s="38"/>
    </row>
    <row r="72" spans="1:18" x14ac:dyDescent="0.2">
      <c r="A72" t="str">
        <f t="shared" si="3"/>
        <v/>
      </c>
      <c r="B72" s="38" t="str">
        <f t="shared" si="4"/>
        <v/>
      </c>
      <c r="C72" s="38" t="str">
        <f t="shared" si="13"/>
        <v/>
      </c>
      <c r="D72" s="38" t="str">
        <f t="shared" si="5"/>
        <v/>
      </c>
      <c r="E72" s="38" t="str">
        <f t="shared" si="6"/>
        <v/>
      </c>
      <c r="F72" s="38" t="str">
        <f t="shared" si="7"/>
        <v/>
      </c>
      <c r="G72" s="38" t="str">
        <f t="shared" si="8"/>
        <v/>
      </c>
      <c r="H72" s="38" t="str">
        <f t="shared" si="9"/>
        <v/>
      </c>
      <c r="L72" t="str">
        <f t="shared" si="10"/>
        <v/>
      </c>
      <c r="M72" s="38" t="str">
        <f t="shared" si="0"/>
        <v/>
      </c>
      <c r="N72" s="38" t="str">
        <f t="shared" si="11"/>
        <v/>
      </c>
      <c r="O72" s="38" t="str">
        <f t="shared" si="12"/>
        <v/>
      </c>
      <c r="P72" s="38" t="str">
        <f t="shared" si="1"/>
        <v/>
      </c>
      <c r="Q72" s="38" t="str">
        <f t="shared" si="2"/>
        <v/>
      </c>
      <c r="R72" s="38"/>
    </row>
    <row r="73" spans="1:18" x14ac:dyDescent="0.2">
      <c r="A73" t="str">
        <f t="shared" si="3"/>
        <v/>
      </c>
      <c r="B73" s="38" t="str">
        <f t="shared" si="4"/>
        <v/>
      </c>
      <c r="C73" s="38" t="str">
        <f t="shared" si="13"/>
        <v/>
      </c>
      <c r="D73" s="38" t="str">
        <f t="shared" si="5"/>
        <v/>
      </c>
      <c r="E73" s="38" t="str">
        <f t="shared" si="6"/>
        <v/>
      </c>
      <c r="F73" s="38" t="str">
        <f t="shared" si="7"/>
        <v/>
      </c>
      <c r="G73" s="38" t="str">
        <f t="shared" si="8"/>
        <v/>
      </c>
      <c r="H73" s="38" t="str">
        <f t="shared" si="9"/>
        <v/>
      </c>
      <c r="L73" t="str">
        <f t="shared" si="10"/>
        <v/>
      </c>
      <c r="M73" s="38" t="str">
        <f t="shared" si="0"/>
        <v/>
      </c>
      <c r="N73" s="38" t="str">
        <f t="shared" si="11"/>
        <v/>
      </c>
      <c r="O73" s="38" t="str">
        <f t="shared" si="12"/>
        <v/>
      </c>
      <c r="P73" s="38" t="str">
        <f t="shared" si="1"/>
        <v/>
      </c>
      <c r="Q73" s="38" t="str">
        <f t="shared" si="2"/>
        <v/>
      </c>
      <c r="R73" s="38"/>
    </row>
    <row r="74" spans="1:18" x14ac:dyDescent="0.2">
      <c r="A74" t="str">
        <f t="shared" si="3"/>
        <v/>
      </c>
      <c r="B74" s="38" t="str">
        <f t="shared" si="4"/>
        <v/>
      </c>
      <c r="C74" s="38" t="str">
        <f t="shared" si="13"/>
        <v/>
      </c>
      <c r="D74" s="38" t="str">
        <f t="shared" si="5"/>
        <v/>
      </c>
      <c r="E74" s="38" t="str">
        <f t="shared" si="6"/>
        <v/>
      </c>
      <c r="F74" s="38" t="str">
        <f t="shared" si="7"/>
        <v/>
      </c>
      <c r="G74" s="38" t="str">
        <f t="shared" si="8"/>
        <v/>
      </c>
      <c r="H74" s="38" t="str">
        <f t="shared" si="9"/>
        <v/>
      </c>
      <c r="L74" t="str">
        <f t="shared" si="10"/>
        <v/>
      </c>
      <c r="M74" s="38" t="str">
        <f t="shared" si="0"/>
        <v/>
      </c>
      <c r="N74" s="38" t="str">
        <f t="shared" si="11"/>
        <v/>
      </c>
      <c r="O74" s="38" t="str">
        <f t="shared" si="12"/>
        <v/>
      </c>
      <c r="P74" s="38" t="str">
        <f t="shared" si="1"/>
        <v/>
      </c>
      <c r="Q74" s="38" t="str">
        <f t="shared" si="2"/>
        <v/>
      </c>
      <c r="R74" s="38"/>
    </row>
    <row r="75" spans="1:18" x14ac:dyDescent="0.2">
      <c r="A75" t="str">
        <f t="shared" si="3"/>
        <v/>
      </c>
      <c r="B75" s="38" t="str">
        <f t="shared" si="4"/>
        <v/>
      </c>
      <c r="C75" s="38" t="str">
        <f t="shared" si="13"/>
        <v/>
      </c>
      <c r="D75" s="38" t="str">
        <f t="shared" si="5"/>
        <v/>
      </c>
      <c r="E75" s="38" t="str">
        <f t="shared" si="6"/>
        <v/>
      </c>
      <c r="F75" s="38" t="str">
        <f t="shared" si="7"/>
        <v/>
      </c>
      <c r="G75" s="38" t="str">
        <f t="shared" si="8"/>
        <v/>
      </c>
      <c r="H75" s="38" t="str">
        <f t="shared" si="9"/>
        <v/>
      </c>
      <c r="L75" t="str">
        <f t="shared" si="10"/>
        <v/>
      </c>
      <c r="M75" s="38" t="str">
        <f t="shared" si="0"/>
        <v/>
      </c>
      <c r="N75" s="38" t="str">
        <f t="shared" si="11"/>
        <v/>
      </c>
      <c r="O75" s="38" t="str">
        <f t="shared" si="12"/>
        <v/>
      </c>
      <c r="P75" s="38" t="str">
        <f t="shared" si="1"/>
        <v/>
      </c>
      <c r="Q75" s="38" t="str">
        <f t="shared" si="2"/>
        <v/>
      </c>
      <c r="R75" s="38"/>
    </row>
    <row r="76" spans="1:18" x14ac:dyDescent="0.2">
      <c r="A76" t="str">
        <f t="shared" si="3"/>
        <v/>
      </c>
      <c r="B76" s="38" t="str">
        <f t="shared" si="4"/>
        <v/>
      </c>
      <c r="C76" s="38" t="str">
        <f t="shared" si="13"/>
        <v/>
      </c>
      <c r="D76" s="38" t="str">
        <f t="shared" si="5"/>
        <v/>
      </c>
      <c r="E76" s="38" t="str">
        <f t="shared" si="6"/>
        <v/>
      </c>
      <c r="F76" s="38" t="str">
        <f t="shared" si="7"/>
        <v/>
      </c>
      <c r="G76" s="38" t="str">
        <f t="shared" si="8"/>
        <v/>
      </c>
      <c r="H76" s="38" t="str">
        <f t="shared" si="9"/>
        <v/>
      </c>
      <c r="L76" t="str">
        <f t="shared" si="10"/>
        <v/>
      </c>
      <c r="M76" s="38" t="str">
        <f t="shared" si="0"/>
        <v/>
      </c>
      <c r="N76" s="38" t="str">
        <f t="shared" si="11"/>
        <v/>
      </c>
      <c r="O76" s="38" t="str">
        <f t="shared" si="12"/>
        <v/>
      </c>
      <c r="P76" s="38" t="str">
        <f t="shared" si="1"/>
        <v/>
      </c>
      <c r="Q76" s="38" t="str">
        <f t="shared" si="2"/>
        <v/>
      </c>
      <c r="R76" s="38"/>
    </row>
    <row r="77" spans="1:18" x14ac:dyDescent="0.2">
      <c r="A77" t="str">
        <f t="shared" si="3"/>
        <v/>
      </c>
      <c r="B77" s="38" t="str">
        <f t="shared" si="4"/>
        <v/>
      </c>
      <c r="C77" s="38" t="str">
        <f t="shared" si="13"/>
        <v/>
      </c>
      <c r="D77" s="38" t="str">
        <f t="shared" si="5"/>
        <v/>
      </c>
      <c r="E77" s="38" t="str">
        <f t="shared" si="6"/>
        <v/>
      </c>
      <c r="F77" s="38" t="str">
        <f t="shared" si="7"/>
        <v/>
      </c>
      <c r="G77" s="38" t="str">
        <f t="shared" si="8"/>
        <v/>
      </c>
      <c r="H77" s="38" t="str">
        <f t="shared" si="9"/>
        <v/>
      </c>
      <c r="L77" t="str">
        <f t="shared" si="10"/>
        <v/>
      </c>
      <c r="M77" s="38" t="str">
        <f t="shared" si="0"/>
        <v/>
      </c>
      <c r="N77" s="38" t="str">
        <f t="shared" si="11"/>
        <v/>
      </c>
      <c r="O77" s="38" t="str">
        <f t="shared" si="12"/>
        <v/>
      </c>
      <c r="P77" s="38" t="str">
        <f t="shared" si="1"/>
        <v/>
      </c>
      <c r="Q77" s="38" t="str">
        <f t="shared" si="2"/>
        <v/>
      </c>
      <c r="R77" s="38"/>
    </row>
    <row r="78" spans="1:18" x14ac:dyDescent="0.2">
      <c r="A78" t="str">
        <f t="shared" si="3"/>
        <v/>
      </c>
      <c r="B78" s="38" t="str">
        <f t="shared" si="4"/>
        <v/>
      </c>
      <c r="C78" s="38" t="str">
        <f t="shared" si="13"/>
        <v/>
      </c>
      <c r="D78" s="38" t="str">
        <f t="shared" si="5"/>
        <v/>
      </c>
      <c r="E78" s="38" t="str">
        <f t="shared" si="6"/>
        <v/>
      </c>
      <c r="F78" s="38" t="str">
        <f t="shared" si="7"/>
        <v/>
      </c>
      <c r="G78" s="38" t="str">
        <f t="shared" si="8"/>
        <v/>
      </c>
      <c r="H78" s="38" t="str">
        <f t="shared" si="9"/>
        <v/>
      </c>
      <c r="L78" t="str">
        <f t="shared" si="10"/>
        <v/>
      </c>
      <c r="M78" s="38" t="str">
        <f t="shared" si="0"/>
        <v/>
      </c>
      <c r="N78" s="38" t="str">
        <f t="shared" si="11"/>
        <v/>
      </c>
      <c r="O78" s="38" t="str">
        <f t="shared" si="12"/>
        <v/>
      </c>
      <c r="P78" s="38" t="str">
        <f t="shared" si="1"/>
        <v/>
      </c>
      <c r="Q78" s="38" t="str">
        <f t="shared" si="2"/>
        <v/>
      </c>
      <c r="R78" s="38"/>
    </row>
    <row r="79" spans="1:18" x14ac:dyDescent="0.2">
      <c r="A79" t="str">
        <f t="shared" si="3"/>
        <v/>
      </c>
      <c r="B79" s="38" t="str">
        <f t="shared" si="4"/>
        <v/>
      </c>
      <c r="C79" s="38" t="str">
        <f t="shared" si="13"/>
        <v/>
      </c>
      <c r="D79" s="38" t="str">
        <f t="shared" si="5"/>
        <v/>
      </c>
      <c r="E79" s="38" t="str">
        <f t="shared" si="6"/>
        <v/>
      </c>
      <c r="F79" s="38" t="str">
        <f t="shared" si="7"/>
        <v/>
      </c>
      <c r="G79" s="38" t="str">
        <f t="shared" si="8"/>
        <v/>
      </c>
      <c r="H79" s="38" t="str">
        <f t="shared" si="9"/>
        <v/>
      </c>
      <c r="L79" t="str">
        <f t="shared" si="10"/>
        <v/>
      </c>
      <c r="M79" s="38" t="str">
        <f t="shared" si="0"/>
        <v/>
      </c>
      <c r="N79" s="38" t="str">
        <f t="shared" si="11"/>
        <v/>
      </c>
      <c r="O79" s="38" t="str">
        <f t="shared" si="12"/>
        <v/>
      </c>
      <c r="P79" s="38" t="str">
        <f t="shared" si="1"/>
        <v/>
      </c>
      <c r="Q79" s="38" t="str">
        <f t="shared" si="2"/>
        <v/>
      </c>
      <c r="R79" s="38"/>
    </row>
    <row r="80" spans="1:18" x14ac:dyDescent="0.2">
      <c r="A80" t="str">
        <f t="shared" si="3"/>
        <v/>
      </c>
      <c r="B80" s="38" t="str">
        <f t="shared" si="4"/>
        <v/>
      </c>
      <c r="C80" s="38" t="str">
        <f t="shared" si="13"/>
        <v/>
      </c>
      <c r="D80" s="38" t="str">
        <f t="shared" si="5"/>
        <v/>
      </c>
      <c r="E80" s="38" t="str">
        <f t="shared" si="6"/>
        <v/>
      </c>
      <c r="F80" s="38" t="str">
        <f t="shared" si="7"/>
        <v/>
      </c>
      <c r="G80" s="38" t="str">
        <f t="shared" si="8"/>
        <v/>
      </c>
      <c r="H80" s="38" t="str">
        <f t="shared" si="9"/>
        <v/>
      </c>
      <c r="L80" t="str">
        <f t="shared" si="10"/>
        <v/>
      </c>
      <c r="M80" s="38" t="str">
        <f t="shared" si="0"/>
        <v/>
      </c>
      <c r="N80" s="38" t="str">
        <f t="shared" si="11"/>
        <v/>
      </c>
      <c r="O80" s="38" t="str">
        <f t="shared" si="12"/>
        <v/>
      </c>
      <c r="P80" s="38" t="str">
        <f t="shared" si="1"/>
        <v/>
      </c>
      <c r="Q80" s="38" t="str">
        <f t="shared" si="2"/>
        <v/>
      </c>
      <c r="R80" s="38"/>
    </row>
    <row r="81" spans="1:18" x14ac:dyDescent="0.2">
      <c r="A81" t="str">
        <f t="shared" si="3"/>
        <v/>
      </c>
      <c r="B81" s="38" t="str">
        <f t="shared" si="4"/>
        <v/>
      </c>
      <c r="C81" s="38" t="str">
        <f t="shared" si="13"/>
        <v/>
      </c>
      <c r="D81" s="38" t="str">
        <f t="shared" si="5"/>
        <v/>
      </c>
      <c r="E81" s="38" t="str">
        <f t="shared" si="6"/>
        <v/>
      </c>
      <c r="F81" s="38" t="str">
        <f t="shared" si="7"/>
        <v/>
      </c>
      <c r="G81" s="38" t="str">
        <f t="shared" si="8"/>
        <v/>
      </c>
      <c r="H81" s="38" t="str">
        <f t="shared" si="9"/>
        <v/>
      </c>
      <c r="L81" t="str">
        <f t="shared" si="10"/>
        <v/>
      </c>
      <c r="M81" s="38" t="str">
        <f t="shared" si="0"/>
        <v/>
      </c>
      <c r="N81" s="38" t="str">
        <f t="shared" si="11"/>
        <v/>
      </c>
      <c r="O81" s="38" t="str">
        <f t="shared" si="12"/>
        <v/>
      </c>
      <c r="P81" s="38" t="str">
        <f t="shared" si="1"/>
        <v/>
      </c>
      <c r="Q81" s="38" t="str">
        <f t="shared" si="2"/>
        <v/>
      </c>
      <c r="R81" s="38"/>
    </row>
    <row r="82" spans="1:18" x14ac:dyDescent="0.2">
      <c r="A82" t="str">
        <f t="shared" si="3"/>
        <v/>
      </c>
      <c r="B82" s="38" t="str">
        <f t="shared" si="4"/>
        <v/>
      </c>
      <c r="C82" s="38" t="str">
        <f t="shared" si="13"/>
        <v/>
      </c>
      <c r="D82" s="38" t="str">
        <f t="shared" si="5"/>
        <v/>
      </c>
      <c r="E82" s="38" t="str">
        <f t="shared" si="6"/>
        <v/>
      </c>
      <c r="F82" s="38" t="str">
        <f t="shared" si="7"/>
        <v/>
      </c>
      <c r="G82" s="38" t="str">
        <f t="shared" si="8"/>
        <v/>
      </c>
      <c r="H82" s="38" t="str">
        <f t="shared" si="9"/>
        <v/>
      </c>
      <c r="L82" t="str">
        <f t="shared" si="10"/>
        <v/>
      </c>
      <c r="M82" s="38" t="str">
        <f t="shared" si="0"/>
        <v/>
      </c>
      <c r="N82" s="38" t="str">
        <f t="shared" si="11"/>
        <v/>
      </c>
      <c r="O82" s="38" t="str">
        <f t="shared" si="12"/>
        <v/>
      </c>
      <c r="P82" s="38" t="str">
        <f t="shared" si="1"/>
        <v/>
      </c>
      <c r="Q82" s="38" t="str">
        <f t="shared" si="2"/>
        <v/>
      </c>
      <c r="R82" s="38"/>
    </row>
    <row r="83" spans="1:18" x14ac:dyDescent="0.2">
      <c r="A83" t="str">
        <f t="shared" si="3"/>
        <v/>
      </c>
      <c r="B83" s="38" t="str">
        <f t="shared" si="4"/>
        <v/>
      </c>
      <c r="C83" s="38" t="str">
        <f t="shared" si="13"/>
        <v/>
      </c>
      <c r="D83" s="38" t="str">
        <f t="shared" si="5"/>
        <v/>
      </c>
      <c r="E83" s="38" t="str">
        <f t="shared" si="6"/>
        <v/>
      </c>
      <c r="F83" s="38" t="str">
        <f t="shared" si="7"/>
        <v/>
      </c>
      <c r="G83" s="38" t="str">
        <f t="shared" si="8"/>
        <v/>
      </c>
      <c r="H83" s="38" t="str">
        <f t="shared" si="9"/>
        <v/>
      </c>
      <c r="L83" t="str">
        <f t="shared" si="10"/>
        <v/>
      </c>
      <c r="M83" s="38" t="str">
        <f t="shared" si="0"/>
        <v/>
      </c>
      <c r="N83" s="38" t="str">
        <f t="shared" si="11"/>
        <v/>
      </c>
      <c r="O83" s="38" t="str">
        <f t="shared" si="12"/>
        <v/>
      </c>
      <c r="P83" s="38" t="str">
        <f t="shared" si="1"/>
        <v/>
      </c>
      <c r="Q83" s="38" t="str">
        <f t="shared" si="2"/>
        <v/>
      </c>
      <c r="R83" s="38"/>
    </row>
    <row r="84" spans="1:18" x14ac:dyDescent="0.2">
      <c r="A84" t="str">
        <f t="shared" si="3"/>
        <v/>
      </c>
      <c r="B84" s="38" t="str">
        <f t="shared" si="4"/>
        <v/>
      </c>
      <c r="C84" s="38" t="str">
        <f t="shared" si="13"/>
        <v/>
      </c>
      <c r="D84" s="38" t="str">
        <f t="shared" si="5"/>
        <v/>
      </c>
      <c r="E84" s="38" t="str">
        <f t="shared" si="6"/>
        <v/>
      </c>
      <c r="F84" s="38" t="str">
        <f t="shared" si="7"/>
        <v/>
      </c>
      <c r="G84" s="38" t="str">
        <f t="shared" si="8"/>
        <v/>
      </c>
      <c r="H84" s="38" t="str">
        <f t="shared" si="9"/>
        <v/>
      </c>
      <c r="L84" t="str">
        <f t="shared" si="10"/>
        <v/>
      </c>
      <c r="M84" s="38" t="str">
        <f t="shared" si="0"/>
        <v/>
      </c>
      <c r="N84" s="38" t="str">
        <f t="shared" si="11"/>
        <v/>
      </c>
      <c r="O84" s="38" t="str">
        <f t="shared" si="12"/>
        <v/>
      </c>
      <c r="P84" s="38" t="str">
        <f t="shared" si="1"/>
        <v/>
      </c>
      <c r="Q84" s="38" t="str">
        <f t="shared" si="2"/>
        <v/>
      </c>
      <c r="R84" s="38"/>
    </row>
    <row r="85" spans="1:18" x14ac:dyDescent="0.2">
      <c r="A85" t="str">
        <f t="shared" si="3"/>
        <v/>
      </c>
      <c r="B85" s="38" t="str">
        <f t="shared" si="4"/>
        <v/>
      </c>
      <c r="C85" s="38" t="str">
        <f t="shared" si="13"/>
        <v/>
      </c>
      <c r="D85" s="38" t="str">
        <f t="shared" si="5"/>
        <v/>
      </c>
      <c r="E85" s="38" t="str">
        <f t="shared" si="6"/>
        <v/>
      </c>
      <c r="F85" s="38" t="str">
        <f t="shared" si="7"/>
        <v/>
      </c>
      <c r="G85" s="38" t="str">
        <f t="shared" si="8"/>
        <v/>
      </c>
      <c r="H85" s="38" t="str">
        <f t="shared" si="9"/>
        <v/>
      </c>
      <c r="L85" t="str">
        <f t="shared" si="10"/>
        <v/>
      </c>
      <c r="M85" s="38" t="str">
        <f t="shared" si="0"/>
        <v/>
      </c>
      <c r="N85" s="38" t="str">
        <f t="shared" si="11"/>
        <v/>
      </c>
      <c r="O85" s="38" t="str">
        <f t="shared" si="12"/>
        <v/>
      </c>
      <c r="P85" s="38" t="str">
        <f t="shared" si="1"/>
        <v/>
      </c>
      <c r="Q85" s="38" t="str">
        <f t="shared" si="2"/>
        <v/>
      </c>
      <c r="R85" s="38"/>
    </row>
    <row r="86" spans="1:18" x14ac:dyDescent="0.2">
      <c r="A86" t="str">
        <f t="shared" si="3"/>
        <v/>
      </c>
      <c r="B86" s="38" t="str">
        <f t="shared" si="4"/>
        <v/>
      </c>
      <c r="C86" s="38" t="str">
        <f t="shared" si="13"/>
        <v/>
      </c>
      <c r="D86" s="38" t="str">
        <f t="shared" si="5"/>
        <v/>
      </c>
      <c r="E86" s="38" t="str">
        <f t="shared" si="6"/>
        <v/>
      </c>
      <c r="F86" s="38" t="str">
        <f t="shared" si="7"/>
        <v/>
      </c>
      <c r="G86" s="38" t="str">
        <f t="shared" si="8"/>
        <v/>
      </c>
      <c r="H86" s="38" t="str">
        <f t="shared" si="9"/>
        <v/>
      </c>
      <c r="L86" t="str">
        <f t="shared" si="10"/>
        <v/>
      </c>
      <c r="M86" s="38" t="str">
        <f t="shared" si="0"/>
        <v/>
      </c>
      <c r="N86" s="38" t="str">
        <f t="shared" si="11"/>
        <v/>
      </c>
      <c r="O86" s="38" t="str">
        <f t="shared" si="12"/>
        <v/>
      </c>
      <c r="P86" s="38" t="str">
        <f t="shared" si="1"/>
        <v/>
      </c>
      <c r="Q86" s="38" t="str">
        <f t="shared" si="2"/>
        <v/>
      </c>
      <c r="R86" s="38"/>
    </row>
    <row r="87" spans="1:18" x14ac:dyDescent="0.2">
      <c r="A87" t="str">
        <f t="shared" si="3"/>
        <v/>
      </c>
      <c r="B87" s="38" t="str">
        <f t="shared" si="4"/>
        <v/>
      </c>
      <c r="C87" s="38" t="str">
        <f t="shared" si="13"/>
        <v/>
      </c>
      <c r="D87" s="38" t="str">
        <f t="shared" si="5"/>
        <v/>
      </c>
      <c r="E87" s="38" t="str">
        <f t="shared" si="6"/>
        <v/>
      </c>
      <c r="F87" s="38" t="str">
        <f t="shared" si="7"/>
        <v/>
      </c>
      <c r="G87" s="38" t="str">
        <f t="shared" si="8"/>
        <v/>
      </c>
      <c r="H87" s="38" t="str">
        <f t="shared" si="9"/>
        <v/>
      </c>
      <c r="L87" t="str">
        <f t="shared" si="10"/>
        <v/>
      </c>
      <c r="M87" s="38" t="str">
        <f t="shared" si="0"/>
        <v/>
      </c>
      <c r="N87" s="38" t="str">
        <f t="shared" si="11"/>
        <v/>
      </c>
      <c r="O87" s="38" t="str">
        <f t="shared" si="12"/>
        <v/>
      </c>
      <c r="P87" s="38" t="str">
        <f t="shared" si="1"/>
        <v/>
      </c>
      <c r="Q87" s="38" t="str">
        <f t="shared" si="2"/>
        <v/>
      </c>
      <c r="R87" s="38"/>
    </row>
    <row r="88" spans="1:18" x14ac:dyDescent="0.2">
      <c r="A88" t="str">
        <f t="shared" si="3"/>
        <v/>
      </c>
      <c r="B88" s="38" t="str">
        <f t="shared" si="4"/>
        <v/>
      </c>
      <c r="C88" s="38" t="str">
        <f t="shared" si="13"/>
        <v/>
      </c>
      <c r="D88" s="38" t="str">
        <f t="shared" si="5"/>
        <v/>
      </c>
      <c r="E88" s="38" t="str">
        <f t="shared" si="6"/>
        <v/>
      </c>
      <c r="F88" s="38" t="str">
        <f t="shared" si="7"/>
        <v/>
      </c>
      <c r="G88" s="38" t="str">
        <f t="shared" si="8"/>
        <v/>
      </c>
      <c r="H88" s="38" t="str">
        <f t="shared" si="9"/>
        <v/>
      </c>
      <c r="L88" t="str">
        <f t="shared" si="10"/>
        <v/>
      </c>
      <c r="M88" s="38" t="str">
        <f t="shared" si="0"/>
        <v/>
      </c>
      <c r="N88" s="38" t="str">
        <f t="shared" si="11"/>
        <v/>
      </c>
      <c r="O88" s="38" t="str">
        <f t="shared" si="12"/>
        <v/>
      </c>
      <c r="P88" s="38" t="str">
        <f t="shared" si="1"/>
        <v/>
      </c>
      <c r="Q88" s="38" t="str">
        <f t="shared" si="2"/>
        <v/>
      </c>
      <c r="R88" s="38"/>
    </row>
    <row r="89" spans="1:18" x14ac:dyDescent="0.2">
      <c r="A89" t="str">
        <f t="shared" si="3"/>
        <v/>
      </c>
      <c r="B89" s="38" t="str">
        <f t="shared" si="4"/>
        <v/>
      </c>
      <c r="C89" s="38" t="str">
        <f t="shared" si="13"/>
        <v/>
      </c>
      <c r="D89" s="38" t="str">
        <f t="shared" si="5"/>
        <v/>
      </c>
      <c r="E89" s="38" t="str">
        <f t="shared" si="6"/>
        <v/>
      </c>
      <c r="F89" s="38" t="str">
        <f t="shared" si="7"/>
        <v/>
      </c>
      <c r="G89" s="38" t="str">
        <f t="shared" si="8"/>
        <v/>
      </c>
      <c r="H89" s="38" t="str">
        <f t="shared" si="9"/>
        <v/>
      </c>
      <c r="L89" t="str">
        <f t="shared" si="10"/>
        <v/>
      </c>
      <c r="M89" s="38" t="str">
        <f t="shared" si="0"/>
        <v/>
      </c>
      <c r="N89" s="38" t="str">
        <f t="shared" si="11"/>
        <v/>
      </c>
      <c r="O89" s="38" t="str">
        <f t="shared" si="12"/>
        <v/>
      </c>
      <c r="P89" s="38" t="str">
        <f t="shared" si="1"/>
        <v/>
      </c>
      <c r="Q89" s="38" t="str">
        <f t="shared" si="2"/>
        <v/>
      </c>
      <c r="R89" s="38"/>
    </row>
    <row r="90" spans="1:18" x14ac:dyDescent="0.2">
      <c r="A90" t="str">
        <f t="shared" si="3"/>
        <v/>
      </c>
      <c r="B90" s="38" t="str">
        <f t="shared" si="4"/>
        <v/>
      </c>
      <c r="C90" s="38" t="str">
        <f t="shared" si="13"/>
        <v/>
      </c>
      <c r="D90" s="38" t="str">
        <f t="shared" si="5"/>
        <v/>
      </c>
      <c r="E90" s="38" t="str">
        <f t="shared" si="6"/>
        <v/>
      </c>
      <c r="F90" s="38" t="str">
        <f t="shared" si="7"/>
        <v/>
      </c>
      <c r="G90" s="38" t="str">
        <f t="shared" si="8"/>
        <v/>
      </c>
      <c r="H90" s="38" t="str">
        <f t="shared" si="9"/>
        <v/>
      </c>
      <c r="L90" t="str">
        <f t="shared" si="10"/>
        <v/>
      </c>
      <c r="M90" s="38" t="str">
        <f t="shared" si="0"/>
        <v/>
      </c>
      <c r="N90" s="38" t="str">
        <f t="shared" si="11"/>
        <v/>
      </c>
      <c r="O90" s="38" t="str">
        <f t="shared" si="12"/>
        <v/>
      </c>
      <c r="P90" s="38" t="str">
        <f t="shared" si="1"/>
        <v/>
      </c>
      <c r="Q90" s="38" t="str">
        <f t="shared" si="2"/>
        <v/>
      </c>
      <c r="R90" s="38"/>
    </row>
    <row r="91" spans="1:18" x14ac:dyDescent="0.2">
      <c r="A91" t="str">
        <f t="shared" si="3"/>
        <v/>
      </c>
      <c r="B91" s="38" t="str">
        <f t="shared" si="4"/>
        <v/>
      </c>
      <c r="C91" s="38" t="str">
        <f t="shared" si="13"/>
        <v/>
      </c>
      <c r="D91" s="38" t="str">
        <f t="shared" si="5"/>
        <v/>
      </c>
      <c r="E91" s="38" t="str">
        <f t="shared" si="6"/>
        <v/>
      </c>
      <c r="F91" s="38" t="str">
        <f t="shared" si="7"/>
        <v/>
      </c>
      <c r="G91" s="38" t="str">
        <f t="shared" si="8"/>
        <v/>
      </c>
      <c r="H91" s="38" t="str">
        <f t="shared" si="9"/>
        <v/>
      </c>
      <c r="L91" t="str">
        <f t="shared" si="10"/>
        <v/>
      </c>
      <c r="M91" s="38" t="str">
        <f t="shared" si="0"/>
        <v/>
      </c>
      <c r="N91" s="38" t="str">
        <f t="shared" si="11"/>
        <v/>
      </c>
      <c r="O91" s="38" t="str">
        <f t="shared" si="12"/>
        <v/>
      </c>
      <c r="P91" s="38" t="str">
        <f t="shared" si="1"/>
        <v/>
      </c>
      <c r="Q91" s="38" t="str">
        <f t="shared" si="2"/>
        <v/>
      </c>
      <c r="R91" s="38"/>
    </row>
    <row r="92" spans="1:18" x14ac:dyDescent="0.2">
      <c r="A92" t="str">
        <f t="shared" si="3"/>
        <v/>
      </c>
      <c r="B92" s="38" t="str">
        <f t="shared" si="4"/>
        <v/>
      </c>
      <c r="C92" s="38" t="str">
        <f t="shared" si="13"/>
        <v/>
      </c>
      <c r="D92" s="38" t="str">
        <f t="shared" si="5"/>
        <v/>
      </c>
      <c r="E92" s="38" t="str">
        <f t="shared" si="6"/>
        <v/>
      </c>
      <c r="F92" s="38" t="str">
        <f t="shared" si="7"/>
        <v/>
      </c>
      <c r="G92" s="38" t="str">
        <f t="shared" si="8"/>
        <v/>
      </c>
      <c r="H92" s="38" t="str">
        <f t="shared" si="9"/>
        <v/>
      </c>
      <c r="L92" t="str">
        <f t="shared" si="10"/>
        <v/>
      </c>
      <c r="M92" s="38" t="str">
        <f t="shared" si="0"/>
        <v/>
      </c>
      <c r="N92" s="38" t="str">
        <f t="shared" si="11"/>
        <v/>
      </c>
      <c r="O92" s="38" t="str">
        <f t="shared" si="12"/>
        <v/>
      </c>
      <c r="P92" s="38" t="str">
        <f t="shared" si="1"/>
        <v/>
      </c>
      <c r="Q92" s="38" t="str">
        <f t="shared" si="2"/>
        <v/>
      </c>
      <c r="R92" s="38"/>
    </row>
    <row r="93" spans="1:18" x14ac:dyDescent="0.2">
      <c r="A93" t="str">
        <f t="shared" si="3"/>
        <v/>
      </c>
      <c r="B93" s="38" t="str">
        <f t="shared" si="4"/>
        <v/>
      </c>
      <c r="C93" s="38" t="str">
        <f t="shared" si="13"/>
        <v/>
      </c>
      <c r="D93" s="38" t="str">
        <f t="shared" si="5"/>
        <v/>
      </c>
      <c r="E93" s="38" t="str">
        <f t="shared" si="6"/>
        <v/>
      </c>
      <c r="F93" s="38" t="str">
        <f t="shared" si="7"/>
        <v/>
      </c>
      <c r="G93" s="38" t="str">
        <f t="shared" si="8"/>
        <v/>
      </c>
      <c r="H93" s="38" t="str">
        <f t="shared" si="9"/>
        <v/>
      </c>
      <c r="L93" t="str">
        <f t="shared" si="10"/>
        <v/>
      </c>
      <c r="M93" s="38" t="str">
        <f t="shared" si="0"/>
        <v/>
      </c>
      <c r="N93" s="38" t="str">
        <f t="shared" si="11"/>
        <v/>
      </c>
      <c r="O93" s="38" t="str">
        <f t="shared" si="12"/>
        <v/>
      </c>
      <c r="P93" s="38" t="str">
        <f t="shared" si="1"/>
        <v/>
      </c>
      <c r="Q93" s="38" t="str">
        <f t="shared" si="2"/>
        <v/>
      </c>
      <c r="R93" s="38"/>
    </row>
    <row r="94" spans="1:18" x14ac:dyDescent="0.2">
      <c r="A94" t="str">
        <f t="shared" si="3"/>
        <v/>
      </c>
      <c r="B94" s="38" t="str">
        <f t="shared" si="4"/>
        <v/>
      </c>
      <c r="C94" s="38" t="str">
        <f t="shared" si="13"/>
        <v/>
      </c>
      <c r="D94" s="38" t="str">
        <f t="shared" si="5"/>
        <v/>
      </c>
      <c r="E94" s="38" t="str">
        <f t="shared" si="6"/>
        <v/>
      </c>
      <c r="F94" s="38" t="str">
        <f t="shared" si="7"/>
        <v/>
      </c>
      <c r="G94" s="38" t="str">
        <f t="shared" si="8"/>
        <v/>
      </c>
      <c r="H94" s="38" t="str">
        <f t="shared" si="9"/>
        <v/>
      </c>
      <c r="L94" t="str">
        <f t="shared" si="10"/>
        <v/>
      </c>
      <c r="M94" s="38" t="str">
        <f t="shared" si="0"/>
        <v/>
      </c>
      <c r="N94" s="38" t="str">
        <f t="shared" si="11"/>
        <v/>
      </c>
      <c r="O94" s="38" t="str">
        <f t="shared" si="12"/>
        <v/>
      </c>
      <c r="P94" s="38" t="str">
        <f t="shared" si="1"/>
        <v/>
      </c>
      <c r="Q94" s="38" t="str">
        <f t="shared" si="2"/>
        <v/>
      </c>
      <c r="R94" s="38"/>
    </row>
    <row r="95" spans="1:18" x14ac:dyDescent="0.2">
      <c r="A95" t="str">
        <f t="shared" si="3"/>
        <v/>
      </c>
      <c r="B95" s="38" t="str">
        <f t="shared" si="4"/>
        <v/>
      </c>
      <c r="C95" s="38" t="str">
        <f t="shared" si="13"/>
        <v/>
      </c>
      <c r="D95" s="38" t="str">
        <f t="shared" si="5"/>
        <v/>
      </c>
      <c r="E95" s="38" t="str">
        <f t="shared" si="6"/>
        <v/>
      </c>
      <c r="F95" s="38" t="str">
        <f t="shared" si="7"/>
        <v/>
      </c>
      <c r="G95" s="38" t="str">
        <f t="shared" si="8"/>
        <v/>
      </c>
      <c r="H95" s="38" t="str">
        <f t="shared" si="9"/>
        <v/>
      </c>
      <c r="L95" t="str">
        <f t="shared" si="10"/>
        <v/>
      </c>
      <c r="M95" s="38" t="str">
        <f t="shared" si="0"/>
        <v/>
      </c>
      <c r="N95" s="38" t="str">
        <f t="shared" si="11"/>
        <v/>
      </c>
      <c r="O95" s="38" t="str">
        <f t="shared" si="12"/>
        <v/>
      </c>
      <c r="P95" s="38" t="str">
        <f t="shared" si="1"/>
        <v/>
      </c>
      <c r="Q95" s="38" t="str">
        <f t="shared" si="2"/>
        <v/>
      </c>
      <c r="R95" s="38"/>
    </row>
    <row r="96" spans="1:18" x14ac:dyDescent="0.2">
      <c r="A96" t="str">
        <f t="shared" si="3"/>
        <v/>
      </c>
      <c r="B96" s="38" t="str">
        <f t="shared" si="4"/>
        <v/>
      </c>
      <c r="C96" s="38" t="str">
        <f t="shared" si="13"/>
        <v/>
      </c>
      <c r="D96" s="38" t="str">
        <f t="shared" si="5"/>
        <v/>
      </c>
      <c r="E96" s="38" t="str">
        <f t="shared" si="6"/>
        <v/>
      </c>
      <c r="F96" s="38" t="str">
        <f t="shared" si="7"/>
        <v/>
      </c>
      <c r="G96" s="38" t="str">
        <f t="shared" si="8"/>
        <v/>
      </c>
      <c r="H96" s="38" t="str">
        <f t="shared" si="9"/>
        <v/>
      </c>
      <c r="L96" t="str">
        <f t="shared" si="10"/>
        <v/>
      </c>
      <c r="M96" s="38" t="str">
        <f t="shared" si="0"/>
        <v/>
      </c>
      <c r="N96" s="38" t="str">
        <f t="shared" si="11"/>
        <v/>
      </c>
      <c r="O96" s="38" t="str">
        <f t="shared" si="12"/>
        <v/>
      </c>
      <c r="P96" s="38" t="str">
        <f t="shared" si="1"/>
        <v/>
      </c>
      <c r="Q96" s="38" t="str">
        <f t="shared" si="2"/>
        <v/>
      </c>
      <c r="R96" s="38"/>
    </row>
    <row r="97" spans="1:18" x14ac:dyDescent="0.2">
      <c r="A97" t="str">
        <f t="shared" si="3"/>
        <v/>
      </c>
      <c r="B97" s="38" t="str">
        <f t="shared" si="4"/>
        <v/>
      </c>
      <c r="C97" s="38" t="str">
        <f t="shared" si="13"/>
        <v/>
      </c>
      <c r="D97" s="38" t="str">
        <f t="shared" si="5"/>
        <v/>
      </c>
      <c r="E97" s="38" t="str">
        <f t="shared" si="6"/>
        <v/>
      </c>
      <c r="F97" s="38" t="str">
        <f t="shared" si="7"/>
        <v/>
      </c>
      <c r="G97" s="38" t="str">
        <f t="shared" si="8"/>
        <v/>
      </c>
      <c r="H97" s="38" t="str">
        <f t="shared" si="9"/>
        <v/>
      </c>
      <c r="L97" t="str">
        <f t="shared" si="10"/>
        <v/>
      </c>
      <c r="M97" s="38" t="str">
        <f t="shared" ref="M97:M160" si="14">IF(L97="","",P96)</f>
        <v/>
      </c>
      <c r="N97" s="38" t="str">
        <f t="shared" si="11"/>
        <v/>
      </c>
      <c r="O97" s="38" t="str">
        <f t="shared" si="12"/>
        <v/>
      </c>
      <c r="P97" s="38" t="str">
        <f t="shared" ref="P97:P160" si="15">IF(L97="","", M97+N97+O97)</f>
        <v/>
      </c>
      <c r="Q97" s="38" t="str">
        <f t="shared" ref="Q97:Q160" si="16">IF(L97="","", (Q96+N97))</f>
        <v/>
      </c>
      <c r="R97" s="38"/>
    </row>
    <row r="98" spans="1:18" x14ac:dyDescent="0.2">
      <c r="A98" t="str">
        <f t="shared" ref="A98:A161" si="17">IF(A97&lt;($B$22*$B$23),A97+1,"")</f>
        <v/>
      </c>
      <c r="B98" s="38" t="str">
        <f t="shared" ref="B98:B161" si="18">IF(A98="","",F97)</f>
        <v/>
      </c>
      <c r="C98" s="38" t="str">
        <f t="shared" si="13"/>
        <v/>
      </c>
      <c r="D98" s="38" t="str">
        <f t="shared" ref="D98:D161" si="19">IF(A98="","", D97*(1+$B$21))</f>
        <v/>
      </c>
      <c r="E98" s="38" t="str">
        <f t="shared" ref="E98:E161" si="20">IF(D98="","",(D98-C98))</f>
        <v/>
      </c>
      <c r="F98" s="38" t="str">
        <f t="shared" ref="F98:F161" si="21">IF(A98="","", B98-E98)</f>
        <v/>
      </c>
      <c r="G98" s="38" t="str">
        <f t="shared" ref="G98:G161" si="22">IF(A98="","", (G97+C98))</f>
        <v/>
      </c>
      <c r="H98" s="38" t="str">
        <f t="shared" ref="H98:H161" si="23">IF(A98="","",(H97+E98))</f>
        <v/>
      </c>
      <c r="L98" t="str">
        <f t="shared" ref="L98:L161" si="24">IF(L97&lt;($B$8*$B$9),L97+1,"")</f>
        <v/>
      </c>
      <c r="M98" s="38" t="str">
        <f t="shared" si="14"/>
        <v/>
      </c>
      <c r="N98" s="38" t="str">
        <f t="shared" ref="N98:N161" si="25">IF(L98="","",(M98 *$B$6))</f>
        <v/>
      </c>
      <c r="O98" s="38" t="str">
        <f t="shared" ref="O98:O161" si="26">IF(L98="","",O97*(1+$B$7))</f>
        <v/>
      </c>
      <c r="P98" s="38" t="str">
        <f t="shared" si="15"/>
        <v/>
      </c>
      <c r="Q98" s="38" t="str">
        <f t="shared" si="16"/>
        <v/>
      </c>
      <c r="R98" s="38"/>
    </row>
    <row r="99" spans="1:18" x14ac:dyDescent="0.2">
      <c r="A99" t="str">
        <f t="shared" si="17"/>
        <v/>
      </c>
      <c r="B99" s="38" t="str">
        <f t="shared" si="18"/>
        <v/>
      </c>
      <c r="C99" s="38" t="str">
        <f t="shared" ref="C99:C162" si="27">IF(A99="","",(B99*$B$20))</f>
        <v/>
      </c>
      <c r="D99" s="38" t="str">
        <f t="shared" si="19"/>
        <v/>
      </c>
      <c r="E99" s="38" t="str">
        <f t="shared" si="20"/>
        <v/>
      </c>
      <c r="F99" s="38" t="str">
        <f t="shared" si="21"/>
        <v/>
      </c>
      <c r="G99" s="38" t="str">
        <f t="shared" si="22"/>
        <v/>
      </c>
      <c r="H99" s="38" t="str">
        <f t="shared" si="23"/>
        <v/>
      </c>
      <c r="L99" t="str">
        <f t="shared" si="24"/>
        <v/>
      </c>
      <c r="M99" s="38" t="str">
        <f t="shared" si="14"/>
        <v/>
      </c>
      <c r="N99" s="38" t="str">
        <f t="shared" si="25"/>
        <v/>
      </c>
      <c r="O99" s="38" t="str">
        <f t="shared" si="26"/>
        <v/>
      </c>
      <c r="P99" s="38" t="str">
        <f t="shared" si="15"/>
        <v/>
      </c>
      <c r="Q99" s="38" t="str">
        <f t="shared" si="16"/>
        <v/>
      </c>
      <c r="R99" s="38"/>
    </row>
    <row r="100" spans="1:18" x14ac:dyDescent="0.2">
      <c r="A100" t="str">
        <f t="shared" si="17"/>
        <v/>
      </c>
      <c r="B100" s="38" t="str">
        <f t="shared" si="18"/>
        <v/>
      </c>
      <c r="C100" s="38" t="str">
        <f t="shared" si="27"/>
        <v/>
      </c>
      <c r="D100" s="38" t="str">
        <f t="shared" si="19"/>
        <v/>
      </c>
      <c r="E100" s="38" t="str">
        <f t="shared" si="20"/>
        <v/>
      </c>
      <c r="F100" s="38" t="str">
        <f t="shared" si="21"/>
        <v/>
      </c>
      <c r="G100" s="38" t="str">
        <f t="shared" si="22"/>
        <v/>
      </c>
      <c r="H100" s="38" t="str">
        <f t="shared" si="23"/>
        <v/>
      </c>
      <c r="L100" t="str">
        <f t="shared" si="24"/>
        <v/>
      </c>
      <c r="M100" s="38" t="str">
        <f t="shared" si="14"/>
        <v/>
      </c>
      <c r="N100" s="38" t="str">
        <f t="shared" si="25"/>
        <v/>
      </c>
      <c r="O100" s="38" t="str">
        <f t="shared" si="26"/>
        <v/>
      </c>
      <c r="P100" s="38" t="str">
        <f t="shared" si="15"/>
        <v/>
      </c>
      <c r="Q100" s="38" t="str">
        <f t="shared" si="16"/>
        <v/>
      </c>
      <c r="R100" s="38"/>
    </row>
    <row r="101" spans="1:18" x14ac:dyDescent="0.2">
      <c r="A101" t="str">
        <f t="shared" si="17"/>
        <v/>
      </c>
      <c r="B101" s="38" t="str">
        <f t="shared" si="18"/>
        <v/>
      </c>
      <c r="C101" s="38" t="str">
        <f t="shared" si="27"/>
        <v/>
      </c>
      <c r="D101" s="38" t="str">
        <f t="shared" si="19"/>
        <v/>
      </c>
      <c r="E101" s="38" t="str">
        <f t="shared" si="20"/>
        <v/>
      </c>
      <c r="F101" s="38" t="str">
        <f t="shared" si="21"/>
        <v/>
      </c>
      <c r="G101" s="38" t="str">
        <f t="shared" si="22"/>
        <v/>
      </c>
      <c r="H101" s="38" t="str">
        <f t="shared" si="23"/>
        <v/>
      </c>
      <c r="L101" t="str">
        <f t="shared" si="24"/>
        <v/>
      </c>
      <c r="M101" s="38" t="str">
        <f t="shared" si="14"/>
        <v/>
      </c>
      <c r="N101" s="38" t="str">
        <f t="shared" si="25"/>
        <v/>
      </c>
      <c r="O101" s="38" t="str">
        <f t="shared" si="26"/>
        <v/>
      </c>
      <c r="P101" s="38" t="str">
        <f t="shared" si="15"/>
        <v/>
      </c>
      <c r="Q101" s="38" t="str">
        <f t="shared" si="16"/>
        <v/>
      </c>
      <c r="R101" s="38"/>
    </row>
    <row r="102" spans="1:18" x14ac:dyDescent="0.2">
      <c r="A102" t="str">
        <f t="shared" si="17"/>
        <v/>
      </c>
      <c r="B102" s="38" t="str">
        <f t="shared" si="18"/>
        <v/>
      </c>
      <c r="C102" s="38" t="str">
        <f t="shared" si="27"/>
        <v/>
      </c>
      <c r="D102" s="38" t="str">
        <f t="shared" si="19"/>
        <v/>
      </c>
      <c r="E102" s="38" t="str">
        <f t="shared" si="20"/>
        <v/>
      </c>
      <c r="F102" s="38" t="str">
        <f t="shared" si="21"/>
        <v/>
      </c>
      <c r="G102" s="38" t="str">
        <f t="shared" si="22"/>
        <v/>
      </c>
      <c r="H102" s="38" t="str">
        <f t="shared" si="23"/>
        <v/>
      </c>
      <c r="L102" t="str">
        <f t="shared" si="24"/>
        <v/>
      </c>
      <c r="M102" s="38" t="str">
        <f t="shared" si="14"/>
        <v/>
      </c>
      <c r="N102" s="38" t="str">
        <f t="shared" si="25"/>
        <v/>
      </c>
      <c r="O102" s="38" t="str">
        <f t="shared" si="26"/>
        <v/>
      </c>
      <c r="P102" s="38" t="str">
        <f t="shared" si="15"/>
        <v/>
      </c>
      <c r="Q102" s="38" t="str">
        <f t="shared" si="16"/>
        <v/>
      </c>
      <c r="R102" s="38"/>
    </row>
    <row r="103" spans="1:18" x14ac:dyDescent="0.2">
      <c r="A103" t="str">
        <f t="shared" si="17"/>
        <v/>
      </c>
      <c r="B103" s="38" t="str">
        <f t="shared" si="18"/>
        <v/>
      </c>
      <c r="C103" s="38" t="str">
        <f t="shared" si="27"/>
        <v/>
      </c>
      <c r="D103" s="38" t="str">
        <f t="shared" si="19"/>
        <v/>
      </c>
      <c r="E103" s="38" t="str">
        <f t="shared" si="20"/>
        <v/>
      </c>
      <c r="F103" s="38" t="str">
        <f t="shared" si="21"/>
        <v/>
      </c>
      <c r="G103" s="38" t="str">
        <f t="shared" si="22"/>
        <v/>
      </c>
      <c r="H103" s="38" t="str">
        <f t="shared" si="23"/>
        <v/>
      </c>
      <c r="L103" t="str">
        <f t="shared" si="24"/>
        <v/>
      </c>
      <c r="M103" s="38" t="str">
        <f t="shared" si="14"/>
        <v/>
      </c>
      <c r="N103" s="38" t="str">
        <f t="shared" si="25"/>
        <v/>
      </c>
      <c r="O103" s="38" t="str">
        <f t="shared" si="26"/>
        <v/>
      </c>
      <c r="P103" s="38" t="str">
        <f t="shared" si="15"/>
        <v/>
      </c>
      <c r="Q103" s="38" t="str">
        <f t="shared" si="16"/>
        <v/>
      </c>
      <c r="R103" s="38"/>
    </row>
    <row r="104" spans="1:18" x14ac:dyDescent="0.2">
      <c r="A104" t="str">
        <f t="shared" si="17"/>
        <v/>
      </c>
      <c r="B104" s="38" t="str">
        <f t="shared" si="18"/>
        <v/>
      </c>
      <c r="C104" s="38" t="str">
        <f t="shared" si="27"/>
        <v/>
      </c>
      <c r="D104" s="38" t="str">
        <f t="shared" si="19"/>
        <v/>
      </c>
      <c r="E104" s="38" t="str">
        <f t="shared" si="20"/>
        <v/>
      </c>
      <c r="F104" s="38" t="str">
        <f t="shared" si="21"/>
        <v/>
      </c>
      <c r="G104" s="38" t="str">
        <f t="shared" si="22"/>
        <v/>
      </c>
      <c r="H104" s="38" t="str">
        <f t="shared" si="23"/>
        <v/>
      </c>
      <c r="L104" t="str">
        <f t="shared" si="24"/>
        <v/>
      </c>
      <c r="M104" s="38" t="str">
        <f t="shared" si="14"/>
        <v/>
      </c>
      <c r="N104" s="38" t="str">
        <f t="shared" si="25"/>
        <v/>
      </c>
      <c r="O104" s="38" t="str">
        <f t="shared" si="26"/>
        <v/>
      </c>
      <c r="P104" s="38" t="str">
        <f t="shared" si="15"/>
        <v/>
      </c>
      <c r="Q104" s="38" t="str">
        <f t="shared" si="16"/>
        <v/>
      </c>
      <c r="R104" s="38"/>
    </row>
    <row r="105" spans="1:18" x14ac:dyDescent="0.2">
      <c r="A105" t="str">
        <f t="shared" si="17"/>
        <v/>
      </c>
      <c r="B105" s="38" t="str">
        <f t="shared" si="18"/>
        <v/>
      </c>
      <c r="C105" s="38" t="str">
        <f t="shared" si="27"/>
        <v/>
      </c>
      <c r="D105" s="38" t="str">
        <f t="shared" si="19"/>
        <v/>
      </c>
      <c r="E105" s="38" t="str">
        <f t="shared" si="20"/>
        <v/>
      </c>
      <c r="F105" s="38" t="str">
        <f t="shared" si="21"/>
        <v/>
      </c>
      <c r="G105" s="38" t="str">
        <f t="shared" si="22"/>
        <v/>
      </c>
      <c r="H105" s="38" t="str">
        <f t="shared" si="23"/>
        <v/>
      </c>
      <c r="L105" t="str">
        <f t="shared" si="24"/>
        <v/>
      </c>
      <c r="M105" s="38" t="str">
        <f t="shared" si="14"/>
        <v/>
      </c>
      <c r="N105" s="38" t="str">
        <f t="shared" si="25"/>
        <v/>
      </c>
      <c r="O105" s="38" t="str">
        <f t="shared" si="26"/>
        <v/>
      </c>
      <c r="P105" s="38" t="str">
        <f t="shared" si="15"/>
        <v/>
      </c>
      <c r="Q105" s="38" t="str">
        <f t="shared" si="16"/>
        <v/>
      </c>
      <c r="R105" s="38"/>
    </row>
    <row r="106" spans="1:18" x14ac:dyDescent="0.2">
      <c r="A106" t="str">
        <f t="shared" si="17"/>
        <v/>
      </c>
      <c r="B106" s="38" t="str">
        <f t="shared" si="18"/>
        <v/>
      </c>
      <c r="C106" s="38" t="str">
        <f t="shared" si="27"/>
        <v/>
      </c>
      <c r="D106" s="38" t="str">
        <f t="shared" si="19"/>
        <v/>
      </c>
      <c r="E106" s="38" t="str">
        <f t="shared" si="20"/>
        <v/>
      </c>
      <c r="F106" s="38" t="str">
        <f t="shared" si="21"/>
        <v/>
      </c>
      <c r="G106" s="38" t="str">
        <f t="shared" si="22"/>
        <v/>
      </c>
      <c r="H106" s="38" t="str">
        <f t="shared" si="23"/>
        <v/>
      </c>
      <c r="L106" t="str">
        <f t="shared" si="24"/>
        <v/>
      </c>
      <c r="M106" s="38" t="str">
        <f t="shared" si="14"/>
        <v/>
      </c>
      <c r="N106" s="38" t="str">
        <f t="shared" si="25"/>
        <v/>
      </c>
      <c r="O106" s="38" t="str">
        <f t="shared" si="26"/>
        <v/>
      </c>
      <c r="P106" s="38" t="str">
        <f t="shared" si="15"/>
        <v/>
      </c>
      <c r="Q106" s="38" t="str">
        <f t="shared" si="16"/>
        <v/>
      </c>
      <c r="R106" s="38"/>
    </row>
    <row r="107" spans="1:18" x14ac:dyDescent="0.2">
      <c r="A107" t="str">
        <f t="shared" si="17"/>
        <v/>
      </c>
      <c r="B107" s="38" t="str">
        <f t="shared" si="18"/>
        <v/>
      </c>
      <c r="C107" s="38" t="str">
        <f t="shared" si="27"/>
        <v/>
      </c>
      <c r="D107" s="38" t="str">
        <f t="shared" si="19"/>
        <v/>
      </c>
      <c r="E107" s="38" t="str">
        <f t="shared" si="20"/>
        <v/>
      </c>
      <c r="F107" s="38" t="str">
        <f t="shared" si="21"/>
        <v/>
      </c>
      <c r="G107" s="38" t="str">
        <f t="shared" si="22"/>
        <v/>
      </c>
      <c r="H107" s="38" t="str">
        <f t="shared" si="23"/>
        <v/>
      </c>
      <c r="L107" t="str">
        <f t="shared" si="24"/>
        <v/>
      </c>
      <c r="M107" s="38" t="str">
        <f t="shared" si="14"/>
        <v/>
      </c>
      <c r="N107" s="38" t="str">
        <f t="shared" si="25"/>
        <v/>
      </c>
      <c r="O107" s="38" t="str">
        <f t="shared" si="26"/>
        <v/>
      </c>
      <c r="P107" s="38" t="str">
        <f t="shared" si="15"/>
        <v/>
      </c>
      <c r="Q107" s="38" t="str">
        <f t="shared" si="16"/>
        <v/>
      </c>
      <c r="R107" s="38"/>
    </row>
    <row r="108" spans="1:18" x14ac:dyDescent="0.2">
      <c r="A108" t="str">
        <f t="shared" si="17"/>
        <v/>
      </c>
      <c r="B108" s="38" t="str">
        <f t="shared" si="18"/>
        <v/>
      </c>
      <c r="C108" s="38" t="str">
        <f t="shared" si="27"/>
        <v/>
      </c>
      <c r="D108" s="38" t="str">
        <f t="shared" si="19"/>
        <v/>
      </c>
      <c r="E108" s="38" t="str">
        <f t="shared" si="20"/>
        <v/>
      </c>
      <c r="F108" s="38" t="str">
        <f t="shared" si="21"/>
        <v/>
      </c>
      <c r="G108" s="38" t="str">
        <f t="shared" si="22"/>
        <v/>
      </c>
      <c r="H108" s="38" t="str">
        <f t="shared" si="23"/>
        <v/>
      </c>
      <c r="L108" t="str">
        <f t="shared" si="24"/>
        <v/>
      </c>
      <c r="M108" s="38" t="str">
        <f t="shared" si="14"/>
        <v/>
      </c>
      <c r="N108" s="38" t="str">
        <f t="shared" si="25"/>
        <v/>
      </c>
      <c r="O108" s="38" t="str">
        <f t="shared" si="26"/>
        <v/>
      </c>
      <c r="P108" s="38" t="str">
        <f t="shared" si="15"/>
        <v/>
      </c>
      <c r="Q108" s="38" t="str">
        <f t="shared" si="16"/>
        <v/>
      </c>
      <c r="R108" s="38"/>
    </row>
    <row r="109" spans="1:18" x14ac:dyDescent="0.2">
      <c r="A109" t="str">
        <f t="shared" si="17"/>
        <v/>
      </c>
      <c r="B109" s="38" t="str">
        <f t="shared" si="18"/>
        <v/>
      </c>
      <c r="C109" s="38" t="str">
        <f t="shared" si="27"/>
        <v/>
      </c>
      <c r="D109" s="38" t="str">
        <f t="shared" si="19"/>
        <v/>
      </c>
      <c r="E109" s="38" t="str">
        <f t="shared" si="20"/>
        <v/>
      </c>
      <c r="F109" s="38" t="str">
        <f t="shared" si="21"/>
        <v/>
      </c>
      <c r="G109" s="38" t="str">
        <f t="shared" si="22"/>
        <v/>
      </c>
      <c r="H109" s="38" t="str">
        <f t="shared" si="23"/>
        <v/>
      </c>
      <c r="L109" t="str">
        <f t="shared" si="24"/>
        <v/>
      </c>
      <c r="M109" s="38" t="str">
        <f t="shared" si="14"/>
        <v/>
      </c>
      <c r="N109" s="38" t="str">
        <f t="shared" si="25"/>
        <v/>
      </c>
      <c r="O109" s="38" t="str">
        <f t="shared" si="26"/>
        <v/>
      </c>
      <c r="P109" s="38" t="str">
        <f t="shared" si="15"/>
        <v/>
      </c>
      <c r="Q109" s="38" t="str">
        <f t="shared" si="16"/>
        <v/>
      </c>
      <c r="R109" s="38"/>
    </row>
    <row r="110" spans="1:18" x14ac:dyDescent="0.2">
      <c r="A110" t="str">
        <f t="shared" si="17"/>
        <v/>
      </c>
      <c r="B110" s="38" t="str">
        <f t="shared" si="18"/>
        <v/>
      </c>
      <c r="C110" s="38" t="str">
        <f t="shared" si="27"/>
        <v/>
      </c>
      <c r="D110" s="38" t="str">
        <f t="shared" si="19"/>
        <v/>
      </c>
      <c r="E110" s="38" t="str">
        <f t="shared" si="20"/>
        <v/>
      </c>
      <c r="F110" s="38" t="str">
        <f t="shared" si="21"/>
        <v/>
      </c>
      <c r="G110" s="38" t="str">
        <f t="shared" si="22"/>
        <v/>
      </c>
      <c r="H110" s="38" t="str">
        <f t="shared" si="23"/>
        <v/>
      </c>
      <c r="L110" t="str">
        <f t="shared" si="24"/>
        <v/>
      </c>
      <c r="M110" s="38" t="str">
        <f t="shared" si="14"/>
        <v/>
      </c>
      <c r="N110" s="38" t="str">
        <f t="shared" si="25"/>
        <v/>
      </c>
      <c r="O110" s="38" t="str">
        <f t="shared" si="26"/>
        <v/>
      </c>
      <c r="P110" s="38" t="str">
        <f t="shared" si="15"/>
        <v/>
      </c>
      <c r="Q110" s="38" t="str">
        <f t="shared" si="16"/>
        <v/>
      </c>
      <c r="R110" s="38"/>
    </row>
    <row r="111" spans="1:18" x14ac:dyDescent="0.2">
      <c r="A111" t="str">
        <f t="shared" si="17"/>
        <v/>
      </c>
      <c r="B111" s="38" t="str">
        <f t="shared" si="18"/>
        <v/>
      </c>
      <c r="C111" s="38" t="str">
        <f t="shared" si="27"/>
        <v/>
      </c>
      <c r="D111" s="38" t="str">
        <f t="shared" si="19"/>
        <v/>
      </c>
      <c r="E111" s="38" t="str">
        <f t="shared" si="20"/>
        <v/>
      </c>
      <c r="F111" s="38" t="str">
        <f t="shared" si="21"/>
        <v/>
      </c>
      <c r="G111" s="38" t="str">
        <f t="shared" si="22"/>
        <v/>
      </c>
      <c r="H111" s="38" t="str">
        <f t="shared" si="23"/>
        <v/>
      </c>
      <c r="L111" t="str">
        <f t="shared" si="24"/>
        <v/>
      </c>
      <c r="M111" s="38" t="str">
        <f t="shared" si="14"/>
        <v/>
      </c>
      <c r="N111" s="38" t="str">
        <f t="shared" si="25"/>
        <v/>
      </c>
      <c r="O111" s="38" t="str">
        <f t="shared" si="26"/>
        <v/>
      </c>
      <c r="P111" s="38" t="str">
        <f t="shared" si="15"/>
        <v/>
      </c>
      <c r="Q111" s="38" t="str">
        <f t="shared" si="16"/>
        <v/>
      </c>
      <c r="R111" s="38"/>
    </row>
    <row r="112" spans="1:18" x14ac:dyDescent="0.2">
      <c r="A112" t="str">
        <f t="shared" si="17"/>
        <v/>
      </c>
      <c r="B112" s="38" t="str">
        <f t="shared" si="18"/>
        <v/>
      </c>
      <c r="C112" s="38" t="str">
        <f t="shared" si="27"/>
        <v/>
      </c>
      <c r="D112" s="38" t="str">
        <f t="shared" si="19"/>
        <v/>
      </c>
      <c r="E112" s="38" t="str">
        <f t="shared" si="20"/>
        <v/>
      </c>
      <c r="F112" s="38" t="str">
        <f t="shared" si="21"/>
        <v/>
      </c>
      <c r="G112" s="38" t="str">
        <f t="shared" si="22"/>
        <v/>
      </c>
      <c r="H112" s="38" t="str">
        <f t="shared" si="23"/>
        <v/>
      </c>
      <c r="L112" t="str">
        <f t="shared" si="24"/>
        <v/>
      </c>
      <c r="M112" s="38" t="str">
        <f t="shared" si="14"/>
        <v/>
      </c>
      <c r="N112" s="38" t="str">
        <f t="shared" si="25"/>
        <v/>
      </c>
      <c r="O112" s="38" t="str">
        <f t="shared" si="26"/>
        <v/>
      </c>
      <c r="P112" s="38" t="str">
        <f t="shared" si="15"/>
        <v/>
      </c>
      <c r="Q112" s="38" t="str">
        <f t="shared" si="16"/>
        <v/>
      </c>
      <c r="R112" s="38"/>
    </row>
    <row r="113" spans="1:18" x14ac:dyDescent="0.2">
      <c r="A113" t="str">
        <f t="shared" si="17"/>
        <v/>
      </c>
      <c r="B113" s="38" t="str">
        <f t="shared" si="18"/>
        <v/>
      </c>
      <c r="C113" s="38" t="str">
        <f t="shared" si="27"/>
        <v/>
      </c>
      <c r="D113" s="38" t="str">
        <f t="shared" si="19"/>
        <v/>
      </c>
      <c r="E113" s="38" t="str">
        <f t="shared" si="20"/>
        <v/>
      </c>
      <c r="F113" s="38" t="str">
        <f t="shared" si="21"/>
        <v/>
      </c>
      <c r="G113" s="38" t="str">
        <f t="shared" si="22"/>
        <v/>
      </c>
      <c r="H113" s="38" t="str">
        <f t="shared" si="23"/>
        <v/>
      </c>
      <c r="L113" t="str">
        <f t="shared" si="24"/>
        <v/>
      </c>
      <c r="M113" s="38" t="str">
        <f t="shared" si="14"/>
        <v/>
      </c>
      <c r="N113" s="38" t="str">
        <f t="shared" si="25"/>
        <v/>
      </c>
      <c r="O113" s="38" t="str">
        <f t="shared" si="26"/>
        <v/>
      </c>
      <c r="P113" s="38" t="str">
        <f t="shared" si="15"/>
        <v/>
      </c>
      <c r="Q113" s="38" t="str">
        <f t="shared" si="16"/>
        <v/>
      </c>
      <c r="R113" s="38"/>
    </row>
    <row r="114" spans="1:18" x14ac:dyDescent="0.2">
      <c r="A114" t="str">
        <f t="shared" si="17"/>
        <v/>
      </c>
      <c r="B114" s="38" t="str">
        <f t="shared" si="18"/>
        <v/>
      </c>
      <c r="C114" s="38" t="str">
        <f t="shared" si="27"/>
        <v/>
      </c>
      <c r="D114" s="38" t="str">
        <f t="shared" si="19"/>
        <v/>
      </c>
      <c r="E114" s="38" t="str">
        <f t="shared" si="20"/>
        <v/>
      </c>
      <c r="F114" s="38" t="str">
        <f t="shared" si="21"/>
        <v/>
      </c>
      <c r="G114" s="38" t="str">
        <f t="shared" si="22"/>
        <v/>
      </c>
      <c r="H114" s="38" t="str">
        <f t="shared" si="23"/>
        <v/>
      </c>
      <c r="L114" t="str">
        <f t="shared" si="24"/>
        <v/>
      </c>
      <c r="M114" s="38" t="str">
        <f t="shared" si="14"/>
        <v/>
      </c>
      <c r="N114" s="38" t="str">
        <f t="shared" si="25"/>
        <v/>
      </c>
      <c r="O114" s="38" t="str">
        <f t="shared" si="26"/>
        <v/>
      </c>
      <c r="P114" s="38" t="str">
        <f t="shared" si="15"/>
        <v/>
      </c>
      <c r="Q114" s="38" t="str">
        <f t="shared" si="16"/>
        <v/>
      </c>
      <c r="R114" s="38"/>
    </row>
    <row r="115" spans="1:18" x14ac:dyDescent="0.2">
      <c r="A115" t="str">
        <f t="shared" si="17"/>
        <v/>
      </c>
      <c r="B115" s="38" t="str">
        <f t="shared" si="18"/>
        <v/>
      </c>
      <c r="C115" s="38" t="str">
        <f t="shared" si="27"/>
        <v/>
      </c>
      <c r="D115" s="38" t="str">
        <f t="shared" si="19"/>
        <v/>
      </c>
      <c r="E115" s="38" t="str">
        <f t="shared" si="20"/>
        <v/>
      </c>
      <c r="F115" s="38" t="str">
        <f t="shared" si="21"/>
        <v/>
      </c>
      <c r="G115" s="38" t="str">
        <f t="shared" si="22"/>
        <v/>
      </c>
      <c r="H115" s="38" t="str">
        <f t="shared" si="23"/>
        <v/>
      </c>
      <c r="L115" t="str">
        <f t="shared" si="24"/>
        <v/>
      </c>
      <c r="M115" s="38" t="str">
        <f t="shared" si="14"/>
        <v/>
      </c>
      <c r="N115" s="38" t="str">
        <f t="shared" si="25"/>
        <v/>
      </c>
      <c r="O115" s="38" t="str">
        <f t="shared" si="26"/>
        <v/>
      </c>
      <c r="P115" s="38" t="str">
        <f t="shared" si="15"/>
        <v/>
      </c>
      <c r="Q115" s="38" t="str">
        <f t="shared" si="16"/>
        <v/>
      </c>
      <c r="R115" s="38"/>
    </row>
    <row r="116" spans="1:18" x14ac:dyDescent="0.2">
      <c r="A116" t="str">
        <f t="shared" si="17"/>
        <v/>
      </c>
      <c r="B116" s="38" t="str">
        <f t="shared" si="18"/>
        <v/>
      </c>
      <c r="C116" s="38" t="str">
        <f t="shared" si="27"/>
        <v/>
      </c>
      <c r="D116" s="38" t="str">
        <f t="shared" si="19"/>
        <v/>
      </c>
      <c r="E116" s="38" t="str">
        <f t="shared" si="20"/>
        <v/>
      </c>
      <c r="F116" s="38" t="str">
        <f t="shared" si="21"/>
        <v/>
      </c>
      <c r="G116" s="38" t="str">
        <f t="shared" si="22"/>
        <v/>
      </c>
      <c r="H116" s="38" t="str">
        <f t="shared" si="23"/>
        <v/>
      </c>
      <c r="L116" t="str">
        <f t="shared" si="24"/>
        <v/>
      </c>
      <c r="M116" s="38" t="str">
        <f t="shared" si="14"/>
        <v/>
      </c>
      <c r="N116" s="38" t="str">
        <f t="shared" si="25"/>
        <v/>
      </c>
      <c r="O116" s="38" t="str">
        <f t="shared" si="26"/>
        <v/>
      </c>
      <c r="P116" s="38" t="str">
        <f t="shared" si="15"/>
        <v/>
      </c>
      <c r="Q116" s="38" t="str">
        <f t="shared" si="16"/>
        <v/>
      </c>
      <c r="R116" s="38"/>
    </row>
    <row r="117" spans="1:18" x14ac:dyDescent="0.2">
      <c r="A117" t="str">
        <f t="shared" si="17"/>
        <v/>
      </c>
      <c r="B117" s="38" t="str">
        <f t="shared" si="18"/>
        <v/>
      </c>
      <c r="C117" s="38" t="str">
        <f t="shared" si="27"/>
        <v/>
      </c>
      <c r="D117" s="38" t="str">
        <f t="shared" si="19"/>
        <v/>
      </c>
      <c r="E117" s="38" t="str">
        <f t="shared" si="20"/>
        <v/>
      </c>
      <c r="F117" s="38" t="str">
        <f t="shared" si="21"/>
        <v/>
      </c>
      <c r="G117" s="38" t="str">
        <f t="shared" si="22"/>
        <v/>
      </c>
      <c r="H117" s="38" t="str">
        <f t="shared" si="23"/>
        <v/>
      </c>
      <c r="L117" t="str">
        <f t="shared" si="24"/>
        <v/>
      </c>
      <c r="M117" s="38" t="str">
        <f t="shared" si="14"/>
        <v/>
      </c>
      <c r="N117" s="38" t="str">
        <f t="shared" si="25"/>
        <v/>
      </c>
      <c r="O117" s="38" t="str">
        <f t="shared" si="26"/>
        <v/>
      </c>
      <c r="P117" s="38" t="str">
        <f t="shared" si="15"/>
        <v/>
      </c>
      <c r="Q117" s="38" t="str">
        <f t="shared" si="16"/>
        <v/>
      </c>
      <c r="R117" s="38"/>
    </row>
    <row r="118" spans="1:18" x14ac:dyDescent="0.2">
      <c r="A118" t="str">
        <f t="shared" si="17"/>
        <v/>
      </c>
      <c r="B118" s="38" t="str">
        <f t="shared" si="18"/>
        <v/>
      </c>
      <c r="C118" s="38" t="str">
        <f t="shared" si="27"/>
        <v/>
      </c>
      <c r="D118" s="38" t="str">
        <f t="shared" si="19"/>
        <v/>
      </c>
      <c r="E118" s="38" t="str">
        <f t="shared" si="20"/>
        <v/>
      </c>
      <c r="F118" s="38" t="str">
        <f t="shared" si="21"/>
        <v/>
      </c>
      <c r="G118" s="38" t="str">
        <f t="shared" si="22"/>
        <v/>
      </c>
      <c r="H118" s="38" t="str">
        <f t="shared" si="23"/>
        <v/>
      </c>
      <c r="L118" t="str">
        <f t="shared" si="24"/>
        <v/>
      </c>
      <c r="M118" s="38" t="str">
        <f t="shared" si="14"/>
        <v/>
      </c>
      <c r="N118" s="38" t="str">
        <f t="shared" si="25"/>
        <v/>
      </c>
      <c r="O118" s="38" t="str">
        <f t="shared" si="26"/>
        <v/>
      </c>
      <c r="P118" s="38" t="str">
        <f t="shared" si="15"/>
        <v/>
      </c>
      <c r="Q118" s="38" t="str">
        <f t="shared" si="16"/>
        <v/>
      </c>
      <c r="R118" s="38"/>
    </row>
    <row r="119" spans="1:18" x14ac:dyDescent="0.2">
      <c r="A119" t="str">
        <f t="shared" si="17"/>
        <v/>
      </c>
      <c r="B119" s="38" t="str">
        <f t="shared" si="18"/>
        <v/>
      </c>
      <c r="C119" s="38" t="str">
        <f t="shared" si="27"/>
        <v/>
      </c>
      <c r="D119" s="38" t="str">
        <f t="shared" si="19"/>
        <v/>
      </c>
      <c r="E119" s="38" t="str">
        <f t="shared" si="20"/>
        <v/>
      </c>
      <c r="F119" s="38" t="str">
        <f t="shared" si="21"/>
        <v/>
      </c>
      <c r="G119" s="38" t="str">
        <f t="shared" si="22"/>
        <v/>
      </c>
      <c r="H119" s="38" t="str">
        <f t="shared" si="23"/>
        <v/>
      </c>
      <c r="L119" t="str">
        <f t="shared" si="24"/>
        <v/>
      </c>
      <c r="M119" s="38" t="str">
        <f t="shared" si="14"/>
        <v/>
      </c>
      <c r="N119" s="38" t="str">
        <f t="shared" si="25"/>
        <v/>
      </c>
      <c r="O119" s="38" t="str">
        <f t="shared" si="26"/>
        <v/>
      </c>
      <c r="P119" s="38" t="str">
        <f t="shared" si="15"/>
        <v/>
      </c>
      <c r="Q119" s="38" t="str">
        <f t="shared" si="16"/>
        <v/>
      </c>
      <c r="R119" s="38"/>
    </row>
    <row r="120" spans="1:18" x14ac:dyDescent="0.2">
      <c r="A120" t="str">
        <f t="shared" si="17"/>
        <v/>
      </c>
      <c r="B120" s="38" t="str">
        <f t="shared" si="18"/>
        <v/>
      </c>
      <c r="C120" s="38" t="str">
        <f t="shared" si="27"/>
        <v/>
      </c>
      <c r="D120" s="38" t="str">
        <f t="shared" si="19"/>
        <v/>
      </c>
      <c r="E120" s="38" t="str">
        <f t="shared" si="20"/>
        <v/>
      </c>
      <c r="F120" s="38" t="str">
        <f t="shared" si="21"/>
        <v/>
      </c>
      <c r="G120" s="38" t="str">
        <f t="shared" si="22"/>
        <v/>
      </c>
      <c r="H120" s="38" t="str">
        <f t="shared" si="23"/>
        <v/>
      </c>
      <c r="L120" t="str">
        <f t="shared" si="24"/>
        <v/>
      </c>
      <c r="M120" s="38" t="str">
        <f t="shared" si="14"/>
        <v/>
      </c>
      <c r="N120" s="38" t="str">
        <f t="shared" si="25"/>
        <v/>
      </c>
      <c r="O120" s="38" t="str">
        <f t="shared" si="26"/>
        <v/>
      </c>
      <c r="P120" s="38" t="str">
        <f t="shared" si="15"/>
        <v/>
      </c>
      <c r="Q120" s="38" t="str">
        <f t="shared" si="16"/>
        <v/>
      </c>
      <c r="R120" s="38"/>
    </row>
    <row r="121" spans="1:18" x14ac:dyDescent="0.2">
      <c r="A121" t="str">
        <f t="shared" si="17"/>
        <v/>
      </c>
      <c r="B121" s="38" t="str">
        <f t="shared" si="18"/>
        <v/>
      </c>
      <c r="C121" s="38" t="str">
        <f t="shared" si="27"/>
        <v/>
      </c>
      <c r="D121" s="38" t="str">
        <f t="shared" si="19"/>
        <v/>
      </c>
      <c r="E121" s="38" t="str">
        <f t="shared" si="20"/>
        <v/>
      </c>
      <c r="F121" s="38" t="str">
        <f t="shared" si="21"/>
        <v/>
      </c>
      <c r="G121" s="38" t="str">
        <f t="shared" si="22"/>
        <v/>
      </c>
      <c r="H121" s="38" t="str">
        <f t="shared" si="23"/>
        <v/>
      </c>
      <c r="L121" t="str">
        <f t="shared" si="24"/>
        <v/>
      </c>
      <c r="M121" s="38" t="str">
        <f t="shared" si="14"/>
        <v/>
      </c>
      <c r="N121" s="38" t="str">
        <f t="shared" si="25"/>
        <v/>
      </c>
      <c r="O121" s="38" t="str">
        <f t="shared" si="26"/>
        <v/>
      </c>
      <c r="P121" s="38" t="str">
        <f t="shared" si="15"/>
        <v/>
      </c>
      <c r="Q121" s="38" t="str">
        <f t="shared" si="16"/>
        <v/>
      </c>
      <c r="R121" s="38"/>
    </row>
    <row r="122" spans="1:18" x14ac:dyDescent="0.2">
      <c r="A122" t="str">
        <f t="shared" si="17"/>
        <v/>
      </c>
      <c r="B122" s="38" t="str">
        <f t="shared" si="18"/>
        <v/>
      </c>
      <c r="C122" s="38" t="str">
        <f t="shared" si="27"/>
        <v/>
      </c>
      <c r="D122" s="38" t="str">
        <f t="shared" si="19"/>
        <v/>
      </c>
      <c r="E122" s="38" t="str">
        <f t="shared" si="20"/>
        <v/>
      </c>
      <c r="F122" s="38" t="str">
        <f t="shared" si="21"/>
        <v/>
      </c>
      <c r="G122" s="38" t="str">
        <f t="shared" si="22"/>
        <v/>
      </c>
      <c r="H122" s="38" t="str">
        <f t="shared" si="23"/>
        <v/>
      </c>
      <c r="L122" t="str">
        <f t="shared" si="24"/>
        <v/>
      </c>
      <c r="M122" s="38" t="str">
        <f t="shared" si="14"/>
        <v/>
      </c>
      <c r="N122" s="38" t="str">
        <f t="shared" si="25"/>
        <v/>
      </c>
      <c r="O122" s="38" t="str">
        <f t="shared" si="26"/>
        <v/>
      </c>
      <c r="P122" s="38" t="str">
        <f t="shared" si="15"/>
        <v/>
      </c>
      <c r="Q122" s="38" t="str">
        <f t="shared" si="16"/>
        <v/>
      </c>
      <c r="R122" s="38"/>
    </row>
    <row r="123" spans="1:18" x14ac:dyDescent="0.2">
      <c r="A123" t="str">
        <f t="shared" si="17"/>
        <v/>
      </c>
      <c r="B123" s="38" t="str">
        <f t="shared" si="18"/>
        <v/>
      </c>
      <c r="C123" s="38" t="str">
        <f t="shared" si="27"/>
        <v/>
      </c>
      <c r="D123" s="38" t="str">
        <f t="shared" si="19"/>
        <v/>
      </c>
      <c r="E123" s="38" t="str">
        <f t="shared" si="20"/>
        <v/>
      </c>
      <c r="F123" s="38" t="str">
        <f t="shared" si="21"/>
        <v/>
      </c>
      <c r="G123" s="38" t="str">
        <f t="shared" si="22"/>
        <v/>
      </c>
      <c r="H123" s="38" t="str">
        <f t="shared" si="23"/>
        <v/>
      </c>
      <c r="L123" t="str">
        <f t="shared" si="24"/>
        <v/>
      </c>
      <c r="M123" s="38" t="str">
        <f t="shared" si="14"/>
        <v/>
      </c>
      <c r="N123" s="38" t="str">
        <f t="shared" si="25"/>
        <v/>
      </c>
      <c r="O123" s="38" t="str">
        <f t="shared" si="26"/>
        <v/>
      </c>
      <c r="P123" s="38" t="str">
        <f t="shared" si="15"/>
        <v/>
      </c>
      <c r="Q123" s="38" t="str">
        <f t="shared" si="16"/>
        <v/>
      </c>
      <c r="R123" s="38"/>
    </row>
    <row r="124" spans="1:18" x14ac:dyDescent="0.2">
      <c r="A124" t="str">
        <f t="shared" si="17"/>
        <v/>
      </c>
      <c r="B124" s="38" t="str">
        <f t="shared" si="18"/>
        <v/>
      </c>
      <c r="C124" s="38" t="str">
        <f t="shared" si="27"/>
        <v/>
      </c>
      <c r="D124" s="38" t="str">
        <f t="shared" si="19"/>
        <v/>
      </c>
      <c r="E124" s="38" t="str">
        <f t="shared" si="20"/>
        <v/>
      </c>
      <c r="F124" s="38" t="str">
        <f t="shared" si="21"/>
        <v/>
      </c>
      <c r="G124" s="38" t="str">
        <f t="shared" si="22"/>
        <v/>
      </c>
      <c r="H124" s="38" t="str">
        <f t="shared" si="23"/>
        <v/>
      </c>
      <c r="L124" t="str">
        <f t="shared" si="24"/>
        <v/>
      </c>
      <c r="M124" s="38" t="str">
        <f t="shared" si="14"/>
        <v/>
      </c>
      <c r="N124" s="38" t="str">
        <f t="shared" si="25"/>
        <v/>
      </c>
      <c r="O124" s="38" t="str">
        <f t="shared" si="26"/>
        <v/>
      </c>
      <c r="P124" s="38" t="str">
        <f t="shared" si="15"/>
        <v/>
      </c>
      <c r="Q124" s="38" t="str">
        <f t="shared" si="16"/>
        <v/>
      </c>
      <c r="R124" s="38"/>
    </row>
    <row r="125" spans="1:18" x14ac:dyDescent="0.2">
      <c r="A125" t="str">
        <f t="shared" si="17"/>
        <v/>
      </c>
      <c r="B125" s="38" t="str">
        <f t="shared" si="18"/>
        <v/>
      </c>
      <c r="C125" s="38" t="str">
        <f t="shared" si="27"/>
        <v/>
      </c>
      <c r="D125" s="38" t="str">
        <f t="shared" si="19"/>
        <v/>
      </c>
      <c r="E125" s="38" t="str">
        <f t="shared" si="20"/>
        <v/>
      </c>
      <c r="F125" s="38" t="str">
        <f t="shared" si="21"/>
        <v/>
      </c>
      <c r="G125" s="38" t="str">
        <f t="shared" si="22"/>
        <v/>
      </c>
      <c r="H125" s="38" t="str">
        <f t="shared" si="23"/>
        <v/>
      </c>
      <c r="L125" t="str">
        <f t="shared" si="24"/>
        <v/>
      </c>
      <c r="M125" s="38" t="str">
        <f t="shared" si="14"/>
        <v/>
      </c>
      <c r="N125" s="38" t="str">
        <f t="shared" si="25"/>
        <v/>
      </c>
      <c r="O125" s="38" t="str">
        <f t="shared" si="26"/>
        <v/>
      </c>
      <c r="P125" s="38" t="str">
        <f t="shared" si="15"/>
        <v/>
      </c>
      <c r="Q125" s="38" t="str">
        <f t="shared" si="16"/>
        <v/>
      </c>
      <c r="R125" s="38"/>
    </row>
    <row r="126" spans="1:18" x14ac:dyDescent="0.2">
      <c r="A126" t="str">
        <f t="shared" si="17"/>
        <v/>
      </c>
      <c r="B126" s="38" t="str">
        <f t="shared" si="18"/>
        <v/>
      </c>
      <c r="C126" s="38" t="str">
        <f t="shared" si="27"/>
        <v/>
      </c>
      <c r="D126" s="38" t="str">
        <f t="shared" si="19"/>
        <v/>
      </c>
      <c r="E126" s="38" t="str">
        <f t="shared" si="20"/>
        <v/>
      </c>
      <c r="F126" s="38" t="str">
        <f t="shared" si="21"/>
        <v/>
      </c>
      <c r="G126" s="38" t="str">
        <f t="shared" si="22"/>
        <v/>
      </c>
      <c r="H126" s="38" t="str">
        <f t="shared" si="23"/>
        <v/>
      </c>
      <c r="L126" t="str">
        <f t="shared" si="24"/>
        <v/>
      </c>
      <c r="M126" s="38" t="str">
        <f t="shared" si="14"/>
        <v/>
      </c>
      <c r="N126" s="38" t="str">
        <f t="shared" si="25"/>
        <v/>
      </c>
      <c r="O126" s="38" t="str">
        <f t="shared" si="26"/>
        <v/>
      </c>
      <c r="P126" s="38" t="str">
        <f t="shared" si="15"/>
        <v/>
      </c>
      <c r="Q126" s="38" t="str">
        <f t="shared" si="16"/>
        <v/>
      </c>
      <c r="R126" s="38"/>
    </row>
    <row r="127" spans="1:18" x14ac:dyDescent="0.2">
      <c r="A127" t="str">
        <f t="shared" si="17"/>
        <v/>
      </c>
      <c r="B127" s="38" t="str">
        <f t="shared" si="18"/>
        <v/>
      </c>
      <c r="C127" s="38" t="str">
        <f t="shared" si="27"/>
        <v/>
      </c>
      <c r="D127" s="38" t="str">
        <f t="shared" si="19"/>
        <v/>
      </c>
      <c r="E127" s="38" t="str">
        <f t="shared" si="20"/>
        <v/>
      </c>
      <c r="F127" s="38" t="str">
        <f t="shared" si="21"/>
        <v/>
      </c>
      <c r="G127" s="38" t="str">
        <f t="shared" si="22"/>
        <v/>
      </c>
      <c r="H127" s="38" t="str">
        <f t="shared" si="23"/>
        <v/>
      </c>
      <c r="L127" t="str">
        <f t="shared" si="24"/>
        <v/>
      </c>
      <c r="M127" s="38" t="str">
        <f t="shared" si="14"/>
        <v/>
      </c>
      <c r="N127" s="38" t="str">
        <f t="shared" si="25"/>
        <v/>
      </c>
      <c r="O127" s="38" t="str">
        <f t="shared" si="26"/>
        <v/>
      </c>
      <c r="P127" s="38" t="str">
        <f t="shared" si="15"/>
        <v/>
      </c>
      <c r="Q127" s="38" t="str">
        <f t="shared" si="16"/>
        <v/>
      </c>
      <c r="R127" s="38"/>
    </row>
    <row r="128" spans="1:18" x14ac:dyDescent="0.2">
      <c r="A128" t="str">
        <f t="shared" si="17"/>
        <v/>
      </c>
      <c r="B128" s="38" t="str">
        <f t="shared" si="18"/>
        <v/>
      </c>
      <c r="C128" s="38" t="str">
        <f t="shared" si="27"/>
        <v/>
      </c>
      <c r="D128" s="38" t="str">
        <f t="shared" si="19"/>
        <v/>
      </c>
      <c r="E128" s="38" t="str">
        <f t="shared" si="20"/>
        <v/>
      </c>
      <c r="F128" s="38" t="str">
        <f t="shared" si="21"/>
        <v/>
      </c>
      <c r="G128" s="38" t="str">
        <f t="shared" si="22"/>
        <v/>
      </c>
      <c r="H128" s="38" t="str">
        <f t="shared" si="23"/>
        <v/>
      </c>
      <c r="L128" t="str">
        <f t="shared" si="24"/>
        <v/>
      </c>
      <c r="M128" s="38" t="str">
        <f t="shared" si="14"/>
        <v/>
      </c>
      <c r="N128" s="38" t="str">
        <f t="shared" si="25"/>
        <v/>
      </c>
      <c r="O128" s="38" t="str">
        <f t="shared" si="26"/>
        <v/>
      </c>
      <c r="P128" s="38" t="str">
        <f t="shared" si="15"/>
        <v/>
      </c>
      <c r="Q128" s="38" t="str">
        <f t="shared" si="16"/>
        <v/>
      </c>
      <c r="R128" s="38"/>
    </row>
    <row r="129" spans="1:18" x14ac:dyDescent="0.2">
      <c r="A129" t="str">
        <f t="shared" si="17"/>
        <v/>
      </c>
      <c r="B129" s="38" t="str">
        <f t="shared" si="18"/>
        <v/>
      </c>
      <c r="C129" s="38" t="str">
        <f t="shared" si="27"/>
        <v/>
      </c>
      <c r="D129" s="38" t="str">
        <f t="shared" si="19"/>
        <v/>
      </c>
      <c r="E129" s="38" t="str">
        <f t="shared" si="20"/>
        <v/>
      </c>
      <c r="F129" s="38" t="str">
        <f t="shared" si="21"/>
        <v/>
      </c>
      <c r="G129" s="38" t="str">
        <f t="shared" si="22"/>
        <v/>
      </c>
      <c r="H129" s="38" t="str">
        <f t="shared" si="23"/>
        <v/>
      </c>
      <c r="L129" t="str">
        <f t="shared" si="24"/>
        <v/>
      </c>
      <c r="M129" s="38" t="str">
        <f t="shared" si="14"/>
        <v/>
      </c>
      <c r="N129" s="38" t="str">
        <f t="shared" si="25"/>
        <v/>
      </c>
      <c r="O129" s="38" t="str">
        <f t="shared" si="26"/>
        <v/>
      </c>
      <c r="P129" s="38" t="str">
        <f t="shared" si="15"/>
        <v/>
      </c>
      <c r="Q129" s="38" t="str">
        <f t="shared" si="16"/>
        <v/>
      </c>
      <c r="R129" s="38"/>
    </row>
    <row r="130" spans="1:18" x14ac:dyDescent="0.2">
      <c r="A130" t="str">
        <f t="shared" si="17"/>
        <v/>
      </c>
      <c r="B130" s="38" t="str">
        <f t="shared" si="18"/>
        <v/>
      </c>
      <c r="C130" s="38" t="str">
        <f t="shared" si="27"/>
        <v/>
      </c>
      <c r="D130" s="38" t="str">
        <f t="shared" si="19"/>
        <v/>
      </c>
      <c r="E130" s="38" t="str">
        <f t="shared" si="20"/>
        <v/>
      </c>
      <c r="F130" s="38" t="str">
        <f t="shared" si="21"/>
        <v/>
      </c>
      <c r="G130" s="38" t="str">
        <f t="shared" si="22"/>
        <v/>
      </c>
      <c r="H130" s="38" t="str">
        <f t="shared" si="23"/>
        <v/>
      </c>
      <c r="L130" t="str">
        <f t="shared" si="24"/>
        <v/>
      </c>
      <c r="M130" s="38" t="str">
        <f t="shared" si="14"/>
        <v/>
      </c>
      <c r="N130" s="38" t="str">
        <f t="shared" si="25"/>
        <v/>
      </c>
      <c r="O130" s="38" t="str">
        <f t="shared" si="26"/>
        <v/>
      </c>
      <c r="P130" s="38" t="str">
        <f t="shared" si="15"/>
        <v/>
      </c>
      <c r="Q130" s="38" t="str">
        <f t="shared" si="16"/>
        <v/>
      </c>
      <c r="R130" s="38"/>
    </row>
    <row r="131" spans="1:18" x14ac:dyDescent="0.2">
      <c r="A131" t="str">
        <f t="shared" si="17"/>
        <v/>
      </c>
      <c r="B131" s="38" t="str">
        <f t="shared" si="18"/>
        <v/>
      </c>
      <c r="C131" s="38" t="str">
        <f t="shared" si="27"/>
        <v/>
      </c>
      <c r="D131" s="38" t="str">
        <f t="shared" si="19"/>
        <v/>
      </c>
      <c r="E131" s="38" t="str">
        <f t="shared" si="20"/>
        <v/>
      </c>
      <c r="F131" s="38" t="str">
        <f t="shared" si="21"/>
        <v/>
      </c>
      <c r="G131" s="38" t="str">
        <f t="shared" si="22"/>
        <v/>
      </c>
      <c r="H131" s="38" t="str">
        <f t="shared" si="23"/>
        <v/>
      </c>
      <c r="L131" t="str">
        <f t="shared" si="24"/>
        <v/>
      </c>
      <c r="M131" s="38" t="str">
        <f t="shared" si="14"/>
        <v/>
      </c>
      <c r="N131" s="38" t="str">
        <f t="shared" si="25"/>
        <v/>
      </c>
      <c r="O131" s="38" t="str">
        <f t="shared" si="26"/>
        <v/>
      </c>
      <c r="P131" s="38" t="str">
        <f t="shared" si="15"/>
        <v/>
      </c>
      <c r="Q131" s="38" t="str">
        <f t="shared" si="16"/>
        <v/>
      </c>
      <c r="R131" s="38"/>
    </row>
    <row r="132" spans="1:18" x14ac:dyDescent="0.2">
      <c r="A132" t="str">
        <f t="shared" si="17"/>
        <v/>
      </c>
      <c r="B132" s="38" t="str">
        <f t="shared" si="18"/>
        <v/>
      </c>
      <c r="C132" s="38" t="str">
        <f t="shared" si="27"/>
        <v/>
      </c>
      <c r="D132" s="38" t="str">
        <f t="shared" si="19"/>
        <v/>
      </c>
      <c r="E132" s="38" t="str">
        <f t="shared" si="20"/>
        <v/>
      </c>
      <c r="F132" s="38" t="str">
        <f t="shared" si="21"/>
        <v/>
      </c>
      <c r="G132" s="38" t="str">
        <f t="shared" si="22"/>
        <v/>
      </c>
      <c r="H132" s="38" t="str">
        <f t="shared" si="23"/>
        <v/>
      </c>
      <c r="L132" t="str">
        <f t="shared" si="24"/>
        <v/>
      </c>
      <c r="M132" s="38" t="str">
        <f t="shared" si="14"/>
        <v/>
      </c>
      <c r="N132" s="38" t="str">
        <f t="shared" si="25"/>
        <v/>
      </c>
      <c r="O132" s="38" t="str">
        <f t="shared" si="26"/>
        <v/>
      </c>
      <c r="P132" s="38" t="str">
        <f t="shared" si="15"/>
        <v/>
      </c>
      <c r="Q132" s="38" t="str">
        <f t="shared" si="16"/>
        <v/>
      </c>
      <c r="R132" s="38"/>
    </row>
    <row r="133" spans="1:18" x14ac:dyDescent="0.2">
      <c r="A133" t="str">
        <f t="shared" si="17"/>
        <v/>
      </c>
      <c r="B133" s="38" t="str">
        <f t="shared" si="18"/>
        <v/>
      </c>
      <c r="C133" s="38" t="str">
        <f t="shared" si="27"/>
        <v/>
      </c>
      <c r="D133" s="38" t="str">
        <f t="shared" si="19"/>
        <v/>
      </c>
      <c r="E133" s="38" t="str">
        <f t="shared" si="20"/>
        <v/>
      </c>
      <c r="F133" s="38" t="str">
        <f t="shared" si="21"/>
        <v/>
      </c>
      <c r="G133" s="38" t="str">
        <f t="shared" si="22"/>
        <v/>
      </c>
      <c r="H133" s="38" t="str">
        <f t="shared" si="23"/>
        <v/>
      </c>
      <c r="L133" t="str">
        <f t="shared" si="24"/>
        <v/>
      </c>
      <c r="M133" s="38" t="str">
        <f t="shared" si="14"/>
        <v/>
      </c>
      <c r="N133" s="38" t="str">
        <f t="shared" si="25"/>
        <v/>
      </c>
      <c r="O133" s="38" t="str">
        <f t="shared" si="26"/>
        <v/>
      </c>
      <c r="P133" s="38" t="str">
        <f t="shared" si="15"/>
        <v/>
      </c>
      <c r="Q133" s="38" t="str">
        <f t="shared" si="16"/>
        <v/>
      </c>
      <c r="R133" s="38"/>
    </row>
    <row r="134" spans="1:18" x14ac:dyDescent="0.2">
      <c r="A134" t="str">
        <f t="shared" si="17"/>
        <v/>
      </c>
      <c r="B134" s="38" t="str">
        <f t="shared" si="18"/>
        <v/>
      </c>
      <c r="C134" s="38" t="str">
        <f t="shared" si="27"/>
        <v/>
      </c>
      <c r="D134" s="38" t="str">
        <f t="shared" si="19"/>
        <v/>
      </c>
      <c r="E134" s="38" t="str">
        <f t="shared" si="20"/>
        <v/>
      </c>
      <c r="F134" s="38" t="str">
        <f t="shared" si="21"/>
        <v/>
      </c>
      <c r="G134" s="38" t="str">
        <f t="shared" si="22"/>
        <v/>
      </c>
      <c r="H134" s="38" t="str">
        <f t="shared" si="23"/>
        <v/>
      </c>
      <c r="L134" t="str">
        <f t="shared" si="24"/>
        <v/>
      </c>
      <c r="M134" s="38" t="str">
        <f t="shared" si="14"/>
        <v/>
      </c>
      <c r="N134" s="38" t="str">
        <f t="shared" si="25"/>
        <v/>
      </c>
      <c r="O134" s="38" t="str">
        <f t="shared" si="26"/>
        <v/>
      </c>
      <c r="P134" s="38" t="str">
        <f t="shared" si="15"/>
        <v/>
      </c>
      <c r="Q134" s="38" t="str">
        <f t="shared" si="16"/>
        <v/>
      </c>
      <c r="R134" s="38"/>
    </row>
    <row r="135" spans="1:18" x14ac:dyDescent="0.2">
      <c r="A135" t="str">
        <f t="shared" si="17"/>
        <v/>
      </c>
      <c r="B135" s="38" t="str">
        <f t="shared" si="18"/>
        <v/>
      </c>
      <c r="C135" s="38" t="str">
        <f t="shared" si="27"/>
        <v/>
      </c>
      <c r="D135" s="38" t="str">
        <f t="shared" si="19"/>
        <v/>
      </c>
      <c r="E135" s="38" t="str">
        <f t="shared" si="20"/>
        <v/>
      </c>
      <c r="F135" s="38" t="str">
        <f t="shared" si="21"/>
        <v/>
      </c>
      <c r="G135" s="38" t="str">
        <f t="shared" si="22"/>
        <v/>
      </c>
      <c r="H135" s="38" t="str">
        <f t="shared" si="23"/>
        <v/>
      </c>
      <c r="L135" t="str">
        <f t="shared" si="24"/>
        <v/>
      </c>
      <c r="M135" s="38" t="str">
        <f t="shared" si="14"/>
        <v/>
      </c>
      <c r="N135" s="38" t="str">
        <f t="shared" si="25"/>
        <v/>
      </c>
      <c r="O135" s="38" t="str">
        <f t="shared" si="26"/>
        <v/>
      </c>
      <c r="P135" s="38" t="str">
        <f t="shared" si="15"/>
        <v/>
      </c>
      <c r="Q135" s="38" t="str">
        <f t="shared" si="16"/>
        <v/>
      </c>
      <c r="R135" s="38"/>
    </row>
    <row r="136" spans="1:18" x14ac:dyDescent="0.2">
      <c r="A136" t="str">
        <f t="shared" si="17"/>
        <v/>
      </c>
      <c r="B136" s="38" t="str">
        <f t="shared" si="18"/>
        <v/>
      </c>
      <c r="C136" s="38" t="str">
        <f t="shared" si="27"/>
        <v/>
      </c>
      <c r="D136" s="38" t="str">
        <f t="shared" si="19"/>
        <v/>
      </c>
      <c r="E136" s="38" t="str">
        <f t="shared" si="20"/>
        <v/>
      </c>
      <c r="F136" s="38" t="str">
        <f t="shared" si="21"/>
        <v/>
      </c>
      <c r="G136" s="38" t="str">
        <f t="shared" si="22"/>
        <v/>
      </c>
      <c r="H136" s="38" t="str">
        <f t="shared" si="23"/>
        <v/>
      </c>
      <c r="L136" t="str">
        <f t="shared" si="24"/>
        <v/>
      </c>
      <c r="M136" s="38" t="str">
        <f t="shared" si="14"/>
        <v/>
      </c>
      <c r="N136" s="38" t="str">
        <f t="shared" si="25"/>
        <v/>
      </c>
      <c r="O136" s="38" t="str">
        <f t="shared" si="26"/>
        <v/>
      </c>
      <c r="P136" s="38" t="str">
        <f t="shared" si="15"/>
        <v/>
      </c>
      <c r="Q136" s="38" t="str">
        <f t="shared" si="16"/>
        <v/>
      </c>
      <c r="R136" s="38"/>
    </row>
    <row r="137" spans="1:18" x14ac:dyDescent="0.2">
      <c r="A137" t="str">
        <f t="shared" si="17"/>
        <v/>
      </c>
      <c r="B137" s="38" t="str">
        <f t="shared" si="18"/>
        <v/>
      </c>
      <c r="C137" s="38" t="str">
        <f t="shared" si="27"/>
        <v/>
      </c>
      <c r="D137" s="38" t="str">
        <f t="shared" si="19"/>
        <v/>
      </c>
      <c r="E137" s="38" t="str">
        <f t="shared" si="20"/>
        <v/>
      </c>
      <c r="F137" s="38" t="str">
        <f t="shared" si="21"/>
        <v/>
      </c>
      <c r="G137" s="38" t="str">
        <f t="shared" si="22"/>
        <v/>
      </c>
      <c r="H137" s="38" t="str">
        <f t="shared" si="23"/>
        <v/>
      </c>
      <c r="L137" t="str">
        <f t="shared" si="24"/>
        <v/>
      </c>
      <c r="M137" s="38" t="str">
        <f t="shared" si="14"/>
        <v/>
      </c>
      <c r="N137" s="38" t="str">
        <f t="shared" si="25"/>
        <v/>
      </c>
      <c r="O137" s="38" t="str">
        <f t="shared" si="26"/>
        <v/>
      </c>
      <c r="P137" s="38" t="str">
        <f t="shared" si="15"/>
        <v/>
      </c>
      <c r="Q137" s="38" t="str">
        <f t="shared" si="16"/>
        <v/>
      </c>
      <c r="R137" s="38"/>
    </row>
    <row r="138" spans="1:18" x14ac:dyDescent="0.2">
      <c r="A138" t="str">
        <f t="shared" si="17"/>
        <v/>
      </c>
      <c r="B138" s="38" t="str">
        <f t="shared" si="18"/>
        <v/>
      </c>
      <c r="C138" s="38" t="str">
        <f t="shared" si="27"/>
        <v/>
      </c>
      <c r="D138" s="38" t="str">
        <f t="shared" si="19"/>
        <v/>
      </c>
      <c r="E138" s="38" t="str">
        <f t="shared" si="20"/>
        <v/>
      </c>
      <c r="F138" s="38" t="str">
        <f t="shared" si="21"/>
        <v/>
      </c>
      <c r="G138" s="38" t="str">
        <f t="shared" si="22"/>
        <v/>
      </c>
      <c r="H138" s="38" t="str">
        <f t="shared" si="23"/>
        <v/>
      </c>
      <c r="L138" t="str">
        <f t="shared" si="24"/>
        <v/>
      </c>
      <c r="M138" s="38" t="str">
        <f t="shared" si="14"/>
        <v/>
      </c>
      <c r="N138" s="38" t="str">
        <f t="shared" si="25"/>
        <v/>
      </c>
      <c r="O138" s="38" t="str">
        <f t="shared" si="26"/>
        <v/>
      </c>
      <c r="P138" s="38" t="str">
        <f t="shared" si="15"/>
        <v/>
      </c>
      <c r="Q138" s="38" t="str">
        <f t="shared" si="16"/>
        <v/>
      </c>
      <c r="R138" s="38"/>
    </row>
    <row r="139" spans="1:18" x14ac:dyDescent="0.2">
      <c r="A139" t="str">
        <f t="shared" si="17"/>
        <v/>
      </c>
      <c r="B139" s="38" t="str">
        <f t="shared" si="18"/>
        <v/>
      </c>
      <c r="C139" s="38" t="str">
        <f t="shared" si="27"/>
        <v/>
      </c>
      <c r="D139" s="38" t="str">
        <f t="shared" si="19"/>
        <v/>
      </c>
      <c r="E139" s="38" t="str">
        <f t="shared" si="20"/>
        <v/>
      </c>
      <c r="F139" s="38" t="str">
        <f t="shared" si="21"/>
        <v/>
      </c>
      <c r="G139" s="38" t="str">
        <f t="shared" si="22"/>
        <v/>
      </c>
      <c r="H139" s="38" t="str">
        <f t="shared" si="23"/>
        <v/>
      </c>
      <c r="L139" t="str">
        <f t="shared" si="24"/>
        <v/>
      </c>
      <c r="M139" s="38" t="str">
        <f t="shared" si="14"/>
        <v/>
      </c>
      <c r="N139" s="38" t="str">
        <f t="shared" si="25"/>
        <v/>
      </c>
      <c r="O139" s="38" t="str">
        <f t="shared" si="26"/>
        <v/>
      </c>
      <c r="P139" s="38" t="str">
        <f t="shared" si="15"/>
        <v/>
      </c>
      <c r="Q139" s="38" t="str">
        <f t="shared" si="16"/>
        <v/>
      </c>
      <c r="R139" s="38"/>
    </row>
    <row r="140" spans="1:18" x14ac:dyDescent="0.2">
      <c r="A140" t="str">
        <f t="shared" si="17"/>
        <v/>
      </c>
      <c r="B140" s="38" t="str">
        <f t="shared" si="18"/>
        <v/>
      </c>
      <c r="C140" s="38" t="str">
        <f t="shared" si="27"/>
        <v/>
      </c>
      <c r="D140" s="38" t="str">
        <f t="shared" si="19"/>
        <v/>
      </c>
      <c r="E140" s="38" t="str">
        <f t="shared" si="20"/>
        <v/>
      </c>
      <c r="F140" s="38" t="str">
        <f t="shared" si="21"/>
        <v/>
      </c>
      <c r="G140" s="38" t="str">
        <f t="shared" si="22"/>
        <v/>
      </c>
      <c r="H140" s="38" t="str">
        <f t="shared" si="23"/>
        <v/>
      </c>
      <c r="L140" t="str">
        <f t="shared" si="24"/>
        <v/>
      </c>
      <c r="M140" s="38" t="str">
        <f t="shared" si="14"/>
        <v/>
      </c>
      <c r="N140" s="38" t="str">
        <f t="shared" si="25"/>
        <v/>
      </c>
      <c r="O140" s="38" t="str">
        <f t="shared" si="26"/>
        <v/>
      </c>
      <c r="P140" s="38" t="str">
        <f t="shared" si="15"/>
        <v/>
      </c>
      <c r="Q140" s="38" t="str">
        <f t="shared" si="16"/>
        <v/>
      </c>
      <c r="R140" s="38"/>
    </row>
    <row r="141" spans="1:18" x14ac:dyDescent="0.2">
      <c r="A141" t="str">
        <f t="shared" si="17"/>
        <v/>
      </c>
      <c r="B141" s="38" t="str">
        <f t="shared" si="18"/>
        <v/>
      </c>
      <c r="C141" s="38" t="str">
        <f t="shared" si="27"/>
        <v/>
      </c>
      <c r="D141" s="38" t="str">
        <f t="shared" si="19"/>
        <v/>
      </c>
      <c r="E141" s="38" t="str">
        <f t="shared" si="20"/>
        <v/>
      </c>
      <c r="F141" s="38" t="str">
        <f t="shared" si="21"/>
        <v/>
      </c>
      <c r="G141" s="38" t="str">
        <f t="shared" si="22"/>
        <v/>
      </c>
      <c r="H141" s="38" t="str">
        <f t="shared" si="23"/>
        <v/>
      </c>
      <c r="L141" t="str">
        <f t="shared" si="24"/>
        <v/>
      </c>
      <c r="M141" s="38" t="str">
        <f t="shared" si="14"/>
        <v/>
      </c>
      <c r="N141" s="38" t="str">
        <f t="shared" si="25"/>
        <v/>
      </c>
      <c r="O141" s="38" t="str">
        <f t="shared" si="26"/>
        <v/>
      </c>
      <c r="P141" s="38" t="str">
        <f t="shared" si="15"/>
        <v/>
      </c>
      <c r="Q141" s="38" t="str">
        <f t="shared" si="16"/>
        <v/>
      </c>
      <c r="R141" s="38"/>
    </row>
    <row r="142" spans="1:18" x14ac:dyDescent="0.2">
      <c r="A142" t="str">
        <f t="shared" si="17"/>
        <v/>
      </c>
      <c r="B142" s="38" t="str">
        <f t="shared" si="18"/>
        <v/>
      </c>
      <c r="C142" s="38" t="str">
        <f t="shared" si="27"/>
        <v/>
      </c>
      <c r="D142" s="38" t="str">
        <f t="shared" si="19"/>
        <v/>
      </c>
      <c r="E142" s="38" t="str">
        <f t="shared" si="20"/>
        <v/>
      </c>
      <c r="F142" s="38" t="str">
        <f t="shared" si="21"/>
        <v/>
      </c>
      <c r="G142" s="38" t="str">
        <f t="shared" si="22"/>
        <v/>
      </c>
      <c r="H142" s="38" t="str">
        <f t="shared" si="23"/>
        <v/>
      </c>
      <c r="L142" t="str">
        <f t="shared" si="24"/>
        <v/>
      </c>
      <c r="M142" s="38" t="str">
        <f t="shared" si="14"/>
        <v/>
      </c>
      <c r="N142" s="38" t="str">
        <f t="shared" si="25"/>
        <v/>
      </c>
      <c r="O142" s="38" t="str">
        <f t="shared" si="26"/>
        <v/>
      </c>
      <c r="P142" s="38" t="str">
        <f t="shared" si="15"/>
        <v/>
      </c>
      <c r="Q142" s="38" t="str">
        <f t="shared" si="16"/>
        <v/>
      </c>
      <c r="R142" s="38"/>
    </row>
    <row r="143" spans="1:18" x14ac:dyDescent="0.2">
      <c r="A143" t="str">
        <f t="shared" si="17"/>
        <v/>
      </c>
      <c r="B143" s="38" t="str">
        <f t="shared" si="18"/>
        <v/>
      </c>
      <c r="C143" s="38" t="str">
        <f t="shared" si="27"/>
        <v/>
      </c>
      <c r="D143" s="38" t="str">
        <f t="shared" si="19"/>
        <v/>
      </c>
      <c r="E143" s="38" t="str">
        <f t="shared" si="20"/>
        <v/>
      </c>
      <c r="F143" s="38" t="str">
        <f t="shared" si="21"/>
        <v/>
      </c>
      <c r="G143" s="38" t="str">
        <f t="shared" si="22"/>
        <v/>
      </c>
      <c r="H143" s="38" t="str">
        <f t="shared" si="23"/>
        <v/>
      </c>
      <c r="L143" t="str">
        <f t="shared" si="24"/>
        <v/>
      </c>
      <c r="M143" s="38" t="str">
        <f t="shared" si="14"/>
        <v/>
      </c>
      <c r="N143" s="38" t="str">
        <f t="shared" si="25"/>
        <v/>
      </c>
      <c r="O143" s="38" t="str">
        <f t="shared" si="26"/>
        <v/>
      </c>
      <c r="P143" s="38" t="str">
        <f t="shared" si="15"/>
        <v/>
      </c>
      <c r="Q143" s="38" t="str">
        <f t="shared" si="16"/>
        <v/>
      </c>
      <c r="R143" s="38"/>
    </row>
    <row r="144" spans="1:18" x14ac:dyDescent="0.2">
      <c r="A144" t="str">
        <f t="shared" si="17"/>
        <v/>
      </c>
      <c r="B144" s="38" t="str">
        <f t="shared" si="18"/>
        <v/>
      </c>
      <c r="C144" s="38" t="str">
        <f t="shared" si="27"/>
        <v/>
      </c>
      <c r="D144" s="38" t="str">
        <f t="shared" si="19"/>
        <v/>
      </c>
      <c r="E144" s="38" t="str">
        <f t="shared" si="20"/>
        <v/>
      </c>
      <c r="F144" s="38" t="str">
        <f t="shared" si="21"/>
        <v/>
      </c>
      <c r="G144" s="38" t="str">
        <f t="shared" si="22"/>
        <v/>
      </c>
      <c r="H144" s="38" t="str">
        <f t="shared" si="23"/>
        <v/>
      </c>
      <c r="L144" t="str">
        <f t="shared" si="24"/>
        <v/>
      </c>
      <c r="M144" s="38" t="str">
        <f t="shared" si="14"/>
        <v/>
      </c>
      <c r="N144" s="38" t="str">
        <f t="shared" si="25"/>
        <v/>
      </c>
      <c r="O144" s="38" t="str">
        <f t="shared" si="26"/>
        <v/>
      </c>
      <c r="P144" s="38" t="str">
        <f t="shared" si="15"/>
        <v/>
      </c>
      <c r="Q144" s="38" t="str">
        <f t="shared" si="16"/>
        <v/>
      </c>
      <c r="R144" s="38"/>
    </row>
    <row r="145" spans="1:18" x14ac:dyDescent="0.2">
      <c r="A145" t="str">
        <f t="shared" si="17"/>
        <v/>
      </c>
      <c r="B145" s="38" t="str">
        <f t="shared" si="18"/>
        <v/>
      </c>
      <c r="C145" s="38" t="str">
        <f t="shared" si="27"/>
        <v/>
      </c>
      <c r="D145" s="38" t="str">
        <f t="shared" si="19"/>
        <v/>
      </c>
      <c r="E145" s="38" t="str">
        <f t="shared" si="20"/>
        <v/>
      </c>
      <c r="F145" s="38" t="str">
        <f t="shared" si="21"/>
        <v/>
      </c>
      <c r="G145" s="38" t="str">
        <f t="shared" si="22"/>
        <v/>
      </c>
      <c r="H145" s="38" t="str">
        <f t="shared" si="23"/>
        <v/>
      </c>
      <c r="L145" t="str">
        <f t="shared" si="24"/>
        <v/>
      </c>
      <c r="M145" s="38" t="str">
        <f t="shared" si="14"/>
        <v/>
      </c>
      <c r="N145" s="38" t="str">
        <f t="shared" si="25"/>
        <v/>
      </c>
      <c r="O145" s="38" t="str">
        <f t="shared" si="26"/>
        <v/>
      </c>
      <c r="P145" s="38" t="str">
        <f t="shared" si="15"/>
        <v/>
      </c>
      <c r="Q145" s="38" t="str">
        <f t="shared" si="16"/>
        <v/>
      </c>
      <c r="R145" s="38"/>
    </row>
    <row r="146" spans="1:18" x14ac:dyDescent="0.2">
      <c r="A146" t="str">
        <f t="shared" si="17"/>
        <v/>
      </c>
      <c r="B146" s="38" t="str">
        <f t="shared" si="18"/>
        <v/>
      </c>
      <c r="C146" s="38" t="str">
        <f t="shared" si="27"/>
        <v/>
      </c>
      <c r="D146" s="38" t="str">
        <f t="shared" si="19"/>
        <v/>
      </c>
      <c r="E146" s="38" t="str">
        <f t="shared" si="20"/>
        <v/>
      </c>
      <c r="F146" s="38" t="str">
        <f t="shared" si="21"/>
        <v/>
      </c>
      <c r="G146" s="38" t="str">
        <f t="shared" si="22"/>
        <v/>
      </c>
      <c r="H146" s="38" t="str">
        <f t="shared" si="23"/>
        <v/>
      </c>
      <c r="L146" t="str">
        <f t="shared" si="24"/>
        <v/>
      </c>
      <c r="M146" s="38" t="str">
        <f t="shared" si="14"/>
        <v/>
      </c>
      <c r="N146" s="38" t="str">
        <f t="shared" si="25"/>
        <v/>
      </c>
      <c r="O146" s="38" t="str">
        <f t="shared" si="26"/>
        <v/>
      </c>
      <c r="P146" s="38" t="str">
        <f t="shared" si="15"/>
        <v/>
      </c>
      <c r="Q146" s="38" t="str">
        <f t="shared" si="16"/>
        <v/>
      </c>
      <c r="R146" s="38"/>
    </row>
    <row r="147" spans="1:18" x14ac:dyDescent="0.2">
      <c r="A147" t="str">
        <f t="shared" si="17"/>
        <v/>
      </c>
      <c r="B147" s="38" t="str">
        <f t="shared" si="18"/>
        <v/>
      </c>
      <c r="C147" s="38" t="str">
        <f t="shared" si="27"/>
        <v/>
      </c>
      <c r="D147" s="38" t="str">
        <f t="shared" si="19"/>
        <v/>
      </c>
      <c r="E147" s="38" t="str">
        <f t="shared" si="20"/>
        <v/>
      </c>
      <c r="F147" s="38" t="str">
        <f t="shared" si="21"/>
        <v/>
      </c>
      <c r="G147" s="38" t="str">
        <f t="shared" si="22"/>
        <v/>
      </c>
      <c r="H147" s="38" t="str">
        <f t="shared" si="23"/>
        <v/>
      </c>
      <c r="L147" t="str">
        <f t="shared" si="24"/>
        <v/>
      </c>
      <c r="M147" s="38" t="str">
        <f t="shared" si="14"/>
        <v/>
      </c>
      <c r="N147" s="38" t="str">
        <f t="shared" si="25"/>
        <v/>
      </c>
      <c r="O147" s="38" t="str">
        <f t="shared" si="26"/>
        <v/>
      </c>
      <c r="P147" s="38" t="str">
        <f t="shared" si="15"/>
        <v/>
      </c>
      <c r="Q147" s="38" t="str">
        <f t="shared" si="16"/>
        <v/>
      </c>
      <c r="R147" s="38"/>
    </row>
    <row r="148" spans="1:18" x14ac:dyDescent="0.2">
      <c r="A148" t="str">
        <f t="shared" si="17"/>
        <v/>
      </c>
      <c r="B148" s="38" t="str">
        <f t="shared" si="18"/>
        <v/>
      </c>
      <c r="C148" s="38" t="str">
        <f t="shared" si="27"/>
        <v/>
      </c>
      <c r="D148" s="38" t="str">
        <f t="shared" si="19"/>
        <v/>
      </c>
      <c r="E148" s="38" t="str">
        <f t="shared" si="20"/>
        <v/>
      </c>
      <c r="F148" s="38" t="str">
        <f t="shared" si="21"/>
        <v/>
      </c>
      <c r="G148" s="38" t="str">
        <f t="shared" si="22"/>
        <v/>
      </c>
      <c r="H148" s="38" t="str">
        <f t="shared" si="23"/>
        <v/>
      </c>
      <c r="L148" t="str">
        <f t="shared" si="24"/>
        <v/>
      </c>
      <c r="M148" s="38" t="str">
        <f t="shared" si="14"/>
        <v/>
      </c>
      <c r="N148" s="38" t="str">
        <f t="shared" si="25"/>
        <v/>
      </c>
      <c r="O148" s="38" t="str">
        <f t="shared" si="26"/>
        <v/>
      </c>
      <c r="P148" s="38" t="str">
        <f t="shared" si="15"/>
        <v/>
      </c>
      <c r="Q148" s="38" t="str">
        <f t="shared" si="16"/>
        <v/>
      </c>
      <c r="R148" s="38"/>
    </row>
    <row r="149" spans="1:18" x14ac:dyDescent="0.2">
      <c r="A149" t="str">
        <f t="shared" si="17"/>
        <v/>
      </c>
      <c r="B149" s="38" t="str">
        <f t="shared" si="18"/>
        <v/>
      </c>
      <c r="C149" s="38" t="str">
        <f t="shared" si="27"/>
        <v/>
      </c>
      <c r="D149" s="38" t="str">
        <f t="shared" si="19"/>
        <v/>
      </c>
      <c r="E149" s="38" t="str">
        <f t="shared" si="20"/>
        <v/>
      </c>
      <c r="F149" s="38" t="str">
        <f t="shared" si="21"/>
        <v/>
      </c>
      <c r="G149" s="38" t="str">
        <f t="shared" si="22"/>
        <v/>
      </c>
      <c r="H149" s="38" t="str">
        <f t="shared" si="23"/>
        <v/>
      </c>
      <c r="L149" t="str">
        <f t="shared" si="24"/>
        <v/>
      </c>
      <c r="M149" s="38" t="str">
        <f t="shared" si="14"/>
        <v/>
      </c>
      <c r="N149" s="38" t="str">
        <f t="shared" si="25"/>
        <v/>
      </c>
      <c r="O149" s="38" t="str">
        <f t="shared" si="26"/>
        <v/>
      </c>
      <c r="P149" s="38" t="str">
        <f t="shared" si="15"/>
        <v/>
      </c>
      <c r="Q149" s="38" t="str">
        <f t="shared" si="16"/>
        <v/>
      </c>
      <c r="R149" s="38"/>
    </row>
    <row r="150" spans="1:18" x14ac:dyDescent="0.2">
      <c r="A150" t="str">
        <f t="shared" si="17"/>
        <v/>
      </c>
      <c r="B150" s="38" t="str">
        <f t="shared" si="18"/>
        <v/>
      </c>
      <c r="C150" s="38" t="str">
        <f t="shared" si="27"/>
        <v/>
      </c>
      <c r="D150" s="38" t="str">
        <f t="shared" si="19"/>
        <v/>
      </c>
      <c r="E150" s="38" t="str">
        <f t="shared" si="20"/>
        <v/>
      </c>
      <c r="F150" s="38" t="str">
        <f t="shared" si="21"/>
        <v/>
      </c>
      <c r="G150" s="38" t="str">
        <f t="shared" si="22"/>
        <v/>
      </c>
      <c r="H150" s="38" t="str">
        <f t="shared" si="23"/>
        <v/>
      </c>
      <c r="L150" t="str">
        <f t="shared" si="24"/>
        <v/>
      </c>
      <c r="M150" s="38" t="str">
        <f t="shared" si="14"/>
        <v/>
      </c>
      <c r="N150" s="38" t="str">
        <f t="shared" si="25"/>
        <v/>
      </c>
      <c r="O150" s="38" t="str">
        <f t="shared" si="26"/>
        <v/>
      </c>
      <c r="P150" s="38" t="str">
        <f t="shared" si="15"/>
        <v/>
      </c>
      <c r="Q150" s="38" t="str">
        <f t="shared" si="16"/>
        <v/>
      </c>
      <c r="R150" s="38"/>
    </row>
    <row r="151" spans="1:18" x14ac:dyDescent="0.2">
      <c r="A151" t="str">
        <f t="shared" si="17"/>
        <v/>
      </c>
      <c r="B151" s="38" t="str">
        <f t="shared" si="18"/>
        <v/>
      </c>
      <c r="C151" s="38" t="str">
        <f t="shared" si="27"/>
        <v/>
      </c>
      <c r="D151" s="38" t="str">
        <f t="shared" si="19"/>
        <v/>
      </c>
      <c r="E151" s="38" t="str">
        <f t="shared" si="20"/>
        <v/>
      </c>
      <c r="F151" s="38" t="str">
        <f t="shared" si="21"/>
        <v/>
      </c>
      <c r="G151" s="38" t="str">
        <f t="shared" si="22"/>
        <v/>
      </c>
      <c r="H151" s="38" t="str">
        <f t="shared" si="23"/>
        <v/>
      </c>
      <c r="L151" t="str">
        <f t="shared" si="24"/>
        <v/>
      </c>
      <c r="M151" s="38" t="str">
        <f t="shared" si="14"/>
        <v/>
      </c>
      <c r="N151" s="38" t="str">
        <f t="shared" si="25"/>
        <v/>
      </c>
      <c r="O151" s="38" t="str">
        <f t="shared" si="26"/>
        <v/>
      </c>
      <c r="P151" s="64" t="str">
        <f t="shared" si="15"/>
        <v/>
      </c>
      <c r="Q151" s="38" t="str">
        <f t="shared" si="16"/>
        <v/>
      </c>
      <c r="R151" s="38"/>
    </row>
    <row r="152" spans="1:18" x14ac:dyDescent="0.2">
      <c r="A152" t="str">
        <f t="shared" si="17"/>
        <v/>
      </c>
      <c r="B152" s="38" t="str">
        <f t="shared" si="18"/>
        <v/>
      </c>
      <c r="C152" s="38" t="str">
        <f t="shared" si="27"/>
        <v/>
      </c>
      <c r="D152" s="38" t="str">
        <f t="shared" si="19"/>
        <v/>
      </c>
      <c r="E152" s="38" t="str">
        <f t="shared" si="20"/>
        <v/>
      </c>
      <c r="F152" s="38" t="str">
        <f t="shared" si="21"/>
        <v/>
      </c>
      <c r="G152" s="38" t="str">
        <f t="shared" si="22"/>
        <v/>
      </c>
      <c r="H152" s="38" t="str">
        <f t="shared" si="23"/>
        <v/>
      </c>
      <c r="L152" t="str">
        <f t="shared" si="24"/>
        <v/>
      </c>
      <c r="M152" s="38" t="str">
        <f t="shared" si="14"/>
        <v/>
      </c>
      <c r="N152" s="38" t="str">
        <f t="shared" si="25"/>
        <v/>
      </c>
      <c r="O152" s="38" t="str">
        <f t="shared" si="26"/>
        <v/>
      </c>
      <c r="P152" s="38" t="str">
        <f t="shared" si="15"/>
        <v/>
      </c>
      <c r="Q152" s="38" t="str">
        <f t="shared" si="16"/>
        <v/>
      </c>
      <c r="R152" s="38"/>
    </row>
    <row r="153" spans="1:18" x14ac:dyDescent="0.2">
      <c r="A153" t="str">
        <f t="shared" si="17"/>
        <v/>
      </c>
      <c r="B153" s="38" t="str">
        <f t="shared" si="18"/>
        <v/>
      </c>
      <c r="C153" s="38" t="str">
        <f t="shared" si="27"/>
        <v/>
      </c>
      <c r="D153" s="38" t="str">
        <f t="shared" si="19"/>
        <v/>
      </c>
      <c r="E153" s="38" t="str">
        <f t="shared" si="20"/>
        <v/>
      </c>
      <c r="F153" s="38" t="str">
        <f t="shared" si="21"/>
        <v/>
      </c>
      <c r="G153" s="38" t="str">
        <f t="shared" si="22"/>
        <v/>
      </c>
      <c r="H153" s="38" t="str">
        <f t="shared" si="23"/>
        <v/>
      </c>
      <c r="L153" t="str">
        <f t="shared" si="24"/>
        <v/>
      </c>
      <c r="M153" s="38" t="str">
        <f t="shared" si="14"/>
        <v/>
      </c>
      <c r="N153" s="38" t="str">
        <f t="shared" si="25"/>
        <v/>
      </c>
      <c r="O153" s="38" t="str">
        <f t="shared" si="26"/>
        <v/>
      </c>
      <c r="P153" s="38" t="str">
        <f t="shared" si="15"/>
        <v/>
      </c>
      <c r="Q153" s="38" t="str">
        <f t="shared" si="16"/>
        <v/>
      </c>
      <c r="R153" s="38"/>
    </row>
    <row r="154" spans="1:18" x14ac:dyDescent="0.2">
      <c r="A154" t="str">
        <f t="shared" si="17"/>
        <v/>
      </c>
      <c r="B154" s="38" t="str">
        <f t="shared" si="18"/>
        <v/>
      </c>
      <c r="C154" s="38" t="str">
        <f t="shared" si="27"/>
        <v/>
      </c>
      <c r="D154" s="38" t="str">
        <f t="shared" si="19"/>
        <v/>
      </c>
      <c r="E154" s="38" t="str">
        <f t="shared" si="20"/>
        <v/>
      </c>
      <c r="F154" s="38" t="str">
        <f t="shared" si="21"/>
        <v/>
      </c>
      <c r="G154" s="38" t="str">
        <f t="shared" si="22"/>
        <v/>
      </c>
      <c r="H154" s="38" t="str">
        <f t="shared" si="23"/>
        <v/>
      </c>
      <c r="L154" t="str">
        <f t="shared" si="24"/>
        <v/>
      </c>
      <c r="M154" s="38" t="str">
        <f t="shared" si="14"/>
        <v/>
      </c>
      <c r="N154" s="38" t="str">
        <f t="shared" si="25"/>
        <v/>
      </c>
      <c r="O154" s="38" t="str">
        <f t="shared" si="26"/>
        <v/>
      </c>
      <c r="P154" s="38" t="str">
        <f t="shared" si="15"/>
        <v/>
      </c>
      <c r="Q154" s="38" t="str">
        <f t="shared" si="16"/>
        <v/>
      </c>
      <c r="R154" s="38"/>
    </row>
    <row r="155" spans="1:18" x14ac:dyDescent="0.2">
      <c r="A155" t="str">
        <f t="shared" si="17"/>
        <v/>
      </c>
      <c r="B155" s="38" t="str">
        <f t="shared" si="18"/>
        <v/>
      </c>
      <c r="C155" s="38" t="str">
        <f t="shared" si="27"/>
        <v/>
      </c>
      <c r="D155" s="38" t="str">
        <f t="shared" si="19"/>
        <v/>
      </c>
      <c r="E155" s="38" t="str">
        <f t="shared" si="20"/>
        <v/>
      </c>
      <c r="F155" s="38" t="str">
        <f t="shared" si="21"/>
        <v/>
      </c>
      <c r="G155" s="38" t="str">
        <f t="shared" si="22"/>
        <v/>
      </c>
      <c r="H155" s="38" t="str">
        <f t="shared" si="23"/>
        <v/>
      </c>
      <c r="L155" t="str">
        <f t="shared" si="24"/>
        <v/>
      </c>
      <c r="M155" s="38" t="str">
        <f t="shared" si="14"/>
        <v/>
      </c>
      <c r="N155" s="38" t="str">
        <f t="shared" si="25"/>
        <v/>
      </c>
      <c r="O155" s="38" t="str">
        <f t="shared" si="26"/>
        <v/>
      </c>
      <c r="P155" s="38" t="str">
        <f t="shared" si="15"/>
        <v/>
      </c>
      <c r="Q155" s="38" t="str">
        <f t="shared" si="16"/>
        <v/>
      </c>
      <c r="R155" s="38"/>
    </row>
    <row r="156" spans="1:18" x14ac:dyDescent="0.2">
      <c r="A156" t="str">
        <f t="shared" si="17"/>
        <v/>
      </c>
      <c r="B156" s="38" t="str">
        <f t="shared" si="18"/>
        <v/>
      </c>
      <c r="C156" s="38" t="str">
        <f t="shared" si="27"/>
        <v/>
      </c>
      <c r="D156" s="38" t="str">
        <f t="shared" si="19"/>
        <v/>
      </c>
      <c r="E156" s="38" t="str">
        <f t="shared" si="20"/>
        <v/>
      </c>
      <c r="F156" s="38" t="str">
        <f t="shared" si="21"/>
        <v/>
      </c>
      <c r="G156" s="38" t="str">
        <f t="shared" si="22"/>
        <v/>
      </c>
      <c r="H156" s="38" t="str">
        <f t="shared" si="23"/>
        <v/>
      </c>
      <c r="L156" t="str">
        <f t="shared" si="24"/>
        <v/>
      </c>
      <c r="M156" s="38" t="str">
        <f t="shared" si="14"/>
        <v/>
      </c>
      <c r="N156" s="38" t="str">
        <f t="shared" si="25"/>
        <v/>
      </c>
      <c r="O156" s="38" t="str">
        <f t="shared" si="26"/>
        <v/>
      </c>
      <c r="P156" s="38" t="str">
        <f t="shared" si="15"/>
        <v/>
      </c>
      <c r="Q156" s="38" t="str">
        <f t="shared" si="16"/>
        <v/>
      </c>
      <c r="R156" s="38"/>
    </row>
    <row r="157" spans="1:18" x14ac:dyDescent="0.2">
      <c r="A157" t="str">
        <f t="shared" si="17"/>
        <v/>
      </c>
      <c r="B157" s="38" t="str">
        <f t="shared" si="18"/>
        <v/>
      </c>
      <c r="C157" s="38" t="str">
        <f t="shared" si="27"/>
        <v/>
      </c>
      <c r="D157" s="38" t="str">
        <f t="shared" si="19"/>
        <v/>
      </c>
      <c r="E157" s="38" t="str">
        <f t="shared" si="20"/>
        <v/>
      </c>
      <c r="F157" s="38" t="str">
        <f t="shared" si="21"/>
        <v/>
      </c>
      <c r="G157" s="38" t="str">
        <f t="shared" si="22"/>
        <v/>
      </c>
      <c r="H157" s="38" t="str">
        <f t="shared" si="23"/>
        <v/>
      </c>
      <c r="L157" t="str">
        <f t="shared" si="24"/>
        <v/>
      </c>
      <c r="M157" s="38" t="str">
        <f t="shared" si="14"/>
        <v/>
      </c>
      <c r="N157" s="38" t="str">
        <f t="shared" si="25"/>
        <v/>
      </c>
      <c r="O157" s="38" t="str">
        <f t="shared" si="26"/>
        <v/>
      </c>
      <c r="P157" s="38" t="str">
        <f t="shared" si="15"/>
        <v/>
      </c>
      <c r="Q157" s="38" t="str">
        <f t="shared" si="16"/>
        <v/>
      </c>
      <c r="R157" s="38"/>
    </row>
    <row r="158" spans="1:18" x14ac:dyDescent="0.2">
      <c r="A158" t="str">
        <f t="shared" si="17"/>
        <v/>
      </c>
      <c r="B158" s="38" t="str">
        <f t="shared" si="18"/>
        <v/>
      </c>
      <c r="C158" s="38" t="str">
        <f t="shared" si="27"/>
        <v/>
      </c>
      <c r="D158" s="38" t="str">
        <f t="shared" si="19"/>
        <v/>
      </c>
      <c r="E158" s="38" t="str">
        <f t="shared" si="20"/>
        <v/>
      </c>
      <c r="F158" s="38" t="str">
        <f t="shared" si="21"/>
        <v/>
      </c>
      <c r="G158" s="38" t="str">
        <f t="shared" si="22"/>
        <v/>
      </c>
      <c r="H158" s="38" t="str">
        <f t="shared" si="23"/>
        <v/>
      </c>
      <c r="L158" t="str">
        <f t="shared" si="24"/>
        <v/>
      </c>
      <c r="M158" s="38" t="str">
        <f t="shared" si="14"/>
        <v/>
      </c>
      <c r="N158" s="38" t="str">
        <f t="shared" si="25"/>
        <v/>
      </c>
      <c r="O158" s="38" t="str">
        <f t="shared" si="26"/>
        <v/>
      </c>
      <c r="P158" s="38" t="str">
        <f t="shared" si="15"/>
        <v/>
      </c>
      <c r="Q158" s="38" t="str">
        <f t="shared" si="16"/>
        <v/>
      </c>
      <c r="R158" s="38"/>
    </row>
    <row r="159" spans="1:18" x14ac:dyDescent="0.2">
      <c r="A159" t="str">
        <f t="shared" si="17"/>
        <v/>
      </c>
      <c r="B159" s="38" t="str">
        <f t="shared" si="18"/>
        <v/>
      </c>
      <c r="C159" s="38" t="str">
        <f t="shared" si="27"/>
        <v/>
      </c>
      <c r="D159" s="38" t="str">
        <f t="shared" si="19"/>
        <v/>
      </c>
      <c r="E159" s="38" t="str">
        <f t="shared" si="20"/>
        <v/>
      </c>
      <c r="F159" s="38" t="str">
        <f t="shared" si="21"/>
        <v/>
      </c>
      <c r="G159" s="38" t="str">
        <f t="shared" si="22"/>
        <v/>
      </c>
      <c r="H159" s="38" t="str">
        <f t="shared" si="23"/>
        <v/>
      </c>
      <c r="L159" t="str">
        <f t="shared" si="24"/>
        <v/>
      </c>
      <c r="M159" s="38" t="str">
        <f t="shared" si="14"/>
        <v/>
      </c>
      <c r="N159" s="38" t="str">
        <f t="shared" si="25"/>
        <v/>
      </c>
      <c r="O159" s="38" t="str">
        <f t="shared" si="26"/>
        <v/>
      </c>
      <c r="P159" s="38" t="str">
        <f t="shared" si="15"/>
        <v/>
      </c>
      <c r="Q159" s="38" t="str">
        <f t="shared" si="16"/>
        <v/>
      </c>
      <c r="R159" s="38"/>
    </row>
    <row r="160" spans="1:18" x14ac:dyDescent="0.2">
      <c r="A160" t="str">
        <f t="shared" si="17"/>
        <v/>
      </c>
      <c r="B160" s="38" t="str">
        <f t="shared" si="18"/>
        <v/>
      </c>
      <c r="C160" s="38" t="str">
        <f t="shared" si="27"/>
        <v/>
      </c>
      <c r="D160" s="38" t="str">
        <f t="shared" si="19"/>
        <v/>
      </c>
      <c r="E160" s="38" t="str">
        <f t="shared" si="20"/>
        <v/>
      </c>
      <c r="F160" s="38" t="str">
        <f t="shared" si="21"/>
        <v/>
      </c>
      <c r="G160" s="38" t="str">
        <f t="shared" si="22"/>
        <v/>
      </c>
      <c r="H160" s="38" t="str">
        <f t="shared" si="23"/>
        <v/>
      </c>
      <c r="L160" t="str">
        <f t="shared" si="24"/>
        <v/>
      </c>
      <c r="M160" s="38" t="str">
        <f t="shared" si="14"/>
        <v/>
      </c>
      <c r="N160" s="38" t="str">
        <f t="shared" si="25"/>
        <v/>
      </c>
      <c r="O160" s="38" t="str">
        <f t="shared" si="26"/>
        <v/>
      </c>
      <c r="P160" s="38" t="str">
        <f t="shared" si="15"/>
        <v/>
      </c>
      <c r="Q160" s="38" t="str">
        <f t="shared" si="16"/>
        <v/>
      </c>
      <c r="R160" s="38"/>
    </row>
    <row r="161" spans="1:18" x14ac:dyDescent="0.2">
      <c r="A161" t="str">
        <f t="shared" si="17"/>
        <v/>
      </c>
      <c r="B161" s="38" t="str">
        <f t="shared" si="18"/>
        <v/>
      </c>
      <c r="C161" s="38" t="str">
        <f t="shared" si="27"/>
        <v/>
      </c>
      <c r="D161" s="38" t="str">
        <f t="shared" si="19"/>
        <v/>
      </c>
      <c r="E161" s="38" t="str">
        <f t="shared" si="20"/>
        <v/>
      </c>
      <c r="F161" s="38" t="str">
        <f t="shared" si="21"/>
        <v/>
      </c>
      <c r="G161" s="38" t="str">
        <f t="shared" si="22"/>
        <v/>
      </c>
      <c r="H161" s="38" t="str">
        <f t="shared" si="23"/>
        <v/>
      </c>
      <c r="L161" t="str">
        <f t="shared" si="24"/>
        <v/>
      </c>
      <c r="M161" s="38" t="str">
        <f t="shared" ref="M161:M224" si="28">IF(L161="","",P160)</f>
        <v/>
      </c>
      <c r="N161" s="38" t="str">
        <f t="shared" si="25"/>
        <v/>
      </c>
      <c r="O161" s="38" t="str">
        <f t="shared" si="26"/>
        <v/>
      </c>
      <c r="P161" s="38" t="str">
        <f t="shared" ref="P161:P224" si="29">IF(L161="","", M161+N161+O161)</f>
        <v/>
      </c>
      <c r="Q161" s="38" t="str">
        <f t="shared" ref="Q161:Q224" si="30">IF(L161="","", (Q160+N161))</f>
        <v/>
      </c>
      <c r="R161" s="38"/>
    </row>
    <row r="162" spans="1:18" x14ac:dyDescent="0.2">
      <c r="A162" t="str">
        <f t="shared" ref="A162:A225" si="31">IF(A161&lt;($B$22*$B$23),A161+1,"")</f>
        <v/>
      </c>
      <c r="B162" s="38" t="str">
        <f t="shared" ref="B162:B225" si="32">IF(A162="","",F161)</f>
        <v/>
      </c>
      <c r="C162" s="38" t="str">
        <f t="shared" si="27"/>
        <v/>
      </c>
      <c r="D162" s="38" t="str">
        <f t="shared" ref="D162:D225" si="33">IF(A162="","", D161*(1+$B$21))</f>
        <v/>
      </c>
      <c r="E162" s="38" t="str">
        <f t="shared" ref="E162:E225" si="34">IF(D162="","",(D162-C162))</f>
        <v/>
      </c>
      <c r="F162" s="38" t="str">
        <f t="shared" ref="F162:F225" si="35">IF(A162="","", B162-E162)</f>
        <v/>
      </c>
      <c r="G162" s="38" t="str">
        <f t="shared" ref="G162:G225" si="36">IF(A162="","", (G161+C162))</f>
        <v/>
      </c>
      <c r="H162" s="38" t="str">
        <f t="shared" ref="H162:H225" si="37">IF(A162="","",(H161+E162))</f>
        <v/>
      </c>
      <c r="L162" t="str">
        <f t="shared" ref="L162:L225" si="38">IF(L161&lt;($B$8*$B$9),L161+1,"")</f>
        <v/>
      </c>
      <c r="M162" s="38" t="str">
        <f t="shared" si="28"/>
        <v/>
      </c>
      <c r="N162" s="38" t="str">
        <f t="shared" ref="N162:N225" si="39">IF(L162="","",(M162 *$B$6))</f>
        <v/>
      </c>
      <c r="O162" s="38" t="str">
        <f t="shared" ref="O162:O225" si="40">IF(L162="","",O161*(1+$B$7))</f>
        <v/>
      </c>
      <c r="P162" s="38" t="str">
        <f t="shared" si="29"/>
        <v/>
      </c>
      <c r="Q162" s="38" t="str">
        <f t="shared" si="30"/>
        <v/>
      </c>
      <c r="R162" s="38"/>
    </row>
    <row r="163" spans="1:18" x14ac:dyDescent="0.2">
      <c r="A163" t="str">
        <f t="shared" si="31"/>
        <v/>
      </c>
      <c r="B163" s="38" t="str">
        <f t="shared" si="32"/>
        <v/>
      </c>
      <c r="C163" s="38" t="str">
        <f t="shared" ref="C163:C226" si="41">IF(A163="","",(B163*$B$20))</f>
        <v/>
      </c>
      <c r="D163" s="38" t="str">
        <f t="shared" si="33"/>
        <v/>
      </c>
      <c r="E163" s="38" t="str">
        <f t="shared" si="34"/>
        <v/>
      </c>
      <c r="F163" s="38" t="str">
        <f t="shared" si="35"/>
        <v/>
      </c>
      <c r="G163" s="38" t="str">
        <f t="shared" si="36"/>
        <v/>
      </c>
      <c r="H163" s="38" t="str">
        <f t="shared" si="37"/>
        <v/>
      </c>
      <c r="L163" t="str">
        <f t="shared" si="38"/>
        <v/>
      </c>
      <c r="M163" s="38" t="str">
        <f t="shared" si="28"/>
        <v/>
      </c>
      <c r="N163" s="38" t="str">
        <f t="shared" si="39"/>
        <v/>
      </c>
      <c r="O163" s="38" t="str">
        <f t="shared" si="40"/>
        <v/>
      </c>
      <c r="P163" s="38" t="str">
        <f t="shared" si="29"/>
        <v/>
      </c>
      <c r="Q163" s="38" t="str">
        <f t="shared" si="30"/>
        <v/>
      </c>
      <c r="R163" s="38"/>
    </row>
    <row r="164" spans="1:18" x14ac:dyDescent="0.2">
      <c r="A164" t="str">
        <f t="shared" si="31"/>
        <v/>
      </c>
      <c r="B164" s="38" t="str">
        <f t="shared" si="32"/>
        <v/>
      </c>
      <c r="C164" s="38" t="str">
        <f t="shared" si="41"/>
        <v/>
      </c>
      <c r="D164" s="38" t="str">
        <f t="shared" si="33"/>
        <v/>
      </c>
      <c r="E164" s="38" t="str">
        <f t="shared" si="34"/>
        <v/>
      </c>
      <c r="F164" s="38" t="str">
        <f t="shared" si="35"/>
        <v/>
      </c>
      <c r="G164" s="38" t="str">
        <f t="shared" si="36"/>
        <v/>
      </c>
      <c r="H164" s="38" t="str">
        <f t="shared" si="37"/>
        <v/>
      </c>
      <c r="L164" t="str">
        <f t="shared" si="38"/>
        <v/>
      </c>
      <c r="M164" s="38" t="str">
        <f t="shared" si="28"/>
        <v/>
      </c>
      <c r="N164" s="38" t="str">
        <f t="shared" si="39"/>
        <v/>
      </c>
      <c r="O164" s="38" t="str">
        <f t="shared" si="40"/>
        <v/>
      </c>
      <c r="P164" s="38" t="str">
        <f t="shared" si="29"/>
        <v/>
      </c>
      <c r="Q164" s="38" t="str">
        <f t="shared" si="30"/>
        <v/>
      </c>
      <c r="R164" s="38"/>
    </row>
    <row r="165" spans="1:18" x14ac:dyDescent="0.2">
      <c r="A165" t="str">
        <f t="shared" si="31"/>
        <v/>
      </c>
      <c r="B165" s="38" t="str">
        <f t="shared" si="32"/>
        <v/>
      </c>
      <c r="C165" s="38" t="str">
        <f t="shared" si="41"/>
        <v/>
      </c>
      <c r="D165" s="38" t="str">
        <f t="shared" si="33"/>
        <v/>
      </c>
      <c r="E165" s="38" t="str">
        <f t="shared" si="34"/>
        <v/>
      </c>
      <c r="F165" s="38" t="str">
        <f t="shared" si="35"/>
        <v/>
      </c>
      <c r="G165" s="38" t="str">
        <f t="shared" si="36"/>
        <v/>
      </c>
      <c r="H165" s="38" t="str">
        <f t="shared" si="37"/>
        <v/>
      </c>
      <c r="L165" t="str">
        <f t="shared" si="38"/>
        <v/>
      </c>
      <c r="M165" s="38" t="str">
        <f t="shared" si="28"/>
        <v/>
      </c>
      <c r="N165" s="38" t="str">
        <f t="shared" si="39"/>
        <v/>
      </c>
      <c r="O165" s="38" t="str">
        <f t="shared" si="40"/>
        <v/>
      </c>
      <c r="P165" s="38" t="str">
        <f t="shared" si="29"/>
        <v/>
      </c>
      <c r="Q165" s="38" t="str">
        <f t="shared" si="30"/>
        <v/>
      </c>
      <c r="R165" s="38"/>
    </row>
    <row r="166" spans="1:18" x14ac:dyDescent="0.2">
      <c r="A166" t="str">
        <f t="shared" si="31"/>
        <v/>
      </c>
      <c r="B166" s="38" t="str">
        <f t="shared" si="32"/>
        <v/>
      </c>
      <c r="C166" s="38" t="str">
        <f t="shared" si="41"/>
        <v/>
      </c>
      <c r="D166" s="38" t="str">
        <f t="shared" si="33"/>
        <v/>
      </c>
      <c r="E166" s="38" t="str">
        <f t="shared" si="34"/>
        <v/>
      </c>
      <c r="F166" s="38" t="str">
        <f t="shared" si="35"/>
        <v/>
      </c>
      <c r="G166" s="38" t="str">
        <f t="shared" si="36"/>
        <v/>
      </c>
      <c r="H166" s="38" t="str">
        <f t="shared" si="37"/>
        <v/>
      </c>
      <c r="L166" t="str">
        <f t="shared" si="38"/>
        <v/>
      </c>
      <c r="M166" s="38" t="str">
        <f t="shared" si="28"/>
        <v/>
      </c>
      <c r="N166" s="38" t="str">
        <f t="shared" si="39"/>
        <v/>
      </c>
      <c r="O166" s="38" t="str">
        <f t="shared" si="40"/>
        <v/>
      </c>
      <c r="P166" s="38" t="str">
        <f t="shared" si="29"/>
        <v/>
      </c>
      <c r="Q166" s="38" t="str">
        <f t="shared" si="30"/>
        <v/>
      </c>
      <c r="R166" s="38"/>
    </row>
    <row r="167" spans="1:18" x14ac:dyDescent="0.2">
      <c r="A167" t="str">
        <f t="shared" si="31"/>
        <v/>
      </c>
      <c r="B167" s="38" t="str">
        <f t="shared" si="32"/>
        <v/>
      </c>
      <c r="C167" s="38" t="str">
        <f t="shared" si="41"/>
        <v/>
      </c>
      <c r="D167" s="38" t="str">
        <f t="shared" si="33"/>
        <v/>
      </c>
      <c r="E167" s="38" t="str">
        <f t="shared" si="34"/>
        <v/>
      </c>
      <c r="F167" s="38" t="str">
        <f t="shared" si="35"/>
        <v/>
      </c>
      <c r="G167" s="38" t="str">
        <f t="shared" si="36"/>
        <v/>
      </c>
      <c r="H167" s="38" t="str">
        <f t="shared" si="37"/>
        <v/>
      </c>
      <c r="L167" t="str">
        <f t="shared" si="38"/>
        <v/>
      </c>
      <c r="M167" s="38" t="str">
        <f t="shared" si="28"/>
        <v/>
      </c>
      <c r="N167" s="38" t="str">
        <f t="shared" si="39"/>
        <v/>
      </c>
      <c r="O167" s="38" t="str">
        <f t="shared" si="40"/>
        <v/>
      </c>
      <c r="P167" s="38" t="str">
        <f t="shared" si="29"/>
        <v/>
      </c>
      <c r="Q167" s="38" t="str">
        <f t="shared" si="30"/>
        <v/>
      </c>
      <c r="R167" s="38"/>
    </row>
    <row r="168" spans="1:18" x14ac:dyDescent="0.2">
      <c r="A168" t="str">
        <f t="shared" si="31"/>
        <v/>
      </c>
      <c r="B168" s="38" t="str">
        <f t="shared" si="32"/>
        <v/>
      </c>
      <c r="C168" s="38" t="str">
        <f t="shared" si="41"/>
        <v/>
      </c>
      <c r="D168" s="38" t="str">
        <f t="shared" si="33"/>
        <v/>
      </c>
      <c r="E168" s="38" t="str">
        <f t="shared" si="34"/>
        <v/>
      </c>
      <c r="F168" s="38" t="str">
        <f t="shared" si="35"/>
        <v/>
      </c>
      <c r="G168" s="38" t="str">
        <f t="shared" si="36"/>
        <v/>
      </c>
      <c r="H168" s="38" t="str">
        <f t="shared" si="37"/>
        <v/>
      </c>
      <c r="L168" t="str">
        <f t="shared" si="38"/>
        <v/>
      </c>
      <c r="M168" s="38" t="str">
        <f t="shared" si="28"/>
        <v/>
      </c>
      <c r="N168" s="38" t="str">
        <f t="shared" si="39"/>
        <v/>
      </c>
      <c r="O168" s="38" t="str">
        <f t="shared" si="40"/>
        <v/>
      </c>
      <c r="P168" s="38" t="str">
        <f t="shared" si="29"/>
        <v/>
      </c>
      <c r="Q168" s="38" t="str">
        <f t="shared" si="30"/>
        <v/>
      </c>
      <c r="R168" s="38"/>
    </row>
    <row r="169" spans="1:18" x14ac:dyDescent="0.2">
      <c r="A169" t="str">
        <f t="shared" si="31"/>
        <v/>
      </c>
      <c r="B169" s="38" t="str">
        <f t="shared" si="32"/>
        <v/>
      </c>
      <c r="C169" s="38" t="str">
        <f t="shared" si="41"/>
        <v/>
      </c>
      <c r="D169" s="38" t="str">
        <f t="shared" si="33"/>
        <v/>
      </c>
      <c r="E169" s="38" t="str">
        <f t="shared" si="34"/>
        <v/>
      </c>
      <c r="F169" s="38" t="str">
        <f t="shared" si="35"/>
        <v/>
      </c>
      <c r="G169" s="38" t="str">
        <f t="shared" si="36"/>
        <v/>
      </c>
      <c r="H169" s="38" t="str">
        <f t="shared" si="37"/>
        <v/>
      </c>
      <c r="L169" t="str">
        <f t="shared" si="38"/>
        <v/>
      </c>
      <c r="M169" s="38" t="str">
        <f t="shared" si="28"/>
        <v/>
      </c>
      <c r="N169" s="38" t="str">
        <f t="shared" si="39"/>
        <v/>
      </c>
      <c r="O169" s="38" t="str">
        <f t="shared" si="40"/>
        <v/>
      </c>
      <c r="P169" s="38" t="str">
        <f t="shared" si="29"/>
        <v/>
      </c>
      <c r="Q169" s="38" t="str">
        <f t="shared" si="30"/>
        <v/>
      </c>
      <c r="R169" s="38"/>
    </row>
    <row r="170" spans="1:18" x14ac:dyDescent="0.2">
      <c r="A170" t="str">
        <f t="shared" si="31"/>
        <v/>
      </c>
      <c r="B170" s="38" t="str">
        <f t="shared" si="32"/>
        <v/>
      </c>
      <c r="C170" s="38" t="str">
        <f t="shared" si="41"/>
        <v/>
      </c>
      <c r="D170" s="38" t="str">
        <f t="shared" si="33"/>
        <v/>
      </c>
      <c r="E170" s="38" t="str">
        <f t="shared" si="34"/>
        <v/>
      </c>
      <c r="F170" s="38" t="str">
        <f t="shared" si="35"/>
        <v/>
      </c>
      <c r="G170" s="38" t="str">
        <f t="shared" si="36"/>
        <v/>
      </c>
      <c r="H170" s="38" t="str">
        <f t="shared" si="37"/>
        <v/>
      </c>
      <c r="L170" t="str">
        <f t="shared" si="38"/>
        <v/>
      </c>
      <c r="M170" s="38" t="str">
        <f t="shared" si="28"/>
        <v/>
      </c>
      <c r="N170" s="38" t="str">
        <f t="shared" si="39"/>
        <v/>
      </c>
      <c r="O170" s="38" t="str">
        <f t="shared" si="40"/>
        <v/>
      </c>
      <c r="P170" s="38" t="str">
        <f t="shared" si="29"/>
        <v/>
      </c>
      <c r="Q170" s="38" t="str">
        <f t="shared" si="30"/>
        <v/>
      </c>
      <c r="R170" s="38"/>
    </row>
    <row r="171" spans="1:18" x14ac:dyDescent="0.2">
      <c r="A171" t="str">
        <f t="shared" si="31"/>
        <v/>
      </c>
      <c r="B171" s="38" t="str">
        <f t="shared" si="32"/>
        <v/>
      </c>
      <c r="C171" s="38" t="str">
        <f t="shared" si="41"/>
        <v/>
      </c>
      <c r="D171" s="38" t="str">
        <f t="shared" si="33"/>
        <v/>
      </c>
      <c r="E171" s="38" t="str">
        <f t="shared" si="34"/>
        <v/>
      </c>
      <c r="F171" s="38" t="str">
        <f t="shared" si="35"/>
        <v/>
      </c>
      <c r="G171" s="38" t="str">
        <f t="shared" si="36"/>
        <v/>
      </c>
      <c r="H171" s="38" t="str">
        <f t="shared" si="37"/>
        <v/>
      </c>
      <c r="L171" t="str">
        <f t="shared" si="38"/>
        <v/>
      </c>
      <c r="M171" s="38" t="str">
        <f t="shared" si="28"/>
        <v/>
      </c>
      <c r="N171" s="38" t="str">
        <f t="shared" si="39"/>
        <v/>
      </c>
      <c r="O171" s="38" t="str">
        <f t="shared" si="40"/>
        <v/>
      </c>
      <c r="P171" s="38" t="str">
        <f t="shared" si="29"/>
        <v/>
      </c>
      <c r="Q171" s="38" t="str">
        <f t="shared" si="30"/>
        <v/>
      </c>
      <c r="R171" s="38"/>
    </row>
    <row r="172" spans="1:18" x14ac:dyDescent="0.2">
      <c r="A172" t="str">
        <f t="shared" si="31"/>
        <v/>
      </c>
      <c r="B172" s="38" t="str">
        <f t="shared" si="32"/>
        <v/>
      </c>
      <c r="C172" s="38" t="str">
        <f t="shared" si="41"/>
        <v/>
      </c>
      <c r="D172" s="38" t="str">
        <f t="shared" si="33"/>
        <v/>
      </c>
      <c r="E172" s="38" t="str">
        <f t="shared" si="34"/>
        <v/>
      </c>
      <c r="F172" s="38" t="str">
        <f t="shared" si="35"/>
        <v/>
      </c>
      <c r="G172" s="38" t="str">
        <f t="shared" si="36"/>
        <v/>
      </c>
      <c r="H172" s="38" t="str">
        <f t="shared" si="37"/>
        <v/>
      </c>
      <c r="L172" t="str">
        <f t="shared" si="38"/>
        <v/>
      </c>
      <c r="M172" s="38" t="str">
        <f t="shared" si="28"/>
        <v/>
      </c>
      <c r="N172" s="38" t="str">
        <f t="shared" si="39"/>
        <v/>
      </c>
      <c r="O172" s="38" t="str">
        <f t="shared" si="40"/>
        <v/>
      </c>
      <c r="P172" s="38" t="str">
        <f t="shared" si="29"/>
        <v/>
      </c>
      <c r="Q172" s="38" t="str">
        <f t="shared" si="30"/>
        <v/>
      </c>
      <c r="R172" s="38"/>
    </row>
    <row r="173" spans="1:18" x14ac:dyDescent="0.2">
      <c r="A173" t="str">
        <f t="shared" si="31"/>
        <v/>
      </c>
      <c r="B173" s="38" t="str">
        <f t="shared" si="32"/>
        <v/>
      </c>
      <c r="C173" s="38" t="str">
        <f t="shared" si="41"/>
        <v/>
      </c>
      <c r="D173" s="38" t="str">
        <f t="shared" si="33"/>
        <v/>
      </c>
      <c r="E173" s="38" t="str">
        <f t="shared" si="34"/>
        <v/>
      </c>
      <c r="F173" s="38" t="str">
        <f t="shared" si="35"/>
        <v/>
      </c>
      <c r="G173" s="38" t="str">
        <f t="shared" si="36"/>
        <v/>
      </c>
      <c r="H173" s="38" t="str">
        <f t="shared" si="37"/>
        <v/>
      </c>
      <c r="L173" t="str">
        <f t="shared" si="38"/>
        <v/>
      </c>
      <c r="M173" s="38" t="str">
        <f t="shared" si="28"/>
        <v/>
      </c>
      <c r="N173" s="38" t="str">
        <f t="shared" si="39"/>
        <v/>
      </c>
      <c r="O173" s="38" t="str">
        <f t="shared" si="40"/>
        <v/>
      </c>
      <c r="P173" s="38" t="str">
        <f t="shared" si="29"/>
        <v/>
      </c>
      <c r="Q173" s="38" t="str">
        <f t="shared" si="30"/>
        <v/>
      </c>
      <c r="R173" s="38"/>
    </row>
    <row r="174" spans="1:18" x14ac:dyDescent="0.2">
      <c r="A174" t="str">
        <f t="shared" si="31"/>
        <v/>
      </c>
      <c r="B174" s="38" t="str">
        <f t="shared" si="32"/>
        <v/>
      </c>
      <c r="C174" s="38" t="str">
        <f t="shared" si="41"/>
        <v/>
      </c>
      <c r="D174" s="38" t="str">
        <f t="shared" si="33"/>
        <v/>
      </c>
      <c r="E174" s="38" t="str">
        <f t="shared" si="34"/>
        <v/>
      </c>
      <c r="F174" s="38" t="str">
        <f t="shared" si="35"/>
        <v/>
      </c>
      <c r="G174" s="38" t="str">
        <f t="shared" si="36"/>
        <v/>
      </c>
      <c r="H174" s="38" t="str">
        <f t="shared" si="37"/>
        <v/>
      </c>
      <c r="L174" t="str">
        <f t="shared" si="38"/>
        <v/>
      </c>
      <c r="M174" s="38" t="str">
        <f t="shared" si="28"/>
        <v/>
      </c>
      <c r="N174" s="38" t="str">
        <f t="shared" si="39"/>
        <v/>
      </c>
      <c r="O174" s="38" t="str">
        <f t="shared" si="40"/>
        <v/>
      </c>
      <c r="P174" s="38" t="str">
        <f t="shared" si="29"/>
        <v/>
      </c>
      <c r="Q174" s="38" t="str">
        <f t="shared" si="30"/>
        <v/>
      </c>
      <c r="R174" s="38"/>
    </row>
    <row r="175" spans="1:18" x14ac:dyDescent="0.2">
      <c r="A175" t="str">
        <f t="shared" si="31"/>
        <v/>
      </c>
      <c r="B175" s="38" t="str">
        <f t="shared" si="32"/>
        <v/>
      </c>
      <c r="C175" s="38" t="str">
        <f t="shared" si="41"/>
        <v/>
      </c>
      <c r="D175" s="38" t="str">
        <f t="shared" si="33"/>
        <v/>
      </c>
      <c r="E175" s="38" t="str">
        <f t="shared" si="34"/>
        <v/>
      </c>
      <c r="F175" s="38" t="str">
        <f t="shared" si="35"/>
        <v/>
      </c>
      <c r="G175" s="38" t="str">
        <f t="shared" si="36"/>
        <v/>
      </c>
      <c r="H175" s="38" t="str">
        <f t="shared" si="37"/>
        <v/>
      </c>
      <c r="L175" t="str">
        <f t="shared" si="38"/>
        <v/>
      </c>
      <c r="M175" s="38" t="str">
        <f t="shared" si="28"/>
        <v/>
      </c>
      <c r="N175" s="38" t="str">
        <f t="shared" si="39"/>
        <v/>
      </c>
      <c r="O175" s="38" t="str">
        <f t="shared" si="40"/>
        <v/>
      </c>
      <c r="P175" s="38" t="str">
        <f t="shared" si="29"/>
        <v/>
      </c>
      <c r="Q175" s="38" t="str">
        <f t="shared" si="30"/>
        <v/>
      </c>
      <c r="R175" s="38"/>
    </row>
    <row r="176" spans="1:18" x14ac:dyDescent="0.2">
      <c r="A176" t="str">
        <f t="shared" si="31"/>
        <v/>
      </c>
      <c r="B176" s="38" t="str">
        <f t="shared" si="32"/>
        <v/>
      </c>
      <c r="C176" s="38" t="str">
        <f t="shared" si="41"/>
        <v/>
      </c>
      <c r="D176" s="38" t="str">
        <f t="shared" si="33"/>
        <v/>
      </c>
      <c r="E176" s="38" t="str">
        <f t="shared" si="34"/>
        <v/>
      </c>
      <c r="F176" s="38" t="str">
        <f t="shared" si="35"/>
        <v/>
      </c>
      <c r="G176" s="38" t="str">
        <f t="shared" si="36"/>
        <v/>
      </c>
      <c r="H176" s="38" t="str">
        <f t="shared" si="37"/>
        <v/>
      </c>
      <c r="L176" t="str">
        <f t="shared" si="38"/>
        <v/>
      </c>
      <c r="M176" s="38" t="str">
        <f t="shared" si="28"/>
        <v/>
      </c>
      <c r="N176" s="38" t="str">
        <f t="shared" si="39"/>
        <v/>
      </c>
      <c r="O176" s="38" t="str">
        <f t="shared" si="40"/>
        <v/>
      </c>
      <c r="P176" s="38" t="str">
        <f t="shared" si="29"/>
        <v/>
      </c>
      <c r="Q176" s="38" t="str">
        <f t="shared" si="30"/>
        <v/>
      </c>
      <c r="R176" s="38"/>
    </row>
    <row r="177" spans="1:18" x14ac:dyDescent="0.2">
      <c r="A177" t="str">
        <f t="shared" si="31"/>
        <v/>
      </c>
      <c r="B177" s="38" t="str">
        <f t="shared" si="32"/>
        <v/>
      </c>
      <c r="C177" s="38" t="str">
        <f t="shared" si="41"/>
        <v/>
      </c>
      <c r="D177" s="38" t="str">
        <f t="shared" si="33"/>
        <v/>
      </c>
      <c r="E177" s="38" t="str">
        <f t="shared" si="34"/>
        <v/>
      </c>
      <c r="F177" s="38" t="str">
        <f t="shared" si="35"/>
        <v/>
      </c>
      <c r="G177" s="38" t="str">
        <f t="shared" si="36"/>
        <v/>
      </c>
      <c r="H177" s="38" t="str">
        <f t="shared" si="37"/>
        <v/>
      </c>
      <c r="L177" t="str">
        <f t="shared" si="38"/>
        <v/>
      </c>
      <c r="M177" s="38" t="str">
        <f t="shared" si="28"/>
        <v/>
      </c>
      <c r="N177" s="38" t="str">
        <f t="shared" si="39"/>
        <v/>
      </c>
      <c r="O177" s="38" t="str">
        <f t="shared" si="40"/>
        <v/>
      </c>
      <c r="P177" s="38" t="str">
        <f t="shared" si="29"/>
        <v/>
      </c>
      <c r="Q177" s="38" t="str">
        <f t="shared" si="30"/>
        <v/>
      </c>
      <c r="R177" s="38"/>
    </row>
    <row r="178" spans="1:18" x14ac:dyDescent="0.2">
      <c r="A178" t="str">
        <f t="shared" si="31"/>
        <v/>
      </c>
      <c r="B178" s="38" t="str">
        <f t="shared" si="32"/>
        <v/>
      </c>
      <c r="C178" s="38" t="str">
        <f t="shared" si="41"/>
        <v/>
      </c>
      <c r="D178" s="38" t="str">
        <f t="shared" si="33"/>
        <v/>
      </c>
      <c r="E178" s="38" t="str">
        <f t="shared" si="34"/>
        <v/>
      </c>
      <c r="F178" s="38" t="str">
        <f t="shared" si="35"/>
        <v/>
      </c>
      <c r="G178" s="38" t="str">
        <f t="shared" si="36"/>
        <v/>
      </c>
      <c r="H178" s="38" t="str">
        <f t="shared" si="37"/>
        <v/>
      </c>
      <c r="L178" t="str">
        <f t="shared" si="38"/>
        <v/>
      </c>
      <c r="M178" s="38" t="str">
        <f t="shared" si="28"/>
        <v/>
      </c>
      <c r="N178" s="38" t="str">
        <f t="shared" si="39"/>
        <v/>
      </c>
      <c r="O178" s="38" t="str">
        <f t="shared" si="40"/>
        <v/>
      </c>
      <c r="P178" s="38" t="str">
        <f t="shared" si="29"/>
        <v/>
      </c>
      <c r="Q178" s="38" t="str">
        <f t="shared" si="30"/>
        <v/>
      </c>
      <c r="R178" s="38"/>
    </row>
    <row r="179" spans="1:18" x14ac:dyDescent="0.2">
      <c r="A179" t="str">
        <f t="shared" si="31"/>
        <v/>
      </c>
      <c r="B179" s="38" t="str">
        <f t="shared" si="32"/>
        <v/>
      </c>
      <c r="C179" s="38" t="str">
        <f t="shared" si="41"/>
        <v/>
      </c>
      <c r="D179" s="38" t="str">
        <f t="shared" si="33"/>
        <v/>
      </c>
      <c r="E179" s="38" t="str">
        <f t="shared" si="34"/>
        <v/>
      </c>
      <c r="F179" s="38" t="str">
        <f t="shared" si="35"/>
        <v/>
      </c>
      <c r="G179" s="38" t="str">
        <f t="shared" si="36"/>
        <v/>
      </c>
      <c r="H179" s="38" t="str">
        <f t="shared" si="37"/>
        <v/>
      </c>
      <c r="L179" t="str">
        <f t="shared" si="38"/>
        <v/>
      </c>
      <c r="M179" s="38" t="str">
        <f t="shared" si="28"/>
        <v/>
      </c>
      <c r="N179" s="38" t="str">
        <f t="shared" si="39"/>
        <v/>
      </c>
      <c r="O179" s="38" t="str">
        <f t="shared" si="40"/>
        <v/>
      </c>
      <c r="P179" s="38" t="str">
        <f t="shared" si="29"/>
        <v/>
      </c>
      <c r="Q179" s="38" t="str">
        <f t="shared" si="30"/>
        <v/>
      </c>
      <c r="R179" s="38"/>
    </row>
    <row r="180" spans="1:18" x14ac:dyDescent="0.2">
      <c r="A180" t="str">
        <f t="shared" si="31"/>
        <v/>
      </c>
      <c r="B180" s="38" t="str">
        <f t="shared" si="32"/>
        <v/>
      </c>
      <c r="C180" s="38" t="str">
        <f t="shared" si="41"/>
        <v/>
      </c>
      <c r="D180" s="38" t="str">
        <f t="shared" si="33"/>
        <v/>
      </c>
      <c r="E180" s="38" t="str">
        <f t="shared" si="34"/>
        <v/>
      </c>
      <c r="F180" s="38" t="str">
        <f t="shared" si="35"/>
        <v/>
      </c>
      <c r="G180" s="38" t="str">
        <f t="shared" si="36"/>
        <v/>
      </c>
      <c r="H180" s="38" t="str">
        <f t="shared" si="37"/>
        <v/>
      </c>
      <c r="L180" t="str">
        <f t="shared" si="38"/>
        <v/>
      </c>
      <c r="M180" s="38" t="str">
        <f t="shared" si="28"/>
        <v/>
      </c>
      <c r="N180" s="38" t="str">
        <f t="shared" si="39"/>
        <v/>
      </c>
      <c r="O180" s="38" t="str">
        <f t="shared" si="40"/>
        <v/>
      </c>
      <c r="P180" s="38" t="str">
        <f t="shared" si="29"/>
        <v/>
      </c>
      <c r="Q180" s="38" t="str">
        <f t="shared" si="30"/>
        <v/>
      </c>
      <c r="R180" s="38"/>
    </row>
    <row r="181" spans="1:18" x14ac:dyDescent="0.2">
      <c r="A181" t="str">
        <f t="shared" si="31"/>
        <v/>
      </c>
      <c r="B181" s="38" t="str">
        <f t="shared" si="32"/>
        <v/>
      </c>
      <c r="C181" s="38" t="str">
        <f t="shared" si="41"/>
        <v/>
      </c>
      <c r="D181" s="38" t="str">
        <f t="shared" si="33"/>
        <v/>
      </c>
      <c r="E181" s="38" t="str">
        <f t="shared" si="34"/>
        <v/>
      </c>
      <c r="F181" s="38" t="str">
        <f t="shared" si="35"/>
        <v/>
      </c>
      <c r="G181" s="38" t="str">
        <f t="shared" si="36"/>
        <v/>
      </c>
      <c r="H181" s="38" t="str">
        <f t="shared" si="37"/>
        <v/>
      </c>
      <c r="L181" t="str">
        <f t="shared" si="38"/>
        <v/>
      </c>
      <c r="M181" s="38" t="str">
        <f t="shared" si="28"/>
        <v/>
      </c>
      <c r="N181" s="38" t="str">
        <f t="shared" si="39"/>
        <v/>
      </c>
      <c r="O181" s="38" t="str">
        <f t="shared" si="40"/>
        <v/>
      </c>
      <c r="P181" s="38" t="str">
        <f t="shared" si="29"/>
        <v/>
      </c>
      <c r="Q181" s="38" t="str">
        <f t="shared" si="30"/>
        <v/>
      </c>
      <c r="R181" s="38"/>
    </row>
    <row r="182" spans="1:18" x14ac:dyDescent="0.2">
      <c r="A182" t="str">
        <f t="shared" si="31"/>
        <v/>
      </c>
      <c r="B182" s="38" t="str">
        <f t="shared" si="32"/>
        <v/>
      </c>
      <c r="C182" s="38" t="str">
        <f t="shared" si="41"/>
        <v/>
      </c>
      <c r="D182" s="38" t="str">
        <f t="shared" si="33"/>
        <v/>
      </c>
      <c r="E182" s="38" t="str">
        <f t="shared" si="34"/>
        <v/>
      </c>
      <c r="F182" s="38" t="str">
        <f t="shared" si="35"/>
        <v/>
      </c>
      <c r="G182" s="38" t="str">
        <f t="shared" si="36"/>
        <v/>
      </c>
      <c r="H182" s="38" t="str">
        <f t="shared" si="37"/>
        <v/>
      </c>
      <c r="L182" t="str">
        <f t="shared" si="38"/>
        <v/>
      </c>
      <c r="M182" s="38" t="str">
        <f t="shared" si="28"/>
        <v/>
      </c>
      <c r="N182" s="38" t="str">
        <f t="shared" si="39"/>
        <v/>
      </c>
      <c r="O182" s="38" t="str">
        <f t="shared" si="40"/>
        <v/>
      </c>
      <c r="P182" s="38" t="str">
        <f t="shared" si="29"/>
        <v/>
      </c>
      <c r="Q182" s="38" t="str">
        <f t="shared" si="30"/>
        <v/>
      </c>
      <c r="R182" s="38"/>
    </row>
    <row r="183" spans="1:18" x14ac:dyDescent="0.2">
      <c r="A183" t="str">
        <f t="shared" si="31"/>
        <v/>
      </c>
      <c r="B183" s="38" t="str">
        <f t="shared" si="32"/>
        <v/>
      </c>
      <c r="C183" s="38" t="str">
        <f t="shared" si="41"/>
        <v/>
      </c>
      <c r="D183" s="38" t="str">
        <f t="shared" si="33"/>
        <v/>
      </c>
      <c r="E183" s="38" t="str">
        <f t="shared" si="34"/>
        <v/>
      </c>
      <c r="F183" s="38" t="str">
        <f t="shared" si="35"/>
        <v/>
      </c>
      <c r="G183" s="38" t="str">
        <f t="shared" si="36"/>
        <v/>
      </c>
      <c r="H183" s="38" t="str">
        <f t="shared" si="37"/>
        <v/>
      </c>
      <c r="L183" t="str">
        <f t="shared" si="38"/>
        <v/>
      </c>
      <c r="M183" s="38" t="str">
        <f t="shared" si="28"/>
        <v/>
      </c>
      <c r="N183" s="38" t="str">
        <f t="shared" si="39"/>
        <v/>
      </c>
      <c r="O183" s="38" t="str">
        <f t="shared" si="40"/>
        <v/>
      </c>
      <c r="P183" s="38" t="str">
        <f t="shared" si="29"/>
        <v/>
      </c>
      <c r="Q183" s="38" t="str">
        <f t="shared" si="30"/>
        <v/>
      </c>
      <c r="R183" s="38"/>
    </row>
    <row r="184" spans="1:18" x14ac:dyDescent="0.2">
      <c r="A184" t="str">
        <f t="shared" si="31"/>
        <v/>
      </c>
      <c r="B184" s="38" t="str">
        <f t="shared" si="32"/>
        <v/>
      </c>
      <c r="C184" s="38" t="str">
        <f t="shared" si="41"/>
        <v/>
      </c>
      <c r="D184" s="38" t="str">
        <f t="shared" si="33"/>
        <v/>
      </c>
      <c r="E184" s="38" t="str">
        <f t="shared" si="34"/>
        <v/>
      </c>
      <c r="F184" s="38" t="str">
        <f t="shared" si="35"/>
        <v/>
      </c>
      <c r="G184" s="38" t="str">
        <f t="shared" si="36"/>
        <v/>
      </c>
      <c r="H184" s="38" t="str">
        <f t="shared" si="37"/>
        <v/>
      </c>
      <c r="L184" t="str">
        <f t="shared" si="38"/>
        <v/>
      </c>
      <c r="M184" s="38" t="str">
        <f t="shared" si="28"/>
        <v/>
      </c>
      <c r="N184" s="38" t="str">
        <f t="shared" si="39"/>
        <v/>
      </c>
      <c r="O184" s="38" t="str">
        <f t="shared" si="40"/>
        <v/>
      </c>
      <c r="P184" s="38" t="str">
        <f t="shared" si="29"/>
        <v/>
      </c>
      <c r="Q184" s="38" t="str">
        <f t="shared" si="30"/>
        <v/>
      </c>
      <c r="R184" s="38"/>
    </row>
    <row r="185" spans="1:18" x14ac:dyDescent="0.2">
      <c r="A185" t="str">
        <f t="shared" si="31"/>
        <v/>
      </c>
      <c r="B185" s="38" t="str">
        <f t="shared" si="32"/>
        <v/>
      </c>
      <c r="C185" s="38" t="str">
        <f t="shared" si="41"/>
        <v/>
      </c>
      <c r="D185" s="38" t="str">
        <f t="shared" si="33"/>
        <v/>
      </c>
      <c r="E185" s="38" t="str">
        <f t="shared" si="34"/>
        <v/>
      </c>
      <c r="F185" s="38" t="str">
        <f t="shared" si="35"/>
        <v/>
      </c>
      <c r="G185" s="38" t="str">
        <f t="shared" si="36"/>
        <v/>
      </c>
      <c r="H185" s="38" t="str">
        <f t="shared" si="37"/>
        <v/>
      </c>
      <c r="L185" t="str">
        <f t="shared" si="38"/>
        <v/>
      </c>
      <c r="M185" s="38" t="str">
        <f t="shared" si="28"/>
        <v/>
      </c>
      <c r="N185" s="38" t="str">
        <f t="shared" si="39"/>
        <v/>
      </c>
      <c r="O185" s="38" t="str">
        <f t="shared" si="40"/>
        <v/>
      </c>
      <c r="P185" s="38" t="str">
        <f t="shared" si="29"/>
        <v/>
      </c>
      <c r="Q185" s="38" t="str">
        <f t="shared" si="30"/>
        <v/>
      </c>
      <c r="R185" s="38"/>
    </row>
    <row r="186" spans="1:18" x14ac:dyDescent="0.2">
      <c r="A186" t="str">
        <f t="shared" si="31"/>
        <v/>
      </c>
      <c r="B186" s="38" t="str">
        <f t="shared" si="32"/>
        <v/>
      </c>
      <c r="C186" s="38" t="str">
        <f t="shared" si="41"/>
        <v/>
      </c>
      <c r="D186" s="38" t="str">
        <f t="shared" si="33"/>
        <v/>
      </c>
      <c r="E186" s="38" t="str">
        <f t="shared" si="34"/>
        <v/>
      </c>
      <c r="F186" s="38" t="str">
        <f t="shared" si="35"/>
        <v/>
      </c>
      <c r="G186" s="38" t="str">
        <f t="shared" si="36"/>
        <v/>
      </c>
      <c r="H186" s="38" t="str">
        <f t="shared" si="37"/>
        <v/>
      </c>
      <c r="L186" t="str">
        <f t="shared" si="38"/>
        <v/>
      </c>
      <c r="M186" s="38" t="str">
        <f t="shared" si="28"/>
        <v/>
      </c>
      <c r="N186" s="38" t="str">
        <f t="shared" si="39"/>
        <v/>
      </c>
      <c r="O186" s="38" t="str">
        <f t="shared" si="40"/>
        <v/>
      </c>
      <c r="P186" s="38" t="str">
        <f t="shared" si="29"/>
        <v/>
      </c>
      <c r="Q186" s="38" t="str">
        <f t="shared" si="30"/>
        <v/>
      </c>
      <c r="R186" s="38"/>
    </row>
    <row r="187" spans="1:18" x14ac:dyDescent="0.2">
      <c r="A187" t="str">
        <f t="shared" si="31"/>
        <v/>
      </c>
      <c r="B187" s="38" t="str">
        <f t="shared" si="32"/>
        <v/>
      </c>
      <c r="C187" s="38" t="str">
        <f t="shared" si="41"/>
        <v/>
      </c>
      <c r="D187" s="38" t="str">
        <f t="shared" si="33"/>
        <v/>
      </c>
      <c r="E187" s="38" t="str">
        <f t="shared" si="34"/>
        <v/>
      </c>
      <c r="F187" s="38" t="str">
        <f t="shared" si="35"/>
        <v/>
      </c>
      <c r="G187" s="38" t="str">
        <f t="shared" si="36"/>
        <v/>
      </c>
      <c r="H187" s="38" t="str">
        <f t="shared" si="37"/>
        <v/>
      </c>
      <c r="L187" t="str">
        <f t="shared" si="38"/>
        <v/>
      </c>
      <c r="M187" s="38" t="str">
        <f t="shared" si="28"/>
        <v/>
      </c>
      <c r="N187" s="38" t="str">
        <f t="shared" si="39"/>
        <v/>
      </c>
      <c r="O187" s="38" t="str">
        <f t="shared" si="40"/>
        <v/>
      </c>
      <c r="P187" s="38" t="str">
        <f t="shared" si="29"/>
        <v/>
      </c>
      <c r="Q187" s="38" t="str">
        <f t="shared" si="30"/>
        <v/>
      </c>
      <c r="R187" s="38"/>
    </row>
    <row r="188" spans="1:18" x14ac:dyDescent="0.2">
      <c r="A188" t="str">
        <f t="shared" si="31"/>
        <v/>
      </c>
      <c r="B188" s="38" t="str">
        <f t="shared" si="32"/>
        <v/>
      </c>
      <c r="C188" s="38" t="str">
        <f t="shared" si="41"/>
        <v/>
      </c>
      <c r="D188" s="38" t="str">
        <f t="shared" si="33"/>
        <v/>
      </c>
      <c r="E188" s="38" t="str">
        <f t="shared" si="34"/>
        <v/>
      </c>
      <c r="F188" s="38" t="str">
        <f t="shared" si="35"/>
        <v/>
      </c>
      <c r="G188" s="38" t="str">
        <f t="shared" si="36"/>
        <v/>
      </c>
      <c r="H188" s="38" t="str">
        <f t="shared" si="37"/>
        <v/>
      </c>
      <c r="L188" t="str">
        <f t="shared" si="38"/>
        <v/>
      </c>
      <c r="M188" s="38" t="str">
        <f t="shared" si="28"/>
        <v/>
      </c>
      <c r="N188" s="38" t="str">
        <f t="shared" si="39"/>
        <v/>
      </c>
      <c r="O188" s="38" t="str">
        <f t="shared" si="40"/>
        <v/>
      </c>
      <c r="P188" s="38" t="str">
        <f t="shared" si="29"/>
        <v/>
      </c>
      <c r="Q188" s="38" t="str">
        <f t="shared" si="30"/>
        <v/>
      </c>
      <c r="R188" s="38"/>
    </row>
    <row r="189" spans="1:18" x14ac:dyDescent="0.2">
      <c r="A189" t="str">
        <f t="shared" si="31"/>
        <v/>
      </c>
      <c r="B189" s="38" t="str">
        <f t="shared" si="32"/>
        <v/>
      </c>
      <c r="C189" s="38" t="str">
        <f t="shared" si="41"/>
        <v/>
      </c>
      <c r="D189" s="38" t="str">
        <f t="shared" si="33"/>
        <v/>
      </c>
      <c r="E189" s="38" t="str">
        <f t="shared" si="34"/>
        <v/>
      </c>
      <c r="F189" s="38" t="str">
        <f t="shared" si="35"/>
        <v/>
      </c>
      <c r="G189" s="38" t="str">
        <f t="shared" si="36"/>
        <v/>
      </c>
      <c r="H189" s="38" t="str">
        <f t="shared" si="37"/>
        <v/>
      </c>
      <c r="L189" t="str">
        <f t="shared" si="38"/>
        <v/>
      </c>
      <c r="M189" s="38" t="str">
        <f t="shared" si="28"/>
        <v/>
      </c>
      <c r="N189" s="38" t="str">
        <f t="shared" si="39"/>
        <v/>
      </c>
      <c r="O189" s="38" t="str">
        <f t="shared" si="40"/>
        <v/>
      </c>
      <c r="P189" s="38" t="str">
        <f t="shared" si="29"/>
        <v/>
      </c>
      <c r="Q189" s="38" t="str">
        <f t="shared" si="30"/>
        <v/>
      </c>
      <c r="R189" s="38"/>
    </row>
    <row r="190" spans="1:18" x14ac:dyDescent="0.2">
      <c r="A190" t="str">
        <f t="shared" si="31"/>
        <v/>
      </c>
      <c r="B190" s="38" t="str">
        <f t="shared" si="32"/>
        <v/>
      </c>
      <c r="C190" s="38" t="str">
        <f t="shared" si="41"/>
        <v/>
      </c>
      <c r="D190" s="38" t="str">
        <f t="shared" si="33"/>
        <v/>
      </c>
      <c r="E190" s="38" t="str">
        <f t="shared" si="34"/>
        <v/>
      </c>
      <c r="F190" s="38" t="str">
        <f t="shared" si="35"/>
        <v/>
      </c>
      <c r="G190" s="38" t="str">
        <f t="shared" si="36"/>
        <v/>
      </c>
      <c r="H190" s="38" t="str">
        <f t="shared" si="37"/>
        <v/>
      </c>
      <c r="L190" t="str">
        <f t="shared" si="38"/>
        <v/>
      </c>
      <c r="M190" s="38" t="str">
        <f t="shared" si="28"/>
        <v/>
      </c>
      <c r="N190" s="38" t="str">
        <f t="shared" si="39"/>
        <v/>
      </c>
      <c r="O190" s="38" t="str">
        <f t="shared" si="40"/>
        <v/>
      </c>
      <c r="P190" s="38" t="str">
        <f t="shared" si="29"/>
        <v/>
      </c>
      <c r="Q190" s="38" t="str">
        <f t="shared" si="30"/>
        <v/>
      </c>
      <c r="R190" s="38"/>
    </row>
    <row r="191" spans="1:18" x14ac:dyDescent="0.2">
      <c r="A191" t="str">
        <f t="shared" si="31"/>
        <v/>
      </c>
      <c r="B191" s="38" t="str">
        <f t="shared" si="32"/>
        <v/>
      </c>
      <c r="C191" s="38" t="str">
        <f t="shared" si="41"/>
        <v/>
      </c>
      <c r="D191" s="38" t="str">
        <f t="shared" si="33"/>
        <v/>
      </c>
      <c r="E191" s="38" t="str">
        <f t="shared" si="34"/>
        <v/>
      </c>
      <c r="F191" s="38" t="str">
        <f t="shared" si="35"/>
        <v/>
      </c>
      <c r="G191" s="38" t="str">
        <f t="shared" si="36"/>
        <v/>
      </c>
      <c r="H191" s="38" t="str">
        <f t="shared" si="37"/>
        <v/>
      </c>
      <c r="L191" t="str">
        <f t="shared" si="38"/>
        <v/>
      </c>
      <c r="M191" s="38" t="str">
        <f t="shared" si="28"/>
        <v/>
      </c>
      <c r="N191" s="38" t="str">
        <f t="shared" si="39"/>
        <v/>
      </c>
      <c r="O191" s="38" t="str">
        <f t="shared" si="40"/>
        <v/>
      </c>
      <c r="P191" s="38" t="str">
        <f t="shared" si="29"/>
        <v/>
      </c>
      <c r="Q191" s="38" t="str">
        <f t="shared" si="30"/>
        <v/>
      </c>
      <c r="R191" s="38"/>
    </row>
    <row r="192" spans="1:18" x14ac:dyDescent="0.2">
      <c r="A192" t="str">
        <f t="shared" si="31"/>
        <v/>
      </c>
      <c r="B192" s="38" t="str">
        <f t="shared" si="32"/>
        <v/>
      </c>
      <c r="C192" s="38" t="str">
        <f t="shared" si="41"/>
        <v/>
      </c>
      <c r="D192" s="38" t="str">
        <f t="shared" si="33"/>
        <v/>
      </c>
      <c r="E192" s="38" t="str">
        <f t="shared" si="34"/>
        <v/>
      </c>
      <c r="F192" s="38" t="str">
        <f t="shared" si="35"/>
        <v/>
      </c>
      <c r="G192" s="38" t="str">
        <f t="shared" si="36"/>
        <v/>
      </c>
      <c r="H192" s="38" t="str">
        <f t="shared" si="37"/>
        <v/>
      </c>
      <c r="L192" t="str">
        <f t="shared" si="38"/>
        <v/>
      </c>
      <c r="M192" s="38" t="str">
        <f t="shared" si="28"/>
        <v/>
      </c>
      <c r="N192" s="38" t="str">
        <f t="shared" si="39"/>
        <v/>
      </c>
      <c r="O192" s="38" t="str">
        <f t="shared" si="40"/>
        <v/>
      </c>
      <c r="P192" s="38" t="str">
        <f t="shared" si="29"/>
        <v/>
      </c>
      <c r="Q192" s="38" t="str">
        <f t="shared" si="30"/>
        <v/>
      </c>
      <c r="R192" s="38"/>
    </row>
    <row r="193" spans="1:18" x14ac:dyDescent="0.2">
      <c r="A193" t="str">
        <f t="shared" si="31"/>
        <v/>
      </c>
      <c r="B193" s="38" t="str">
        <f t="shared" si="32"/>
        <v/>
      </c>
      <c r="C193" s="38" t="str">
        <f t="shared" si="41"/>
        <v/>
      </c>
      <c r="D193" s="38" t="str">
        <f t="shared" si="33"/>
        <v/>
      </c>
      <c r="E193" s="38" t="str">
        <f t="shared" si="34"/>
        <v/>
      </c>
      <c r="F193" s="38" t="str">
        <f t="shared" si="35"/>
        <v/>
      </c>
      <c r="G193" s="38" t="str">
        <f t="shared" si="36"/>
        <v/>
      </c>
      <c r="H193" s="38" t="str">
        <f t="shared" si="37"/>
        <v/>
      </c>
      <c r="L193" t="str">
        <f t="shared" si="38"/>
        <v/>
      </c>
      <c r="M193" s="38" t="str">
        <f t="shared" si="28"/>
        <v/>
      </c>
      <c r="N193" s="38" t="str">
        <f t="shared" si="39"/>
        <v/>
      </c>
      <c r="O193" s="38" t="str">
        <f t="shared" si="40"/>
        <v/>
      </c>
      <c r="P193" s="38" t="str">
        <f t="shared" si="29"/>
        <v/>
      </c>
      <c r="Q193" s="38" t="str">
        <f t="shared" si="30"/>
        <v/>
      </c>
      <c r="R193" s="38"/>
    </row>
    <row r="194" spans="1:18" x14ac:dyDescent="0.2">
      <c r="A194" t="str">
        <f t="shared" si="31"/>
        <v/>
      </c>
      <c r="B194" s="38" t="str">
        <f t="shared" si="32"/>
        <v/>
      </c>
      <c r="C194" s="38" t="str">
        <f t="shared" si="41"/>
        <v/>
      </c>
      <c r="D194" s="38" t="str">
        <f t="shared" si="33"/>
        <v/>
      </c>
      <c r="E194" s="38" t="str">
        <f t="shared" si="34"/>
        <v/>
      </c>
      <c r="F194" s="38" t="str">
        <f t="shared" si="35"/>
        <v/>
      </c>
      <c r="G194" s="38" t="str">
        <f t="shared" si="36"/>
        <v/>
      </c>
      <c r="H194" s="38" t="str">
        <f t="shared" si="37"/>
        <v/>
      </c>
      <c r="L194" t="str">
        <f t="shared" si="38"/>
        <v/>
      </c>
      <c r="M194" s="38" t="str">
        <f t="shared" si="28"/>
        <v/>
      </c>
      <c r="N194" s="38" t="str">
        <f t="shared" si="39"/>
        <v/>
      </c>
      <c r="O194" s="38" t="str">
        <f t="shared" si="40"/>
        <v/>
      </c>
      <c r="P194" s="38" t="str">
        <f t="shared" si="29"/>
        <v/>
      </c>
      <c r="Q194" s="38" t="str">
        <f t="shared" si="30"/>
        <v/>
      </c>
      <c r="R194" s="38"/>
    </row>
    <row r="195" spans="1:18" x14ac:dyDescent="0.2">
      <c r="A195" t="str">
        <f t="shared" si="31"/>
        <v/>
      </c>
      <c r="B195" s="38" t="str">
        <f t="shared" si="32"/>
        <v/>
      </c>
      <c r="C195" s="38" t="str">
        <f t="shared" si="41"/>
        <v/>
      </c>
      <c r="D195" s="38" t="str">
        <f t="shared" si="33"/>
        <v/>
      </c>
      <c r="E195" s="38" t="str">
        <f t="shared" si="34"/>
        <v/>
      </c>
      <c r="F195" s="38" t="str">
        <f t="shared" si="35"/>
        <v/>
      </c>
      <c r="G195" s="38" t="str">
        <f t="shared" si="36"/>
        <v/>
      </c>
      <c r="H195" s="38" t="str">
        <f t="shared" si="37"/>
        <v/>
      </c>
      <c r="L195" t="str">
        <f t="shared" si="38"/>
        <v/>
      </c>
      <c r="M195" s="38" t="str">
        <f t="shared" si="28"/>
        <v/>
      </c>
      <c r="N195" s="38" t="str">
        <f t="shared" si="39"/>
        <v/>
      </c>
      <c r="O195" s="38" t="str">
        <f t="shared" si="40"/>
        <v/>
      </c>
      <c r="P195" s="38" t="str">
        <f t="shared" si="29"/>
        <v/>
      </c>
      <c r="Q195" s="38" t="str">
        <f t="shared" si="30"/>
        <v/>
      </c>
      <c r="R195" s="38"/>
    </row>
    <row r="196" spans="1:18" x14ac:dyDescent="0.2">
      <c r="A196" t="str">
        <f t="shared" si="31"/>
        <v/>
      </c>
      <c r="B196" s="38" t="str">
        <f t="shared" si="32"/>
        <v/>
      </c>
      <c r="C196" s="38" t="str">
        <f t="shared" si="41"/>
        <v/>
      </c>
      <c r="D196" s="38" t="str">
        <f t="shared" si="33"/>
        <v/>
      </c>
      <c r="E196" s="38" t="str">
        <f t="shared" si="34"/>
        <v/>
      </c>
      <c r="F196" s="38" t="str">
        <f t="shared" si="35"/>
        <v/>
      </c>
      <c r="G196" s="38" t="str">
        <f t="shared" si="36"/>
        <v/>
      </c>
      <c r="H196" s="38" t="str">
        <f t="shared" si="37"/>
        <v/>
      </c>
      <c r="L196" t="str">
        <f t="shared" si="38"/>
        <v/>
      </c>
      <c r="M196" s="38" t="str">
        <f t="shared" si="28"/>
        <v/>
      </c>
      <c r="N196" s="38" t="str">
        <f t="shared" si="39"/>
        <v/>
      </c>
      <c r="O196" s="38" t="str">
        <f t="shared" si="40"/>
        <v/>
      </c>
      <c r="P196" s="38" t="str">
        <f t="shared" si="29"/>
        <v/>
      </c>
      <c r="Q196" s="38" t="str">
        <f t="shared" si="30"/>
        <v/>
      </c>
      <c r="R196" s="38"/>
    </row>
    <row r="197" spans="1:18" x14ac:dyDescent="0.2">
      <c r="A197" t="str">
        <f t="shared" si="31"/>
        <v/>
      </c>
      <c r="B197" s="38" t="str">
        <f t="shared" si="32"/>
        <v/>
      </c>
      <c r="C197" s="38" t="str">
        <f t="shared" si="41"/>
        <v/>
      </c>
      <c r="D197" s="38" t="str">
        <f t="shared" si="33"/>
        <v/>
      </c>
      <c r="E197" s="38" t="str">
        <f t="shared" si="34"/>
        <v/>
      </c>
      <c r="F197" s="38" t="str">
        <f t="shared" si="35"/>
        <v/>
      </c>
      <c r="G197" s="38" t="str">
        <f t="shared" si="36"/>
        <v/>
      </c>
      <c r="H197" s="38" t="str">
        <f t="shared" si="37"/>
        <v/>
      </c>
      <c r="L197" t="str">
        <f t="shared" si="38"/>
        <v/>
      </c>
      <c r="M197" s="38" t="str">
        <f t="shared" si="28"/>
        <v/>
      </c>
      <c r="N197" s="38" t="str">
        <f t="shared" si="39"/>
        <v/>
      </c>
      <c r="O197" s="38" t="str">
        <f t="shared" si="40"/>
        <v/>
      </c>
      <c r="P197" s="38" t="str">
        <f t="shared" si="29"/>
        <v/>
      </c>
      <c r="Q197" s="38" t="str">
        <f t="shared" si="30"/>
        <v/>
      </c>
      <c r="R197" s="38"/>
    </row>
    <row r="198" spans="1:18" x14ac:dyDescent="0.2">
      <c r="A198" t="str">
        <f t="shared" si="31"/>
        <v/>
      </c>
      <c r="B198" s="38" t="str">
        <f t="shared" si="32"/>
        <v/>
      </c>
      <c r="C198" s="38" t="str">
        <f t="shared" si="41"/>
        <v/>
      </c>
      <c r="D198" s="38" t="str">
        <f t="shared" si="33"/>
        <v/>
      </c>
      <c r="E198" s="38" t="str">
        <f t="shared" si="34"/>
        <v/>
      </c>
      <c r="F198" s="38" t="str">
        <f t="shared" si="35"/>
        <v/>
      </c>
      <c r="G198" s="38" t="str">
        <f t="shared" si="36"/>
        <v/>
      </c>
      <c r="H198" s="38" t="str">
        <f t="shared" si="37"/>
        <v/>
      </c>
      <c r="L198" t="str">
        <f t="shared" si="38"/>
        <v/>
      </c>
      <c r="M198" s="38" t="str">
        <f t="shared" si="28"/>
        <v/>
      </c>
      <c r="N198" s="38" t="str">
        <f t="shared" si="39"/>
        <v/>
      </c>
      <c r="O198" s="38" t="str">
        <f t="shared" si="40"/>
        <v/>
      </c>
      <c r="P198" s="38" t="str">
        <f t="shared" si="29"/>
        <v/>
      </c>
      <c r="Q198" s="38" t="str">
        <f t="shared" si="30"/>
        <v/>
      </c>
      <c r="R198" s="38"/>
    </row>
    <row r="199" spans="1:18" x14ac:dyDescent="0.2">
      <c r="A199" t="str">
        <f t="shared" si="31"/>
        <v/>
      </c>
      <c r="B199" s="38" t="str">
        <f t="shared" si="32"/>
        <v/>
      </c>
      <c r="C199" s="38" t="str">
        <f t="shared" si="41"/>
        <v/>
      </c>
      <c r="D199" s="38" t="str">
        <f t="shared" si="33"/>
        <v/>
      </c>
      <c r="E199" s="38" t="str">
        <f t="shared" si="34"/>
        <v/>
      </c>
      <c r="F199" s="38" t="str">
        <f t="shared" si="35"/>
        <v/>
      </c>
      <c r="G199" s="38" t="str">
        <f t="shared" si="36"/>
        <v/>
      </c>
      <c r="H199" s="38" t="str">
        <f t="shared" si="37"/>
        <v/>
      </c>
      <c r="L199" t="str">
        <f t="shared" si="38"/>
        <v/>
      </c>
      <c r="M199" s="38" t="str">
        <f t="shared" si="28"/>
        <v/>
      </c>
      <c r="N199" s="38" t="str">
        <f t="shared" si="39"/>
        <v/>
      </c>
      <c r="O199" s="38" t="str">
        <f t="shared" si="40"/>
        <v/>
      </c>
      <c r="P199" s="38" t="str">
        <f t="shared" si="29"/>
        <v/>
      </c>
      <c r="Q199" s="38" t="str">
        <f t="shared" si="30"/>
        <v/>
      </c>
      <c r="R199" s="38"/>
    </row>
    <row r="200" spans="1:18" x14ac:dyDescent="0.2">
      <c r="A200" t="str">
        <f t="shared" si="31"/>
        <v/>
      </c>
      <c r="B200" s="38" t="str">
        <f t="shared" si="32"/>
        <v/>
      </c>
      <c r="C200" s="38" t="str">
        <f t="shared" si="41"/>
        <v/>
      </c>
      <c r="D200" s="38" t="str">
        <f t="shared" si="33"/>
        <v/>
      </c>
      <c r="E200" s="38" t="str">
        <f t="shared" si="34"/>
        <v/>
      </c>
      <c r="F200" s="38" t="str">
        <f t="shared" si="35"/>
        <v/>
      </c>
      <c r="G200" s="38" t="str">
        <f t="shared" si="36"/>
        <v/>
      </c>
      <c r="H200" s="38" t="str">
        <f t="shared" si="37"/>
        <v/>
      </c>
      <c r="L200" t="str">
        <f t="shared" si="38"/>
        <v/>
      </c>
      <c r="M200" s="38" t="str">
        <f t="shared" si="28"/>
        <v/>
      </c>
      <c r="N200" s="38" t="str">
        <f t="shared" si="39"/>
        <v/>
      </c>
      <c r="O200" s="38" t="str">
        <f t="shared" si="40"/>
        <v/>
      </c>
      <c r="P200" s="38" t="str">
        <f t="shared" si="29"/>
        <v/>
      </c>
      <c r="Q200" s="38" t="str">
        <f t="shared" si="30"/>
        <v/>
      </c>
      <c r="R200" s="38"/>
    </row>
    <row r="201" spans="1:18" x14ac:dyDescent="0.2">
      <c r="A201" t="str">
        <f t="shared" si="31"/>
        <v/>
      </c>
      <c r="B201" s="38" t="str">
        <f t="shared" si="32"/>
        <v/>
      </c>
      <c r="C201" s="38" t="str">
        <f t="shared" si="41"/>
        <v/>
      </c>
      <c r="D201" s="38" t="str">
        <f t="shared" si="33"/>
        <v/>
      </c>
      <c r="E201" s="38" t="str">
        <f t="shared" si="34"/>
        <v/>
      </c>
      <c r="F201" s="38" t="str">
        <f t="shared" si="35"/>
        <v/>
      </c>
      <c r="G201" s="38" t="str">
        <f t="shared" si="36"/>
        <v/>
      </c>
      <c r="H201" s="38" t="str">
        <f t="shared" si="37"/>
        <v/>
      </c>
      <c r="L201" t="str">
        <f t="shared" si="38"/>
        <v/>
      </c>
      <c r="M201" s="38" t="str">
        <f t="shared" si="28"/>
        <v/>
      </c>
      <c r="N201" s="38" t="str">
        <f t="shared" si="39"/>
        <v/>
      </c>
      <c r="O201" s="38" t="str">
        <f t="shared" si="40"/>
        <v/>
      </c>
      <c r="P201" s="38" t="str">
        <f t="shared" si="29"/>
        <v/>
      </c>
      <c r="Q201" s="38" t="str">
        <f t="shared" si="30"/>
        <v/>
      </c>
      <c r="R201" s="38"/>
    </row>
    <row r="202" spans="1:18" x14ac:dyDescent="0.2">
      <c r="A202" t="str">
        <f t="shared" si="31"/>
        <v/>
      </c>
      <c r="B202" s="38" t="str">
        <f t="shared" si="32"/>
        <v/>
      </c>
      <c r="C202" s="38" t="str">
        <f t="shared" si="41"/>
        <v/>
      </c>
      <c r="D202" s="38" t="str">
        <f t="shared" si="33"/>
        <v/>
      </c>
      <c r="E202" s="38" t="str">
        <f t="shared" si="34"/>
        <v/>
      </c>
      <c r="F202" s="38" t="str">
        <f t="shared" si="35"/>
        <v/>
      </c>
      <c r="G202" s="38" t="str">
        <f t="shared" si="36"/>
        <v/>
      </c>
      <c r="H202" s="38" t="str">
        <f t="shared" si="37"/>
        <v/>
      </c>
      <c r="L202" t="str">
        <f t="shared" si="38"/>
        <v/>
      </c>
      <c r="M202" s="38" t="str">
        <f t="shared" si="28"/>
        <v/>
      </c>
      <c r="N202" s="38" t="str">
        <f t="shared" si="39"/>
        <v/>
      </c>
      <c r="O202" s="38" t="str">
        <f t="shared" si="40"/>
        <v/>
      </c>
      <c r="P202" s="38" t="str">
        <f t="shared" si="29"/>
        <v/>
      </c>
      <c r="Q202" s="38" t="str">
        <f t="shared" si="30"/>
        <v/>
      </c>
      <c r="R202" s="38"/>
    </row>
    <row r="203" spans="1:18" x14ac:dyDescent="0.2">
      <c r="A203" t="str">
        <f t="shared" si="31"/>
        <v/>
      </c>
      <c r="B203" s="38" t="str">
        <f t="shared" si="32"/>
        <v/>
      </c>
      <c r="C203" s="38" t="str">
        <f t="shared" si="41"/>
        <v/>
      </c>
      <c r="D203" s="38" t="str">
        <f t="shared" si="33"/>
        <v/>
      </c>
      <c r="E203" s="38" t="str">
        <f t="shared" si="34"/>
        <v/>
      </c>
      <c r="F203" s="38" t="str">
        <f t="shared" si="35"/>
        <v/>
      </c>
      <c r="G203" s="38" t="str">
        <f t="shared" si="36"/>
        <v/>
      </c>
      <c r="H203" s="38" t="str">
        <f t="shared" si="37"/>
        <v/>
      </c>
      <c r="L203" t="str">
        <f t="shared" si="38"/>
        <v/>
      </c>
      <c r="M203" s="38" t="str">
        <f t="shared" si="28"/>
        <v/>
      </c>
      <c r="N203" s="38" t="str">
        <f t="shared" si="39"/>
        <v/>
      </c>
      <c r="O203" s="38" t="str">
        <f t="shared" si="40"/>
        <v/>
      </c>
      <c r="P203" s="38" t="str">
        <f t="shared" si="29"/>
        <v/>
      </c>
      <c r="Q203" s="38" t="str">
        <f t="shared" si="30"/>
        <v/>
      </c>
      <c r="R203" s="38"/>
    </row>
    <row r="204" spans="1:18" x14ac:dyDescent="0.2">
      <c r="A204" t="str">
        <f t="shared" si="31"/>
        <v/>
      </c>
      <c r="B204" s="38" t="str">
        <f t="shared" si="32"/>
        <v/>
      </c>
      <c r="C204" s="38" t="str">
        <f t="shared" si="41"/>
        <v/>
      </c>
      <c r="D204" s="38" t="str">
        <f t="shared" si="33"/>
        <v/>
      </c>
      <c r="E204" s="38" t="str">
        <f t="shared" si="34"/>
        <v/>
      </c>
      <c r="F204" s="38" t="str">
        <f t="shared" si="35"/>
        <v/>
      </c>
      <c r="G204" s="38" t="str">
        <f t="shared" si="36"/>
        <v/>
      </c>
      <c r="H204" s="38" t="str">
        <f t="shared" si="37"/>
        <v/>
      </c>
      <c r="L204" t="str">
        <f t="shared" si="38"/>
        <v/>
      </c>
      <c r="M204" s="38" t="str">
        <f t="shared" si="28"/>
        <v/>
      </c>
      <c r="N204" s="38" t="str">
        <f t="shared" si="39"/>
        <v/>
      </c>
      <c r="O204" s="38" t="str">
        <f t="shared" si="40"/>
        <v/>
      </c>
      <c r="P204" s="38" t="str">
        <f t="shared" si="29"/>
        <v/>
      </c>
      <c r="Q204" s="38" t="str">
        <f t="shared" si="30"/>
        <v/>
      </c>
      <c r="R204" s="38"/>
    </row>
    <row r="205" spans="1:18" x14ac:dyDescent="0.2">
      <c r="A205" t="str">
        <f t="shared" si="31"/>
        <v/>
      </c>
      <c r="B205" s="38" t="str">
        <f t="shared" si="32"/>
        <v/>
      </c>
      <c r="C205" s="38" t="str">
        <f t="shared" si="41"/>
        <v/>
      </c>
      <c r="D205" s="38" t="str">
        <f t="shared" si="33"/>
        <v/>
      </c>
      <c r="E205" s="38" t="str">
        <f t="shared" si="34"/>
        <v/>
      </c>
      <c r="F205" s="38" t="str">
        <f t="shared" si="35"/>
        <v/>
      </c>
      <c r="G205" s="38" t="str">
        <f t="shared" si="36"/>
        <v/>
      </c>
      <c r="H205" s="38" t="str">
        <f t="shared" si="37"/>
        <v/>
      </c>
      <c r="L205" t="str">
        <f t="shared" si="38"/>
        <v/>
      </c>
      <c r="M205" s="38" t="str">
        <f t="shared" si="28"/>
        <v/>
      </c>
      <c r="N205" s="38" t="str">
        <f t="shared" si="39"/>
        <v/>
      </c>
      <c r="O205" s="38" t="str">
        <f t="shared" si="40"/>
        <v/>
      </c>
      <c r="P205" s="38" t="str">
        <f t="shared" si="29"/>
        <v/>
      </c>
      <c r="Q205" s="38" t="str">
        <f t="shared" si="30"/>
        <v/>
      </c>
      <c r="R205" s="38"/>
    </row>
    <row r="206" spans="1:18" x14ac:dyDescent="0.2">
      <c r="A206" t="str">
        <f t="shared" si="31"/>
        <v/>
      </c>
      <c r="B206" s="38" t="str">
        <f t="shared" si="32"/>
        <v/>
      </c>
      <c r="C206" s="38" t="str">
        <f t="shared" si="41"/>
        <v/>
      </c>
      <c r="D206" s="38" t="str">
        <f t="shared" si="33"/>
        <v/>
      </c>
      <c r="E206" s="38" t="str">
        <f t="shared" si="34"/>
        <v/>
      </c>
      <c r="F206" s="38" t="str">
        <f t="shared" si="35"/>
        <v/>
      </c>
      <c r="G206" s="38" t="str">
        <f t="shared" si="36"/>
        <v/>
      </c>
      <c r="H206" s="38" t="str">
        <f t="shared" si="37"/>
        <v/>
      </c>
      <c r="L206" t="str">
        <f t="shared" si="38"/>
        <v/>
      </c>
      <c r="M206" s="38" t="str">
        <f t="shared" si="28"/>
        <v/>
      </c>
      <c r="N206" s="38" t="str">
        <f t="shared" si="39"/>
        <v/>
      </c>
      <c r="O206" s="38" t="str">
        <f t="shared" si="40"/>
        <v/>
      </c>
      <c r="P206" s="38" t="str">
        <f t="shared" si="29"/>
        <v/>
      </c>
      <c r="Q206" s="38" t="str">
        <f t="shared" si="30"/>
        <v/>
      </c>
      <c r="R206" s="38"/>
    </row>
    <row r="207" spans="1:18" x14ac:dyDescent="0.2">
      <c r="A207" t="str">
        <f t="shared" si="31"/>
        <v/>
      </c>
      <c r="B207" s="38" t="str">
        <f t="shared" si="32"/>
        <v/>
      </c>
      <c r="C207" s="38" t="str">
        <f t="shared" si="41"/>
        <v/>
      </c>
      <c r="D207" s="38" t="str">
        <f t="shared" si="33"/>
        <v/>
      </c>
      <c r="E207" s="38" t="str">
        <f t="shared" si="34"/>
        <v/>
      </c>
      <c r="F207" s="38" t="str">
        <f t="shared" si="35"/>
        <v/>
      </c>
      <c r="G207" s="38" t="str">
        <f t="shared" si="36"/>
        <v/>
      </c>
      <c r="H207" s="38" t="str">
        <f t="shared" si="37"/>
        <v/>
      </c>
      <c r="L207" t="str">
        <f t="shared" si="38"/>
        <v/>
      </c>
      <c r="M207" s="38" t="str">
        <f t="shared" si="28"/>
        <v/>
      </c>
      <c r="N207" s="38" t="str">
        <f t="shared" si="39"/>
        <v/>
      </c>
      <c r="O207" s="38" t="str">
        <f t="shared" si="40"/>
        <v/>
      </c>
      <c r="P207" s="38" t="str">
        <f t="shared" si="29"/>
        <v/>
      </c>
      <c r="Q207" s="38" t="str">
        <f t="shared" si="30"/>
        <v/>
      </c>
      <c r="R207" s="38"/>
    </row>
    <row r="208" spans="1:18" x14ac:dyDescent="0.2">
      <c r="A208" t="str">
        <f t="shared" si="31"/>
        <v/>
      </c>
      <c r="B208" s="38" t="str">
        <f t="shared" si="32"/>
        <v/>
      </c>
      <c r="C208" s="38" t="str">
        <f t="shared" si="41"/>
        <v/>
      </c>
      <c r="D208" s="38" t="str">
        <f t="shared" si="33"/>
        <v/>
      </c>
      <c r="E208" s="38" t="str">
        <f t="shared" si="34"/>
        <v/>
      </c>
      <c r="F208" s="38" t="str">
        <f t="shared" si="35"/>
        <v/>
      </c>
      <c r="G208" s="38" t="str">
        <f t="shared" si="36"/>
        <v/>
      </c>
      <c r="H208" s="38" t="str">
        <f t="shared" si="37"/>
        <v/>
      </c>
      <c r="L208" t="str">
        <f t="shared" si="38"/>
        <v/>
      </c>
      <c r="M208" s="38" t="str">
        <f t="shared" si="28"/>
        <v/>
      </c>
      <c r="N208" s="38" t="str">
        <f t="shared" si="39"/>
        <v/>
      </c>
      <c r="O208" s="38" t="str">
        <f t="shared" si="40"/>
        <v/>
      </c>
      <c r="P208" s="38" t="str">
        <f t="shared" si="29"/>
        <v/>
      </c>
      <c r="Q208" s="38" t="str">
        <f t="shared" si="30"/>
        <v/>
      </c>
      <c r="R208" s="38"/>
    </row>
    <row r="209" spans="1:18" x14ac:dyDescent="0.2">
      <c r="A209" t="str">
        <f t="shared" si="31"/>
        <v/>
      </c>
      <c r="B209" s="38" t="str">
        <f t="shared" si="32"/>
        <v/>
      </c>
      <c r="C209" s="38" t="str">
        <f t="shared" si="41"/>
        <v/>
      </c>
      <c r="D209" s="38" t="str">
        <f t="shared" si="33"/>
        <v/>
      </c>
      <c r="E209" s="38" t="str">
        <f t="shared" si="34"/>
        <v/>
      </c>
      <c r="F209" s="38" t="str">
        <f t="shared" si="35"/>
        <v/>
      </c>
      <c r="G209" s="38" t="str">
        <f t="shared" si="36"/>
        <v/>
      </c>
      <c r="H209" s="38" t="str">
        <f t="shared" si="37"/>
        <v/>
      </c>
      <c r="L209" t="str">
        <f t="shared" si="38"/>
        <v/>
      </c>
      <c r="M209" s="38" t="str">
        <f t="shared" si="28"/>
        <v/>
      </c>
      <c r="N209" s="38" t="str">
        <f t="shared" si="39"/>
        <v/>
      </c>
      <c r="O209" s="38" t="str">
        <f t="shared" si="40"/>
        <v/>
      </c>
      <c r="P209" s="38" t="str">
        <f t="shared" si="29"/>
        <v/>
      </c>
      <c r="Q209" s="38" t="str">
        <f t="shared" si="30"/>
        <v/>
      </c>
      <c r="R209" s="38"/>
    </row>
    <row r="210" spans="1:18" x14ac:dyDescent="0.2">
      <c r="A210" t="str">
        <f t="shared" si="31"/>
        <v/>
      </c>
      <c r="B210" s="38" t="str">
        <f t="shared" si="32"/>
        <v/>
      </c>
      <c r="C210" s="38" t="str">
        <f t="shared" si="41"/>
        <v/>
      </c>
      <c r="D210" s="38" t="str">
        <f t="shared" si="33"/>
        <v/>
      </c>
      <c r="E210" s="38" t="str">
        <f t="shared" si="34"/>
        <v/>
      </c>
      <c r="F210" s="38" t="str">
        <f t="shared" si="35"/>
        <v/>
      </c>
      <c r="G210" s="38" t="str">
        <f t="shared" si="36"/>
        <v/>
      </c>
      <c r="H210" s="38" t="str">
        <f t="shared" si="37"/>
        <v/>
      </c>
      <c r="L210" t="str">
        <f t="shared" si="38"/>
        <v/>
      </c>
      <c r="M210" s="38" t="str">
        <f t="shared" si="28"/>
        <v/>
      </c>
      <c r="N210" s="38" t="str">
        <f t="shared" si="39"/>
        <v/>
      </c>
      <c r="O210" s="38" t="str">
        <f t="shared" si="40"/>
        <v/>
      </c>
      <c r="P210" s="38" t="str">
        <f t="shared" si="29"/>
        <v/>
      </c>
      <c r="Q210" s="38" t="str">
        <f t="shared" si="30"/>
        <v/>
      </c>
      <c r="R210" s="38"/>
    </row>
    <row r="211" spans="1:18" x14ac:dyDescent="0.2">
      <c r="A211" t="str">
        <f t="shared" si="31"/>
        <v/>
      </c>
      <c r="B211" s="38" t="str">
        <f t="shared" si="32"/>
        <v/>
      </c>
      <c r="C211" s="38" t="str">
        <f t="shared" si="41"/>
        <v/>
      </c>
      <c r="D211" s="38" t="str">
        <f t="shared" si="33"/>
        <v/>
      </c>
      <c r="E211" s="38" t="str">
        <f t="shared" si="34"/>
        <v/>
      </c>
      <c r="F211" s="38" t="str">
        <f t="shared" si="35"/>
        <v/>
      </c>
      <c r="G211" s="38" t="str">
        <f t="shared" si="36"/>
        <v/>
      </c>
      <c r="H211" s="38" t="str">
        <f t="shared" si="37"/>
        <v/>
      </c>
      <c r="L211" t="str">
        <f t="shared" si="38"/>
        <v/>
      </c>
      <c r="M211" s="38" t="str">
        <f t="shared" si="28"/>
        <v/>
      </c>
      <c r="N211" s="38" t="str">
        <f t="shared" si="39"/>
        <v/>
      </c>
      <c r="O211" s="38" t="str">
        <f t="shared" si="40"/>
        <v/>
      </c>
      <c r="P211" s="38" t="str">
        <f t="shared" si="29"/>
        <v/>
      </c>
      <c r="Q211" s="38" t="str">
        <f t="shared" si="30"/>
        <v/>
      </c>
      <c r="R211" s="38"/>
    </row>
    <row r="212" spans="1:18" x14ac:dyDescent="0.2">
      <c r="A212" t="str">
        <f t="shared" si="31"/>
        <v/>
      </c>
      <c r="B212" s="38" t="str">
        <f t="shared" si="32"/>
        <v/>
      </c>
      <c r="C212" s="38" t="str">
        <f t="shared" si="41"/>
        <v/>
      </c>
      <c r="D212" s="38" t="str">
        <f t="shared" si="33"/>
        <v/>
      </c>
      <c r="E212" s="38" t="str">
        <f t="shared" si="34"/>
        <v/>
      </c>
      <c r="F212" s="38" t="str">
        <f t="shared" si="35"/>
        <v/>
      </c>
      <c r="G212" s="38" t="str">
        <f t="shared" si="36"/>
        <v/>
      </c>
      <c r="H212" s="38" t="str">
        <f t="shared" si="37"/>
        <v/>
      </c>
      <c r="L212" t="str">
        <f t="shared" si="38"/>
        <v/>
      </c>
      <c r="M212" s="38" t="str">
        <f t="shared" si="28"/>
        <v/>
      </c>
      <c r="N212" s="38" t="str">
        <f t="shared" si="39"/>
        <v/>
      </c>
      <c r="O212" s="38" t="str">
        <f t="shared" si="40"/>
        <v/>
      </c>
      <c r="P212" s="38" t="str">
        <f t="shared" si="29"/>
        <v/>
      </c>
      <c r="Q212" s="38" t="str">
        <f t="shared" si="30"/>
        <v/>
      </c>
      <c r="R212" s="38"/>
    </row>
    <row r="213" spans="1:18" x14ac:dyDescent="0.2">
      <c r="A213" t="str">
        <f t="shared" si="31"/>
        <v/>
      </c>
      <c r="B213" s="38" t="str">
        <f t="shared" si="32"/>
        <v/>
      </c>
      <c r="C213" s="38" t="str">
        <f t="shared" si="41"/>
        <v/>
      </c>
      <c r="D213" s="38" t="str">
        <f t="shared" si="33"/>
        <v/>
      </c>
      <c r="E213" s="38" t="str">
        <f t="shared" si="34"/>
        <v/>
      </c>
      <c r="F213" s="38" t="str">
        <f t="shared" si="35"/>
        <v/>
      </c>
      <c r="G213" s="38" t="str">
        <f t="shared" si="36"/>
        <v/>
      </c>
      <c r="H213" s="38" t="str">
        <f t="shared" si="37"/>
        <v/>
      </c>
      <c r="L213" t="str">
        <f t="shared" si="38"/>
        <v/>
      </c>
      <c r="M213" s="38" t="str">
        <f t="shared" si="28"/>
        <v/>
      </c>
      <c r="N213" s="38" t="str">
        <f t="shared" si="39"/>
        <v/>
      </c>
      <c r="O213" s="38" t="str">
        <f t="shared" si="40"/>
        <v/>
      </c>
      <c r="P213" s="38" t="str">
        <f t="shared" si="29"/>
        <v/>
      </c>
      <c r="Q213" s="38" t="str">
        <f t="shared" si="30"/>
        <v/>
      </c>
      <c r="R213" s="38"/>
    </row>
    <row r="214" spans="1:18" x14ac:dyDescent="0.2">
      <c r="A214" t="str">
        <f t="shared" si="31"/>
        <v/>
      </c>
      <c r="B214" s="38" t="str">
        <f t="shared" si="32"/>
        <v/>
      </c>
      <c r="C214" s="38" t="str">
        <f t="shared" si="41"/>
        <v/>
      </c>
      <c r="D214" s="38" t="str">
        <f t="shared" si="33"/>
        <v/>
      </c>
      <c r="E214" s="38" t="str">
        <f t="shared" si="34"/>
        <v/>
      </c>
      <c r="F214" s="38" t="str">
        <f t="shared" si="35"/>
        <v/>
      </c>
      <c r="G214" s="38" t="str">
        <f t="shared" si="36"/>
        <v/>
      </c>
      <c r="H214" s="38" t="str">
        <f t="shared" si="37"/>
        <v/>
      </c>
      <c r="L214" t="str">
        <f t="shared" si="38"/>
        <v/>
      </c>
      <c r="M214" s="38" t="str">
        <f t="shared" si="28"/>
        <v/>
      </c>
      <c r="N214" s="38" t="str">
        <f t="shared" si="39"/>
        <v/>
      </c>
      <c r="O214" s="38" t="str">
        <f t="shared" si="40"/>
        <v/>
      </c>
      <c r="P214" s="38" t="str">
        <f t="shared" si="29"/>
        <v/>
      </c>
      <c r="Q214" s="38" t="str">
        <f t="shared" si="30"/>
        <v/>
      </c>
      <c r="R214" s="38"/>
    </row>
    <row r="215" spans="1:18" x14ac:dyDescent="0.2">
      <c r="A215" t="str">
        <f t="shared" si="31"/>
        <v/>
      </c>
      <c r="B215" s="38" t="str">
        <f t="shared" si="32"/>
        <v/>
      </c>
      <c r="C215" s="38" t="str">
        <f t="shared" si="41"/>
        <v/>
      </c>
      <c r="D215" s="38" t="str">
        <f t="shared" si="33"/>
        <v/>
      </c>
      <c r="E215" s="38" t="str">
        <f t="shared" si="34"/>
        <v/>
      </c>
      <c r="F215" s="38" t="str">
        <f t="shared" si="35"/>
        <v/>
      </c>
      <c r="G215" s="38" t="str">
        <f t="shared" si="36"/>
        <v/>
      </c>
      <c r="H215" s="38" t="str">
        <f t="shared" si="37"/>
        <v/>
      </c>
      <c r="L215" t="str">
        <f t="shared" si="38"/>
        <v/>
      </c>
      <c r="M215" s="38" t="str">
        <f t="shared" si="28"/>
        <v/>
      </c>
      <c r="N215" s="38" t="str">
        <f t="shared" si="39"/>
        <v/>
      </c>
      <c r="O215" s="38" t="str">
        <f t="shared" si="40"/>
        <v/>
      </c>
      <c r="P215" s="38" t="str">
        <f t="shared" si="29"/>
        <v/>
      </c>
      <c r="Q215" s="38" t="str">
        <f t="shared" si="30"/>
        <v/>
      </c>
      <c r="R215" s="38"/>
    </row>
    <row r="216" spans="1:18" x14ac:dyDescent="0.2">
      <c r="A216" t="str">
        <f t="shared" si="31"/>
        <v/>
      </c>
      <c r="B216" s="38" t="str">
        <f t="shared" si="32"/>
        <v/>
      </c>
      <c r="C216" s="38" t="str">
        <f t="shared" si="41"/>
        <v/>
      </c>
      <c r="D216" s="38" t="str">
        <f t="shared" si="33"/>
        <v/>
      </c>
      <c r="E216" s="38" t="str">
        <f t="shared" si="34"/>
        <v/>
      </c>
      <c r="F216" s="38" t="str">
        <f t="shared" si="35"/>
        <v/>
      </c>
      <c r="G216" s="38" t="str">
        <f t="shared" si="36"/>
        <v/>
      </c>
      <c r="H216" s="38" t="str">
        <f t="shared" si="37"/>
        <v/>
      </c>
      <c r="L216" t="str">
        <f t="shared" si="38"/>
        <v/>
      </c>
      <c r="M216" s="38" t="str">
        <f t="shared" si="28"/>
        <v/>
      </c>
      <c r="N216" s="38" t="str">
        <f t="shared" si="39"/>
        <v/>
      </c>
      <c r="O216" s="38" t="str">
        <f t="shared" si="40"/>
        <v/>
      </c>
      <c r="P216" s="38" t="str">
        <f t="shared" si="29"/>
        <v/>
      </c>
      <c r="Q216" s="38" t="str">
        <f t="shared" si="30"/>
        <v/>
      </c>
      <c r="R216" s="38"/>
    </row>
    <row r="217" spans="1:18" x14ac:dyDescent="0.2">
      <c r="A217" t="str">
        <f t="shared" si="31"/>
        <v/>
      </c>
      <c r="B217" s="38" t="str">
        <f t="shared" si="32"/>
        <v/>
      </c>
      <c r="C217" s="38" t="str">
        <f t="shared" si="41"/>
        <v/>
      </c>
      <c r="D217" s="38" t="str">
        <f t="shared" si="33"/>
        <v/>
      </c>
      <c r="E217" s="38" t="str">
        <f t="shared" si="34"/>
        <v/>
      </c>
      <c r="F217" s="38" t="str">
        <f t="shared" si="35"/>
        <v/>
      </c>
      <c r="G217" s="38" t="str">
        <f t="shared" si="36"/>
        <v/>
      </c>
      <c r="H217" s="38" t="str">
        <f t="shared" si="37"/>
        <v/>
      </c>
      <c r="L217" t="str">
        <f t="shared" si="38"/>
        <v/>
      </c>
      <c r="M217" s="38" t="str">
        <f t="shared" si="28"/>
        <v/>
      </c>
      <c r="N217" s="38" t="str">
        <f t="shared" si="39"/>
        <v/>
      </c>
      <c r="O217" s="38" t="str">
        <f t="shared" si="40"/>
        <v/>
      </c>
      <c r="P217" s="38" t="str">
        <f t="shared" si="29"/>
        <v/>
      </c>
      <c r="Q217" s="38" t="str">
        <f t="shared" si="30"/>
        <v/>
      </c>
      <c r="R217" s="38"/>
    </row>
    <row r="218" spans="1:18" x14ac:dyDescent="0.2">
      <c r="A218" t="str">
        <f t="shared" si="31"/>
        <v/>
      </c>
      <c r="B218" s="38" t="str">
        <f t="shared" si="32"/>
        <v/>
      </c>
      <c r="C218" s="38" t="str">
        <f t="shared" si="41"/>
        <v/>
      </c>
      <c r="D218" s="38" t="str">
        <f t="shared" si="33"/>
        <v/>
      </c>
      <c r="E218" s="38" t="str">
        <f t="shared" si="34"/>
        <v/>
      </c>
      <c r="F218" s="38" t="str">
        <f t="shared" si="35"/>
        <v/>
      </c>
      <c r="G218" s="38" t="str">
        <f t="shared" si="36"/>
        <v/>
      </c>
      <c r="H218" s="38" t="str">
        <f t="shared" si="37"/>
        <v/>
      </c>
      <c r="L218" t="str">
        <f t="shared" si="38"/>
        <v/>
      </c>
      <c r="M218" s="38" t="str">
        <f t="shared" si="28"/>
        <v/>
      </c>
      <c r="N218" s="38" t="str">
        <f t="shared" si="39"/>
        <v/>
      </c>
      <c r="O218" s="38" t="str">
        <f t="shared" si="40"/>
        <v/>
      </c>
      <c r="P218" s="38" t="str">
        <f t="shared" si="29"/>
        <v/>
      </c>
      <c r="Q218" s="38" t="str">
        <f t="shared" si="30"/>
        <v/>
      </c>
      <c r="R218" s="38"/>
    </row>
    <row r="219" spans="1:18" x14ac:dyDescent="0.2">
      <c r="A219" t="str">
        <f t="shared" si="31"/>
        <v/>
      </c>
      <c r="B219" s="38" t="str">
        <f t="shared" si="32"/>
        <v/>
      </c>
      <c r="C219" s="38" t="str">
        <f t="shared" si="41"/>
        <v/>
      </c>
      <c r="D219" s="38" t="str">
        <f t="shared" si="33"/>
        <v/>
      </c>
      <c r="E219" s="38" t="str">
        <f t="shared" si="34"/>
        <v/>
      </c>
      <c r="F219" s="38" t="str">
        <f t="shared" si="35"/>
        <v/>
      </c>
      <c r="G219" s="38" t="str">
        <f t="shared" si="36"/>
        <v/>
      </c>
      <c r="H219" s="38" t="str">
        <f t="shared" si="37"/>
        <v/>
      </c>
      <c r="L219" t="str">
        <f t="shared" si="38"/>
        <v/>
      </c>
      <c r="M219" s="38" t="str">
        <f t="shared" si="28"/>
        <v/>
      </c>
      <c r="N219" s="38" t="str">
        <f t="shared" si="39"/>
        <v/>
      </c>
      <c r="O219" s="38" t="str">
        <f t="shared" si="40"/>
        <v/>
      </c>
      <c r="P219" s="38" t="str">
        <f t="shared" si="29"/>
        <v/>
      </c>
      <c r="Q219" s="38" t="str">
        <f t="shared" si="30"/>
        <v/>
      </c>
      <c r="R219" s="38"/>
    </row>
    <row r="220" spans="1:18" x14ac:dyDescent="0.2">
      <c r="A220" t="str">
        <f t="shared" si="31"/>
        <v/>
      </c>
      <c r="B220" s="38" t="str">
        <f t="shared" si="32"/>
        <v/>
      </c>
      <c r="C220" s="38" t="str">
        <f t="shared" si="41"/>
        <v/>
      </c>
      <c r="D220" s="38" t="str">
        <f t="shared" si="33"/>
        <v/>
      </c>
      <c r="E220" s="38" t="str">
        <f t="shared" si="34"/>
        <v/>
      </c>
      <c r="F220" s="38" t="str">
        <f t="shared" si="35"/>
        <v/>
      </c>
      <c r="G220" s="38" t="str">
        <f t="shared" si="36"/>
        <v/>
      </c>
      <c r="H220" s="38" t="str">
        <f t="shared" si="37"/>
        <v/>
      </c>
      <c r="L220" t="str">
        <f t="shared" si="38"/>
        <v/>
      </c>
      <c r="M220" s="38" t="str">
        <f t="shared" si="28"/>
        <v/>
      </c>
      <c r="N220" s="38" t="str">
        <f t="shared" si="39"/>
        <v/>
      </c>
      <c r="O220" s="38" t="str">
        <f t="shared" si="40"/>
        <v/>
      </c>
      <c r="P220" s="38" t="str">
        <f t="shared" si="29"/>
        <v/>
      </c>
      <c r="Q220" s="38" t="str">
        <f t="shared" si="30"/>
        <v/>
      </c>
      <c r="R220" s="38"/>
    </row>
    <row r="221" spans="1:18" x14ac:dyDescent="0.2">
      <c r="A221" t="str">
        <f t="shared" si="31"/>
        <v/>
      </c>
      <c r="B221" s="38" t="str">
        <f t="shared" si="32"/>
        <v/>
      </c>
      <c r="C221" s="38" t="str">
        <f t="shared" si="41"/>
        <v/>
      </c>
      <c r="D221" s="38" t="str">
        <f t="shared" si="33"/>
        <v/>
      </c>
      <c r="E221" s="38" t="str">
        <f t="shared" si="34"/>
        <v/>
      </c>
      <c r="F221" s="38" t="str">
        <f t="shared" si="35"/>
        <v/>
      </c>
      <c r="G221" s="38" t="str">
        <f t="shared" si="36"/>
        <v/>
      </c>
      <c r="H221" s="38" t="str">
        <f t="shared" si="37"/>
        <v/>
      </c>
      <c r="L221" t="str">
        <f t="shared" si="38"/>
        <v/>
      </c>
      <c r="M221" s="38" t="str">
        <f t="shared" si="28"/>
        <v/>
      </c>
      <c r="N221" s="38" t="str">
        <f t="shared" si="39"/>
        <v/>
      </c>
      <c r="O221" s="38" t="str">
        <f t="shared" si="40"/>
        <v/>
      </c>
      <c r="P221" s="38" t="str">
        <f t="shared" si="29"/>
        <v/>
      </c>
      <c r="Q221" s="38" t="str">
        <f t="shared" si="30"/>
        <v/>
      </c>
      <c r="R221" s="38"/>
    </row>
    <row r="222" spans="1:18" x14ac:dyDescent="0.2">
      <c r="A222" t="str">
        <f t="shared" si="31"/>
        <v/>
      </c>
      <c r="B222" s="38" t="str">
        <f t="shared" si="32"/>
        <v/>
      </c>
      <c r="C222" s="38" t="str">
        <f t="shared" si="41"/>
        <v/>
      </c>
      <c r="D222" s="38" t="str">
        <f t="shared" si="33"/>
        <v/>
      </c>
      <c r="E222" s="38" t="str">
        <f t="shared" si="34"/>
        <v/>
      </c>
      <c r="F222" s="38" t="str">
        <f t="shared" si="35"/>
        <v/>
      </c>
      <c r="G222" s="38" t="str">
        <f t="shared" si="36"/>
        <v/>
      </c>
      <c r="H222" s="38" t="str">
        <f t="shared" si="37"/>
        <v/>
      </c>
      <c r="L222" t="str">
        <f t="shared" si="38"/>
        <v/>
      </c>
      <c r="M222" s="38" t="str">
        <f t="shared" si="28"/>
        <v/>
      </c>
      <c r="N222" s="38" t="str">
        <f t="shared" si="39"/>
        <v/>
      </c>
      <c r="O222" s="38" t="str">
        <f t="shared" si="40"/>
        <v/>
      </c>
      <c r="P222" s="38" t="str">
        <f t="shared" si="29"/>
        <v/>
      </c>
      <c r="Q222" s="38" t="str">
        <f t="shared" si="30"/>
        <v/>
      </c>
      <c r="R222" s="38"/>
    </row>
    <row r="223" spans="1:18" x14ac:dyDescent="0.2">
      <c r="A223" t="str">
        <f t="shared" si="31"/>
        <v/>
      </c>
      <c r="B223" s="38" t="str">
        <f t="shared" si="32"/>
        <v/>
      </c>
      <c r="C223" s="38" t="str">
        <f t="shared" si="41"/>
        <v/>
      </c>
      <c r="D223" s="38" t="str">
        <f t="shared" si="33"/>
        <v/>
      </c>
      <c r="E223" s="38" t="str">
        <f t="shared" si="34"/>
        <v/>
      </c>
      <c r="F223" s="38" t="str">
        <f t="shared" si="35"/>
        <v/>
      </c>
      <c r="G223" s="38" t="str">
        <f t="shared" si="36"/>
        <v/>
      </c>
      <c r="H223" s="38" t="str">
        <f t="shared" si="37"/>
        <v/>
      </c>
      <c r="L223" t="str">
        <f t="shared" si="38"/>
        <v/>
      </c>
      <c r="M223" s="38" t="str">
        <f t="shared" si="28"/>
        <v/>
      </c>
      <c r="N223" s="38" t="str">
        <f t="shared" si="39"/>
        <v/>
      </c>
      <c r="O223" s="38" t="str">
        <f t="shared" si="40"/>
        <v/>
      </c>
      <c r="P223" s="38" t="str">
        <f t="shared" si="29"/>
        <v/>
      </c>
      <c r="Q223" s="38" t="str">
        <f t="shared" si="30"/>
        <v/>
      </c>
      <c r="R223" s="38"/>
    </row>
    <row r="224" spans="1:18" x14ac:dyDescent="0.2">
      <c r="A224" t="str">
        <f t="shared" si="31"/>
        <v/>
      </c>
      <c r="B224" s="38" t="str">
        <f t="shared" si="32"/>
        <v/>
      </c>
      <c r="C224" s="38" t="str">
        <f t="shared" si="41"/>
        <v/>
      </c>
      <c r="D224" s="38" t="str">
        <f t="shared" si="33"/>
        <v/>
      </c>
      <c r="E224" s="38" t="str">
        <f t="shared" si="34"/>
        <v/>
      </c>
      <c r="F224" s="38" t="str">
        <f t="shared" si="35"/>
        <v/>
      </c>
      <c r="G224" s="38" t="str">
        <f t="shared" si="36"/>
        <v/>
      </c>
      <c r="H224" s="38" t="str">
        <f t="shared" si="37"/>
        <v/>
      </c>
      <c r="L224" t="str">
        <f t="shared" si="38"/>
        <v/>
      </c>
      <c r="M224" s="38" t="str">
        <f t="shared" si="28"/>
        <v/>
      </c>
      <c r="N224" s="38" t="str">
        <f t="shared" si="39"/>
        <v/>
      </c>
      <c r="O224" s="38" t="str">
        <f t="shared" si="40"/>
        <v/>
      </c>
      <c r="P224" s="38" t="str">
        <f t="shared" si="29"/>
        <v/>
      </c>
      <c r="Q224" s="38" t="str">
        <f t="shared" si="30"/>
        <v/>
      </c>
      <c r="R224" s="38"/>
    </row>
    <row r="225" spans="1:18" x14ac:dyDescent="0.2">
      <c r="A225" t="str">
        <f t="shared" si="31"/>
        <v/>
      </c>
      <c r="B225" s="38" t="str">
        <f t="shared" si="32"/>
        <v/>
      </c>
      <c r="C225" s="38" t="str">
        <f t="shared" si="41"/>
        <v/>
      </c>
      <c r="D225" s="38" t="str">
        <f t="shared" si="33"/>
        <v/>
      </c>
      <c r="E225" s="38" t="str">
        <f t="shared" si="34"/>
        <v/>
      </c>
      <c r="F225" s="38" t="str">
        <f t="shared" si="35"/>
        <v/>
      </c>
      <c r="G225" s="38" t="str">
        <f t="shared" si="36"/>
        <v/>
      </c>
      <c r="H225" s="38" t="str">
        <f t="shared" si="37"/>
        <v/>
      </c>
      <c r="L225" t="str">
        <f t="shared" si="38"/>
        <v/>
      </c>
      <c r="M225" s="38" t="str">
        <f t="shared" ref="M225:M288" si="42">IF(L225="","",P224)</f>
        <v/>
      </c>
      <c r="N225" s="38" t="str">
        <f t="shared" si="39"/>
        <v/>
      </c>
      <c r="O225" s="38" t="str">
        <f t="shared" si="40"/>
        <v/>
      </c>
      <c r="P225" s="38" t="str">
        <f t="shared" ref="P225:P288" si="43">IF(L225="","", M225+N225+O225)</f>
        <v/>
      </c>
      <c r="Q225" s="38" t="str">
        <f t="shared" ref="Q225:Q288" si="44">IF(L225="","", (Q224+N225))</f>
        <v/>
      </c>
      <c r="R225" s="38"/>
    </row>
    <row r="226" spans="1:18" x14ac:dyDescent="0.2">
      <c r="A226" t="str">
        <f t="shared" ref="A226:A289" si="45">IF(A225&lt;($B$22*$B$23),A225+1,"")</f>
        <v/>
      </c>
      <c r="B226" s="38" t="str">
        <f t="shared" ref="B226:B289" si="46">IF(A226="","",F225)</f>
        <v/>
      </c>
      <c r="C226" s="38" t="str">
        <f t="shared" si="41"/>
        <v/>
      </c>
      <c r="D226" s="38" t="str">
        <f t="shared" ref="D226:D289" si="47">IF(A226="","", D225*(1+$B$21))</f>
        <v/>
      </c>
      <c r="E226" s="38" t="str">
        <f t="shared" ref="E226:E289" si="48">IF(D226="","",(D226-C226))</f>
        <v/>
      </c>
      <c r="F226" s="38" t="str">
        <f t="shared" ref="F226:F289" si="49">IF(A226="","", B226-E226)</f>
        <v/>
      </c>
      <c r="G226" s="38" t="str">
        <f t="shared" ref="G226:G289" si="50">IF(A226="","", (G225+C226))</f>
        <v/>
      </c>
      <c r="H226" s="38" t="str">
        <f t="shared" ref="H226:H289" si="51">IF(A226="","",(H225+E226))</f>
        <v/>
      </c>
      <c r="L226" t="str">
        <f t="shared" ref="L226:L289" si="52">IF(L225&lt;($B$8*$B$9),L225+1,"")</f>
        <v/>
      </c>
      <c r="M226" s="38" t="str">
        <f t="shared" si="42"/>
        <v/>
      </c>
      <c r="N226" s="38" t="str">
        <f t="shared" ref="N226:N289" si="53">IF(L226="","",(M226 *$B$6))</f>
        <v/>
      </c>
      <c r="O226" s="38" t="str">
        <f t="shared" ref="O226:O289" si="54">IF(L226="","",O225*(1+$B$7))</f>
        <v/>
      </c>
      <c r="P226" s="38" t="str">
        <f t="shared" si="43"/>
        <v/>
      </c>
      <c r="Q226" s="38" t="str">
        <f t="shared" si="44"/>
        <v/>
      </c>
      <c r="R226" s="38"/>
    </row>
    <row r="227" spans="1:18" x14ac:dyDescent="0.2">
      <c r="A227" t="str">
        <f t="shared" si="45"/>
        <v/>
      </c>
      <c r="B227" s="38" t="str">
        <f t="shared" si="46"/>
        <v/>
      </c>
      <c r="C227" s="38" t="str">
        <f t="shared" ref="C227:C290" si="55">IF(A227="","",(B227*$B$20))</f>
        <v/>
      </c>
      <c r="D227" s="38" t="str">
        <f t="shared" si="47"/>
        <v/>
      </c>
      <c r="E227" s="38" t="str">
        <f t="shared" si="48"/>
        <v/>
      </c>
      <c r="F227" s="38" t="str">
        <f t="shared" si="49"/>
        <v/>
      </c>
      <c r="G227" s="38" t="str">
        <f t="shared" si="50"/>
        <v/>
      </c>
      <c r="H227" s="38" t="str">
        <f t="shared" si="51"/>
        <v/>
      </c>
      <c r="L227" t="str">
        <f t="shared" si="52"/>
        <v/>
      </c>
      <c r="M227" s="38" t="str">
        <f t="shared" si="42"/>
        <v/>
      </c>
      <c r="N227" s="38" t="str">
        <f t="shared" si="53"/>
        <v/>
      </c>
      <c r="O227" s="38" t="str">
        <f t="shared" si="54"/>
        <v/>
      </c>
      <c r="P227" s="38" t="str">
        <f t="shared" si="43"/>
        <v/>
      </c>
      <c r="Q227" s="38" t="str">
        <f t="shared" si="44"/>
        <v/>
      </c>
      <c r="R227" s="38"/>
    </row>
    <row r="228" spans="1:18" x14ac:dyDescent="0.2">
      <c r="A228" t="str">
        <f t="shared" si="45"/>
        <v/>
      </c>
      <c r="B228" s="38" t="str">
        <f t="shared" si="46"/>
        <v/>
      </c>
      <c r="C228" s="38" t="str">
        <f t="shared" si="55"/>
        <v/>
      </c>
      <c r="D228" s="38" t="str">
        <f t="shared" si="47"/>
        <v/>
      </c>
      <c r="E228" s="38" t="str">
        <f t="shared" si="48"/>
        <v/>
      </c>
      <c r="F228" s="38" t="str">
        <f t="shared" si="49"/>
        <v/>
      </c>
      <c r="G228" s="38" t="str">
        <f t="shared" si="50"/>
        <v/>
      </c>
      <c r="H228" s="38" t="str">
        <f t="shared" si="51"/>
        <v/>
      </c>
      <c r="L228" t="str">
        <f t="shared" si="52"/>
        <v/>
      </c>
      <c r="M228" s="38" t="str">
        <f t="shared" si="42"/>
        <v/>
      </c>
      <c r="N228" s="38" t="str">
        <f t="shared" si="53"/>
        <v/>
      </c>
      <c r="O228" s="38" t="str">
        <f t="shared" si="54"/>
        <v/>
      </c>
      <c r="P228" s="38" t="str">
        <f t="shared" si="43"/>
        <v/>
      </c>
      <c r="Q228" s="38" t="str">
        <f t="shared" si="44"/>
        <v/>
      </c>
      <c r="R228" s="38"/>
    </row>
    <row r="229" spans="1:18" x14ac:dyDescent="0.2">
      <c r="A229" t="str">
        <f t="shared" si="45"/>
        <v/>
      </c>
      <c r="B229" s="38" t="str">
        <f t="shared" si="46"/>
        <v/>
      </c>
      <c r="C229" s="38" t="str">
        <f t="shared" si="55"/>
        <v/>
      </c>
      <c r="D229" s="38" t="str">
        <f t="shared" si="47"/>
        <v/>
      </c>
      <c r="E229" s="38" t="str">
        <f t="shared" si="48"/>
        <v/>
      </c>
      <c r="F229" s="38" t="str">
        <f t="shared" si="49"/>
        <v/>
      </c>
      <c r="G229" s="38" t="str">
        <f t="shared" si="50"/>
        <v/>
      </c>
      <c r="H229" s="38" t="str">
        <f t="shared" si="51"/>
        <v/>
      </c>
      <c r="L229" t="str">
        <f t="shared" si="52"/>
        <v/>
      </c>
      <c r="M229" s="38" t="str">
        <f t="shared" si="42"/>
        <v/>
      </c>
      <c r="N229" s="38" t="str">
        <f t="shared" si="53"/>
        <v/>
      </c>
      <c r="O229" s="38" t="str">
        <f t="shared" si="54"/>
        <v/>
      </c>
      <c r="P229" s="38" t="str">
        <f t="shared" si="43"/>
        <v/>
      </c>
      <c r="Q229" s="38" t="str">
        <f t="shared" si="44"/>
        <v/>
      </c>
      <c r="R229" s="38"/>
    </row>
    <row r="230" spans="1:18" x14ac:dyDescent="0.2">
      <c r="A230" t="str">
        <f t="shared" si="45"/>
        <v/>
      </c>
      <c r="B230" s="38" t="str">
        <f t="shared" si="46"/>
        <v/>
      </c>
      <c r="C230" s="38" t="str">
        <f t="shared" si="55"/>
        <v/>
      </c>
      <c r="D230" s="38" t="str">
        <f t="shared" si="47"/>
        <v/>
      </c>
      <c r="E230" s="38" t="str">
        <f t="shared" si="48"/>
        <v/>
      </c>
      <c r="F230" s="38" t="str">
        <f t="shared" si="49"/>
        <v/>
      </c>
      <c r="G230" s="38" t="str">
        <f t="shared" si="50"/>
        <v/>
      </c>
      <c r="H230" s="38" t="str">
        <f t="shared" si="51"/>
        <v/>
      </c>
      <c r="L230" t="str">
        <f t="shared" si="52"/>
        <v/>
      </c>
      <c r="M230" s="38" t="str">
        <f t="shared" si="42"/>
        <v/>
      </c>
      <c r="N230" s="38" t="str">
        <f t="shared" si="53"/>
        <v/>
      </c>
      <c r="O230" s="38" t="str">
        <f t="shared" si="54"/>
        <v/>
      </c>
      <c r="P230" s="38" t="str">
        <f t="shared" si="43"/>
        <v/>
      </c>
      <c r="Q230" s="38" t="str">
        <f t="shared" si="44"/>
        <v/>
      </c>
      <c r="R230" s="38"/>
    </row>
    <row r="231" spans="1:18" x14ac:dyDescent="0.2">
      <c r="A231" t="str">
        <f t="shared" si="45"/>
        <v/>
      </c>
      <c r="B231" s="38" t="str">
        <f t="shared" si="46"/>
        <v/>
      </c>
      <c r="C231" s="38" t="str">
        <f t="shared" si="55"/>
        <v/>
      </c>
      <c r="D231" s="38" t="str">
        <f t="shared" si="47"/>
        <v/>
      </c>
      <c r="E231" s="38" t="str">
        <f t="shared" si="48"/>
        <v/>
      </c>
      <c r="F231" s="38" t="str">
        <f t="shared" si="49"/>
        <v/>
      </c>
      <c r="G231" s="38" t="str">
        <f t="shared" si="50"/>
        <v/>
      </c>
      <c r="H231" s="38" t="str">
        <f t="shared" si="51"/>
        <v/>
      </c>
      <c r="L231" t="str">
        <f t="shared" si="52"/>
        <v/>
      </c>
      <c r="M231" s="38" t="str">
        <f t="shared" si="42"/>
        <v/>
      </c>
      <c r="N231" s="38" t="str">
        <f t="shared" si="53"/>
        <v/>
      </c>
      <c r="O231" s="38" t="str">
        <f t="shared" si="54"/>
        <v/>
      </c>
      <c r="P231" s="38" t="str">
        <f t="shared" si="43"/>
        <v/>
      </c>
      <c r="Q231" s="38" t="str">
        <f t="shared" si="44"/>
        <v/>
      </c>
      <c r="R231" s="38"/>
    </row>
    <row r="232" spans="1:18" x14ac:dyDescent="0.2">
      <c r="A232" t="str">
        <f t="shared" si="45"/>
        <v/>
      </c>
      <c r="B232" s="38" t="str">
        <f t="shared" si="46"/>
        <v/>
      </c>
      <c r="C232" s="38" t="str">
        <f t="shared" si="55"/>
        <v/>
      </c>
      <c r="D232" s="38" t="str">
        <f t="shared" si="47"/>
        <v/>
      </c>
      <c r="E232" s="38" t="str">
        <f t="shared" si="48"/>
        <v/>
      </c>
      <c r="F232" s="38" t="str">
        <f t="shared" si="49"/>
        <v/>
      </c>
      <c r="G232" s="38" t="str">
        <f t="shared" si="50"/>
        <v/>
      </c>
      <c r="H232" s="38" t="str">
        <f t="shared" si="51"/>
        <v/>
      </c>
      <c r="L232" t="str">
        <f t="shared" si="52"/>
        <v/>
      </c>
      <c r="M232" s="38" t="str">
        <f t="shared" si="42"/>
        <v/>
      </c>
      <c r="N232" s="38" t="str">
        <f t="shared" si="53"/>
        <v/>
      </c>
      <c r="O232" s="38" t="str">
        <f t="shared" si="54"/>
        <v/>
      </c>
      <c r="P232" s="38" t="str">
        <f t="shared" si="43"/>
        <v/>
      </c>
      <c r="Q232" s="38" t="str">
        <f t="shared" si="44"/>
        <v/>
      </c>
      <c r="R232" s="38"/>
    </row>
    <row r="233" spans="1:18" x14ac:dyDescent="0.2">
      <c r="A233" t="str">
        <f t="shared" si="45"/>
        <v/>
      </c>
      <c r="B233" s="38" t="str">
        <f t="shared" si="46"/>
        <v/>
      </c>
      <c r="C233" s="38" t="str">
        <f t="shared" si="55"/>
        <v/>
      </c>
      <c r="D233" s="38" t="str">
        <f t="shared" si="47"/>
        <v/>
      </c>
      <c r="E233" s="38" t="str">
        <f t="shared" si="48"/>
        <v/>
      </c>
      <c r="F233" s="38" t="str">
        <f t="shared" si="49"/>
        <v/>
      </c>
      <c r="G233" s="38" t="str">
        <f t="shared" si="50"/>
        <v/>
      </c>
      <c r="H233" s="38" t="str">
        <f t="shared" si="51"/>
        <v/>
      </c>
      <c r="L233" t="str">
        <f t="shared" si="52"/>
        <v/>
      </c>
      <c r="M233" s="38" t="str">
        <f t="shared" si="42"/>
        <v/>
      </c>
      <c r="N233" s="38" t="str">
        <f t="shared" si="53"/>
        <v/>
      </c>
      <c r="O233" s="38" t="str">
        <f t="shared" si="54"/>
        <v/>
      </c>
      <c r="P233" s="38" t="str">
        <f t="shared" si="43"/>
        <v/>
      </c>
      <c r="Q233" s="38" t="str">
        <f t="shared" si="44"/>
        <v/>
      </c>
      <c r="R233" s="38"/>
    </row>
    <row r="234" spans="1:18" x14ac:dyDescent="0.2">
      <c r="A234" t="str">
        <f t="shared" si="45"/>
        <v/>
      </c>
      <c r="B234" s="38" t="str">
        <f t="shared" si="46"/>
        <v/>
      </c>
      <c r="C234" s="38" t="str">
        <f t="shared" si="55"/>
        <v/>
      </c>
      <c r="D234" s="38" t="str">
        <f t="shared" si="47"/>
        <v/>
      </c>
      <c r="E234" s="38" t="str">
        <f t="shared" si="48"/>
        <v/>
      </c>
      <c r="F234" s="38" t="str">
        <f t="shared" si="49"/>
        <v/>
      </c>
      <c r="G234" s="38" t="str">
        <f t="shared" si="50"/>
        <v/>
      </c>
      <c r="H234" s="38" t="str">
        <f t="shared" si="51"/>
        <v/>
      </c>
      <c r="L234" t="str">
        <f t="shared" si="52"/>
        <v/>
      </c>
      <c r="M234" s="38" t="str">
        <f t="shared" si="42"/>
        <v/>
      </c>
      <c r="N234" s="38" t="str">
        <f t="shared" si="53"/>
        <v/>
      </c>
      <c r="O234" s="38" t="str">
        <f t="shared" si="54"/>
        <v/>
      </c>
      <c r="P234" s="38" t="str">
        <f t="shared" si="43"/>
        <v/>
      </c>
      <c r="Q234" s="38" t="str">
        <f t="shared" si="44"/>
        <v/>
      </c>
      <c r="R234" s="38"/>
    </row>
    <row r="235" spans="1:18" x14ac:dyDescent="0.2">
      <c r="A235" t="str">
        <f t="shared" si="45"/>
        <v/>
      </c>
      <c r="B235" s="38" t="str">
        <f t="shared" si="46"/>
        <v/>
      </c>
      <c r="C235" s="38" t="str">
        <f t="shared" si="55"/>
        <v/>
      </c>
      <c r="D235" s="38" t="str">
        <f t="shared" si="47"/>
        <v/>
      </c>
      <c r="E235" s="38" t="str">
        <f t="shared" si="48"/>
        <v/>
      </c>
      <c r="F235" s="38" t="str">
        <f t="shared" si="49"/>
        <v/>
      </c>
      <c r="G235" s="38" t="str">
        <f t="shared" si="50"/>
        <v/>
      </c>
      <c r="H235" s="38" t="str">
        <f t="shared" si="51"/>
        <v/>
      </c>
      <c r="L235" t="str">
        <f t="shared" si="52"/>
        <v/>
      </c>
      <c r="M235" s="38" t="str">
        <f t="shared" si="42"/>
        <v/>
      </c>
      <c r="N235" s="38" t="str">
        <f t="shared" si="53"/>
        <v/>
      </c>
      <c r="O235" s="38" t="str">
        <f t="shared" si="54"/>
        <v/>
      </c>
      <c r="P235" s="38" t="str">
        <f t="shared" si="43"/>
        <v/>
      </c>
      <c r="Q235" s="38" t="str">
        <f t="shared" si="44"/>
        <v/>
      </c>
      <c r="R235" s="38"/>
    </row>
    <row r="236" spans="1:18" x14ac:dyDescent="0.2">
      <c r="A236" t="str">
        <f t="shared" si="45"/>
        <v/>
      </c>
      <c r="B236" s="38" t="str">
        <f t="shared" si="46"/>
        <v/>
      </c>
      <c r="C236" s="38" t="str">
        <f t="shared" si="55"/>
        <v/>
      </c>
      <c r="D236" s="38" t="str">
        <f t="shared" si="47"/>
        <v/>
      </c>
      <c r="E236" s="38" t="str">
        <f t="shared" si="48"/>
        <v/>
      </c>
      <c r="F236" s="38" t="str">
        <f t="shared" si="49"/>
        <v/>
      </c>
      <c r="G236" s="38" t="str">
        <f t="shared" si="50"/>
        <v/>
      </c>
      <c r="H236" s="38" t="str">
        <f t="shared" si="51"/>
        <v/>
      </c>
      <c r="L236" t="str">
        <f t="shared" si="52"/>
        <v/>
      </c>
      <c r="M236" s="38" t="str">
        <f t="shared" si="42"/>
        <v/>
      </c>
      <c r="N236" s="38" t="str">
        <f t="shared" si="53"/>
        <v/>
      </c>
      <c r="O236" s="38" t="str">
        <f t="shared" si="54"/>
        <v/>
      </c>
      <c r="P236" s="38" t="str">
        <f t="shared" si="43"/>
        <v/>
      </c>
      <c r="Q236" s="38" t="str">
        <f t="shared" si="44"/>
        <v/>
      </c>
      <c r="R236" s="38"/>
    </row>
    <row r="237" spans="1:18" x14ac:dyDescent="0.2">
      <c r="A237" t="str">
        <f t="shared" si="45"/>
        <v/>
      </c>
      <c r="B237" s="38" t="str">
        <f t="shared" si="46"/>
        <v/>
      </c>
      <c r="C237" s="38" t="str">
        <f t="shared" si="55"/>
        <v/>
      </c>
      <c r="D237" s="38" t="str">
        <f t="shared" si="47"/>
        <v/>
      </c>
      <c r="E237" s="38" t="str">
        <f t="shared" si="48"/>
        <v/>
      </c>
      <c r="F237" s="38" t="str">
        <f t="shared" si="49"/>
        <v/>
      </c>
      <c r="G237" s="38" t="str">
        <f t="shared" si="50"/>
        <v/>
      </c>
      <c r="H237" s="38" t="str">
        <f t="shared" si="51"/>
        <v/>
      </c>
      <c r="L237" t="str">
        <f t="shared" si="52"/>
        <v/>
      </c>
      <c r="M237" s="38" t="str">
        <f t="shared" si="42"/>
        <v/>
      </c>
      <c r="N237" s="38" t="str">
        <f t="shared" si="53"/>
        <v/>
      </c>
      <c r="O237" s="38" t="str">
        <f t="shared" si="54"/>
        <v/>
      </c>
      <c r="P237" s="38" t="str">
        <f t="shared" si="43"/>
        <v/>
      </c>
      <c r="Q237" s="38" t="str">
        <f t="shared" si="44"/>
        <v/>
      </c>
      <c r="R237" s="38"/>
    </row>
    <row r="238" spans="1:18" x14ac:dyDescent="0.2">
      <c r="A238" t="str">
        <f t="shared" si="45"/>
        <v/>
      </c>
      <c r="B238" s="38" t="str">
        <f t="shared" si="46"/>
        <v/>
      </c>
      <c r="C238" s="38" t="str">
        <f t="shared" si="55"/>
        <v/>
      </c>
      <c r="D238" s="38" t="str">
        <f t="shared" si="47"/>
        <v/>
      </c>
      <c r="E238" s="38" t="str">
        <f t="shared" si="48"/>
        <v/>
      </c>
      <c r="F238" s="38" t="str">
        <f t="shared" si="49"/>
        <v/>
      </c>
      <c r="G238" s="38" t="str">
        <f t="shared" si="50"/>
        <v/>
      </c>
      <c r="H238" s="38" t="str">
        <f t="shared" si="51"/>
        <v/>
      </c>
      <c r="L238" t="str">
        <f t="shared" si="52"/>
        <v/>
      </c>
      <c r="M238" s="38" t="str">
        <f t="shared" si="42"/>
        <v/>
      </c>
      <c r="N238" s="38" t="str">
        <f t="shared" si="53"/>
        <v/>
      </c>
      <c r="O238" s="38" t="str">
        <f t="shared" si="54"/>
        <v/>
      </c>
      <c r="P238" s="38" t="str">
        <f t="shared" si="43"/>
        <v/>
      </c>
      <c r="Q238" s="38" t="str">
        <f t="shared" si="44"/>
        <v/>
      </c>
      <c r="R238" s="38"/>
    </row>
    <row r="239" spans="1:18" x14ac:dyDescent="0.2">
      <c r="A239" t="str">
        <f t="shared" si="45"/>
        <v/>
      </c>
      <c r="B239" s="38" t="str">
        <f t="shared" si="46"/>
        <v/>
      </c>
      <c r="C239" s="38" t="str">
        <f t="shared" si="55"/>
        <v/>
      </c>
      <c r="D239" s="38" t="str">
        <f t="shared" si="47"/>
        <v/>
      </c>
      <c r="E239" s="38" t="str">
        <f t="shared" si="48"/>
        <v/>
      </c>
      <c r="F239" s="38" t="str">
        <f t="shared" si="49"/>
        <v/>
      </c>
      <c r="G239" s="38" t="str">
        <f t="shared" si="50"/>
        <v/>
      </c>
      <c r="H239" s="38" t="str">
        <f t="shared" si="51"/>
        <v/>
      </c>
      <c r="L239" t="str">
        <f t="shared" si="52"/>
        <v/>
      </c>
      <c r="M239" s="38" t="str">
        <f t="shared" si="42"/>
        <v/>
      </c>
      <c r="N239" s="38" t="str">
        <f t="shared" si="53"/>
        <v/>
      </c>
      <c r="O239" s="38" t="str">
        <f t="shared" si="54"/>
        <v/>
      </c>
      <c r="P239" s="38" t="str">
        <f t="shared" si="43"/>
        <v/>
      </c>
      <c r="Q239" s="38" t="str">
        <f t="shared" si="44"/>
        <v/>
      </c>
      <c r="R239" s="38"/>
    </row>
    <row r="240" spans="1:18" x14ac:dyDescent="0.2">
      <c r="A240" t="str">
        <f t="shared" si="45"/>
        <v/>
      </c>
      <c r="B240" s="38" t="str">
        <f t="shared" si="46"/>
        <v/>
      </c>
      <c r="C240" s="38" t="str">
        <f t="shared" si="55"/>
        <v/>
      </c>
      <c r="D240" s="38" t="str">
        <f t="shared" si="47"/>
        <v/>
      </c>
      <c r="E240" s="38" t="str">
        <f t="shared" si="48"/>
        <v/>
      </c>
      <c r="F240" s="38" t="str">
        <f t="shared" si="49"/>
        <v/>
      </c>
      <c r="G240" s="38" t="str">
        <f t="shared" si="50"/>
        <v/>
      </c>
      <c r="H240" s="38" t="str">
        <f t="shared" si="51"/>
        <v/>
      </c>
      <c r="L240" t="str">
        <f t="shared" si="52"/>
        <v/>
      </c>
      <c r="M240" s="38" t="str">
        <f t="shared" si="42"/>
        <v/>
      </c>
      <c r="N240" s="38" t="str">
        <f t="shared" si="53"/>
        <v/>
      </c>
      <c r="O240" s="38" t="str">
        <f t="shared" si="54"/>
        <v/>
      </c>
      <c r="P240" s="38" t="str">
        <f t="shared" si="43"/>
        <v/>
      </c>
      <c r="Q240" s="38" t="str">
        <f t="shared" si="44"/>
        <v/>
      </c>
      <c r="R240" s="38"/>
    </row>
    <row r="241" spans="1:18" x14ac:dyDescent="0.2">
      <c r="A241" t="str">
        <f t="shared" si="45"/>
        <v/>
      </c>
      <c r="B241" s="38" t="str">
        <f t="shared" si="46"/>
        <v/>
      </c>
      <c r="C241" s="38" t="str">
        <f t="shared" si="55"/>
        <v/>
      </c>
      <c r="D241" s="38" t="str">
        <f t="shared" si="47"/>
        <v/>
      </c>
      <c r="E241" s="38" t="str">
        <f t="shared" si="48"/>
        <v/>
      </c>
      <c r="F241" s="38" t="str">
        <f t="shared" si="49"/>
        <v/>
      </c>
      <c r="G241" s="38" t="str">
        <f t="shared" si="50"/>
        <v/>
      </c>
      <c r="H241" s="38" t="str">
        <f t="shared" si="51"/>
        <v/>
      </c>
      <c r="L241" t="str">
        <f t="shared" si="52"/>
        <v/>
      </c>
      <c r="M241" s="38" t="str">
        <f t="shared" si="42"/>
        <v/>
      </c>
      <c r="N241" s="38" t="str">
        <f t="shared" si="53"/>
        <v/>
      </c>
      <c r="O241" s="38" t="str">
        <f t="shared" si="54"/>
        <v/>
      </c>
      <c r="P241" s="38" t="str">
        <f t="shared" si="43"/>
        <v/>
      </c>
      <c r="Q241" s="38" t="str">
        <f t="shared" si="44"/>
        <v/>
      </c>
      <c r="R241" s="38"/>
    </row>
    <row r="242" spans="1:18" x14ac:dyDescent="0.2">
      <c r="A242" t="str">
        <f t="shared" si="45"/>
        <v/>
      </c>
      <c r="B242" s="38" t="str">
        <f t="shared" si="46"/>
        <v/>
      </c>
      <c r="C242" s="38" t="str">
        <f t="shared" si="55"/>
        <v/>
      </c>
      <c r="D242" s="38" t="str">
        <f t="shared" si="47"/>
        <v/>
      </c>
      <c r="E242" s="38" t="str">
        <f t="shared" si="48"/>
        <v/>
      </c>
      <c r="F242" s="38" t="str">
        <f t="shared" si="49"/>
        <v/>
      </c>
      <c r="G242" s="38" t="str">
        <f t="shared" si="50"/>
        <v/>
      </c>
      <c r="H242" s="38" t="str">
        <f t="shared" si="51"/>
        <v/>
      </c>
      <c r="L242" t="str">
        <f t="shared" si="52"/>
        <v/>
      </c>
      <c r="M242" s="38" t="str">
        <f t="shared" si="42"/>
        <v/>
      </c>
      <c r="N242" s="38" t="str">
        <f t="shared" si="53"/>
        <v/>
      </c>
      <c r="O242" s="38" t="str">
        <f t="shared" si="54"/>
        <v/>
      </c>
      <c r="P242" s="38" t="str">
        <f t="shared" si="43"/>
        <v/>
      </c>
      <c r="Q242" s="38" t="str">
        <f t="shared" si="44"/>
        <v/>
      </c>
      <c r="R242" s="38"/>
    </row>
    <row r="243" spans="1:18" x14ac:dyDescent="0.2">
      <c r="A243" t="str">
        <f t="shared" si="45"/>
        <v/>
      </c>
      <c r="B243" s="38" t="str">
        <f t="shared" si="46"/>
        <v/>
      </c>
      <c r="C243" s="38" t="str">
        <f t="shared" si="55"/>
        <v/>
      </c>
      <c r="D243" s="38" t="str">
        <f t="shared" si="47"/>
        <v/>
      </c>
      <c r="E243" s="38" t="str">
        <f t="shared" si="48"/>
        <v/>
      </c>
      <c r="F243" s="38" t="str">
        <f t="shared" si="49"/>
        <v/>
      </c>
      <c r="G243" s="38" t="str">
        <f t="shared" si="50"/>
        <v/>
      </c>
      <c r="H243" s="38" t="str">
        <f t="shared" si="51"/>
        <v/>
      </c>
      <c r="L243" t="str">
        <f t="shared" si="52"/>
        <v/>
      </c>
      <c r="M243" s="38" t="str">
        <f t="shared" si="42"/>
        <v/>
      </c>
      <c r="N243" s="38" t="str">
        <f t="shared" si="53"/>
        <v/>
      </c>
      <c r="O243" s="38" t="str">
        <f t="shared" si="54"/>
        <v/>
      </c>
      <c r="P243" s="38" t="str">
        <f t="shared" si="43"/>
        <v/>
      </c>
      <c r="Q243" s="38" t="str">
        <f t="shared" si="44"/>
        <v/>
      </c>
      <c r="R243" s="38"/>
    </row>
    <row r="244" spans="1:18" x14ac:dyDescent="0.2">
      <c r="A244" t="str">
        <f t="shared" si="45"/>
        <v/>
      </c>
      <c r="B244" s="38" t="str">
        <f t="shared" si="46"/>
        <v/>
      </c>
      <c r="C244" s="38" t="str">
        <f t="shared" si="55"/>
        <v/>
      </c>
      <c r="D244" s="38" t="str">
        <f t="shared" si="47"/>
        <v/>
      </c>
      <c r="E244" s="38" t="str">
        <f t="shared" si="48"/>
        <v/>
      </c>
      <c r="F244" s="38" t="str">
        <f t="shared" si="49"/>
        <v/>
      </c>
      <c r="G244" s="38" t="str">
        <f t="shared" si="50"/>
        <v/>
      </c>
      <c r="H244" s="38" t="str">
        <f t="shared" si="51"/>
        <v/>
      </c>
      <c r="L244" t="str">
        <f t="shared" si="52"/>
        <v/>
      </c>
      <c r="M244" s="38" t="str">
        <f t="shared" si="42"/>
        <v/>
      </c>
      <c r="N244" s="38" t="str">
        <f t="shared" si="53"/>
        <v/>
      </c>
      <c r="O244" s="38" t="str">
        <f t="shared" si="54"/>
        <v/>
      </c>
      <c r="P244" s="38" t="str">
        <f t="shared" si="43"/>
        <v/>
      </c>
      <c r="Q244" s="38" t="str">
        <f t="shared" si="44"/>
        <v/>
      </c>
      <c r="R244" s="38"/>
    </row>
    <row r="245" spans="1:18" x14ac:dyDescent="0.2">
      <c r="A245" t="str">
        <f t="shared" si="45"/>
        <v/>
      </c>
      <c r="B245" s="38" t="str">
        <f t="shared" si="46"/>
        <v/>
      </c>
      <c r="C245" s="38" t="str">
        <f t="shared" si="55"/>
        <v/>
      </c>
      <c r="D245" s="38" t="str">
        <f t="shared" si="47"/>
        <v/>
      </c>
      <c r="E245" s="38" t="str">
        <f t="shared" si="48"/>
        <v/>
      </c>
      <c r="F245" s="38" t="str">
        <f t="shared" si="49"/>
        <v/>
      </c>
      <c r="G245" s="38" t="str">
        <f t="shared" si="50"/>
        <v/>
      </c>
      <c r="H245" s="38" t="str">
        <f t="shared" si="51"/>
        <v/>
      </c>
      <c r="L245" t="str">
        <f t="shared" si="52"/>
        <v/>
      </c>
      <c r="M245" s="38" t="str">
        <f t="shared" si="42"/>
        <v/>
      </c>
      <c r="N245" s="38" t="str">
        <f t="shared" si="53"/>
        <v/>
      </c>
      <c r="O245" s="38" t="str">
        <f t="shared" si="54"/>
        <v/>
      </c>
      <c r="P245" s="38" t="str">
        <f t="shared" si="43"/>
        <v/>
      </c>
      <c r="Q245" s="38" t="str">
        <f t="shared" si="44"/>
        <v/>
      </c>
      <c r="R245" s="38"/>
    </row>
    <row r="246" spans="1:18" x14ac:dyDescent="0.2">
      <c r="A246" t="str">
        <f t="shared" si="45"/>
        <v/>
      </c>
      <c r="B246" s="38" t="str">
        <f t="shared" si="46"/>
        <v/>
      </c>
      <c r="C246" s="38" t="str">
        <f t="shared" si="55"/>
        <v/>
      </c>
      <c r="D246" s="38" t="str">
        <f t="shared" si="47"/>
        <v/>
      </c>
      <c r="E246" s="38" t="str">
        <f t="shared" si="48"/>
        <v/>
      </c>
      <c r="F246" s="38" t="str">
        <f t="shared" si="49"/>
        <v/>
      </c>
      <c r="G246" s="38" t="str">
        <f t="shared" si="50"/>
        <v/>
      </c>
      <c r="H246" s="38" t="str">
        <f t="shared" si="51"/>
        <v/>
      </c>
      <c r="L246" t="str">
        <f t="shared" si="52"/>
        <v/>
      </c>
      <c r="M246" s="38" t="str">
        <f t="shared" si="42"/>
        <v/>
      </c>
      <c r="N246" s="38" t="str">
        <f t="shared" si="53"/>
        <v/>
      </c>
      <c r="O246" s="38" t="str">
        <f t="shared" si="54"/>
        <v/>
      </c>
      <c r="P246" s="38" t="str">
        <f t="shared" si="43"/>
        <v/>
      </c>
      <c r="Q246" s="38" t="str">
        <f t="shared" si="44"/>
        <v/>
      </c>
      <c r="R246" s="38"/>
    </row>
    <row r="247" spans="1:18" x14ac:dyDescent="0.2">
      <c r="A247" t="str">
        <f t="shared" si="45"/>
        <v/>
      </c>
      <c r="B247" s="38" t="str">
        <f t="shared" si="46"/>
        <v/>
      </c>
      <c r="C247" s="38" t="str">
        <f t="shared" si="55"/>
        <v/>
      </c>
      <c r="D247" s="38" t="str">
        <f t="shared" si="47"/>
        <v/>
      </c>
      <c r="E247" s="38" t="str">
        <f t="shared" si="48"/>
        <v/>
      </c>
      <c r="F247" s="38" t="str">
        <f t="shared" si="49"/>
        <v/>
      </c>
      <c r="G247" s="38" t="str">
        <f t="shared" si="50"/>
        <v/>
      </c>
      <c r="H247" s="38" t="str">
        <f t="shared" si="51"/>
        <v/>
      </c>
      <c r="L247" t="str">
        <f t="shared" si="52"/>
        <v/>
      </c>
      <c r="M247" s="38" t="str">
        <f t="shared" si="42"/>
        <v/>
      </c>
      <c r="N247" s="38" t="str">
        <f t="shared" si="53"/>
        <v/>
      </c>
      <c r="O247" s="38" t="str">
        <f t="shared" si="54"/>
        <v/>
      </c>
      <c r="P247" s="38" t="str">
        <f t="shared" si="43"/>
        <v/>
      </c>
      <c r="Q247" s="38" t="str">
        <f t="shared" si="44"/>
        <v/>
      </c>
      <c r="R247" s="38"/>
    </row>
    <row r="248" spans="1:18" x14ac:dyDescent="0.2">
      <c r="A248" t="str">
        <f t="shared" si="45"/>
        <v/>
      </c>
      <c r="B248" s="38" t="str">
        <f t="shared" si="46"/>
        <v/>
      </c>
      <c r="C248" s="38" t="str">
        <f t="shared" si="55"/>
        <v/>
      </c>
      <c r="D248" s="38" t="str">
        <f t="shared" si="47"/>
        <v/>
      </c>
      <c r="E248" s="38" t="str">
        <f t="shared" si="48"/>
        <v/>
      </c>
      <c r="F248" s="38" t="str">
        <f t="shared" si="49"/>
        <v/>
      </c>
      <c r="G248" s="38" t="str">
        <f t="shared" si="50"/>
        <v/>
      </c>
      <c r="H248" s="38" t="str">
        <f t="shared" si="51"/>
        <v/>
      </c>
      <c r="L248" t="str">
        <f t="shared" si="52"/>
        <v/>
      </c>
      <c r="M248" s="38" t="str">
        <f t="shared" si="42"/>
        <v/>
      </c>
      <c r="N248" s="38" t="str">
        <f t="shared" si="53"/>
        <v/>
      </c>
      <c r="O248" s="38" t="str">
        <f t="shared" si="54"/>
        <v/>
      </c>
      <c r="P248" s="38" t="str">
        <f t="shared" si="43"/>
        <v/>
      </c>
      <c r="Q248" s="38" t="str">
        <f t="shared" si="44"/>
        <v/>
      </c>
      <c r="R248" s="38"/>
    </row>
    <row r="249" spans="1:18" x14ac:dyDescent="0.2">
      <c r="A249" t="str">
        <f t="shared" si="45"/>
        <v/>
      </c>
      <c r="B249" s="38" t="str">
        <f t="shared" si="46"/>
        <v/>
      </c>
      <c r="C249" s="38" t="str">
        <f t="shared" si="55"/>
        <v/>
      </c>
      <c r="D249" s="38" t="str">
        <f t="shared" si="47"/>
        <v/>
      </c>
      <c r="E249" s="38" t="str">
        <f t="shared" si="48"/>
        <v/>
      </c>
      <c r="F249" s="38" t="str">
        <f t="shared" si="49"/>
        <v/>
      </c>
      <c r="G249" s="38" t="str">
        <f t="shared" si="50"/>
        <v/>
      </c>
      <c r="H249" s="38" t="str">
        <f t="shared" si="51"/>
        <v/>
      </c>
      <c r="L249" t="str">
        <f t="shared" si="52"/>
        <v/>
      </c>
      <c r="M249" s="38" t="str">
        <f t="shared" si="42"/>
        <v/>
      </c>
      <c r="N249" s="38" t="str">
        <f t="shared" si="53"/>
        <v/>
      </c>
      <c r="O249" s="38" t="str">
        <f t="shared" si="54"/>
        <v/>
      </c>
      <c r="P249" s="38" t="str">
        <f t="shared" si="43"/>
        <v/>
      </c>
      <c r="Q249" s="38" t="str">
        <f t="shared" si="44"/>
        <v/>
      </c>
      <c r="R249" s="38"/>
    </row>
    <row r="250" spans="1:18" x14ac:dyDescent="0.2">
      <c r="A250" t="str">
        <f t="shared" si="45"/>
        <v/>
      </c>
      <c r="B250" s="38" t="str">
        <f t="shared" si="46"/>
        <v/>
      </c>
      <c r="C250" s="38" t="str">
        <f t="shared" si="55"/>
        <v/>
      </c>
      <c r="D250" s="38" t="str">
        <f t="shared" si="47"/>
        <v/>
      </c>
      <c r="E250" s="38" t="str">
        <f t="shared" si="48"/>
        <v/>
      </c>
      <c r="F250" s="38" t="str">
        <f t="shared" si="49"/>
        <v/>
      </c>
      <c r="G250" s="38" t="str">
        <f t="shared" si="50"/>
        <v/>
      </c>
      <c r="H250" s="38" t="str">
        <f t="shared" si="51"/>
        <v/>
      </c>
      <c r="L250" t="str">
        <f t="shared" si="52"/>
        <v/>
      </c>
      <c r="M250" s="38" t="str">
        <f t="shared" si="42"/>
        <v/>
      </c>
      <c r="N250" s="38" t="str">
        <f t="shared" si="53"/>
        <v/>
      </c>
      <c r="O250" s="38" t="str">
        <f t="shared" si="54"/>
        <v/>
      </c>
      <c r="P250" s="38" t="str">
        <f t="shared" si="43"/>
        <v/>
      </c>
      <c r="Q250" s="38" t="str">
        <f t="shared" si="44"/>
        <v/>
      </c>
      <c r="R250" s="38"/>
    </row>
    <row r="251" spans="1:18" x14ac:dyDescent="0.2">
      <c r="A251" t="str">
        <f t="shared" si="45"/>
        <v/>
      </c>
      <c r="B251" s="38" t="str">
        <f t="shared" si="46"/>
        <v/>
      </c>
      <c r="C251" s="38" t="str">
        <f t="shared" si="55"/>
        <v/>
      </c>
      <c r="D251" s="38" t="str">
        <f t="shared" si="47"/>
        <v/>
      </c>
      <c r="E251" s="38" t="str">
        <f t="shared" si="48"/>
        <v/>
      </c>
      <c r="F251" s="38" t="str">
        <f t="shared" si="49"/>
        <v/>
      </c>
      <c r="G251" s="38" t="str">
        <f t="shared" si="50"/>
        <v/>
      </c>
      <c r="H251" s="38" t="str">
        <f t="shared" si="51"/>
        <v/>
      </c>
      <c r="L251" t="str">
        <f t="shared" si="52"/>
        <v/>
      </c>
      <c r="M251" s="38" t="str">
        <f t="shared" si="42"/>
        <v/>
      </c>
      <c r="N251" s="38" t="str">
        <f t="shared" si="53"/>
        <v/>
      </c>
      <c r="O251" s="38" t="str">
        <f t="shared" si="54"/>
        <v/>
      </c>
      <c r="P251" s="38" t="str">
        <f t="shared" si="43"/>
        <v/>
      </c>
      <c r="Q251" s="38" t="str">
        <f t="shared" si="44"/>
        <v/>
      </c>
      <c r="R251" s="38"/>
    </row>
    <row r="252" spans="1:18" x14ac:dyDescent="0.2">
      <c r="A252" t="str">
        <f t="shared" si="45"/>
        <v/>
      </c>
      <c r="B252" s="38" t="str">
        <f t="shared" si="46"/>
        <v/>
      </c>
      <c r="C252" s="38" t="str">
        <f t="shared" si="55"/>
        <v/>
      </c>
      <c r="D252" s="38" t="str">
        <f t="shared" si="47"/>
        <v/>
      </c>
      <c r="E252" s="38" t="str">
        <f t="shared" si="48"/>
        <v/>
      </c>
      <c r="F252" s="38" t="str">
        <f t="shared" si="49"/>
        <v/>
      </c>
      <c r="G252" s="38" t="str">
        <f t="shared" si="50"/>
        <v/>
      </c>
      <c r="H252" s="38" t="str">
        <f t="shared" si="51"/>
        <v/>
      </c>
      <c r="L252" t="str">
        <f t="shared" si="52"/>
        <v/>
      </c>
      <c r="M252" s="38" t="str">
        <f t="shared" si="42"/>
        <v/>
      </c>
      <c r="N252" s="38" t="str">
        <f t="shared" si="53"/>
        <v/>
      </c>
      <c r="O252" s="38" t="str">
        <f t="shared" si="54"/>
        <v/>
      </c>
      <c r="P252" s="38" t="str">
        <f t="shared" si="43"/>
        <v/>
      </c>
      <c r="Q252" s="38" t="str">
        <f t="shared" si="44"/>
        <v/>
      </c>
      <c r="R252" s="38"/>
    </row>
    <row r="253" spans="1:18" x14ac:dyDescent="0.2">
      <c r="A253" t="str">
        <f t="shared" si="45"/>
        <v/>
      </c>
      <c r="B253" s="38" t="str">
        <f t="shared" si="46"/>
        <v/>
      </c>
      <c r="C253" s="38" t="str">
        <f t="shared" si="55"/>
        <v/>
      </c>
      <c r="D253" s="38" t="str">
        <f t="shared" si="47"/>
        <v/>
      </c>
      <c r="E253" s="38" t="str">
        <f t="shared" si="48"/>
        <v/>
      </c>
      <c r="F253" s="38" t="str">
        <f t="shared" si="49"/>
        <v/>
      </c>
      <c r="G253" s="38" t="str">
        <f t="shared" si="50"/>
        <v/>
      </c>
      <c r="H253" s="38" t="str">
        <f t="shared" si="51"/>
        <v/>
      </c>
      <c r="L253" t="str">
        <f t="shared" si="52"/>
        <v/>
      </c>
      <c r="M253" s="38" t="str">
        <f t="shared" si="42"/>
        <v/>
      </c>
      <c r="N253" s="38" t="str">
        <f t="shared" si="53"/>
        <v/>
      </c>
      <c r="O253" s="38" t="str">
        <f t="shared" si="54"/>
        <v/>
      </c>
      <c r="P253" s="38" t="str">
        <f t="shared" si="43"/>
        <v/>
      </c>
      <c r="Q253" s="38" t="str">
        <f t="shared" si="44"/>
        <v/>
      </c>
      <c r="R253" s="38"/>
    </row>
    <row r="254" spans="1:18" x14ac:dyDescent="0.2">
      <c r="A254" t="str">
        <f t="shared" si="45"/>
        <v/>
      </c>
      <c r="B254" s="38" t="str">
        <f t="shared" si="46"/>
        <v/>
      </c>
      <c r="C254" s="38" t="str">
        <f t="shared" si="55"/>
        <v/>
      </c>
      <c r="D254" s="38" t="str">
        <f t="shared" si="47"/>
        <v/>
      </c>
      <c r="E254" s="38" t="str">
        <f t="shared" si="48"/>
        <v/>
      </c>
      <c r="F254" s="38" t="str">
        <f t="shared" si="49"/>
        <v/>
      </c>
      <c r="G254" s="38" t="str">
        <f t="shared" si="50"/>
        <v/>
      </c>
      <c r="H254" s="38" t="str">
        <f t="shared" si="51"/>
        <v/>
      </c>
      <c r="L254" t="str">
        <f t="shared" si="52"/>
        <v/>
      </c>
      <c r="M254" s="38" t="str">
        <f t="shared" si="42"/>
        <v/>
      </c>
      <c r="N254" s="38" t="str">
        <f t="shared" si="53"/>
        <v/>
      </c>
      <c r="O254" s="38" t="str">
        <f t="shared" si="54"/>
        <v/>
      </c>
      <c r="P254" s="38" t="str">
        <f t="shared" si="43"/>
        <v/>
      </c>
      <c r="Q254" s="38" t="str">
        <f t="shared" si="44"/>
        <v/>
      </c>
      <c r="R254" s="38"/>
    </row>
    <row r="255" spans="1:18" x14ac:dyDescent="0.2">
      <c r="A255" t="str">
        <f t="shared" si="45"/>
        <v/>
      </c>
      <c r="B255" s="38" t="str">
        <f t="shared" si="46"/>
        <v/>
      </c>
      <c r="C255" s="38" t="str">
        <f t="shared" si="55"/>
        <v/>
      </c>
      <c r="D255" s="38" t="str">
        <f t="shared" si="47"/>
        <v/>
      </c>
      <c r="E255" s="38" t="str">
        <f t="shared" si="48"/>
        <v/>
      </c>
      <c r="F255" s="38" t="str">
        <f t="shared" si="49"/>
        <v/>
      </c>
      <c r="G255" s="38" t="str">
        <f t="shared" si="50"/>
        <v/>
      </c>
      <c r="H255" s="38" t="str">
        <f t="shared" si="51"/>
        <v/>
      </c>
      <c r="L255" t="str">
        <f t="shared" si="52"/>
        <v/>
      </c>
      <c r="M255" s="38" t="str">
        <f t="shared" si="42"/>
        <v/>
      </c>
      <c r="N255" s="38" t="str">
        <f t="shared" si="53"/>
        <v/>
      </c>
      <c r="O255" s="38" t="str">
        <f t="shared" si="54"/>
        <v/>
      </c>
      <c r="P255" s="38" t="str">
        <f t="shared" si="43"/>
        <v/>
      </c>
      <c r="Q255" s="38" t="str">
        <f t="shared" si="44"/>
        <v/>
      </c>
      <c r="R255" s="38"/>
    </row>
    <row r="256" spans="1:18" x14ac:dyDescent="0.2">
      <c r="A256" t="str">
        <f t="shared" si="45"/>
        <v/>
      </c>
      <c r="B256" s="38" t="str">
        <f t="shared" si="46"/>
        <v/>
      </c>
      <c r="C256" s="38" t="str">
        <f t="shared" si="55"/>
        <v/>
      </c>
      <c r="D256" s="38" t="str">
        <f t="shared" si="47"/>
        <v/>
      </c>
      <c r="E256" s="38" t="str">
        <f t="shared" si="48"/>
        <v/>
      </c>
      <c r="F256" s="38" t="str">
        <f t="shared" si="49"/>
        <v/>
      </c>
      <c r="G256" s="38" t="str">
        <f t="shared" si="50"/>
        <v/>
      </c>
      <c r="H256" s="38" t="str">
        <f t="shared" si="51"/>
        <v/>
      </c>
      <c r="L256" t="str">
        <f t="shared" si="52"/>
        <v/>
      </c>
      <c r="M256" s="38" t="str">
        <f t="shared" si="42"/>
        <v/>
      </c>
      <c r="N256" s="38" t="str">
        <f t="shared" si="53"/>
        <v/>
      </c>
      <c r="O256" s="38" t="str">
        <f t="shared" si="54"/>
        <v/>
      </c>
      <c r="P256" s="38" t="str">
        <f t="shared" si="43"/>
        <v/>
      </c>
      <c r="Q256" s="38" t="str">
        <f t="shared" si="44"/>
        <v/>
      </c>
      <c r="R256" s="38"/>
    </row>
    <row r="257" spans="1:18" x14ac:dyDescent="0.2">
      <c r="A257" t="str">
        <f t="shared" si="45"/>
        <v/>
      </c>
      <c r="B257" s="38" t="str">
        <f t="shared" si="46"/>
        <v/>
      </c>
      <c r="C257" s="38" t="str">
        <f t="shared" si="55"/>
        <v/>
      </c>
      <c r="D257" s="38" t="str">
        <f t="shared" si="47"/>
        <v/>
      </c>
      <c r="E257" s="38" t="str">
        <f t="shared" si="48"/>
        <v/>
      </c>
      <c r="F257" s="38" t="str">
        <f t="shared" si="49"/>
        <v/>
      </c>
      <c r="G257" s="38" t="str">
        <f t="shared" si="50"/>
        <v/>
      </c>
      <c r="H257" s="38" t="str">
        <f t="shared" si="51"/>
        <v/>
      </c>
      <c r="L257" t="str">
        <f t="shared" si="52"/>
        <v/>
      </c>
      <c r="M257" s="38" t="str">
        <f t="shared" si="42"/>
        <v/>
      </c>
      <c r="N257" s="38" t="str">
        <f t="shared" si="53"/>
        <v/>
      </c>
      <c r="O257" s="38" t="str">
        <f t="shared" si="54"/>
        <v/>
      </c>
      <c r="P257" s="38" t="str">
        <f t="shared" si="43"/>
        <v/>
      </c>
      <c r="Q257" s="38" t="str">
        <f t="shared" si="44"/>
        <v/>
      </c>
      <c r="R257" s="38"/>
    </row>
    <row r="258" spans="1:18" x14ac:dyDescent="0.2">
      <c r="A258" t="str">
        <f t="shared" si="45"/>
        <v/>
      </c>
      <c r="B258" s="38" t="str">
        <f t="shared" si="46"/>
        <v/>
      </c>
      <c r="C258" s="38" t="str">
        <f t="shared" si="55"/>
        <v/>
      </c>
      <c r="D258" s="38" t="str">
        <f t="shared" si="47"/>
        <v/>
      </c>
      <c r="E258" s="38" t="str">
        <f t="shared" si="48"/>
        <v/>
      </c>
      <c r="F258" s="38" t="str">
        <f t="shared" si="49"/>
        <v/>
      </c>
      <c r="G258" s="38" t="str">
        <f t="shared" si="50"/>
        <v/>
      </c>
      <c r="H258" s="38" t="str">
        <f t="shared" si="51"/>
        <v/>
      </c>
      <c r="L258" t="str">
        <f t="shared" si="52"/>
        <v/>
      </c>
      <c r="M258" s="38" t="str">
        <f t="shared" si="42"/>
        <v/>
      </c>
      <c r="N258" s="38" t="str">
        <f t="shared" si="53"/>
        <v/>
      </c>
      <c r="O258" s="38" t="str">
        <f t="shared" si="54"/>
        <v/>
      </c>
      <c r="P258" s="38" t="str">
        <f t="shared" si="43"/>
        <v/>
      </c>
      <c r="Q258" s="38" t="str">
        <f t="shared" si="44"/>
        <v/>
      </c>
      <c r="R258" s="38"/>
    </row>
    <row r="259" spans="1:18" x14ac:dyDescent="0.2">
      <c r="A259" t="str">
        <f t="shared" si="45"/>
        <v/>
      </c>
      <c r="B259" s="38" t="str">
        <f t="shared" si="46"/>
        <v/>
      </c>
      <c r="C259" s="38" t="str">
        <f t="shared" si="55"/>
        <v/>
      </c>
      <c r="D259" s="38" t="str">
        <f t="shared" si="47"/>
        <v/>
      </c>
      <c r="E259" s="38" t="str">
        <f t="shared" si="48"/>
        <v/>
      </c>
      <c r="F259" s="38" t="str">
        <f t="shared" si="49"/>
        <v/>
      </c>
      <c r="G259" s="38" t="str">
        <f t="shared" si="50"/>
        <v/>
      </c>
      <c r="H259" s="38" t="str">
        <f t="shared" si="51"/>
        <v/>
      </c>
      <c r="L259" t="str">
        <f t="shared" si="52"/>
        <v/>
      </c>
      <c r="M259" s="38" t="str">
        <f t="shared" si="42"/>
        <v/>
      </c>
      <c r="N259" s="38" t="str">
        <f t="shared" si="53"/>
        <v/>
      </c>
      <c r="O259" s="38" t="str">
        <f t="shared" si="54"/>
        <v/>
      </c>
      <c r="P259" s="38" t="str">
        <f t="shared" si="43"/>
        <v/>
      </c>
      <c r="Q259" s="38" t="str">
        <f t="shared" si="44"/>
        <v/>
      </c>
      <c r="R259" s="38"/>
    </row>
    <row r="260" spans="1:18" x14ac:dyDescent="0.2">
      <c r="A260" t="str">
        <f t="shared" si="45"/>
        <v/>
      </c>
      <c r="B260" s="38" t="str">
        <f t="shared" si="46"/>
        <v/>
      </c>
      <c r="C260" s="38" t="str">
        <f t="shared" si="55"/>
        <v/>
      </c>
      <c r="D260" s="38" t="str">
        <f t="shared" si="47"/>
        <v/>
      </c>
      <c r="E260" s="38" t="str">
        <f t="shared" si="48"/>
        <v/>
      </c>
      <c r="F260" s="38" t="str">
        <f t="shared" si="49"/>
        <v/>
      </c>
      <c r="G260" s="38" t="str">
        <f t="shared" si="50"/>
        <v/>
      </c>
      <c r="H260" s="38" t="str">
        <f t="shared" si="51"/>
        <v/>
      </c>
      <c r="L260" t="str">
        <f t="shared" si="52"/>
        <v/>
      </c>
      <c r="M260" s="38" t="str">
        <f t="shared" si="42"/>
        <v/>
      </c>
      <c r="N260" s="38" t="str">
        <f t="shared" si="53"/>
        <v/>
      </c>
      <c r="O260" s="38" t="str">
        <f t="shared" si="54"/>
        <v/>
      </c>
      <c r="P260" s="38" t="str">
        <f t="shared" si="43"/>
        <v/>
      </c>
      <c r="Q260" s="38" t="str">
        <f t="shared" si="44"/>
        <v/>
      </c>
      <c r="R260" s="38"/>
    </row>
    <row r="261" spans="1:18" x14ac:dyDescent="0.2">
      <c r="A261" t="str">
        <f t="shared" si="45"/>
        <v/>
      </c>
      <c r="B261" s="38" t="str">
        <f t="shared" si="46"/>
        <v/>
      </c>
      <c r="C261" s="38" t="str">
        <f t="shared" si="55"/>
        <v/>
      </c>
      <c r="D261" s="38" t="str">
        <f t="shared" si="47"/>
        <v/>
      </c>
      <c r="E261" s="38" t="str">
        <f t="shared" si="48"/>
        <v/>
      </c>
      <c r="F261" s="38" t="str">
        <f t="shared" si="49"/>
        <v/>
      </c>
      <c r="G261" s="38" t="str">
        <f t="shared" si="50"/>
        <v/>
      </c>
      <c r="H261" s="38" t="str">
        <f t="shared" si="51"/>
        <v/>
      </c>
      <c r="L261" t="str">
        <f t="shared" si="52"/>
        <v/>
      </c>
      <c r="M261" s="38" t="str">
        <f t="shared" si="42"/>
        <v/>
      </c>
      <c r="N261" s="38" t="str">
        <f t="shared" si="53"/>
        <v/>
      </c>
      <c r="O261" s="38" t="str">
        <f t="shared" si="54"/>
        <v/>
      </c>
      <c r="P261" s="38" t="str">
        <f t="shared" si="43"/>
        <v/>
      </c>
      <c r="Q261" s="38" t="str">
        <f t="shared" si="44"/>
        <v/>
      </c>
      <c r="R261" s="38"/>
    </row>
    <row r="262" spans="1:18" x14ac:dyDescent="0.2">
      <c r="A262" t="str">
        <f t="shared" si="45"/>
        <v/>
      </c>
      <c r="B262" s="38" t="str">
        <f t="shared" si="46"/>
        <v/>
      </c>
      <c r="C262" s="38" t="str">
        <f t="shared" si="55"/>
        <v/>
      </c>
      <c r="D262" s="38" t="str">
        <f t="shared" si="47"/>
        <v/>
      </c>
      <c r="E262" s="38" t="str">
        <f t="shared" si="48"/>
        <v/>
      </c>
      <c r="F262" s="38" t="str">
        <f t="shared" si="49"/>
        <v/>
      </c>
      <c r="G262" s="38" t="str">
        <f t="shared" si="50"/>
        <v/>
      </c>
      <c r="H262" s="38" t="str">
        <f t="shared" si="51"/>
        <v/>
      </c>
      <c r="L262" t="str">
        <f t="shared" si="52"/>
        <v/>
      </c>
      <c r="M262" s="38" t="str">
        <f t="shared" si="42"/>
        <v/>
      </c>
      <c r="N262" s="38" t="str">
        <f t="shared" si="53"/>
        <v/>
      </c>
      <c r="O262" s="38" t="str">
        <f t="shared" si="54"/>
        <v/>
      </c>
      <c r="P262" s="38" t="str">
        <f t="shared" si="43"/>
        <v/>
      </c>
      <c r="Q262" s="38" t="str">
        <f t="shared" si="44"/>
        <v/>
      </c>
      <c r="R262" s="38"/>
    </row>
    <row r="263" spans="1:18" x14ac:dyDescent="0.2">
      <c r="A263" t="str">
        <f t="shared" si="45"/>
        <v/>
      </c>
      <c r="B263" s="38" t="str">
        <f t="shared" si="46"/>
        <v/>
      </c>
      <c r="C263" s="38" t="str">
        <f t="shared" si="55"/>
        <v/>
      </c>
      <c r="D263" s="38" t="str">
        <f t="shared" si="47"/>
        <v/>
      </c>
      <c r="E263" s="38" t="str">
        <f t="shared" si="48"/>
        <v/>
      </c>
      <c r="F263" s="38" t="str">
        <f t="shared" si="49"/>
        <v/>
      </c>
      <c r="G263" s="38" t="str">
        <f t="shared" si="50"/>
        <v/>
      </c>
      <c r="H263" s="38" t="str">
        <f t="shared" si="51"/>
        <v/>
      </c>
      <c r="L263" t="str">
        <f t="shared" si="52"/>
        <v/>
      </c>
      <c r="M263" s="38" t="str">
        <f t="shared" si="42"/>
        <v/>
      </c>
      <c r="N263" s="38" t="str">
        <f t="shared" si="53"/>
        <v/>
      </c>
      <c r="O263" s="38" t="str">
        <f t="shared" si="54"/>
        <v/>
      </c>
      <c r="P263" s="38" t="str">
        <f t="shared" si="43"/>
        <v/>
      </c>
      <c r="Q263" s="38" t="str">
        <f t="shared" si="44"/>
        <v/>
      </c>
      <c r="R263" s="38"/>
    </row>
    <row r="264" spans="1:18" x14ac:dyDescent="0.2">
      <c r="A264" t="str">
        <f t="shared" si="45"/>
        <v/>
      </c>
      <c r="B264" s="38" t="str">
        <f t="shared" si="46"/>
        <v/>
      </c>
      <c r="C264" s="38" t="str">
        <f t="shared" si="55"/>
        <v/>
      </c>
      <c r="D264" s="38" t="str">
        <f t="shared" si="47"/>
        <v/>
      </c>
      <c r="E264" s="38" t="str">
        <f t="shared" si="48"/>
        <v/>
      </c>
      <c r="F264" s="38" t="str">
        <f t="shared" si="49"/>
        <v/>
      </c>
      <c r="G264" s="38" t="str">
        <f t="shared" si="50"/>
        <v/>
      </c>
      <c r="H264" s="38" t="str">
        <f t="shared" si="51"/>
        <v/>
      </c>
      <c r="L264" t="str">
        <f t="shared" si="52"/>
        <v/>
      </c>
      <c r="M264" s="38" t="str">
        <f t="shared" si="42"/>
        <v/>
      </c>
      <c r="N264" s="38" t="str">
        <f t="shared" si="53"/>
        <v/>
      </c>
      <c r="O264" s="38" t="str">
        <f t="shared" si="54"/>
        <v/>
      </c>
      <c r="P264" s="38" t="str">
        <f t="shared" si="43"/>
        <v/>
      </c>
      <c r="Q264" s="38" t="str">
        <f t="shared" si="44"/>
        <v/>
      </c>
      <c r="R264" s="38"/>
    </row>
    <row r="265" spans="1:18" x14ac:dyDescent="0.2">
      <c r="A265" t="str">
        <f t="shared" si="45"/>
        <v/>
      </c>
      <c r="B265" s="38" t="str">
        <f t="shared" si="46"/>
        <v/>
      </c>
      <c r="C265" s="38" t="str">
        <f t="shared" si="55"/>
        <v/>
      </c>
      <c r="D265" s="38" t="str">
        <f t="shared" si="47"/>
        <v/>
      </c>
      <c r="E265" s="38" t="str">
        <f t="shared" si="48"/>
        <v/>
      </c>
      <c r="F265" s="38" t="str">
        <f t="shared" si="49"/>
        <v/>
      </c>
      <c r="G265" s="38" t="str">
        <f t="shared" si="50"/>
        <v/>
      </c>
      <c r="H265" s="38" t="str">
        <f t="shared" si="51"/>
        <v/>
      </c>
      <c r="L265" t="str">
        <f t="shared" si="52"/>
        <v/>
      </c>
      <c r="M265" s="38" t="str">
        <f t="shared" si="42"/>
        <v/>
      </c>
      <c r="N265" s="38" t="str">
        <f t="shared" si="53"/>
        <v/>
      </c>
      <c r="O265" s="38" t="str">
        <f t="shared" si="54"/>
        <v/>
      </c>
      <c r="P265" s="38" t="str">
        <f t="shared" si="43"/>
        <v/>
      </c>
      <c r="Q265" s="38" t="str">
        <f t="shared" si="44"/>
        <v/>
      </c>
      <c r="R265" s="38"/>
    </row>
    <row r="266" spans="1:18" x14ac:dyDescent="0.2">
      <c r="A266" t="str">
        <f t="shared" si="45"/>
        <v/>
      </c>
      <c r="B266" s="38" t="str">
        <f t="shared" si="46"/>
        <v/>
      </c>
      <c r="C266" s="38" t="str">
        <f t="shared" si="55"/>
        <v/>
      </c>
      <c r="D266" s="38" t="str">
        <f t="shared" si="47"/>
        <v/>
      </c>
      <c r="E266" s="38" t="str">
        <f t="shared" si="48"/>
        <v/>
      </c>
      <c r="F266" s="38" t="str">
        <f t="shared" si="49"/>
        <v/>
      </c>
      <c r="G266" s="38" t="str">
        <f t="shared" si="50"/>
        <v/>
      </c>
      <c r="H266" s="38" t="str">
        <f t="shared" si="51"/>
        <v/>
      </c>
      <c r="L266" t="str">
        <f t="shared" si="52"/>
        <v/>
      </c>
      <c r="M266" s="38" t="str">
        <f t="shared" si="42"/>
        <v/>
      </c>
      <c r="N266" s="38" t="str">
        <f t="shared" si="53"/>
        <v/>
      </c>
      <c r="O266" s="38" t="str">
        <f t="shared" si="54"/>
        <v/>
      </c>
      <c r="P266" s="38" t="str">
        <f t="shared" si="43"/>
        <v/>
      </c>
      <c r="Q266" s="38" t="str">
        <f t="shared" si="44"/>
        <v/>
      </c>
      <c r="R266" s="38"/>
    </row>
    <row r="267" spans="1:18" x14ac:dyDescent="0.2">
      <c r="A267" t="str">
        <f t="shared" si="45"/>
        <v/>
      </c>
      <c r="B267" s="38" t="str">
        <f t="shared" si="46"/>
        <v/>
      </c>
      <c r="C267" s="38" t="str">
        <f t="shared" si="55"/>
        <v/>
      </c>
      <c r="D267" s="38" t="str">
        <f t="shared" si="47"/>
        <v/>
      </c>
      <c r="E267" s="38" t="str">
        <f t="shared" si="48"/>
        <v/>
      </c>
      <c r="F267" s="38" t="str">
        <f t="shared" si="49"/>
        <v/>
      </c>
      <c r="G267" s="38" t="str">
        <f t="shared" si="50"/>
        <v/>
      </c>
      <c r="H267" s="38" t="str">
        <f t="shared" si="51"/>
        <v/>
      </c>
      <c r="L267" t="str">
        <f t="shared" si="52"/>
        <v/>
      </c>
      <c r="M267" s="38" t="str">
        <f t="shared" si="42"/>
        <v/>
      </c>
      <c r="N267" s="38" t="str">
        <f t="shared" si="53"/>
        <v/>
      </c>
      <c r="O267" s="38" t="str">
        <f t="shared" si="54"/>
        <v/>
      </c>
      <c r="P267" s="38" t="str">
        <f t="shared" si="43"/>
        <v/>
      </c>
      <c r="Q267" s="38" t="str">
        <f t="shared" si="44"/>
        <v/>
      </c>
      <c r="R267" s="38"/>
    </row>
    <row r="268" spans="1:18" x14ac:dyDescent="0.2">
      <c r="A268" t="str">
        <f t="shared" si="45"/>
        <v/>
      </c>
      <c r="B268" s="38" t="str">
        <f t="shared" si="46"/>
        <v/>
      </c>
      <c r="C268" s="38" t="str">
        <f t="shared" si="55"/>
        <v/>
      </c>
      <c r="D268" s="38" t="str">
        <f t="shared" si="47"/>
        <v/>
      </c>
      <c r="E268" s="38" t="str">
        <f t="shared" si="48"/>
        <v/>
      </c>
      <c r="F268" s="38" t="str">
        <f t="shared" si="49"/>
        <v/>
      </c>
      <c r="G268" s="38" t="str">
        <f t="shared" si="50"/>
        <v/>
      </c>
      <c r="H268" s="38" t="str">
        <f t="shared" si="51"/>
        <v/>
      </c>
      <c r="L268" t="str">
        <f t="shared" si="52"/>
        <v/>
      </c>
      <c r="M268" s="38" t="str">
        <f t="shared" si="42"/>
        <v/>
      </c>
      <c r="N268" s="38" t="str">
        <f t="shared" si="53"/>
        <v/>
      </c>
      <c r="O268" s="38" t="str">
        <f t="shared" si="54"/>
        <v/>
      </c>
      <c r="P268" s="38" t="str">
        <f t="shared" si="43"/>
        <v/>
      </c>
      <c r="Q268" s="38" t="str">
        <f t="shared" si="44"/>
        <v/>
      </c>
      <c r="R268" s="38"/>
    </row>
    <row r="269" spans="1:18" x14ac:dyDescent="0.2">
      <c r="A269" t="str">
        <f t="shared" si="45"/>
        <v/>
      </c>
      <c r="B269" s="38" t="str">
        <f t="shared" si="46"/>
        <v/>
      </c>
      <c r="C269" s="38" t="str">
        <f t="shared" si="55"/>
        <v/>
      </c>
      <c r="D269" s="38" t="str">
        <f t="shared" si="47"/>
        <v/>
      </c>
      <c r="E269" s="38" t="str">
        <f t="shared" si="48"/>
        <v/>
      </c>
      <c r="F269" s="38" t="str">
        <f t="shared" si="49"/>
        <v/>
      </c>
      <c r="G269" s="38" t="str">
        <f t="shared" si="50"/>
        <v/>
      </c>
      <c r="H269" s="38" t="str">
        <f t="shared" si="51"/>
        <v/>
      </c>
      <c r="L269" t="str">
        <f t="shared" si="52"/>
        <v/>
      </c>
      <c r="M269" s="38" t="str">
        <f t="shared" si="42"/>
        <v/>
      </c>
      <c r="N269" s="38" t="str">
        <f t="shared" si="53"/>
        <v/>
      </c>
      <c r="O269" s="38" t="str">
        <f t="shared" si="54"/>
        <v/>
      </c>
      <c r="P269" s="38" t="str">
        <f t="shared" si="43"/>
        <v/>
      </c>
      <c r="Q269" s="38" t="str">
        <f t="shared" si="44"/>
        <v/>
      </c>
      <c r="R269" s="38"/>
    </row>
    <row r="270" spans="1:18" x14ac:dyDescent="0.2">
      <c r="A270" t="str">
        <f t="shared" si="45"/>
        <v/>
      </c>
      <c r="B270" s="38" t="str">
        <f t="shared" si="46"/>
        <v/>
      </c>
      <c r="C270" s="38" t="str">
        <f t="shared" si="55"/>
        <v/>
      </c>
      <c r="D270" s="38" t="str">
        <f t="shared" si="47"/>
        <v/>
      </c>
      <c r="E270" s="38" t="str">
        <f t="shared" si="48"/>
        <v/>
      </c>
      <c r="F270" s="38" t="str">
        <f t="shared" si="49"/>
        <v/>
      </c>
      <c r="G270" s="38" t="str">
        <f t="shared" si="50"/>
        <v/>
      </c>
      <c r="H270" s="38" t="str">
        <f t="shared" si="51"/>
        <v/>
      </c>
      <c r="L270" t="str">
        <f t="shared" si="52"/>
        <v/>
      </c>
      <c r="M270" s="38" t="str">
        <f t="shared" si="42"/>
        <v/>
      </c>
      <c r="N270" s="38" t="str">
        <f t="shared" si="53"/>
        <v/>
      </c>
      <c r="O270" s="38" t="str">
        <f t="shared" si="54"/>
        <v/>
      </c>
      <c r="P270" s="38" t="str">
        <f t="shared" si="43"/>
        <v/>
      </c>
      <c r="Q270" s="38" t="str">
        <f t="shared" si="44"/>
        <v/>
      </c>
      <c r="R270" s="38"/>
    </row>
    <row r="271" spans="1:18" x14ac:dyDescent="0.2">
      <c r="A271" t="str">
        <f t="shared" si="45"/>
        <v/>
      </c>
      <c r="B271" s="38" t="str">
        <f t="shared" si="46"/>
        <v/>
      </c>
      <c r="C271" s="38" t="str">
        <f t="shared" si="55"/>
        <v/>
      </c>
      <c r="D271" s="38" t="str">
        <f t="shared" si="47"/>
        <v/>
      </c>
      <c r="E271" s="38" t="str">
        <f t="shared" si="48"/>
        <v/>
      </c>
      <c r="F271" s="38" t="str">
        <f t="shared" si="49"/>
        <v/>
      </c>
      <c r="G271" s="38" t="str">
        <f t="shared" si="50"/>
        <v/>
      </c>
      <c r="H271" s="38" t="str">
        <f t="shared" si="51"/>
        <v/>
      </c>
      <c r="L271" t="str">
        <f t="shared" si="52"/>
        <v/>
      </c>
      <c r="M271" s="38" t="str">
        <f t="shared" si="42"/>
        <v/>
      </c>
      <c r="N271" s="38" t="str">
        <f t="shared" si="53"/>
        <v/>
      </c>
      <c r="O271" s="38" t="str">
        <f t="shared" si="54"/>
        <v/>
      </c>
      <c r="P271" s="38" t="str">
        <f t="shared" si="43"/>
        <v/>
      </c>
      <c r="Q271" s="38" t="str">
        <f t="shared" si="44"/>
        <v/>
      </c>
      <c r="R271" s="38"/>
    </row>
    <row r="272" spans="1:18" x14ac:dyDescent="0.2">
      <c r="A272" t="str">
        <f t="shared" si="45"/>
        <v/>
      </c>
      <c r="B272" s="38" t="str">
        <f t="shared" si="46"/>
        <v/>
      </c>
      <c r="C272" s="38" t="str">
        <f t="shared" si="55"/>
        <v/>
      </c>
      <c r="D272" s="38" t="str">
        <f t="shared" si="47"/>
        <v/>
      </c>
      <c r="E272" s="38" t="str">
        <f t="shared" si="48"/>
        <v/>
      </c>
      <c r="F272" s="38" t="str">
        <f t="shared" si="49"/>
        <v/>
      </c>
      <c r="G272" s="38" t="str">
        <f t="shared" si="50"/>
        <v/>
      </c>
      <c r="H272" s="38" t="str">
        <f t="shared" si="51"/>
        <v/>
      </c>
      <c r="L272" t="str">
        <f t="shared" si="52"/>
        <v/>
      </c>
      <c r="M272" s="38" t="str">
        <f t="shared" si="42"/>
        <v/>
      </c>
      <c r="N272" s="38" t="str">
        <f t="shared" si="53"/>
        <v/>
      </c>
      <c r="O272" s="38" t="str">
        <f t="shared" si="54"/>
        <v/>
      </c>
      <c r="P272" s="38" t="str">
        <f t="shared" si="43"/>
        <v/>
      </c>
      <c r="Q272" s="38" t="str">
        <f t="shared" si="44"/>
        <v/>
      </c>
      <c r="R272" s="38"/>
    </row>
    <row r="273" spans="1:18" x14ac:dyDescent="0.2">
      <c r="A273" t="str">
        <f t="shared" si="45"/>
        <v/>
      </c>
      <c r="B273" s="38" t="str">
        <f t="shared" si="46"/>
        <v/>
      </c>
      <c r="C273" s="38" t="str">
        <f t="shared" si="55"/>
        <v/>
      </c>
      <c r="D273" s="38" t="str">
        <f t="shared" si="47"/>
        <v/>
      </c>
      <c r="E273" s="38" t="str">
        <f t="shared" si="48"/>
        <v/>
      </c>
      <c r="F273" s="38" t="str">
        <f t="shared" si="49"/>
        <v/>
      </c>
      <c r="G273" s="38" t="str">
        <f t="shared" si="50"/>
        <v/>
      </c>
      <c r="H273" s="38" t="str">
        <f t="shared" si="51"/>
        <v/>
      </c>
      <c r="L273" t="str">
        <f t="shared" si="52"/>
        <v/>
      </c>
      <c r="M273" s="38" t="str">
        <f t="shared" si="42"/>
        <v/>
      </c>
      <c r="N273" s="38" t="str">
        <f t="shared" si="53"/>
        <v/>
      </c>
      <c r="O273" s="38" t="str">
        <f t="shared" si="54"/>
        <v/>
      </c>
      <c r="P273" s="38" t="str">
        <f t="shared" si="43"/>
        <v/>
      </c>
      <c r="Q273" s="38" t="str">
        <f t="shared" si="44"/>
        <v/>
      </c>
      <c r="R273" s="38"/>
    </row>
    <row r="274" spans="1:18" x14ac:dyDescent="0.2">
      <c r="A274" t="str">
        <f t="shared" si="45"/>
        <v/>
      </c>
      <c r="B274" s="38" t="str">
        <f t="shared" si="46"/>
        <v/>
      </c>
      <c r="C274" s="38" t="str">
        <f t="shared" si="55"/>
        <v/>
      </c>
      <c r="D274" s="38" t="str">
        <f t="shared" si="47"/>
        <v/>
      </c>
      <c r="E274" s="38" t="str">
        <f t="shared" si="48"/>
        <v/>
      </c>
      <c r="F274" s="38" t="str">
        <f t="shared" si="49"/>
        <v/>
      </c>
      <c r="G274" s="38" t="str">
        <f t="shared" si="50"/>
        <v/>
      </c>
      <c r="H274" s="38" t="str">
        <f t="shared" si="51"/>
        <v/>
      </c>
      <c r="L274" t="str">
        <f t="shared" si="52"/>
        <v/>
      </c>
      <c r="M274" s="38" t="str">
        <f t="shared" si="42"/>
        <v/>
      </c>
      <c r="N274" s="38" t="str">
        <f t="shared" si="53"/>
        <v/>
      </c>
      <c r="O274" s="38" t="str">
        <f t="shared" si="54"/>
        <v/>
      </c>
      <c r="P274" s="38" t="str">
        <f t="shared" si="43"/>
        <v/>
      </c>
      <c r="Q274" s="38" t="str">
        <f t="shared" si="44"/>
        <v/>
      </c>
      <c r="R274" s="38"/>
    </row>
    <row r="275" spans="1:18" x14ac:dyDescent="0.2">
      <c r="A275" t="str">
        <f t="shared" si="45"/>
        <v/>
      </c>
      <c r="B275" s="38" t="str">
        <f t="shared" si="46"/>
        <v/>
      </c>
      <c r="C275" s="38" t="str">
        <f t="shared" si="55"/>
        <v/>
      </c>
      <c r="D275" s="38" t="str">
        <f t="shared" si="47"/>
        <v/>
      </c>
      <c r="E275" s="38" t="str">
        <f t="shared" si="48"/>
        <v/>
      </c>
      <c r="F275" s="38" t="str">
        <f t="shared" si="49"/>
        <v/>
      </c>
      <c r="G275" s="38" t="str">
        <f t="shared" si="50"/>
        <v/>
      </c>
      <c r="H275" s="38" t="str">
        <f t="shared" si="51"/>
        <v/>
      </c>
      <c r="L275" t="str">
        <f t="shared" si="52"/>
        <v/>
      </c>
      <c r="M275" s="38" t="str">
        <f t="shared" si="42"/>
        <v/>
      </c>
      <c r="N275" s="38" t="str">
        <f t="shared" si="53"/>
        <v/>
      </c>
      <c r="O275" s="38" t="str">
        <f t="shared" si="54"/>
        <v/>
      </c>
      <c r="P275" s="38" t="str">
        <f t="shared" si="43"/>
        <v/>
      </c>
      <c r="Q275" s="38" t="str">
        <f t="shared" si="44"/>
        <v/>
      </c>
      <c r="R275" s="38"/>
    </row>
    <row r="276" spans="1:18" x14ac:dyDescent="0.2">
      <c r="A276" t="str">
        <f t="shared" si="45"/>
        <v/>
      </c>
      <c r="B276" s="38" t="str">
        <f t="shared" si="46"/>
        <v/>
      </c>
      <c r="C276" s="38" t="str">
        <f t="shared" si="55"/>
        <v/>
      </c>
      <c r="D276" s="38" t="str">
        <f t="shared" si="47"/>
        <v/>
      </c>
      <c r="E276" s="38" t="str">
        <f t="shared" si="48"/>
        <v/>
      </c>
      <c r="F276" s="38" t="str">
        <f t="shared" si="49"/>
        <v/>
      </c>
      <c r="G276" s="38" t="str">
        <f t="shared" si="50"/>
        <v/>
      </c>
      <c r="H276" s="38" t="str">
        <f t="shared" si="51"/>
        <v/>
      </c>
      <c r="L276" t="str">
        <f t="shared" si="52"/>
        <v/>
      </c>
      <c r="M276" s="38" t="str">
        <f t="shared" si="42"/>
        <v/>
      </c>
      <c r="N276" s="38" t="str">
        <f t="shared" si="53"/>
        <v/>
      </c>
      <c r="O276" s="38" t="str">
        <f t="shared" si="54"/>
        <v/>
      </c>
      <c r="P276" s="38" t="str">
        <f t="shared" si="43"/>
        <v/>
      </c>
      <c r="Q276" s="38" t="str">
        <f t="shared" si="44"/>
        <v/>
      </c>
      <c r="R276" s="38"/>
    </row>
    <row r="277" spans="1:18" x14ac:dyDescent="0.2">
      <c r="A277" t="str">
        <f t="shared" si="45"/>
        <v/>
      </c>
      <c r="B277" s="38" t="str">
        <f t="shared" si="46"/>
        <v/>
      </c>
      <c r="C277" s="38" t="str">
        <f t="shared" si="55"/>
        <v/>
      </c>
      <c r="D277" s="38" t="str">
        <f t="shared" si="47"/>
        <v/>
      </c>
      <c r="E277" s="38" t="str">
        <f t="shared" si="48"/>
        <v/>
      </c>
      <c r="F277" s="38" t="str">
        <f t="shared" si="49"/>
        <v/>
      </c>
      <c r="G277" s="38" t="str">
        <f t="shared" si="50"/>
        <v/>
      </c>
      <c r="H277" s="38" t="str">
        <f t="shared" si="51"/>
        <v/>
      </c>
      <c r="L277" t="str">
        <f t="shared" si="52"/>
        <v/>
      </c>
      <c r="M277" s="38" t="str">
        <f t="shared" si="42"/>
        <v/>
      </c>
      <c r="N277" s="38" t="str">
        <f t="shared" si="53"/>
        <v/>
      </c>
      <c r="O277" s="38" t="str">
        <f t="shared" si="54"/>
        <v/>
      </c>
      <c r="P277" s="38" t="str">
        <f t="shared" si="43"/>
        <v/>
      </c>
      <c r="Q277" s="38" t="str">
        <f t="shared" si="44"/>
        <v/>
      </c>
      <c r="R277" s="38"/>
    </row>
    <row r="278" spans="1:18" x14ac:dyDescent="0.2">
      <c r="A278" t="str">
        <f t="shared" si="45"/>
        <v/>
      </c>
      <c r="B278" s="38" t="str">
        <f t="shared" si="46"/>
        <v/>
      </c>
      <c r="C278" s="38" t="str">
        <f t="shared" si="55"/>
        <v/>
      </c>
      <c r="D278" s="38" t="str">
        <f t="shared" si="47"/>
        <v/>
      </c>
      <c r="E278" s="38" t="str">
        <f t="shared" si="48"/>
        <v/>
      </c>
      <c r="F278" s="38" t="str">
        <f t="shared" si="49"/>
        <v/>
      </c>
      <c r="G278" s="38" t="str">
        <f t="shared" si="50"/>
        <v/>
      </c>
      <c r="H278" s="38" t="str">
        <f t="shared" si="51"/>
        <v/>
      </c>
      <c r="L278" t="str">
        <f t="shared" si="52"/>
        <v/>
      </c>
      <c r="M278" s="38" t="str">
        <f t="shared" si="42"/>
        <v/>
      </c>
      <c r="N278" s="38" t="str">
        <f t="shared" si="53"/>
        <v/>
      </c>
      <c r="O278" s="38" t="str">
        <f t="shared" si="54"/>
        <v/>
      </c>
      <c r="P278" s="38" t="str">
        <f t="shared" si="43"/>
        <v/>
      </c>
      <c r="Q278" s="38" t="str">
        <f t="shared" si="44"/>
        <v/>
      </c>
      <c r="R278" s="38"/>
    </row>
    <row r="279" spans="1:18" x14ac:dyDescent="0.2">
      <c r="A279" t="str">
        <f t="shared" si="45"/>
        <v/>
      </c>
      <c r="B279" s="38" t="str">
        <f t="shared" si="46"/>
        <v/>
      </c>
      <c r="C279" s="38" t="str">
        <f t="shared" si="55"/>
        <v/>
      </c>
      <c r="D279" s="38" t="str">
        <f t="shared" si="47"/>
        <v/>
      </c>
      <c r="E279" s="38" t="str">
        <f t="shared" si="48"/>
        <v/>
      </c>
      <c r="F279" s="38" t="str">
        <f t="shared" si="49"/>
        <v/>
      </c>
      <c r="G279" s="38" t="str">
        <f t="shared" si="50"/>
        <v/>
      </c>
      <c r="H279" s="38" t="str">
        <f t="shared" si="51"/>
        <v/>
      </c>
      <c r="L279" t="str">
        <f t="shared" si="52"/>
        <v/>
      </c>
      <c r="M279" s="38" t="str">
        <f t="shared" si="42"/>
        <v/>
      </c>
      <c r="N279" s="38" t="str">
        <f t="shared" si="53"/>
        <v/>
      </c>
      <c r="O279" s="38" t="str">
        <f t="shared" si="54"/>
        <v/>
      </c>
      <c r="P279" s="38" t="str">
        <f t="shared" si="43"/>
        <v/>
      </c>
      <c r="Q279" s="38" t="str">
        <f t="shared" si="44"/>
        <v/>
      </c>
      <c r="R279" s="38"/>
    </row>
    <row r="280" spans="1:18" x14ac:dyDescent="0.2">
      <c r="A280" t="str">
        <f t="shared" si="45"/>
        <v/>
      </c>
      <c r="B280" s="38" t="str">
        <f t="shared" si="46"/>
        <v/>
      </c>
      <c r="C280" s="38" t="str">
        <f t="shared" si="55"/>
        <v/>
      </c>
      <c r="D280" s="38" t="str">
        <f t="shared" si="47"/>
        <v/>
      </c>
      <c r="E280" s="38" t="str">
        <f t="shared" si="48"/>
        <v/>
      </c>
      <c r="F280" s="38" t="str">
        <f t="shared" si="49"/>
        <v/>
      </c>
      <c r="G280" s="38" t="str">
        <f t="shared" si="50"/>
        <v/>
      </c>
      <c r="H280" s="38" t="str">
        <f t="shared" si="51"/>
        <v/>
      </c>
      <c r="L280" t="str">
        <f t="shared" si="52"/>
        <v/>
      </c>
      <c r="M280" s="38" t="str">
        <f t="shared" si="42"/>
        <v/>
      </c>
      <c r="N280" s="38" t="str">
        <f t="shared" si="53"/>
        <v/>
      </c>
      <c r="O280" s="38" t="str">
        <f t="shared" si="54"/>
        <v/>
      </c>
      <c r="P280" s="38" t="str">
        <f t="shared" si="43"/>
        <v/>
      </c>
      <c r="Q280" s="38" t="str">
        <f t="shared" si="44"/>
        <v/>
      </c>
      <c r="R280" s="38"/>
    </row>
    <row r="281" spans="1:18" x14ac:dyDescent="0.2">
      <c r="A281" t="str">
        <f t="shared" si="45"/>
        <v/>
      </c>
      <c r="B281" s="38" t="str">
        <f t="shared" si="46"/>
        <v/>
      </c>
      <c r="C281" s="38" t="str">
        <f t="shared" si="55"/>
        <v/>
      </c>
      <c r="D281" s="38" t="str">
        <f t="shared" si="47"/>
        <v/>
      </c>
      <c r="E281" s="38" t="str">
        <f t="shared" si="48"/>
        <v/>
      </c>
      <c r="F281" s="38" t="str">
        <f t="shared" si="49"/>
        <v/>
      </c>
      <c r="G281" s="38" t="str">
        <f t="shared" si="50"/>
        <v/>
      </c>
      <c r="H281" s="38" t="str">
        <f t="shared" si="51"/>
        <v/>
      </c>
      <c r="L281" t="str">
        <f t="shared" si="52"/>
        <v/>
      </c>
      <c r="M281" s="38" t="str">
        <f t="shared" si="42"/>
        <v/>
      </c>
      <c r="N281" s="38" t="str">
        <f t="shared" si="53"/>
        <v/>
      </c>
      <c r="O281" s="38" t="str">
        <f t="shared" si="54"/>
        <v/>
      </c>
      <c r="P281" s="38" t="str">
        <f t="shared" si="43"/>
        <v/>
      </c>
      <c r="Q281" s="38" t="str">
        <f t="shared" si="44"/>
        <v/>
      </c>
      <c r="R281" s="38"/>
    </row>
    <row r="282" spans="1:18" x14ac:dyDescent="0.2">
      <c r="A282" t="str">
        <f t="shared" si="45"/>
        <v/>
      </c>
      <c r="B282" s="38" t="str">
        <f t="shared" si="46"/>
        <v/>
      </c>
      <c r="C282" s="38" t="str">
        <f t="shared" si="55"/>
        <v/>
      </c>
      <c r="D282" s="38" t="str">
        <f t="shared" si="47"/>
        <v/>
      </c>
      <c r="E282" s="38" t="str">
        <f t="shared" si="48"/>
        <v/>
      </c>
      <c r="F282" s="38" t="str">
        <f t="shared" si="49"/>
        <v/>
      </c>
      <c r="G282" s="38" t="str">
        <f t="shared" si="50"/>
        <v/>
      </c>
      <c r="H282" s="38" t="str">
        <f t="shared" si="51"/>
        <v/>
      </c>
      <c r="L282" t="str">
        <f t="shared" si="52"/>
        <v/>
      </c>
      <c r="M282" s="38" t="str">
        <f t="shared" si="42"/>
        <v/>
      </c>
      <c r="N282" s="38" t="str">
        <f t="shared" si="53"/>
        <v/>
      </c>
      <c r="O282" s="38" t="str">
        <f t="shared" si="54"/>
        <v/>
      </c>
      <c r="P282" s="38" t="str">
        <f t="shared" si="43"/>
        <v/>
      </c>
      <c r="Q282" s="38" t="str">
        <f t="shared" si="44"/>
        <v/>
      </c>
      <c r="R282" s="38"/>
    </row>
    <row r="283" spans="1:18" x14ac:dyDescent="0.2">
      <c r="A283" t="str">
        <f t="shared" si="45"/>
        <v/>
      </c>
      <c r="B283" s="38" t="str">
        <f t="shared" si="46"/>
        <v/>
      </c>
      <c r="C283" s="38" t="str">
        <f t="shared" si="55"/>
        <v/>
      </c>
      <c r="D283" s="38" t="str">
        <f t="shared" si="47"/>
        <v/>
      </c>
      <c r="E283" s="38" t="str">
        <f t="shared" si="48"/>
        <v/>
      </c>
      <c r="F283" s="38" t="str">
        <f t="shared" si="49"/>
        <v/>
      </c>
      <c r="G283" s="38" t="str">
        <f t="shared" si="50"/>
        <v/>
      </c>
      <c r="H283" s="38" t="str">
        <f t="shared" si="51"/>
        <v/>
      </c>
      <c r="L283" t="str">
        <f t="shared" si="52"/>
        <v/>
      </c>
      <c r="M283" s="38" t="str">
        <f t="shared" si="42"/>
        <v/>
      </c>
      <c r="N283" s="38" t="str">
        <f t="shared" si="53"/>
        <v/>
      </c>
      <c r="O283" s="38" t="str">
        <f t="shared" si="54"/>
        <v/>
      </c>
      <c r="P283" s="38" t="str">
        <f t="shared" si="43"/>
        <v/>
      </c>
      <c r="Q283" s="38" t="str">
        <f t="shared" si="44"/>
        <v/>
      </c>
      <c r="R283" s="38"/>
    </row>
    <row r="284" spans="1:18" x14ac:dyDescent="0.2">
      <c r="A284" t="str">
        <f t="shared" si="45"/>
        <v/>
      </c>
      <c r="B284" s="38" t="str">
        <f t="shared" si="46"/>
        <v/>
      </c>
      <c r="C284" s="38" t="str">
        <f t="shared" si="55"/>
        <v/>
      </c>
      <c r="D284" s="38" t="str">
        <f t="shared" si="47"/>
        <v/>
      </c>
      <c r="E284" s="38" t="str">
        <f t="shared" si="48"/>
        <v/>
      </c>
      <c r="F284" s="38" t="str">
        <f t="shared" si="49"/>
        <v/>
      </c>
      <c r="G284" s="38" t="str">
        <f t="shared" si="50"/>
        <v/>
      </c>
      <c r="H284" s="38" t="str">
        <f t="shared" si="51"/>
        <v/>
      </c>
      <c r="L284" t="str">
        <f t="shared" si="52"/>
        <v/>
      </c>
      <c r="M284" s="38" t="str">
        <f t="shared" si="42"/>
        <v/>
      </c>
      <c r="N284" s="38" t="str">
        <f t="shared" si="53"/>
        <v/>
      </c>
      <c r="O284" s="38" t="str">
        <f t="shared" si="54"/>
        <v/>
      </c>
      <c r="P284" s="38" t="str">
        <f t="shared" si="43"/>
        <v/>
      </c>
      <c r="Q284" s="38" t="str">
        <f t="shared" si="44"/>
        <v/>
      </c>
      <c r="R284" s="38"/>
    </row>
    <row r="285" spans="1:18" x14ac:dyDescent="0.2">
      <c r="A285" t="str">
        <f t="shared" si="45"/>
        <v/>
      </c>
      <c r="B285" s="38" t="str">
        <f t="shared" si="46"/>
        <v/>
      </c>
      <c r="C285" s="38" t="str">
        <f t="shared" si="55"/>
        <v/>
      </c>
      <c r="D285" s="38" t="str">
        <f t="shared" si="47"/>
        <v/>
      </c>
      <c r="E285" s="38" t="str">
        <f t="shared" si="48"/>
        <v/>
      </c>
      <c r="F285" s="38" t="str">
        <f t="shared" si="49"/>
        <v/>
      </c>
      <c r="G285" s="38" t="str">
        <f t="shared" si="50"/>
        <v/>
      </c>
      <c r="H285" s="38" t="str">
        <f t="shared" si="51"/>
        <v/>
      </c>
      <c r="L285" t="str">
        <f t="shared" si="52"/>
        <v/>
      </c>
      <c r="M285" s="38" t="str">
        <f t="shared" si="42"/>
        <v/>
      </c>
      <c r="N285" s="38" t="str">
        <f t="shared" si="53"/>
        <v/>
      </c>
      <c r="O285" s="38" t="str">
        <f t="shared" si="54"/>
        <v/>
      </c>
      <c r="P285" s="38" t="str">
        <f t="shared" si="43"/>
        <v/>
      </c>
      <c r="Q285" s="38" t="str">
        <f t="shared" si="44"/>
        <v/>
      </c>
      <c r="R285" s="38"/>
    </row>
    <row r="286" spans="1:18" x14ac:dyDescent="0.2">
      <c r="A286" t="str">
        <f t="shared" si="45"/>
        <v/>
      </c>
      <c r="B286" s="38" t="str">
        <f t="shared" si="46"/>
        <v/>
      </c>
      <c r="C286" s="38" t="str">
        <f t="shared" si="55"/>
        <v/>
      </c>
      <c r="D286" s="38" t="str">
        <f t="shared" si="47"/>
        <v/>
      </c>
      <c r="E286" s="38" t="str">
        <f t="shared" si="48"/>
        <v/>
      </c>
      <c r="F286" s="38" t="str">
        <f t="shared" si="49"/>
        <v/>
      </c>
      <c r="G286" s="38" t="str">
        <f t="shared" si="50"/>
        <v/>
      </c>
      <c r="H286" s="38" t="str">
        <f t="shared" si="51"/>
        <v/>
      </c>
      <c r="L286" t="str">
        <f t="shared" si="52"/>
        <v/>
      </c>
      <c r="M286" s="38" t="str">
        <f t="shared" si="42"/>
        <v/>
      </c>
      <c r="N286" s="38" t="str">
        <f t="shared" si="53"/>
        <v/>
      </c>
      <c r="O286" s="38" t="str">
        <f t="shared" si="54"/>
        <v/>
      </c>
      <c r="P286" s="38" t="str">
        <f t="shared" si="43"/>
        <v/>
      </c>
      <c r="Q286" s="38" t="str">
        <f t="shared" si="44"/>
        <v/>
      </c>
      <c r="R286" s="38"/>
    </row>
    <row r="287" spans="1:18" x14ac:dyDescent="0.2">
      <c r="A287" t="str">
        <f t="shared" si="45"/>
        <v/>
      </c>
      <c r="B287" s="38" t="str">
        <f t="shared" si="46"/>
        <v/>
      </c>
      <c r="C287" s="38" t="str">
        <f t="shared" si="55"/>
        <v/>
      </c>
      <c r="D287" s="38" t="str">
        <f t="shared" si="47"/>
        <v/>
      </c>
      <c r="E287" s="38" t="str">
        <f t="shared" si="48"/>
        <v/>
      </c>
      <c r="F287" s="38" t="str">
        <f t="shared" si="49"/>
        <v/>
      </c>
      <c r="G287" s="38" t="str">
        <f t="shared" si="50"/>
        <v/>
      </c>
      <c r="H287" s="38" t="str">
        <f t="shared" si="51"/>
        <v/>
      </c>
      <c r="L287" t="str">
        <f t="shared" si="52"/>
        <v/>
      </c>
      <c r="M287" s="38" t="str">
        <f t="shared" si="42"/>
        <v/>
      </c>
      <c r="N287" s="38" t="str">
        <f t="shared" si="53"/>
        <v/>
      </c>
      <c r="O287" s="38" t="str">
        <f t="shared" si="54"/>
        <v/>
      </c>
      <c r="P287" s="38" t="str">
        <f t="shared" si="43"/>
        <v/>
      </c>
      <c r="Q287" s="38" t="str">
        <f t="shared" si="44"/>
        <v/>
      </c>
      <c r="R287" s="38"/>
    </row>
    <row r="288" spans="1:18" x14ac:dyDescent="0.2">
      <c r="A288" t="str">
        <f t="shared" si="45"/>
        <v/>
      </c>
      <c r="B288" s="38" t="str">
        <f t="shared" si="46"/>
        <v/>
      </c>
      <c r="C288" s="38" t="str">
        <f t="shared" si="55"/>
        <v/>
      </c>
      <c r="D288" s="38" t="str">
        <f t="shared" si="47"/>
        <v/>
      </c>
      <c r="E288" s="38" t="str">
        <f t="shared" si="48"/>
        <v/>
      </c>
      <c r="F288" s="38" t="str">
        <f t="shared" si="49"/>
        <v/>
      </c>
      <c r="G288" s="38" t="str">
        <f t="shared" si="50"/>
        <v/>
      </c>
      <c r="H288" s="38" t="str">
        <f t="shared" si="51"/>
        <v/>
      </c>
      <c r="L288" t="str">
        <f t="shared" si="52"/>
        <v/>
      </c>
      <c r="M288" s="38" t="str">
        <f t="shared" si="42"/>
        <v/>
      </c>
      <c r="N288" s="38" t="str">
        <f t="shared" si="53"/>
        <v/>
      </c>
      <c r="O288" s="38" t="str">
        <f t="shared" si="54"/>
        <v/>
      </c>
      <c r="P288" s="38" t="str">
        <f t="shared" si="43"/>
        <v/>
      </c>
      <c r="Q288" s="38" t="str">
        <f t="shared" si="44"/>
        <v/>
      </c>
      <c r="R288" s="38"/>
    </row>
    <row r="289" spans="1:18" x14ac:dyDescent="0.2">
      <c r="A289" t="str">
        <f t="shared" si="45"/>
        <v/>
      </c>
      <c r="B289" s="38" t="str">
        <f t="shared" si="46"/>
        <v/>
      </c>
      <c r="C289" s="38" t="str">
        <f t="shared" si="55"/>
        <v/>
      </c>
      <c r="D289" s="38" t="str">
        <f t="shared" si="47"/>
        <v/>
      </c>
      <c r="E289" s="38" t="str">
        <f t="shared" si="48"/>
        <v/>
      </c>
      <c r="F289" s="38" t="str">
        <f t="shared" si="49"/>
        <v/>
      </c>
      <c r="G289" s="38" t="str">
        <f t="shared" si="50"/>
        <v/>
      </c>
      <c r="H289" s="38" t="str">
        <f t="shared" si="51"/>
        <v/>
      </c>
      <c r="L289" t="str">
        <f t="shared" si="52"/>
        <v/>
      </c>
      <c r="M289" s="38" t="str">
        <f t="shared" ref="M289:M352" si="56">IF(L289="","",P288)</f>
        <v/>
      </c>
      <c r="N289" s="38" t="str">
        <f t="shared" si="53"/>
        <v/>
      </c>
      <c r="O289" s="38" t="str">
        <f t="shared" si="54"/>
        <v/>
      </c>
      <c r="P289" s="38" t="str">
        <f t="shared" ref="P289:P352" si="57">IF(L289="","", M289+N289+O289)</f>
        <v/>
      </c>
      <c r="Q289" s="38" t="str">
        <f t="shared" ref="Q289:Q352" si="58">IF(L289="","", (Q288+N289))</f>
        <v/>
      </c>
      <c r="R289" s="38"/>
    </row>
    <row r="290" spans="1:18" x14ac:dyDescent="0.2">
      <c r="A290" t="str">
        <f t="shared" ref="A290:A353" si="59">IF(A289&lt;($B$22*$B$23),A289+1,"")</f>
        <v/>
      </c>
      <c r="B290" s="38" t="str">
        <f t="shared" ref="B290:B353" si="60">IF(A290="","",F289)</f>
        <v/>
      </c>
      <c r="C290" s="38" t="str">
        <f t="shared" si="55"/>
        <v/>
      </c>
      <c r="D290" s="38" t="str">
        <f t="shared" ref="D290:D353" si="61">IF(A290="","", D289*(1+$B$21))</f>
        <v/>
      </c>
      <c r="E290" s="38" t="str">
        <f t="shared" ref="E290:E353" si="62">IF(D290="","",(D290-C290))</f>
        <v/>
      </c>
      <c r="F290" s="38" t="str">
        <f t="shared" ref="F290:F353" si="63">IF(A290="","", B290-E290)</f>
        <v/>
      </c>
      <c r="G290" s="38" t="str">
        <f t="shared" ref="G290:G353" si="64">IF(A290="","", (G289+C290))</f>
        <v/>
      </c>
      <c r="H290" s="38" t="str">
        <f t="shared" ref="H290:H353" si="65">IF(A290="","",(H289+E290))</f>
        <v/>
      </c>
      <c r="L290" t="str">
        <f t="shared" ref="L290:L353" si="66">IF(L289&lt;($B$8*$B$9),L289+1,"")</f>
        <v/>
      </c>
      <c r="M290" s="38" t="str">
        <f t="shared" si="56"/>
        <v/>
      </c>
      <c r="N290" s="38" t="str">
        <f t="shared" ref="N290:N353" si="67">IF(L290="","",(M290 *$B$6))</f>
        <v/>
      </c>
      <c r="O290" s="38" t="str">
        <f t="shared" ref="O290:O353" si="68">IF(L290="","",O289*(1+$B$7))</f>
        <v/>
      </c>
      <c r="P290" s="38" t="str">
        <f t="shared" si="57"/>
        <v/>
      </c>
      <c r="Q290" s="38" t="str">
        <f t="shared" si="58"/>
        <v/>
      </c>
      <c r="R290" s="38"/>
    </row>
    <row r="291" spans="1:18" x14ac:dyDescent="0.2">
      <c r="A291" t="str">
        <f t="shared" si="59"/>
        <v/>
      </c>
      <c r="B291" s="38" t="str">
        <f t="shared" si="60"/>
        <v/>
      </c>
      <c r="C291" s="38" t="str">
        <f t="shared" ref="C291:C354" si="69">IF(A291="","",(B291*$B$20))</f>
        <v/>
      </c>
      <c r="D291" s="38" t="str">
        <f t="shared" si="61"/>
        <v/>
      </c>
      <c r="E291" s="38" t="str">
        <f t="shared" si="62"/>
        <v/>
      </c>
      <c r="F291" s="38" t="str">
        <f t="shared" si="63"/>
        <v/>
      </c>
      <c r="G291" s="38" t="str">
        <f t="shared" si="64"/>
        <v/>
      </c>
      <c r="H291" s="38" t="str">
        <f t="shared" si="65"/>
        <v/>
      </c>
      <c r="L291" t="str">
        <f t="shared" si="66"/>
        <v/>
      </c>
      <c r="M291" s="38" t="str">
        <f t="shared" si="56"/>
        <v/>
      </c>
      <c r="N291" s="38" t="str">
        <f t="shared" si="67"/>
        <v/>
      </c>
      <c r="O291" s="38" t="str">
        <f t="shared" si="68"/>
        <v/>
      </c>
      <c r="P291" s="38" t="str">
        <f t="shared" si="57"/>
        <v/>
      </c>
      <c r="Q291" s="38" t="str">
        <f t="shared" si="58"/>
        <v/>
      </c>
      <c r="R291" s="38"/>
    </row>
    <row r="292" spans="1:18" x14ac:dyDescent="0.2">
      <c r="A292" t="str">
        <f t="shared" si="59"/>
        <v/>
      </c>
      <c r="B292" s="38" t="str">
        <f t="shared" si="60"/>
        <v/>
      </c>
      <c r="C292" s="38" t="str">
        <f t="shared" si="69"/>
        <v/>
      </c>
      <c r="D292" s="38" t="str">
        <f t="shared" si="61"/>
        <v/>
      </c>
      <c r="E292" s="38" t="str">
        <f t="shared" si="62"/>
        <v/>
      </c>
      <c r="F292" s="38" t="str">
        <f t="shared" si="63"/>
        <v/>
      </c>
      <c r="G292" s="38" t="str">
        <f t="shared" si="64"/>
        <v/>
      </c>
      <c r="H292" s="38" t="str">
        <f t="shared" si="65"/>
        <v/>
      </c>
      <c r="L292" t="str">
        <f t="shared" si="66"/>
        <v/>
      </c>
      <c r="M292" s="38" t="str">
        <f t="shared" si="56"/>
        <v/>
      </c>
      <c r="N292" s="38" t="str">
        <f t="shared" si="67"/>
        <v/>
      </c>
      <c r="O292" s="38" t="str">
        <f t="shared" si="68"/>
        <v/>
      </c>
      <c r="P292" s="38" t="str">
        <f t="shared" si="57"/>
        <v/>
      </c>
      <c r="Q292" s="38" t="str">
        <f t="shared" si="58"/>
        <v/>
      </c>
      <c r="R292" s="38"/>
    </row>
    <row r="293" spans="1:18" x14ac:dyDescent="0.2">
      <c r="A293" t="str">
        <f t="shared" si="59"/>
        <v/>
      </c>
      <c r="B293" s="38" t="str">
        <f t="shared" si="60"/>
        <v/>
      </c>
      <c r="C293" s="38" t="str">
        <f t="shared" si="69"/>
        <v/>
      </c>
      <c r="D293" s="38" t="str">
        <f t="shared" si="61"/>
        <v/>
      </c>
      <c r="E293" s="38" t="str">
        <f t="shared" si="62"/>
        <v/>
      </c>
      <c r="F293" s="38" t="str">
        <f t="shared" si="63"/>
        <v/>
      </c>
      <c r="G293" s="38" t="str">
        <f t="shared" si="64"/>
        <v/>
      </c>
      <c r="H293" s="38" t="str">
        <f t="shared" si="65"/>
        <v/>
      </c>
      <c r="L293" t="str">
        <f t="shared" si="66"/>
        <v/>
      </c>
      <c r="M293" s="38" t="str">
        <f t="shared" si="56"/>
        <v/>
      </c>
      <c r="N293" s="38" t="str">
        <f t="shared" si="67"/>
        <v/>
      </c>
      <c r="O293" s="38" t="str">
        <f t="shared" si="68"/>
        <v/>
      </c>
      <c r="P293" s="38" t="str">
        <f t="shared" si="57"/>
        <v/>
      </c>
      <c r="Q293" s="38" t="str">
        <f t="shared" si="58"/>
        <v/>
      </c>
      <c r="R293" s="38"/>
    </row>
    <row r="294" spans="1:18" x14ac:dyDescent="0.2">
      <c r="A294" t="str">
        <f t="shared" si="59"/>
        <v/>
      </c>
      <c r="B294" s="38" t="str">
        <f t="shared" si="60"/>
        <v/>
      </c>
      <c r="C294" s="38" t="str">
        <f t="shared" si="69"/>
        <v/>
      </c>
      <c r="D294" s="38" t="str">
        <f t="shared" si="61"/>
        <v/>
      </c>
      <c r="E294" s="38" t="str">
        <f t="shared" si="62"/>
        <v/>
      </c>
      <c r="F294" s="38" t="str">
        <f t="shared" si="63"/>
        <v/>
      </c>
      <c r="G294" s="38" t="str">
        <f t="shared" si="64"/>
        <v/>
      </c>
      <c r="H294" s="38" t="str">
        <f t="shared" si="65"/>
        <v/>
      </c>
      <c r="L294" t="str">
        <f t="shared" si="66"/>
        <v/>
      </c>
      <c r="M294" s="38" t="str">
        <f t="shared" si="56"/>
        <v/>
      </c>
      <c r="N294" s="38" t="str">
        <f t="shared" si="67"/>
        <v/>
      </c>
      <c r="O294" s="38" t="str">
        <f t="shared" si="68"/>
        <v/>
      </c>
      <c r="P294" s="38" t="str">
        <f t="shared" si="57"/>
        <v/>
      </c>
      <c r="Q294" s="38" t="str">
        <f t="shared" si="58"/>
        <v/>
      </c>
      <c r="R294" s="38"/>
    </row>
    <row r="295" spans="1:18" x14ac:dyDescent="0.2">
      <c r="A295" t="str">
        <f t="shared" si="59"/>
        <v/>
      </c>
      <c r="B295" s="38" t="str">
        <f t="shared" si="60"/>
        <v/>
      </c>
      <c r="C295" s="38" t="str">
        <f t="shared" si="69"/>
        <v/>
      </c>
      <c r="D295" s="38" t="str">
        <f t="shared" si="61"/>
        <v/>
      </c>
      <c r="E295" s="38" t="str">
        <f t="shared" si="62"/>
        <v/>
      </c>
      <c r="F295" s="38" t="str">
        <f t="shared" si="63"/>
        <v/>
      </c>
      <c r="G295" s="38" t="str">
        <f t="shared" si="64"/>
        <v/>
      </c>
      <c r="H295" s="38" t="str">
        <f t="shared" si="65"/>
        <v/>
      </c>
      <c r="L295" t="str">
        <f t="shared" si="66"/>
        <v/>
      </c>
      <c r="M295" s="38" t="str">
        <f t="shared" si="56"/>
        <v/>
      </c>
      <c r="N295" s="38" t="str">
        <f t="shared" si="67"/>
        <v/>
      </c>
      <c r="O295" s="38" t="str">
        <f t="shared" si="68"/>
        <v/>
      </c>
      <c r="P295" s="38" t="str">
        <f t="shared" si="57"/>
        <v/>
      </c>
      <c r="Q295" s="38" t="str">
        <f t="shared" si="58"/>
        <v/>
      </c>
      <c r="R295" s="38"/>
    </row>
    <row r="296" spans="1:18" x14ac:dyDescent="0.2">
      <c r="A296" t="str">
        <f t="shared" si="59"/>
        <v/>
      </c>
      <c r="B296" s="38" t="str">
        <f t="shared" si="60"/>
        <v/>
      </c>
      <c r="C296" s="38" t="str">
        <f t="shared" si="69"/>
        <v/>
      </c>
      <c r="D296" s="38" t="str">
        <f t="shared" si="61"/>
        <v/>
      </c>
      <c r="E296" s="38" t="str">
        <f t="shared" si="62"/>
        <v/>
      </c>
      <c r="F296" s="38" t="str">
        <f t="shared" si="63"/>
        <v/>
      </c>
      <c r="G296" s="38" t="str">
        <f t="shared" si="64"/>
        <v/>
      </c>
      <c r="H296" s="38" t="str">
        <f t="shared" si="65"/>
        <v/>
      </c>
      <c r="L296" t="str">
        <f t="shared" si="66"/>
        <v/>
      </c>
      <c r="M296" s="38" t="str">
        <f t="shared" si="56"/>
        <v/>
      </c>
      <c r="N296" s="38" t="str">
        <f t="shared" si="67"/>
        <v/>
      </c>
      <c r="O296" s="38" t="str">
        <f t="shared" si="68"/>
        <v/>
      </c>
      <c r="P296" s="38" t="str">
        <f t="shared" si="57"/>
        <v/>
      </c>
      <c r="Q296" s="38" t="str">
        <f t="shared" si="58"/>
        <v/>
      </c>
      <c r="R296" s="38"/>
    </row>
    <row r="297" spans="1:18" x14ac:dyDescent="0.2">
      <c r="A297" t="str">
        <f t="shared" si="59"/>
        <v/>
      </c>
      <c r="B297" s="38" t="str">
        <f t="shared" si="60"/>
        <v/>
      </c>
      <c r="C297" s="38" t="str">
        <f t="shared" si="69"/>
        <v/>
      </c>
      <c r="D297" s="38" t="str">
        <f t="shared" si="61"/>
        <v/>
      </c>
      <c r="E297" s="38" t="str">
        <f t="shared" si="62"/>
        <v/>
      </c>
      <c r="F297" s="38" t="str">
        <f t="shared" si="63"/>
        <v/>
      </c>
      <c r="G297" s="38" t="str">
        <f t="shared" si="64"/>
        <v/>
      </c>
      <c r="H297" s="38" t="str">
        <f t="shared" si="65"/>
        <v/>
      </c>
      <c r="L297" t="str">
        <f t="shared" si="66"/>
        <v/>
      </c>
      <c r="M297" s="38" t="str">
        <f t="shared" si="56"/>
        <v/>
      </c>
      <c r="N297" s="38" t="str">
        <f t="shared" si="67"/>
        <v/>
      </c>
      <c r="O297" s="38" t="str">
        <f t="shared" si="68"/>
        <v/>
      </c>
      <c r="P297" s="38" t="str">
        <f t="shared" si="57"/>
        <v/>
      </c>
      <c r="Q297" s="38" t="str">
        <f t="shared" si="58"/>
        <v/>
      </c>
      <c r="R297" s="38"/>
    </row>
    <row r="298" spans="1:18" x14ac:dyDescent="0.2">
      <c r="A298" t="str">
        <f t="shared" si="59"/>
        <v/>
      </c>
      <c r="B298" s="38" t="str">
        <f t="shared" si="60"/>
        <v/>
      </c>
      <c r="C298" s="38" t="str">
        <f t="shared" si="69"/>
        <v/>
      </c>
      <c r="D298" s="38" t="str">
        <f t="shared" si="61"/>
        <v/>
      </c>
      <c r="E298" s="38" t="str">
        <f t="shared" si="62"/>
        <v/>
      </c>
      <c r="F298" s="38" t="str">
        <f t="shared" si="63"/>
        <v/>
      </c>
      <c r="G298" s="38" t="str">
        <f t="shared" si="64"/>
        <v/>
      </c>
      <c r="H298" s="38" t="str">
        <f t="shared" si="65"/>
        <v/>
      </c>
      <c r="L298" t="str">
        <f t="shared" si="66"/>
        <v/>
      </c>
      <c r="M298" s="38" t="str">
        <f t="shared" si="56"/>
        <v/>
      </c>
      <c r="N298" s="38" t="str">
        <f t="shared" si="67"/>
        <v/>
      </c>
      <c r="O298" s="38" t="str">
        <f t="shared" si="68"/>
        <v/>
      </c>
      <c r="P298" s="38" t="str">
        <f t="shared" si="57"/>
        <v/>
      </c>
      <c r="Q298" s="38" t="str">
        <f t="shared" si="58"/>
        <v/>
      </c>
      <c r="R298" s="38"/>
    </row>
    <row r="299" spans="1:18" x14ac:dyDescent="0.2">
      <c r="A299" t="str">
        <f t="shared" si="59"/>
        <v/>
      </c>
      <c r="B299" s="38" t="str">
        <f t="shared" si="60"/>
        <v/>
      </c>
      <c r="C299" s="38" t="str">
        <f t="shared" si="69"/>
        <v/>
      </c>
      <c r="D299" s="38" t="str">
        <f t="shared" si="61"/>
        <v/>
      </c>
      <c r="E299" s="38" t="str">
        <f t="shared" si="62"/>
        <v/>
      </c>
      <c r="F299" s="38" t="str">
        <f t="shared" si="63"/>
        <v/>
      </c>
      <c r="G299" s="38" t="str">
        <f t="shared" si="64"/>
        <v/>
      </c>
      <c r="H299" s="38" t="str">
        <f t="shared" si="65"/>
        <v/>
      </c>
      <c r="L299" t="str">
        <f t="shared" si="66"/>
        <v/>
      </c>
      <c r="M299" s="38" t="str">
        <f t="shared" si="56"/>
        <v/>
      </c>
      <c r="N299" s="38" t="str">
        <f t="shared" si="67"/>
        <v/>
      </c>
      <c r="O299" s="38" t="str">
        <f t="shared" si="68"/>
        <v/>
      </c>
      <c r="P299" s="38" t="str">
        <f t="shared" si="57"/>
        <v/>
      </c>
      <c r="Q299" s="38" t="str">
        <f t="shared" si="58"/>
        <v/>
      </c>
      <c r="R299" s="38"/>
    </row>
    <row r="300" spans="1:18" x14ac:dyDescent="0.2">
      <c r="A300" t="str">
        <f t="shared" si="59"/>
        <v/>
      </c>
      <c r="B300" s="38" t="str">
        <f t="shared" si="60"/>
        <v/>
      </c>
      <c r="C300" s="38" t="str">
        <f t="shared" si="69"/>
        <v/>
      </c>
      <c r="D300" s="38" t="str">
        <f t="shared" si="61"/>
        <v/>
      </c>
      <c r="E300" s="38" t="str">
        <f t="shared" si="62"/>
        <v/>
      </c>
      <c r="F300" s="38" t="str">
        <f t="shared" si="63"/>
        <v/>
      </c>
      <c r="G300" s="38" t="str">
        <f t="shared" si="64"/>
        <v/>
      </c>
      <c r="H300" s="38" t="str">
        <f t="shared" si="65"/>
        <v/>
      </c>
      <c r="L300" t="str">
        <f t="shared" si="66"/>
        <v/>
      </c>
      <c r="M300" s="38" t="str">
        <f t="shared" si="56"/>
        <v/>
      </c>
      <c r="N300" s="38" t="str">
        <f t="shared" si="67"/>
        <v/>
      </c>
      <c r="O300" s="38" t="str">
        <f t="shared" si="68"/>
        <v/>
      </c>
      <c r="P300" s="38" t="str">
        <f t="shared" si="57"/>
        <v/>
      </c>
      <c r="Q300" s="38" t="str">
        <f t="shared" si="58"/>
        <v/>
      </c>
      <c r="R300" s="38"/>
    </row>
    <row r="301" spans="1:18" x14ac:dyDescent="0.2">
      <c r="A301" t="str">
        <f t="shared" si="59"/>
        <v/>
      </c>
      <c r="B301" s="38" t="str">
        <f t="shared" si="60"/>
        <v/>
      </c>
      <c r="C301" s="38" t="str">
        <f t="shared" si="69"/>
        <v/>
      </c>
      <c r="D301" s="38" t="str">
        <f t="shared" si="61"/>
        <v/>
      </c>
      <c r="E301" s="38" t="str">
        <f t="shared" si="62"/>
        <v/>
      </c>
      <c r="F301" s="38" t="str">
        <f t="shared" si="63"/>
        <v/>
      </c>
      <c r="G301" s="38" t="str">
        <f t="shared" si="64"/>
        <v/>
      </c>
      <c r="H301" s="38" t="str">
        <f t="shared" si="65"/>
        <v/>
      </c>
      <c r="L301" t="str">
        <f t="shared" si="66"/>
        <v/>
      </c>
      <c r="M301" s="38" t="str">
        <f t="shared" si="56"/>
        <v/>
      </c>
      <c r="N301" s="38" t="str">
        <f t="shared" si="67"/>
        <v/>
      </c>
      <c r="O301" s="38" t="str">
        <f t="shared" si="68"/>
        <v/>
      </c>
      <c r="P301" s="38" t="str">
        <f t="shared" si="57"/>
        <v/>
      </c>
      <c r="Q301" s="38" t="str">
        <f t="shared" si="58"/>
        <v/>
      </c>
      <c r="R301" s="38"/>
    </row>
    <row r="302" spans="1:18" x14ac:dyDescent="0.2">
      <c r="A302" t="str">
        <f t="shared" si="59"/>
        <v/>
      </c>
      <c r="B302" s="38" t="str">
        <f t="shared" si="60"/>
        <v/>
      </c>
      <c r="C302" s="38" t="str">
        <f t="shared" si="69"/>
        <v/>
      </c>
      <c r="D302" s="38" t="str">
        <f t="shared" si="61"/>
        <v/>
      </c>
      <c r="E302" s="38" t="str">
        <f t="shared" si="62"/>
        <v/>
      </c>
      <c r="F302" s="38" t="str">
        <f t="shared" si="63"/>
        <v/>
      </c>
      <c r="G302" s="38" t="str">
        <f t="shared" si="64"/>
        <v/>
      </c>
      <c r="H302" s="38" t="str">
        <f t="shared" si="65"/>
        <v/>
      </c>
      <c r="L302" t="str">
        <f t="shared" si="66"/>
        <v/>
      </c>
      <c r="M302" s="38" t="str">
        <f t="shared" si="56"/>
        <v/>
      </c>
      <c r="N302" s="38" t="str">
        <f t="shared" si="67"/>
        <v/>
      </c>
      <c r="O302" s="38" t="str">
        <f t="shared" si="68"/>
        <v/>
      </c>
      <c r="P302" s="38" t="str">
        <f t="shared" si="57"/>
        <v/>
      </c>
      <c r="Q302" s="38" t="str">
        <f t="shared" si="58"/>
        <v/>
      </c>
      <c r="R302" s="38"/>
    </row>
    <row r="303" spans="1:18" x14ac:dyDescent="0.2">
      <c r="A303" t="str">
        <f t="shared" si="59"/>
        <v/>
      </c>
      <c r="B303" s="38" t="str">
        <f t="shared" si="60"/>
        <v/>
      </c>
      <c r="C303" s="38" t="str">
        <f t="shared" si="69"/>
        <v/>
      </c>
      <c r="D303" s="38" t="str">
        <f t="shared" si="61"/>
        <v/>
      </c>
      <c r="E303" s="38" t="str">
        <f t="shared" si="62"/>
        <v/>
      </c>
      <c r="F303" s="38" t="str">
        <f t="shared" si="63"/>
        <v/>
      </c>
      <c r="G303" s="38" t="str">
        <f t="shared" si="64"/>
        <v/>
      </c>
      <c r="H303" s="38" t="str">
        <f t="shared" si="65"/>
        <v/>
      </c>
      <c r="L303" t="str">
        <f t="shared" si="66"/>
        <v/>
      </c>
      <c r="M303" s="38" t="str">
        <f t="shared" si="56"/>
        <v/>
      </c>
      <c r="N303" s="38" t="str">
        <f t="shared" si="67"/>
        <v/>
      </c>
      <c r="O303" s="38" t="str">
        <f t="shared" si="68"/>
        <v/>
      </c>
      <c r="P303" s="38" t="str">
        <f t="shared" si="57"/>
        <v/>
      </c>
      <c r="Q303" s="38" t="str">
        <f t="shared" si="58"/>
        <v/>
      </c>
      <c r="R303" s="38"/>
    </row>
    <row r="304" spans="1:18" x14ac:dyDescent="0.2">
      <c r="A304" t="str">
        <f t="shared" si="59"/>
        <v/>
      </c>
      <c r="B304" s="38" t="str">
        <f t="shared" si="60"/>
        <v/>
      </c>
      <c r="C304" s="38" t="str">
        <f t="shared" si="69"/>
        <v/>
      </c>
      <c r="D304" s="38" t="str">
        <f t="shared" si="61"/>
        <v/>
      </c>
      <c r="E304" s="38" t="str">
        <f t="shared" si="62"/>
        <v/>
      </c>
      <c r="F304" s="38" t="str">
        <f t="shared" si="63"/>
        <v/>
      </c>
      <c r="G304" s="38" t="str">
        <f t="shared" si="64"/>
        <v/>
      </c>
      <c r="H304" s="38" t="str">
        <f t="shared" si="65"/>
        <v/>
      </c>
      <c r="L304" t="str">
        <f t="shared" si="66"/>
        <v/>
      </c>
      <c r="M304" s="38" t="str">
        <f t="shared" si="56"/>
        <v/>
      </c>
      <c r="N304" s="38" t="str">
        <f t="shared" si="67"/>
        <v/>
      </c>
      <c r="O304" s="38" t="str">
        <f t="shared" si="68"/>
        <v/>
      </c>
      <c r="P304" s="38" t="str">
        <f t="shared" si="57"/>
        <v/>
      </c>
      <c r="Q304" s="38" t="str">
        <f t="shared" si="58"/>
        <v/>
      </c>
      <c r="R304" s="38"/>
    </row>
    <row r="305" spans="1:18" x14ac:dyDescent="0.2">
      <c r="A305" t="str">
        <f t="shared" si="59"/>
        <v/>
      </c>
      <c r="B305" s="38" t="str">
        <f t="shared" si="60"/>
        <v/>
      </c>
      <c r="C305" s="38" t="str">
        <f t="shared" si="69"/>
        <v/>
      </c>
      <c r="D305" s="38" t="str">
        <f t="shared" si="61"/>
        <v/>
      </c>
      <c r="E305" s="38" t="str">
        <f t="shared" si="62"/>
        <v/>
      </c>
      <c r="F305" s="38" t="str">
        <f t="shared" si="63"/>
        <v/>
      </c>
      <c r="G305" s="38" t="str">
        <f t="shared" si="64"/>
        <v/>
      </c>
      <c r="H305" s="38" t="str">
        <f t="shared" si="65"/>
        <v/>
      </c>
      <c r="L305" t="str">
        <f t="shared" si="66"/>
        <v/>
      </c>
      <c r="M305" s="38" t="str">
        <f t="shared" si="56"/>
        <v/>
      </c>
      <c r="N305" s="38" t="str">
        <f t="shared" si="67"/>
        <v/>
      </c>
      <c r="O305" s="38" t="str">
        <f t="shared" si="68"/>
        <v/>
      </c>
      <c r="P305" s="38" t="str">
        <f t="shared" si="57"/>
        <v/>
      </c>
      <c r="Q305" s="38" t="str">
        <f t="shared" si="58"/>
        <v/>
      </c>
      <c r="R305" s="38"/>
    </row>
    <row r="306" spans="1:18" x14ac:dyDescent="0.2">
      <c r="A306" t="str">
        <f t="shared" si="59"/>
        <v/>
      </c>
      <c r="B306" s="38" t="str">
        <f t="shared" si="60"/>
        <v/>
      </c>
      <c r="C306" s="38" t="str">
        <f t="shared" si="69"/>
        <v/>
      </c>
      <c r="D306" s="38" t="str">
        <f t="shared" si="61"/>
        <v/>
      </c>
      <c r="E306" s="38" t="str">
        <f t="shared" si="62"/>
        <v/>
      </c>
      <c r="F306" s="38" t="str">
        <f t="shared" si="63"/>
        <v/>
      </c>
      <c r="G306" s="38" t="str">
        <f t="shared" si="64"/>
        <v/>
      </c>
      <c r="H306" s="38" t="str">
        <f t="shared" si="65"/>
        <v/>
      </c>
      <c r="L306" t="str">
        <f t="shared" si="66"/>
        <v/>
      </c>
      <c r="M306" s="38" t="str">
        <f t="shared" si="56"/>
        <v/>
      </c>
      <c r="N306" s="38" t="str">
        <f t="shared" si="67"/>
        <v/>
      </c>
      <c r="O306" s="38" t="str">
        <f t="shared" si="68"/>
        <v/>
      </c>
      <c r="P306" s="38" t="str">
        <f t="shared" si="57"/>
        <v/>
      </c>
      <c r="Q306" s="38" t="str">
        <f t="shared" si="58"/>
        <v/>
      </c>
      <c r="R306" s="38"/>
    </row>
    <row r="307" spans="1:18" x14ac:dyDescent="0.2">
      <c r="A307" t="str">
        <f t="shared" si="59"/>
        <v/>
      </c>
      <c r="B307" s="38" t="str">
        <f t="shared" si="60"/>
        <v/>
      </c>
      <c r="C307" s="38" t="str">
        <f t="shared" si="69"/>
        <v/>
      </c>
      <c r="D307" s="38" t="str">
        <f t="shared" si="61"/>
        <v/>
      </c>
      <c r="E307" s="38" t="str">
        <f t="shared" si="62"/>
        <v/>
      </c>
      <c r="F307" s="38" t="str">
        <f t="shared" si="63"/>
        <v/>
      </c>
      <c r="G307" s="38" t="str">
        <f t="shared" si="64"/>
        <v/>
      </c>
      <c r="H307" s="38" t="str">
        <f t="shared" si="65"/>
        <v/>
      </c>
      <c r="L307" t="str">
        <f t="shared" si="66"/>
        <v/>
      </c>
      <c r="M307" s="38" t="str">
        <f t="shared" si="56"/>
        <v/>
      </c>
      <c r="N307" s="38" t="str">
        <f t="shared" si="67"/>
        <v/>
      </c>
      <c r="O307" s="38" t="str">
        <f t="shared" si="68"/>
        <v/>
      </c>
      <c r="P307" s="38" t="str">
        <f t="shared" si="57"/>
        <v/>
      </c>
      <c r="Q307" s="38" t="str">
        <f t="shared" si="58"/>
        <v/>
      </c>
      <c r="R307" s="38"/>
    </row>
    <row r="308" spans="1:18" x14ac:dyDescent="0.2">
      <c r="A308" t="str">
        <f t="shared" si="59"/>
        <v/>
      </c>
      <c r="B308" s="38" t="str">
        <f t="shared" si="60"/>
        <v/>
      </c>
      <c r="C308" s="38" t="str">
        <f t="shared" si="69"/>
        <v/>
      </c>
      <c r="D308" s="38" t="str">
        <f t="shared" si="61"/>
        <v/>
      </c>
      <c r="E308" s="38" t="str">
        <f t="shared" si="62"/>
        <v/>
      </c>
      <c r="F308" s="38" t="str">
        <f t="shared" si="63"/>
        <v/>
      </c>
      <c r="G308" s="38" t="str">
        <f t="shared" si="64"/>
        <v/>
      </c>
      <c r="H308" s="38" t="str">
        <f t="shared" si="65"/>
        <v/>
      </c>
      <c r="L308" t="str">
        <f t="shared" si="66"/>
        <v/>
      </c>
      <c r="M308" s="38" t="str">
        <f t="shared" si="56"/>
        <v/>
      </c>
      <c r="N308" s="38" t="str">
        <f t="shared" si="67"/>
        <v/>
      </c>
      <c r="O308" s="38" t="str">
        <f t="shared" si="68"/>
        <v/>
      </c>
      <c r="P308" s="38" t="str">
        <f t="shared" si="57"/>
        <v/>
      </c>
      <c r="Q308" s="38" t="str">
        <f t="shared" si="58"/>
        <v/>
      </c>
      <c r="R308" s="38"/>
    </row>
    <row r="309" spans="1:18" x14ac:dyDescent="0.2">
      <c r="A309" t="str">
        <f t="shared" si="59"/>
        <v/>
      </c>
      <c r="B309" s="38" t="str">
        <f t="shared" si="60"/>
        <v/>
      </c>
      <c r="C309" s="38" t="str">
        <f t="shared" si="69"/>
        <v/>
      </c>
      <c r="D309" s="38" t="str">
        <f t="shared" si="61"/>
        <v/>
      </c>
      <c r="E309" s="38" t="str">
        <f t="shared" si="62"/>
        <v/>
      </c>
      <c r="F309" s="38" t="str">
        <f t="shared" si="63"/>
        <v/>
      </c>
      <c r="G309" s="38" t="str">
        <f t="shared" si="64"/>
        <v/>
      </c>
      <c r="H309" s="38" t="str">
        <f t="shared" si="65"/>
        <v/>
      </c>
      <c r="L309" t="str">
        <f t="shared" si="66"/>
        <v/>
      </c>
      <c r="M309" s="38" t="str">
        <f t="shared" si="56"/>
        <v/>
      </c>
      <c r="N309" s="38" t="str">
        <f t="shared" si="67"/>
        <v/>
      </c>
      <c r="O309" s="38" t="str">
        <f t="shared" si="68"/>
        <v/>
      </c>
      <c r="P309" s="38" t="str">
        <f t="shared" si="57"/>
        <v/>
      </c>
      <c r="Q309" s="38" t="str">
        <f t="shared" si="58"/>
        <v/>
      </c>
      <c r="R309" s="38"/>
    </row>
    <row r="310" spans="1:18" x14ac:dyDescent="0.2">
      <c r="A310" t="str">
        <f t="shared" si="59"/>
        <v/>
      </c>
      <c r="B310" s="38" t="str">
        <f t="shared" si="60"/>
        <v/>
      </c>
      <c r="C310" s="38" t="str">
        <f t="shared" si="69"/>
        <v/>
      </c>
      <c r="D310" s="38" t="str">
        <f t="shared" si="61"/>
        <v/>
      </c>
      <c r="E310" s="38" t="str">
        <f t="shared" si="62"/>
        <v/>
      </c>
      <c r="F310" s="38" t="str">
        <f t="shared" si="63"/>
        <v/>
      </c>
      <c r="G310" s="38" t="str">
        <f t="shared" si="64"/>
        <v/>
      </c>
      <c r="H310" s="38" t="str">
        <f t="shared" si="65"/>
        <v/>
      </c>
      <c r="L310" t="str">
        <f t="shared" si="66"/>
        <v/>
      </c>
      <c r="M310" s="38" t="str">
        <f t="shared" si="56"/>
        <v/>
      </c>
      <c r="N310" s="38" t="str">
        <f t="shared" si="67"/>
        <v/>
      </c>
      <c r="O310" s="38" t="str">
        <f t="shared" si="68"/>
        <v/>
      </c>
      <c r="P310" s="38" t="str">
        <f t="shared" si="57"/>
        <v/>
      </c>
      <c r="Q310" s="38" t="str">
        <f t="shared" si="58"/>
        <v/>
      </c>
      <c r="R310" s="38"/>
    </row>
    <row r="311" spans="1:18" x14ac:dyDescent="0.2">
      <c r="A311" t="str">
        <f t="shared" si="59"/>
        <v/>
      </c>
      <c r="B311" s="38" t="str">
        <f t="shared" si="60"/>
        <v/>
      </c>
      <c r="C311" s="38" t="str">
        <f t="shared" si="69"/>
        <v/>
      </c>
      <c r="D311" s="38" t="str">
        <f t="shared" si="61"/>
        <v/>
      </c>
      <c r="E311" s="38" t="str">
        <f t="shared" si="62"/>
        <v/>
      </c>
      <c r="F311" s="38" t="str">
        <f t="shared" si="63"/>
        <v/>
      </c>
      <c r="G311" s="38" t="str">
        <f t="shared" si="64"/>
        <v/>
      </c>
      <c r="H311" s="38" t="str">
        <f t="shared" si="65"/>
        <v/>
      </c>
      <c r="L311" t="str">
        <f t="shared" si="66"/>
        <v/>
      </c>
      <c r="M311" s="38" t="str">
        <f t="shared" si="56"/>
        <v/>
      </c>
      <c r="N311" s="38" t="str">
        <f t="shared" si="67"/>
        <v/>
      </c>
      <c r="O311" s="38" t="str">
        <f t="shared" si="68"/>
        <v/>
      </c>
      <c r="P311" s="38" t="str">
        <f t="shared" si="57"/>
        <v/>
      </c>
      <c r="Q311" s="38" t="str">
        <f t="shared" si="58"/>
        <v/>
      </c>
      <c r="R311" s="38"/>
    </row>
    <row r="312" spans="1:18" x14ac:dyDescent="0.2">
      <c r="A312" t="str">
        <f t="shared" si="59"/>
        <v/>
      </c>
      <c r="B312" s="38" t="str">
        <f t="shared" si="60"/>
        <v/>
      </c>
      <c r="C312" s="38" t="str">
        <f t="shared" si="69"/>
        <v/>
      </c>
      <c r="D312" s="38" t="str">
        <f t="shared" si="61"/>
        <v/>
      </c>
      <c r="E312" s="38" t="str">
        <f t="shared" si="62"/>
        <v/>
      </c>
      <c r="F312" s="38" t="str">
        <f t="shared" si="63"/>
        <v/>
      </c>
      <c r="G312" s="38" t="str">
        <f t="shared" si="64"/>
        <v/>
      </c>
      <c r="H312" s="38" t="str">
        <f t="shared" si="65"/>
        <v/>
      </c>
      <c r="L312" t="str">
        <f t="shared" si="66"/>
        <v/>
      </c>
      <c r="M312" s="38" t="str">
        <f t="shared" si="56"/>
        <v/>
      </c>
      <c r="N312" s="38" t="str">
        <f t="shared" si="67"/>
        <v/>
      </c>
      <c r="O312" s="38" t="str">
        <f t="shared" si="68"/>
        <v/>
      </c>
      <c r="P312" s="38" t="str">
        <f t="shared" si="57"/>
        <v/>
      </c>
      <c r="Q312" s="38" t="str">
        <f t="shared" si="58"/>
        <v/>
      </c>
      <c r="R312" s="38"/>
    </row>
    <row r="313" spans="1:18" x14ac:dyDescent="0.2">
      <c r="A313" t="str">
        <f t="shared" si="59"/>
        <v/>
      </c>
      <c r="B313" s="38" t="str">
        <f t="shared" si="60"/>
        <v/>
      </c>
      <c r="C313" s="38" t="str">
        <f t="shared" si="69"/>
        <v/>
      </c>
      <c r="D313" s="38" t="str">
        <f t="shared" si="61"/>
        <v/>
      </c>
      <c r="E313" s="38" t="str">
        <f t="shared" si="62"/>
        <v/>
      </c>
      <c r="F313" s="38" t="str">
        <f t="shared" si="63"/>
        <v/>
      </c>
      <c r="G313" s="38" t="str">
        <f t="shared" si="64"/>
        <v/>
      </c>
      <c r="H313" s="38" t="str">
        <f t="shared" si="65"/>
        <v/>
      </c>
      <c r="L313" t="str">
        <f t="shared" si="66"/>
        <v/>
      </c>
      <c r="M313" s="38" t="str">
        <f t="shared" si="56"/>
        <v/>
      </c>
      <c r="N313" s="38" t="str">
        <f t="shared" si="67"/>
        <v/>
      </c>
      <c r="O313" s="38" t="str">
        <f t="shared" si="68"/>
        <v/>
      </c>
      <c r="P313" s="38" t="str">
        <f t="shared" si="57"/>
        <v/>
      </c>
      <c r="Q313" s="38" t="str">
        <f t="shared" si="58"/>
        <v/>
      </c>
      <c r="R313" s="38"/>
    </row>
    <row r="314" spans="1:18" x14ac:dyDescent="0.2">
      <c r="A314" t="str">
        <f t="shared" si="59"/>
        <v/>
      </c>
      <c r="B314" s="38" t="str">
        <f t="shared" si="60"/>
        <v/>
      </c>
      <c r="C314" s="38" t="str">
        <f t="shared" si="69"/>
        <v/>
      </c>
      <c r="D314" s="38" t="str">
        <f t="shared" si="61"/>
        <v/>
      </c>
      <c r="E314" s="38" t="str">
        <f t="shared" si="62"/>
        <v/>
      </c>
      <c r="F314" s="38" t="str">
        <f t="shared" si="63"/>
        <v/>
      </c>
      <c r="G314" s="38" t="str">
        <f t="shared" si="64"/>
        <v/>
      </c>
      <c r="H314" s="38" t="str">
        <f t="shared" si="65"/>
        <v/>
      </c>
      <c r="L314" t="str">
        <f t="shared" si="66"/>
        <v/>
      </c>
      <c r="M314" s="38" t="str">
        <f t="shared" si="56"/>
        <v/>
      </c>
      <c r="N314" s="38" t="str">
        <f t="shared" si="67"/>
        <v/>
      </c>
      <c r="O314" s="38" t="str">
        <f t="shared" si="68"/>
        <v/>
      </c>
      <c r="P314" s="38" t="str">
        <f t="shared" si="57"/>
        <v/>
      </c>
      <c r="Q314" s="38" t="str">
        <f t="shared" si="58"/>
        <v/>
      </c>
      <c r="R314" s="38"/>
    </row>
    <row r="315" spans="1:18" x14ac:dyDescent="0.2">
      <c r="A315" t="str">
        <f t="shared" si="59"/>
        <v/>
      </c>
      <c r="B315" s="38" t="str">
        <f t="shared" si="60"/>
        <v/>
      </c>
      <c r="C315" s="38" t="str">
        <f t="shared" si="69"/>
        <v/>
      </c>
      <c r="D315" s="38" t="str">
        <f t="shared" si="61"/>
        <v/>
      </c>
      <c r="E315" s="38" t="str">
        <f t="shared" si="62"/>
        <v/>
      </c>
      <c r="F315" s="38" t="str">
        <f t="shared" si="63"/>
        <v/>
      </c>
      <c r="G315" s="38" t="str">
        <f t="shared" si="64"/>
        <v/>
      </c>
      <c r="H315" s="38" t="str">
        <f t="shared" si="65"/>
        <v/>
      </c>
      <c r="L315" t="str">
        <f t="shared" si="66"/>
        <v/>
      </c>
      <c r="M315" s="38" t="str">
        <f t="shared" si="56"/>
        <v/>
      </c>
      <c r="N315" s="38" t="str">
        <f t="shared" si="67"/>
        <v/>
      </c>
      <c r="O315" s="38" t="str">
        <f t="shared" si="68"/>
        <v/>
      </c>
      <c r="P315" s="38" t="str">
        <f t="shared" si="57"/>
        <v/>
      </c>
      <c r="Q315" s="38" t="str">
        <f t="shared" si="58"/>
        <v/>
      </c>
      <c r="R315" s="38"/>
    </row>
    <row r="316" spans="1:18" x14ac:dyDescent="0.2">
      <c r="A316" t="str">
        <f t="shared" si="59"/>
        <v/>
      </c>
      <c r="B316" s="38" t="str">
        <f t="shared" si="60"/>
        <v/>
      </c>
      <c r="C316" s="38" t="str">
        <f t="shared" si="69"/>
        <v/>
      </c>
      <c r="D316" s="38" t="str">
        <f t="shared" si="61"/>
        <v/>
      </c>
      <c r="E316" s="38" t="str">
        <f t="shared" si="62"/>
        <v/>
      </c>
      <c r="F316" s="38" t="str">
        <f t="shared" si="63"/>
        <v/>
      </c>
      <c r="G316" s="38" t="str">
        <f t="shared" si="64"/>
        <v/>
      </c>
      <c r="H316" s="38" t="str">
        <f t="shared" si="65"/>
        <v/>
      </c>
      <c r="L316" t="str">
        <f t="shared" si="66"/>
        <v/>
      </c>
      <c r="M316" s="38" t="str">
        <f t="shared" si="56"/>
        <v/>
      </c>
      <c r="N316" s="38" t="str">
        <f t="shared" si="67"/>
        <v/>
      </c>
      <c r="O316" s="38" t="str">
        <f t="shared" si="68"/>
        <v/>
      </c>
      <c r="P316" s="38" t="str">
        <f t="shared" si="57"/>
        <v/>
      </c>
      <c r="Q316" s="38" t="str">
        <f t="shared" si="58"/>
        <v/>
      </c>
      <c r="R316" s="38"/>
    </row>
    <row r="317" spans="1:18" x14ac:dyDescent="0.2">
      <c r="A317" t="str">
        <f t="shared" si="59"/>
        <v/>
      </c>
      <c r="B317" s="38" t="str">
        <f t="shared" si="60"/>
        <v/>
      </c>
      <c r="C317" s="38" t="str">
        <f t="shared" si="69"/>
        <v/>
      </c>
      <c r="D317" s="38" t="str">
        <f t="shared" si="61"/>
        <v/>
      </c>
      <c r="E317" s="38" t="str">
        <f t="shared" si="62"/>
        <v/>
      </c>
      <c r="F317" s="38" t="str">
        <f t="shared" si="63"/>
        <v/>
      </c>
      <c r="G317" s="38" t="str">
        <f t="shared" si="64"/>
        <v/>
      </c>
      <c r="H317" s="38" t="str">
        <f t="shared" si="65"/>
        <v/>
      </c>
      <c r="L317" t="str">
        <f t="shared" si="66"/>
        <v/>
      </c>
      <c r="M317" s="38" t="str">
        <f t="shared" si="56"/>
        <v/>
      </c>
      <c r="N317" s="38" t="str">
        <f t="shared" si="67"/>
        <v/>
      </c>
      <c r="O317" s="38" t="str">
        <f t="shared" si="68"/>
        <v/>
      </c>
      <c r="P317" s="38" t="str">
        <f t="shared" si="57"/>
        <v/>
      </c>
      <c r="Q317" s="38" t="str">
        <f t="shared" si="58"/>
        <v/>
      </c>
      <c r="R317" s="38"/>
    </row>
    <row r="318" spans="1:18" x14ac:dyDescent="0.2">
      <c r="A318" t="str">
        <f t="shared" si="59"/>
        <v/>
      </c>
      <c r="B318" s="38" t="str">
        <f t="shared" si="60"/>
        <v/>
      </c>
      <c r="C318" s="38" t="str">
        <f t="shared" si="69"/>
        <v/>
      </c>
      <c r="D318" s="38" t="str">
        <f t="shared" si="61"/>
        <v/>
      </c>
      <c r="E318" s="38" t="str">
        <f t="shared" si="62"/>
        <v/>
      </c>
      <c r="F318" s="38" t="str">
        <f t="shared" si="63"/>
        <v/>
      </c>
      <c r="G318" s="38" t="str">
        <f t="shared" si="64"/>
        <v/>
      </c>
      <c r="H318" s="38" t="str">
        <f t="shared" si="65"/>
        <v/>
      </c>
      <c r="L318" t="str">
        <f t="shared" si="66"/>
        <v/>
      </c>
      <c r="M318" s="38" t="str">
        <f t="shared" si="56"/>
        <v/>
      </c>
      <c r="N318" s="38" t="str">
        <f t="shared" si="67"/>
        <v/>
      </c>
      <c r="O318" s="38" t="str">
        <f t="shared" si="68"/>
        <v/>
      </c>
      <c r="P318" s="38" t="str">
        <f t="shared" si="57"/>
        <v/>
      </c>
      <c r="Q318" s="38" t="str">
        <f t="shared" si="58"/>
        <v/>
      </c>
      <c r="R318" s="38"/>
    </row>
    <row r="319" spans="1:18" x14ac:dyDescent="0.2">
      <c r="A319" t="str">
        <f t="shared" si="59"/>
        <v/>
      </c>
      <c r="B319" s="38" t="str">
        <f t="shared" si="60"/>
        <v/>
      </c>
      <c r="C319" s="38" t="str">
        <f t="shared" si="69"/>
        <v/>
      </c>
      <c r="D319" s="38" t="str">
        <f t="shared" si="61"/>
        <v/>
      </c>
      <c r="E319" s="38" t="str">
        <f t="shared" si="62"/>
        <v/>
      </c>
      <c r="F319" s="38" t="str">
        <f t="shared" si="63"/>
        <v/>
      </c>
      <c r="G319" s="38" t="str">
        <f t="shared" si="64"/>
        <v/>
      </c>
      <c r="H319" s="38" t="str">
        <f t="shared" si="65"/>
        <v/>
      </c>
      <c r="L319" t="str">
        <f t="shared" si="66"/>
        <v/>
      </c>
      <c r="M319" s="38" t="str">
        <f t="shared" si="56"/>
        <v/>
      </c>
      <c r="N319" s="38" t="str">
        <f t="shared" si="67"/>
        <v/>
      </c>
      <c r="O319" s="38" t="str">
        <f t="shared" si="68"/>
        <v/>
      </c>
      <c r="P319" s="38" t="str">
        <f t="shared" si="57"/>
        <v/>
      </c>
      <c r="Q319" s="38" t="str">
        <f t="shared" si="58"/>
        <v/>
      </c>
      <c r="R319" s="38"/>
    </row>
    <row r="320" spans="1:18" x14ac:dyDescent="0.2">
      <c r="A320" t="str">
        <f t="shared" si="59"/>
        <v/>
      </c>
      <c r="B320" s="38" t="str">
        <f t="shared" si="60"/>
        <v/>
      </c>
      <c r="C320" s="38" t="str">
        <f t="shared" si="69"/>
        <v/>
      </c>
      <c r="D320" s="38" t="str">
        <f t="shared" si="61"/>
        <v/>
      </c>
      <c r="E320" s="38" t="str">
        <f t="shared" si="62"/>
        <v/>
      </c>
      <c r="F320" s="38" t="str">
        <f t="shared" si="63"/>
        <v/>
      </c>
      <c r="G320" s="38" t="str">
        <f t="shared" si="64"/>
        <v/>
      </c>
      <c r="H320" s="38" t="str">
        <f t="shared" si="65"/>
        <v/>
      </c>
      <c r="L320" t="str">
        <f t="shared" si="66"/>
        <v/>
      </c>
      <c r="M320" s="38" t="str">
        <f t="shared" si="56"/>
        <v/>
      </c>
      <c r="N320" s="38" t="str">
        <f t="shared" si="67"/>
        <v/>
      </c>
      <c r="O320" s="38" t="str">
        <f t="shared" si="68"/>
        <v/>
      </c>
      <c r="P320" s="38" t="str">
        <f t="shared" si="57"/>
        <v/>
      </c>
      <c r="Q320" s="38" t="str">
        <f t="shared" si="58"/>
        <v/>
      </c>
      <c r="R320" s="38"/>
    </row>
    <row r="321" spans="1:18" x14ac:dyDescent="0.2">
      <c r="A321" t="str">
        <f t="shared" si="59"/>
        <v/>
      </c>
      <c r="B321" s="38" t="str">
        <f t="shared" si="60"/>
        <v/>
      </c>
      <c r="C321" s="38" t="str">
        <f t="shared" si="69"/>
        <v/>
      </c>
      <c r="D321" s="38" t="str">
        <f t="shared" si="61"/>
        <v/>
      </c>
      <c r="E321" s="38" t="str">
        <f t="shared" si="62"/>
        <v/>
      </c>
      <c r="F321" s="38" t="str">
        <f t="shared" si="63"/>
        <v/>
      </c>
      <c r="G321" s="38" t="str">
        <f t="shared" si="64"/>
        <v/>
      </c>
      <c r="H321" s="38" t="str">
        <f t="shared" si="65"/>
        <v/>
      </c>
      <c r="L321" t="str">
        <f t="shared" si="66"/>
        <v/>
      </c>
      <c r="M321" s="38" t="str">
        <f t="shared" si="56"/>
        <v/>
      </c>
      <c r="N321" s="38" t="str">
        <f t="shared" si="67"/>
        <v/>
      </c>
      <c r="O321" s="38" t="str">
        <f t="shared" si="68"/>
        <v/>
      </c>
      <c r="P321" s="38" t="str">
        <f t="shared" si="57"/>
        <v/>
      </c>
      <c r="Q321" s="38" t="str">
        <f t="shared" si="58"/>
        <v/>
      </c>
      <c r="R321" s="38"/>
    </row>
    <row r="322" spans="1:18" x14ac:dyDescent="0.2">
      <c r="A322" t="str">
        <f t="shared" si="59"/>
        <v/>
      </c>
      <c r="B322" s="38" t="str">
        <f t="shared" si="60"/>
        <v/>
      </c>
      <c r="C322" s="38" t="str">
        <f t="shared" si="69"/>
        <v/>
      </c>
      <c r="D322" s="38" t="str">
        <f t="shared" si="61"/>
        <v/>
      </c>
      <c r="E322" s="38" t="str">
        <f t="shared" si="62"/>
        <v/>
      </c>
      <c r="F322" s="38" t="str">
        <f t="shared" si="63"/>
        <v/>
      </c>
      <c r="G322" s="38" t="str">
        <f t="shared" si="64"/>
        <v/>
      </c>
      <c r="H322" s="38" t="str">
        <f t="shared" si="65"/>
        <v/>
      </c>
      <c r="L322" t="str">
        <f t="shared" si="66"/>
        <v/>
      </c>
      <c r="M322" s="38" t="str">
        <f t="shared" si="56"/>
        <v/>
      </c>
      <c r="N322" s="38" t="str">
        <f t="shared" si="67"/>
        <v/>
      </c>
      <c r="O322" s="38" t="str">
        <f t="shared" si="68"/>
        <v/>
      </c>
      <c r="P322" s="38" t="str">
        <f t="shared" si="57"/>
        <v/>
      </c>
      <c r="Q322" s="38" t="str">
        <f t="shared" si="58"/>
        <v/>
      </c>
      <c r="R322" s="38"/>
    </row>
    <row r="323" spans="1:18" x14ac:dyDescent="0.2">
      <c r="A323" t="str">
        <f t="shared" si="59"/>
        <v/>
      </c>
      <c r="B323" s="38" t="str">
        <f t="shared" si="60"/>
        <v/>
      </c>
      <c r="C323" s="38" t="str">
        <f t="shared" si="69"/>
        <v/>
      </c>
      <c r="D323" s="38" t="str">
        <f t="shared" si="61"/>
        <v/>
      </c>
      <c r="E323" s="38" t="str">
        <f t="shared" si="62"/>
        <v/>
      </c>
      <c r="F323" s="38" t="str">
        <f t="shared" si="63"/>
        <v/>
      </c>
      <c r="G323" s="38" t="str">
        <f t="shared" si="64"/>
        <v/>
      </c>
      <c r="H323" s="38" t="str">
        <f t="shared" si="65"/>
        <v/>
      </c>
      <c r="L323" t="str">
        <f t="shared" si="66"/>
        <v/>
      </c>
      <c r="M323" s="38" t="str">
        <f t="shared" si="56"/>
        <v/>
      </c>
      <c r="N323" s="38" t="str">
        <f t="shared" si="67"/>
        <v/>
      </c>
      <c r="O323" s="38" t="str">
        <f t="shared" si="68"/>
        <v/>
      </c>
      <c r="P323" s="38" t="str">
        <f t="shared" si="57"/>
        <v/>
      </c>
      <c r="Q323" s="38" t="str">
        <f t="shared" si="58"/>
        <v/>
      </c>
      <c r="R323" s="38"/>
    </row>
    <row r="324" spans="1:18" x14ac:dyDescent="0.2">
      <c r="A324" t="str">
        <f t="shared" si="59"/>
        <v/>
      </c>
      <c r="B324" s="38" t="str">
        <f t="shared" si="60"/>
        <v/>
      </c>
      <c r="C324" s="38" t="str">
        <f t="shared" si="69"/>
        <v/>
      </c>
      <c r="D324" s="38" t="str">
        <f t="shared" si="61"/>
        <v/>
      </c>
      <c r="E324" s="38" t="str">
        <f t="shared" si="62"/>
        <v/>
      </c>
      <c r="F324" s="38" t="str">
        <f t="shared" si="63"/>
        <v/>
      </c>
      <c r="G324" s="38" t="str">
        <f t="shared" si="64"/>
        <v/>
      </c>
      <c r="H324" s="38" t="str">
        <f t="shared" si="65"/>
        <v/>
      </c>
      <c r="L324" t="str">
        <f t="shared" si="66"/>
        <v/>
      </c>
      <c r="M324" s="38" t="str">
        <f t="shared" si="56"/>
        <v/>
      </c>
      <c r="N324" s="38" t="str">
        <f t="shared" si="67"/>
        <v/>
      </c>
      <c r="O324" s="38" t="str">
        <f t="shared" si="68"/>
        <v/>
      </c>
      <c r="P324" s="38" t="str">
        <f t="shared" si="57"/>
        <v/>
      </c>
      <c r="Q324" s="38" t="str">
        <f t="shared" si="58"/>
        <v/>
      </c>
      <c r="R324" s="38"/>
    </row>
    <row r="325" spans="1:18" x14ac:dyDescent="0.2">
      <c r="A325" t="str">
        <f t="shared" si="59"/>
        <v/>
      </c>
      <c r="B325" s="38" t="str">
        <f t="shared" si="60"/>
        <v/>
      </c>
      <c r="C325" s="38" t="str">
        <f t="shared" si="69"/>
        <v/>
      </c>
      <c r="D325" s="38" t="str">
        <f t="shared" si="61"/>
        <v/>
      </c>
      <c r="E325" s="38" t="str">
        <f t="shared" si="62"/>
        <v/>
      </c>
      <c r="F325" s="38" t="str">
        <f t="shared" si="63"/>
        <v/>
      </c>
      <c r="G325" s="38" t="str">
        <f t="shared" si="64"/>
        <v/>
      </c>
      <c r="H325" s="38" t="str">
        <f t="shared" si="65"/>
        <v/>
      </c>
      <c r="L325" t="str">
        <f t="shared" si="66"/>
        <v/>
      </c>
      <c r="M325" s="38" t="str">
        <f t="shared" si="56"/>
        <v/>
      </c>
      <c r="N325" s="38" t="str">
        <f t="shared" si="67"/>
        <v/>
      </c>
      <c r="O325" s="38" t="str">
        <f t="shared" si="68"/>
        <v/>
      </c>
      <c r="P325" s="38" t="str">
        <f t="shared" si="57"/>
        <v/>
      </c>
      <c r="Q325" s="38" t="str">
        <f t="shared" si="58"/>
        <v/>
      </c>
      <c r="R325" s="38"/>
    </row>
    <row r="326" spans="1:18" x14ac:dyDescent="0.2">
      <c r="A326" t="str">
        <f t="shared" si="59"/>
        <v/>
      </c>
      <c r="B326" s="38" t="str">
        <f t="shared" si="60"/>
        <v/>
      </c>
      <c r="C326" s="38" t="str">
        <f t="shared" si="69"/>
        <v/>
      </c>
      <c r="D326" s="38" t="str">
        <f t="shared" si="61"/>
        <v/>
      </c>
      <c r="E326" s="38" t="str">
        <f t="shared" si="62"/>
        <v/>
      </c>
      <c r="F326" s="38" t="str">
        <f t="shared" si="63"/>
        <v/>
      </c>
      <c r="G326" s="38" t="str">
        <f t="shared" si="64"/>
        <v/>
      </c>
      <c r="H326" s="38" t="str">
        <f t="shared" si="65"/>
        <v/>
      </c>
      <c r="L326" t="str">
        <f t="shared" si="66"/>
        <v/>
      </c>
      <c r="M326" s="38" t="str">
        <f t="shared" si="56"/>
        <v/>
      </c>
      <c r="N326" s="38" t="str">
        <f t="shared" si="67"/>
        <v/>
      </c>
      <c r="O326" s="38" t="str">
        <f t="shared" si="68"/>
        <v/>
      </c>
      <c r="P326" s="38" t="str">
        <f t="shared" si="57"/>
        <v/>
      </c>
      <c r="Q326" s="38" t="str">
        <f t="shared" si="58"/>
        <v/>
      </c>
      <c r="R326" s="38"/>
    </row>
    <row r="327" spans="1:18" x14ac:dyDescent="0.2">
      <c r="A327" t="str">
        <f t="shared" si="59"/>
        <v/>
      </c>
      <c r="B327" s="38" t="str">
        <f t="shared" si="60"/>
        <v/>
      </c>
      <c r="C327" s="38" t="str">
        <f t="shared" si="69"/>
        <v/>
      </c>
      <c r="D327" s="38" t="str">
        <f t="shared" si="61"/>
        <v/>
      </c>
      <c r="E327" s="38" t="str">
        <f t="shared" si="62"/>
        <v/>
      </c>
      <c r="F327" s="38" t="str">
        <f t="shared" si="63"/>
        <v/>
      </c>
      <c r="G327" s="38" t="str">
        <f t="shared" si="64"/>
        <v/>
      </c>
      <c r="H327" s="38" t="str">
        <f t="shared" si="65"/>
        <v/>
      </c>
      <c r="L327" t="str">
        <f t="shared" si="66"/>
        <v/>
      </c>
      <c r="M327" s="38" t="str">
        <f t="shared" si="56"/>
        <v/>
      </c>
      <c r="N327" s="38" t="str">
        <f t="shared" si="67"/>
        <v/>
      </c>
      <c r="O327" s="38" t="str">
        <f t="shared" si="68"/>
        <v/>
      </c>
      <c r="P327" s="38" t="str">
        <f t="shared" si="57"/>
        <v/>
      </c>
      <c r="Q327" s="38" t="str">
        <f t="shared" si="58"/>
        <v/>
      </c>
      <c r="R327" s="38"/>
    </row>
    <row r="328" spans="1:18" x14ac:dyDescent="0.2">
      <c r="A328" t="str">
        <f t="shared" si="59"/>
        <v/>
      </c>
      <c r="B328" s="38" t="str">
        <f t="shared" si="60"/>
        <v/>
      </c>
      <c r="C328" s="38" t="str">
        <f t="shared" si="69"/>
        <v/>
      </c>
      <c r="D328" s="38" t="str">
        <f t="shared" si="61"/>
        <v/>
      </c>
      <c r="E328" s="38" t="str">
        <f t="shared" si="62"/>
        <v/>
      </c>
      <c r="F328" s="38" t="str">
        <f t="shared" si="63"/>
        <v/>
      </c>
      <c r="G328" s="38" t="str">
        <f t="shared" si="64"/>
        <v/>
      </c>
      <c r="H328" s="38" t="str">
        <f t="shared" si="65"/>
        <v/>
      </c>
      <c r="L328" t="str">
        <f t="shared" si="66"/>
        <v/>
      </c>
      <c r="M328" s="38" t="str">
        <f t="shared" si="56"/>
        <v/>
      </c>
      <c r="N328" s="38" t="str">
        <f t="shared" si="67"/>
        <v/>
      </c>
      <c r="O328" s="38" t="str">
        <f t="shared" si="68"/>
        <v/>
      </c>
      <c r="P328" s="38" t="str">
        <f t="shared" si="57"/>
        <v/>
      </c>
      <c r="Q328" s="38" t="str">
        <f t="shared" si="58"/>
        <v/>
      </c>
      <c r="R328" s="38"/>
    </row>
    <row r="329" spans="1:18" x14ac:dyDescent="0.2">
      <c r="A329" t="str">
        <f t="shared" si="59"/>
        <v/>
      </c>
      <c r="B329" s="38" t="str">
        <f t="shared" si="60"/>
        <v/>
      </c>
      <c r="C329" s="38" t="str">
        <f t="shared" si="69"/>
        <v/>
      </c>
      <c r="D329" s="38" t="str">
        <f t="shared" si="61"/>
        <v/>
      </c>
      <c r="E329" s="38" t="str">
        <f t="shared" si="62"/>
        <v/>
      </c>
      <c r="F329" s="38" t="str">
        <f t="shared" si="63"/>
        <v/>
      </c>
      <c r="G329" s="38" t="str">
        <f t="shared" si="64"/>
        <v/>
      </c>
      <c r="H329" s="38" t="str">
        <f t="shared" si="65"/>
        <v/>
      </c>
      <c r="L329" t="str">
        <f t="shared" si="66"/>
        <v/>
      </c>
      <c r="M329" s="38" t="str">
        <f t="shared" si="56"/>
        <v/>
      </c>
      <c r="N329" s="38" t="str">
        <f t="shared" si="67"/>
        <v/>
      </c>
      <c r="O329" s="38" t="str">
        <f t="shared" si="68"/>
        <v/>
      </c>
      <c r="P329" s="38" t="str">
        <f t="shared" si="57"/>
        <v/>
      </c>
      <c r="Q329" s="38" t="str">
        <f t="shared" si="58"/>
        <v/>
      </c>
      <c r="R329" s="38"/>
    </row>
    <row r="330" spans="1:18" x14ac:dyDescent="0.2">
      <c r="A330" t="str">
        <f t="shared" si="59"/>
        <v/>
      </c>
      <c r="B330" s="38" t="str">
        <f t="shared" si="60"/>
        <v/>
      </c>
      <c r="C330" s="38" t="str">
        <f t="shared" si="69"/>
        <v/>
      </c>
      <c r="D330" s="38" t="str">
        <f t="shared" si="61"/>
        <v/>
      </c>
      <c r="E330" s="38" t="str">
        <f t="shared" si="62"/>
        <v/>
      </c>
      <c r="F330" s="38" t="str">
        <f t="shared" si="63"/>
        <v/>
      </c>
      <c r="G330" s="38" t="str">
        <f t="shared" si="64"/>
        <v/>
      </c>
      <c r="H330" s="38" t="str">
        <f t="shared" si="65"/>
        <v/>
      </c>
      <c r="L330" t="str">
        <f t="shared" si="66"/>
        <v/>
      </c>
      <c r="M330" s="38" t="str">
        <f t="shared" si="56"/>
        <v/>
      </c>
      <c r="N330" s="38" t="str">
        <f t="shared" si="67"/>
        <v/>
      </c>
      <c r="O330" s="38" t="str">
        <f t="shared" si="68"/>
        <v/>
      </c>
      <c r="P330" s="38" t="str">
        <f t="shared" si="57"/>
        <v/>
      </c>
      <c r="Q330" s="38" t="str">
        <f t="shared" si="58"/>
        <v/>
      </c>
      <c r="R330" s="38"/>
    </row>
    <row r="331" spans="1:18" x14ac:dyDescent="0.2">
      <c r="A331" t="str">
        <f t="shared" si="59"/>
        <v/>
      </c>
      <c r="B331" s="38" t="str">
        <f t="shared" si="60"/>
        <v/>
      </c>
      <c r="C331" s="38" t="str">
        <f t="shared" si="69"/>
        <v/>
      </c>
      <c r="D331" s="38" t="str">
        <f t="shared" si="61"/>
        <v/>
      </c>
      <c r="E331" s="38" t="str">
        <f t="shared" si="62"/>
        <v/>
      </c>
      <c r="F331" s="38" t="str">
        <f t="shared" si="63"/>
        <v/>
      </c>
      <c r="G331" s="38" t="str">
        <f t="shared" si="64"/>
        <v/>
      </c>
      <c r="H331" s="38" t="str">
        <f t="shared" si="65"/>
        <v/>
      </c>
      <c r="L331" t="str">
        <f t="shared" si="66"/>
        <v/>
      </c>
      <c r="M331" s="38" t="str">
        <f t="shared" si="56"/>
        <v/>
      </c>
      <c r="N331" s="38" t="str">
        <f t="shared" si="67"/>
        <v/>
      </c>
      <c r="O331" s="38" t="str">
        <f t="shared" si="68"/>
        <v/>
      </c>
      <c r="P331" s="38" t="str">
        <f t="shared" si="57"/>
        <v/>
      </c>
      <c r="Q331" s="38" t="str">
        <f t="shared" si="58"/>
        <v/>
      </c>
      <c r="R331" s="38"/>
    </row>
    <row r="332" spans="1:18" x14ac:dyDescent="0.2">
      <c r="A332" t="str">
        <f t="shared" si="59"/>
        <v/>
      </c>
      <c r="B332" s="38" t="str">
        <f t="shared" si="60"/>
        <v/>
      </c>
      <c r="C332" s="38" t="str">
        <f t="shared" si="69"/>
        <v/>
      </c>
      <c r="D332" s="38" t="str">
        <f t="shared" si="61"/>
        <v/>
      </c>
      <c r="E332" s="38" t="str">
        <f t="shared" si="62"/>
        <v/>
      </c>
      <c r="F332" s="38" t="str">
        <f t="shared" si="63"/>
        <v/>
      </c>
      <c r="G332" s="38" t="str">
        <f t="shared" si="64"/>
        <v/>
      </c>
      <c r="H332" s="38" t="str">
        <f t="shared" si="65"/>
        <v/>
      </c>
      <c r="L332" t="str">
        <f t="shared" si="66"/>
        <v/>
      </c>
      <c r="M332" s="38" t="str">
        <f t="shared" si="56"/>
        <v/>
      </c>
      <c r="N332" s="38" t="str">
        <f t="shared" si="67"/>
        <v/>
      </c>
      <c r="O332" s="38" t="str">
        <f t="shared" si="68"/>
        <v/>
      </c>
      <c r="P332" s="38" t="str">
        <f t="shared" si="57"/>
        <v/>
      </c>
      <c r="Q332" s="38" t="str">
        <f t="shared" si="58"/>
        <v/>
      </c>
      <c r="R332" s="38"/>
    </row>
    <row r="333" spans="1:18" x14ac:dyDescent="0.2">
      <c r="A333" t="str">
        <f t="shared" si="59"/>
        <v/>
      </c>
      <c r="B333" s="38" t="str">
        <f t="shared" si="60"/>
        <v/>
      </c>
      <c r="C333" s="38" t="str">
        <f t="shared" si="69"/>
        <v/>
      </c>
      <c r="D333" s="38" t="str">
        <f t="shared" si="61"/>
        <v/>
      </c>
      <c r="E333" s="38" t="str">
        <f t="shared" si="62"/>
        <v/>
      </c>
      <c r="F333" s="38" t="str">
        <f t="shared" si="63"/>
        <v/>
      </c>
      <c r="G333" s="38" t="str">
        <f t="shared" si="64"/>
        <v/>
      </c>
      <c r="H333" s="38" t="str">
        <f t="shared" si="65"/>
        <v/>
      </c>
      <c r="L333" t="str">
        <f t="shared" si="66"/>
        <v/>
      </c>
      <c r="M333" s="38" t="str">
        <f t="shared" si="56"/>
        <v/>
      </c>
      <c r="N333" s="38" t="str">
        <f t="shared" si="67"/>
        <v/>
      </c>
      <c r="O333" s="38" t="str">
        <f t="shared" si="68"/>
        <v/>
      </c>
      <c r="P333" s="38" t="str">
        <f t="shared" si="57"/>
        <v/>
      </c>
      <c r="Q333" s="38" t="str">
        <f t="shared" si="58"/>
        <v/>
      </c>
      <c r="R333" s="38"/>
    </row>
    <row r="334" spans="1:18" x14ac:dyDescent="0.2">
      <c r="A334" t="str">
        <f t="shared" si="59"/>
        <v/>
      </c>
      <c r="B334" s="38" t="str">
        <f t="shared" si="60"/>
        <v/>
      </c>
      <c r="C334" s="38" t="str">
        <f t="shared" si="69"/>
        <v/>
      </c>
      <c r="D334" s="38" t="str">
        <f t="shared" si="61"/>
        <v/>
      </c>
      <c r="E334" s="38" t="str">
        <f t="shared" si="62"/>
        <v/>
      </c>
      <c r="F334" s="38" t="str">
        <f t="shared" si="63"/>
        <v/>
      </c>
      <c r="G334" s="38" t="str">
        <f t="shared" si="64"/>
        <v/>
      </c>
      <c r="H334" s="38" t="str">
        <f t="shared" si="65"/>
        <v/>
      </c>
      <c r="L334" t="str">
        <f t="shared" si="66"/>
        <v/>
      </c>
      <c r="M334" s="38" t="str">
        <f t="shared" si="56"/>
        <v/>
      </c>
      <c r="N334" s="38" t="str">
        <f t="shared" si="67"/>
        <v/>
      </c>
      <c r="O334" s="38" t="str">
        <f t="shared" si="68"/>
        <v/>
      </c>
      <c r="P334" s="38" t="str">
        <f t="shared" si="57"/>
        <v/>
      </c>
      <c r="Q334" s="38" t="str">
        <f t="shared" si="58"/>
        <v/>
      </c>
      <c r="R334" s="38"/>
    </row>
    <row r="335" spans="1:18" x14ac:dyDescent="0.2">
      <c r="A335" t="str">
        <f t="shared" si="59"/>
        <v/>
      </c>
      <c r="B335" s="38" t="str">
        <f t="shared" si="60"/>
        <v/>
      </c>
      <c r="C335" s="38" t="str">
        <f t="shared" si="69"/>
        <v/>
      </c>
      <c r="D335" s="38" t="str">
        <f t="shared" si="61"/>
        <v/>
      </c>
      <c r="E335" s="38" t="str">
        <f t="shared" si="62"/>
        <v/>
      </c>
      <c r="F335" s="38" t="str">
        <f t="shared" si="63"/>
        <v/>
      </c>
      <c r="G335" s="38" t="str">
        <f t="shared" si="64"/>
        <v/>
      </c>
      <c r="H335" s="38" t="str">
        <f t="shared" si="65"/>
        <v/>
      </c>
      <c r="L335" t="str">
        <f t="shared" si="66"/>
        <v/>
      </c>
      <c r="M335" s="38" t="str">
        <f t="shared" si="56"/>
        <v/>
      </c>
      <c r="N335" s="38" t="str">
        <f t="shared" si="67"/>
        <v/>
      </c>
      <c r="O335" s="38" t="str">
        <f t="shared" si="68"/>
        <v/>
      </c>
      <c r="P335" s="38" t="str">
        <f t="shared" si="57"/>
        <v/>
      </c>
      <c r="Q335" s="38" t="str">
        <f t="shared" si="58"/>
        <v/>
      </c>
      <c r="R335" s="38"/>
    </row>
    <row r="336" spans="1:18" x14ac:dyDescent="0.2">
      <c r="A336" t="str">
        <f t="shared" si="59"/>
        <v/>
      </c>
      <c r="B336" s="38" t="str">
        <f t="shared" si="60"/>
        <v/>
      </c>
      <c r="C336" s="38" t="str">
        <f t="shared" si="69"/>
        <v/>
      </c>
      <c r="D336" s="38" t="str">
        <f t="shared" si="61"/>
        <v/>
      </c>
      <c r="E336" s="38" t="str">
        <f t="shared" si="62"/>
        <v/>
      </c>
      <c r="F336" s="38" t="str">
        <f t="shared" si="63"/>
        <v/>
      </c>
      <c r="G336" s="38" t="str">
        <f t="shared" si="64"/>
        <v/>
      </c>
      <c r="H336" s="38" t="str">
        <f t="shared" si="65"/>
        <v/>
      </c>
      <c r="L336" t="str">
        <f t="shared" si="66"/>
        <v/>
      </c>
      <c r="M336" s="38" t="str">
        <f t="shared" si="56"/>
        <v/>
      </c>
      <c r="N336" s="38" t="str">
        <f t="shared" si="67"/>
        <v/>
      </c>
      <c r="O336" s="38" t="str">
        <f t="shared" si="68"/>
        <v/>
      </c>
      <c r="P336" s="38" t="str">
        <f t="shared" si="57"/>
        <v/>
      </c>
      <c r="Q336" s="38" t="str">
        <f t="shared" si="58"/>
        <v/>
      </c>
      <c r="R336" s="38"/>
    </row>
    <row r="337" spans="1:18" x14ac:dyDescent="0.2">
      <c r="A337" t="str">
        <f t="shared" si="59"/>
        <v/>
      </c>
      <c r="B337" s="38" t="str">
        <f t="shared" si="60"/>
        <v/>
      </c>
      <c r="C337" s="38" t="str">
        <f t="shared" si="69"/>
        <v/>
      </c>
      <c r="D337" s="38" t="str">
        <f t="shared" si="61"/>
        <v/>
      </c>
      <c r="E337" s="38" t="str">
        <f t="shared" si="62"/>
        <v/>
      </c>
      <c r="F337" s="38" t="str">
        <f t="shared" si="63"/>
        <v/>
      </c>
      <c r="G337" s="38" t="str">
        <f t="shared" si="64"/>
        <v/>
      </c>
      <c r="H337" s="38" t="str">
        <f t="shared" si="65"/>
        <v/>
      </c>
      <c r="L337" t="str">
        <f t="shared" si="66"/>
        <v/>
      </c>
      <c r="M337" s="38" t="str">
        <f t="shared" si="56"/>
        <v/>
      </c>
      <c r="N337" s="38" t="str">
        <f t="shared" si="67"/>
        <v/>
      </c>
      <c r="O337" s="38" t="str">
        <f t="shared" si="68"/>
        <v/>
      </c>
      <c r="P337" s="38" t="str">
        <f t="shared" si="57"/>
        <v/>
      </c>
      <c r="Q337" s="38" t="str">
        <f t="shared" si="58"/>
        <v/>
      </c>
      <c r="R337" s="38"/>
    </row>
    <row r="338" spans="1:18" x14ac:dyDescent="0.2">
      <c r="A338" t="str">
        <f t="shared" si="59"/>
        <v/>
      </c>
      <c r="B338" s="38" t="str">
        <f t="shared" si="60"/>
        <v/>
      </c>
      <c r="C338" s="38" t="str">
        <f t="shared" si="69"/>
        <v/>
      </c>
      <c r="D338" s="38" t="str">
        <f t="shared" si="61"/>
        <v/>
      </c>
      <c r="E338" s="38" t="str">
        <f t="shared" si="62"/>
        <v/>
      </c>
      <c r="F338" s="38" t="str">
        <f t="shared" si="63"/>
        <v/>
      </c>
      <c r="G338" s="38" t="str">
        <f t="shared" si="64"/>
        <v/>
      </c>
      <c r="H338" s="38" t="str">
        <f t="shared" si="65"/>
        <v/>
      </c>
      <c r="L338" t="str">
        <f t="shared" si="66"/>
        <v/>
      </c>
      <c r="M338" s="38" t="str">
        <f t="shared" si="56"/>
        <v/>
      </c>
      <c r="N338" s="38" t="str">
        <f t="shared" si="67"/>
        <v/>
      </c>
      <c r="O338" s="38" t="str">
        <f t="shared" si="68"/>
        <v/>
      </c>
      <c r="P338" s="38" t="str">
        <f t="shared" si="57"/>
        <v/>
      </c>
      <c r="Q338" s="38" t="str">
        <f t="shared" si="58"/>
        <v/>
      </c>
      <c r="R338" s="38"/>
    </row>
    <row r="339" spans="1:18" x14ac:dyDescent="0.2">
      <c r="A339" t="str">
        <f t="shared" si="59"/>
        <v/>
      </c>
      <c r="B339" s="38" t="str">
        <f t="shared" si="60"/>
        <v/>
      </c>
      <c r="C339" s="38" t="str">
        <f t="shared" si="69"/>
        <v/>
      </c>
      <c r="D339" s="38" t="str">
        <f t="shared" si="61"/>
        <v/>
      </c>
      <c r="E339" s="38" t="str">
        <f t="shared" si="62"/>
        <v/>
      </c>
      <c r="F339" s="38" t="str">
        <f t="shared" si="63"/>
        <v/>
      </c>
      <c r="G339" s="38" t="str">
        <f t="shared" si="64"/>
        <v/>
      </c>
      <c r="H339" s="38" t="str">
        <f t="shared" si="65"/>
        <v/>
      </c>
      <c r="L339" t="str">
        <f t="shared" si="66"/>
        <v/>
      </c>
      <c r="M339" s="38" t="str">
        <f t="shared" si="56"/>
        <v/>
      </c>
      <c r="N339" s="38" t="str">
        <f t="shared" si="67"/>
        <v/>
      </c>
      <c r="O339" s="38" t="str">
        <f t="shared" si="68"/>
        <v/>
      </c>
      <c r="P339" s="38" t="str">
        <f t="shared" si="57"/>
        <v/>
      </c>
      <c r="Q339" s="38" t="str">
        <f t="shared" si="58"/>
        <v/>
      </c>
      <c r="R339" s="38"/>
    </row>
    <row r="340" spans="1:18" x14ac:dyDescent="0.2">
      <c r="A340" t="str">
        <f t="shared" si="59"/>
        <v/>
      </c>
      <c r="B340" s="38" t="str">
        <f t="shared" si="60"/>
        <v/>
      </c>
      <c r="C340" s="38" t="str">
        <f t="shared" si="69"/>
        <v/>
      </c>
      <c r="D340" s="38" t="str">
        <f t="shared" si="61"/>
        <v/>
      </c>
      <c r="E340" s="38" t="str">
        <f t="shared" si="62"/>
        <v/>
      </c>
      <c r="F340" s="38" t="str">
        <f t="shared" si="63"/>
        <v/>
      </c>
      <c r="G340" s="38" t="str">
        <f t="shared" si="64"/>
        <v/>
      </c>
      <c r="H340" s="38" t="str">
        <f t="shared" si="65"/>
        <v/>
      </c>
      <c r="L340" t="str">
        <f t="shared" si="66"/>
        <v/>
      </c>
      <c r="M340" s="38" t="str">
        <f t="shared" si="56"/>
        <v/>
      </c>
      <c r="N340" s="38" t="str">
        <f t="shared" si="67"/>
        <v/>
      </c>
      <c r="O340" s="38" t="str">
        <f t="shared" si="68"/>
        <v/>
      </c>
      <c r="P340" s="38" t="str">
        <f t="shared" si="57"/>
        <v/>
      </c>
      <c r="Q340" s="38" t="str">
        <f t="shared" si="58"/>
        <v/>
      </c>
      <c r="R340" s="38"/>
    </row>
    <row r="341" spans="1:18" x14ac:dyDescent="0.2">
      <c r="A341" t="str">
        <f t="shared" si="59"/>
        <v/>
      </c>
      <c r="B341" s="38" t="str">
        <f t="shared" si="60"/>
        <v/>
      </c>
      <c r="C341" s="38" t="str">
        <f t="shared" si="69"/>
        <v/>
      </c>
      <c r="D341" s="38" t="str">
        <f t="shared" si="61"/>
        <v/>
      </c>
      <c r="E341" s="38" t="str">
        <f t="shared" si="62"/>
        <v/>
      </c>
      <c r="F341" s="38" t="str">
        <f t="shared" si="63"/>
        <v/>
      </c>
      <c r="G341" s="38" t="str">
        <f t="shared" si="64"/>
        <v/>
      </c>
      <c r="H341" s="38" t="str">
        <f t="shared" si="65"/>
        <v/>
      </c>
      <c r="L341" t="str">
        <f t="shared" si="66"/>
        <v/>
      </c>
      <c r="M341" s="38" t="str">
        <f t="shared" si="56"/>
        <v/>
      </c>
      <c r="N341" s="38" t="str">
        <f t="shared" si="67"/>
        <v/>
      </c>
      <c r="O341" s="38" t="str">
        <f t="shared" si="68"/>
        <v/>
      </c>
      <c r="P341" s="38" t="str">
        <f t="shared" si="57"/>
        <v/>
      </c>
      <c r="Q341" s="38" t="str">
        <f t="shared" si="58"/>
        <v/>
      </c>
      <c r="R341" s="38"/>
    </row>
    <row r="342" spans="1:18" x14ac:dyDescent="0.2">
      <c r="A342" t="str">
        <f t="shared" si="59"/>
        <v/>
      </c>
      <c r="B342" s="38" t="str">
        <f t="shared" si="60"/>
        <v/>
      </c>
      <c r="C342" s="38" t="str">
        <f t="shared" si="69"/>
        <v/>
      </c>
      <c r="D342" s="38" t="str">
        <f t="shared" si="61"/>
        <v/>
      </c>
      <c r="E342" s="38" t="str">
        <f t="shared" si="62"/>
        <v/>
      </c>
      <c r="F342" s="38" t="str">
        <f t="shared" si="63"/>
        <v/>
      </c>
      <c r="G342" s="38" t="str">
        <f t="shared" si="64"/>
        <v/>
      </c>
      <c r="H342" s="38" t="str">
        <f t="shared" si="65"/>
        <v/>
      </c>
      <c r="L342" t="str">
        <f t="shared" si="66"/>
        <v/>
      </c>
      <c r="M342" s="38" t="str">
        <f t="shared" si="56"/>
        <v/>
      </c>
      <c r="N342" s="38" t="str">
        <f t="shared" si="67"/>
        <v/>
      </c>
      <c r="O342" s="38" t="str">
        <f t="shared" si="68"/>
        <v/>
      </c>
      <c r="P342" s="38" t="str">
        <f t="shared" si="57"/>
        <v/>
      </c>
      <c r="Q342" s="38" t="str">
        <f t="shared" si="58"/>
        <v/>
      </c>
      <c r="R342" s="38"/>
    </row>
    <row r="343" spans="1:18" x14ac:dyDescent="0.2">
      <c r="A343" t="str">
        <f t="shared" si="59"/>
        <v/>
      </c>
      <c r="B343" s="38" t="str">
        <f t="shared" si="60"/>
        <v/>
      </c>
      <c r="C343" s="38" t="str">
        <f t="shared" si="69"/>
        <v/>
      </c>
      <c r="D343" s="38" t="str">
        <f t="shared" si="61"/>
        <v/>
      </c>
      <c r="E343" s="38" t="str">
        <f t="shared" si="62"/>
        <v/>
      </c>
      <c r="F343" s="38" t="str">
        <f t="shared" si="63"/>
        <v/>
      </c>
      <c r="G343" s="38" t="str">
        <f t="shared" si="64"/>
        <v/>
      </c>
      <c r="H343" s="38" t="str">
        <f t="shared" si="65"/>
        <v/>
      </c>
      <c r="L343" t="str">
        <f t="shared" si="66"/>
        <v/>
      </c>
      <c r="M343" s="38" t="str">
        <f t="shared" si="56"/>
        <v/>
      </c>
      <c r="N343" s="38" t="str">
        <f t="shared" si="67"/>
        <v/>
      </c>
      <c r="O343" s="38" t="str">
        <f t="shared" si="68"/>
        <v/>
      </c>
      <c r="P343" s="38" t="str">
        <f t="shared" si="57"/>
        <v/>
      </c>
      <c r="Q343" s="38" t="str">
        <f t="shared" si="58"/>
        <v/>
      </c>
      <c r="R343" s="38"/>
    </row>
    <row r="344" spans="1:18" x14ac:dyDescent="0.2">
      <c r="A344" t="str">
        <f t="shared" si="59"/>
        <v/>
      </c>
      <c r="B344" s="38" t="str">
        <f t="shared" si="60"/>
        <v/>
      </c>
      <c r="C344" s="38" t="str">
        <f t="shared" si="69"/>
        <v/>
      </c>
      <c r="D344" s="38" t="str">
        <f t="shared" si="61"/>
        <v/>
      </c>
      <c r="E344" s="38" t="str">
        <f t="shared" si="62"/>
        <v/>
      </c>
      <c r="F344" s="38" t="str">
        <f t="shared" si="63"/>
        <v/>
      </c>
      <c r="G344" s="38" t="str">
        <f t="shared" si="64"/>
        <v/>
      </c>
      <c r="H344" s="38" t="str">
        <f t="shared" si="65"/>
        <v/>
      </c>
      <c r="L344" t="str">
        <f t="shared" si="66"/>
        <v/>
      </c>
      <c r="M344" s="38" t="str">
        <f t="shared" si="56"/>
        <v/>
      </c>
      <c r="N344" s="38" t="str">
        <f t="shared" si="67"/>
        <v/>
      </c>
      <c r="O344" s="38" t="str">
        <f t="shared" si="68"/>
        <v/>
      </c>
      <c r="P344" s="38" t="str">
        <f t="shared" si="57"/>
        <v/>
      </c>
      <c r="Q344" s="38" t="str">
        <f t="shared" si="58"/>
        <v/>
      </c>
      <c r="R344" s="38"/>
    </row>
    <row r="345" spans="1:18" x14ac:dyDescent="0.2">
      <c r="A345" t="str">
        <f t="shared" si="59"/>
        <v/>
      </c>
      <c r="B345" s="38" t="str">
        <f t="shared" si="60"/>
        <v/>
      </c>
      <c r="C345" s="38" t="str">
        <f t="shared" si="69"/>
        <v/>
      </c>
      <c r="D345" s="38" t="str">
        <f t="shared" si="61"/>
        <v/>
      </c>
      <c r="E345" s="38" t="str">
        <f t="shared" si="62"/>
        <v/>
      </c>
      <c r="F345" s="38" t="str">
        <f t="shared" si="63"/>
        <v/>
      </c>
      <c r="G345" s="38" t="str">
        <f t="shared" si="64"/>
        <v/>
      </c>
      <c r="H345" s="38" t="str">
        <f t="shared" si="65"/>
        <v/>
      </c>
      <c r="L345" t="str">
        <f t="shared" si="66"/>
        <v/>
      </c>
      <c r="M345" s="38" t="str">
        <f t="shared" si="56"/>
        <v/>
      </c>
      <c r="N345" s="38" t="str">
        <f t="shared" si="67"/>
        <v/>
      </c>
      <c r="O345" s="38" t="str">
        <f t="shared" si="68"/>
        <v/>
      </c>
      <c r="P345" s="38" t="str">
        <f t="shared" si="57"/>
        <v/>
      </c>
      <c r="Q345" s="38" t="str">
        <f t="shared" si="58"/>
        <v/>
      </c>
      <c r="R345" s="38"/>
    </row>
    <row r="346" spans="1:18" x14ac:dyDescent="0.2">
      <c r="A346" t="str">
        <f t="shared" si="59"/>
        <v/>
      </c>
      <c r="B346" s="38" t="str">
        <f t="shared" si="60"/>
        <v/>
      </c>
      <c r="C346" s="38" t="str">
        <f t="shared" si="69"/>
        <v/>
      </c>
      <c r="D346" s="38" t="str">
        <f t="shared" si="61"/>
        <v/>
      </c>
      <c r="E346" s="38" t="str">
        <f t="shared" si="62"/>
        <v/>
      </c>
      <c r="F346" s="38" t="str">
        <f t="shared" si="63"/>
        <v/>
      </c>
      <c r="G346" s="38" t="str">
        <f t="shared" si="64"/>
        <v/>
      </c>
      <c r="H346" s="38" t="str">
        <f t="shared" si="65"/>
        <v/>
      </c>
      <c r="L346" t="str">
        <f t="shared" si="66"/>
        <v/>
      </c>
      <c r="M346" s="38" t="str">
        <f t="shared" si="56"/>
        <v/>
      </c>
      <c r="N346" s="38" t="str">
        <f t="shared" si="67"/>
        <v/>
      </c>
      <c r="O346" s="38" t="str">
        <f t="shared" si="68"/>
        <v/>
      </c>
      <c r="P346" s="38" t="str">
        <f t="shared" si="57"/>
        <v/>
      </c>
      <c r="Q346" s="38" t="str">
        <f t="shared" si="58"/>
        <v/>
      </c>
      <c r="R346" s="38"/>
    </row>
    <row r="347" spans="1:18" x14ac:dyDescent="0.2">
      <c r="A347" t="str">
        <f t="shared" si="59"/>
        <v/>
      </c>
      <c r="B347" s="38" t="str">
        <f t="shared" si="60"/>
        <v/>
      </c>
      <c r="C347" s="38" t="str">
        <f t="shared" si="69"/>
        <v/>
      </c>
      <c r="D347" s="38" t="str">
        <f t="shared" si="61"/>
        <v/>
      </c>
      <c r="E347" s="38" t="str">
        <f t="shared" si="62"/>
        <v/>
      </c>
      <c r="F347" s="38" t="str">
        <f t="shared" si="63"/>
        <v/>
      </c>
      <c r="G347" s="38" t="str">
        <f t="shared" si="64"/>
        <v/>
      </c>
      <c r="H347" s="38" t="str">
        <f t="shared" si="65"/>
        <v/>
      </c>
      <c r="L347" t="str">
        <f t="shared" si="66"/>
        <v/>
      </c>
      <c r="M347" s="38" t="str">
        <f t="shared" si="56"/>
        <v/>
      </c>
      <c r="N347" s="38" t="str">
        <f t="shared" si="67"/>
        <v/>
      </c>
      <c r="O347" s="38" t="str">
        <f t="shared" si="68"/>
        <v/>
      </c>
      <c r="P347" s="38" t="str">
        <f t="shared" si="57"/>
        <v/>
      </c>
      <c r="Q347" s="38" t="str">
        <f t="shared" si="58"/>
        <v/>
      </c>
      <c r="R347" s="38"/>
    </row>
    <row r="348" spans="1:18" x14ac:dyDescent="0.2">
      <c r="A348" t="str">
        <f t="shared" si="59"/>
        <v/>
      </c>
      <c r="B348" s="38" t="str">
        <f t="shared" si="60"/>
        <v/>
      </c>
      <c r="C348" s="38" t="str">
        <f t="shared" si="69"/>
        <v/>
      </c>
      <c r="D348" s="38" t="str">
        <f t="shared" si="61"/>
        <v/>
      </c>
      <c r="E348" s="38" t="str">
        <f t="shared" si="62"/>
        <v/>
      </c>
      <c r="F348" s="38" t="str">
        <f t="shared" si="63"/>
        <v/>
      </c>
      <c r="G348" s="38" t="str">
        <f t="shared" si="64"/>
        <v/>
      </c>
      <c r="H348" s="38" t="str">
        <f t="shared" si="65"/>
        <v/>
      </c>
      <c r="L348" t="str">
        <f t="shared" si="66"/>
        <v/>
      </c>
      <c r="M348" s="38" t="str">
        <f t="shared" si="56"/>
        <v/>
      </c>
      <c r="N348" s="38" t="str">
        <f t="shared" si="67"/>
        <v/>
      </c>
      <c r="O348" s="38" t="str">
        <f t="shared" si="68"/>
        <v/>
      </c>
      <c r="P348" s="38" t="str">
        <f t="shared" si="57"/>
        <v/>
      </c>
      <c r="Q348" s="38" t="str">
        <f t="shared" si="58"/>
        <v/>
      </c>
      <c r="R348" s="38"/>
    </row>
    <row r="349" spans="1:18" x14ac:dyDescent="0.2">
      <c r="A349" t="str">
        <f t="shared" si="59"/>
        <v/>
      </c>
      <c r="B349" s="38" t="str">
        <f t="shared" si="60"/>
        <v/>
      </c>
      <c r="C349" s="38" t="str">
        <f t="shared" si="69"/>
        <v/>
      </c>
      <c r="D349" s="38" t="str">
        <f t="shared" si="61"/>
        <v/>
      </c>
      <c r="E349" s="38" t="str">
        <f t="shared" si="62"/>
        <v/>
      </c>
      <c r="F349" s="38" t="str">
        <f t="shared" si="63"/>
        <v/>
      </c>
      <c r="G349" s="38" t="str">
        <f t="shared" si="64"/>
        <v/>
      </c>
      <c r="H349" s="38" t="str">
        <f t="shared" si="65"/>
        <v/>
      </c>
      <c r="L349" t="str">
        <f t="shared" si="66"/>
        <v/>
      </c>
      <c r="M349" s="38" t="str">
        <f t="shared" si="56"/>
        <v/>
      </c>
      <c r="N349" s="38" t="str">
        <f t="shared" si="67"/>
        <v/>
      </c>
      <c r="O349" s="38" t="str">
        <f t="shared" si="68"/>
        <v/>
      </c>
      <c r="P349" s="38" t="str">
        <f t="shared" si="57"/>
        <v/>
      </c>
      <c r="Q349" s="38" t="str">
        <f t="shared" si="58"/>
        <v/>
      </c>
      <c r="R349" s="38"/>
    </row>
    <row r="350" spans="1:18" x14ac:dyDescent="0.2">
      <c r="A350" t="str">
        <f t="shared" si="59"/>
        <v/>
      </c>
      <c r="B350" s="38" t="str">
        <f t="shared" si="60"/>
        <v/>
      </c>
      <c r="C350" s="38" t="str">
        <f t="shared" si="69"/>
        <v/>
      </c>
      <c r="D350" s="38" t="str">
        <f t="shared" si="61"/>
        <v/>
      </c>
      <c r="E350" s="38" t="str">
        <f t="shared" si="62"/>
        <v/>
      </c>
      <c r="F350" s="38" t="str">
        <f t="shared" si="63"/>
        <v/>
      </c>
      <c r="G350" s="38" t="str">
        <f t="shared" si="64"/>
        <v/>
      </c>
      <c r="H350" s="38" t="str">
        <f t="shared" si="65"/>
        <v/>
      </c>
      <c r="L350" t="str">
        <f t="shared" si="66"/>
        <v/>
      </c>
      <c r="M350" s="38" t="str">
        <f t="shared" si="56"/>
        <v/>
      </c>
      <c r="N350" s="38" t="str">
        <f t="shared" si="67"/>
        <v/>
      </c>
      <c r="O350" s="38" t="str">
        <f t="shared" si="68"/>
        <v/>
      </c>
      <c r="P350" s="38" t="str">
        <f t="shared" si="57"/>
        <v/>
      </c>
      <c r="Q350" s="38" t="str">
        <f t="shared" si="58"/>
        <v/>
      </c>
      <c r="R350" s="38"/>
    </row>
    <row r="351" spans="1:18" x14ac:dyDescent="0.2">
      <c r="A351" t="str">
        <f t="shared" si="59"/>
        <v/>
      </c>
      <c r="B351" s="38" t="str">
        <f t="shared" si="60"/>
        <v/>
      </c>
      <c r="C351" s="38" t="str">
        <f t="shared" si="69"/>
        <v/>
      </c>
      <c r="D351" s="38" t="str">
        <f t="shared" si="61"/>
        <v/>
      </c>
      <c r="E351" s="38" t="str">
        <f t="shared" si="62"/>
        <v/>
      </c>
      <c r="F351" s="38" t="str">
        <f t="shared" si="63"/>
        <v/>
      </c>
      <c r="G351" s="38" t="str">
        <f t="shared" si="64"/>
        <v/>
      </c>
      <c r="H351" s="38" t="str">
        <f t="shared" si="65"/>
        <v/>
      </c>
      <c r="L351" t="str">
        <f t="shared" si="66"/>
        <v/>
      </c>
      <c r="M351" s="38" t="str">
        <f t="shared" si="56"/>
        <v/>
      </c>
      <c r="N351" s="38" t="str">
        <f t="shared" si="67"/>
        <v/>
      </c>
      <c r="O351" s="38" t="str">
        <f t="shared" si="68"/>
        <v/>
      </c>
      <c r="P351" s="38" t="str">
        <f t="shared" si="57"/>
        <v/>
      </c>
      <c r="Q351" s="38" t="str">
        <f t="shared" si="58"/>
        <v/>
      </c>
      <c r="R351" s="38"/>
    </row>
    <row r="352" spans="1:18" x14ac:dyDescent="0.2">
      <c r="A352" t="str">
        <f t="shared" si="59"/>
        <v/>
      </c>
      <c r="B352" s="38" t="str">
        <f t="shared" si="60"/>
        <v/>
      </c>
      <c r="C352" s="38" t="str">
        <f t="shared" si="69"/>
        <v/>
      </c>
      <c r="D352" s="38" t="str">
        <f t="shared" si="61"/>
        <v/>
      </c>
      <c r="E352" s="38" t="str">
        <f t="shared" si="62"/>
        <v/>
      </c>
      <c r="F352" s="38" t="str">
        <f t="shared" si="63"/>
        <v/>
      </c>
      <c r="G352" s="38" t="str">
        <f t="shared" si="64"/>
        <v/>
      </c>
      <c r="H352" s="38" t="str">
        <f t="shared" si="65"/>
        <v/>
      </c>
      <c r="L352" t="str">
        <f t="shared" si="66"/>
        <v/>
      </c>
      <c r="M352" s="38" t="str">
        <f t="shared" si="56"/>
        <v/>
      </c>
      <c r="N352" s="38" t="str">
        <f t="shared" si="67"/>
        <v/>
      </c>
      <c r="O352" s="38" t="str">
        <f t="shared" si="68"/>
        <v/>
      </c>
      <c r="P352" s="38" t="str">
        <f t="shared" si="57"/>
        <v/>
      </c>
      <c r="Q352" s="38" t="str">
        <f t="shared" si="58"/>
        <v/>
      </c>
      <c r="R352" s="38"/>
    </row>
    <row r="353" spans="1:18" x14ac:dyDescent="0.2">
      <c r="A353" t="str">
        <f t="shared" si="59"/>
        <v/>
      </c>
      <c r="B353" s="38" t="str">
        <f t="shared" si="60"/>
        <v/>
      </c>
      <c r="C353" s="38" t="str">
        <f t="shared" si="69"/>
        <v/>
      </c>
      <c r="D353" s="38" t="str">
        <f t="shared" si="61"/>
        <v/>
      </c>
      <c r="E353" s="38" t="str">
        <f t="shared" si="62"/>
        <v/>
      </c>
      <c r="F353" s="38" t="str">
        <f t="shared" si="63"/>
        <v/>
      </c>
      <c r="G353" s="38" t="str">
        <f t="shared" si="64"/>
        <v/>
      </c>
      <c r="H353" s="38" t="str">
        <f t="shared" si="65"/>
        <v/>
      </c>
      <c r="L353" t="str">
        <f t="shared" si="66"/>
        <v/>
      </c>
      <c r="M353" s="38" t="str">
        <f t="shared" ref="M353:M416" si="70">IF(L353="","",P352)</f>
        <v/>
      </c>
      <c r="N353" s="38" t="str">
        <f t="shared" si="67"/>
        <v/>
      </c>
      <c r="O353" s="38" t="str">
        <f t="shared" si="68"/>
        <v/>
      </c>
      <c r="P353" s="38" t="str">
        <f t="shared" ref="P353:P416" si="71">IF(L353="","", M353+N353+O353)</f>
        <v/>
      </c>
      <c r="Q353" s="38" t="str">
        <f t="shared" ref="Q353:Q416" si="72">IF(L353="","", (Q352+N353))</f>
        <v/>
      </c>
      <c r="R353" s="38"/>
    </row>
    <row r="354" spans="1:18" x14ac:dyDescent="0.2">
      <c r="A354" t="str">
        <f t="shared" ref="A354:A417" si="73">IF(A353&lt;($B$22*$B$23),A353+1,"")</f>
        <v/>
      </c>
      <c r="B354" s="38" t="str">
        <f t="shared" ref="B354:B417" si="74">IF(A354="","",F353)</f>
        <v/>
      </c>
      <c r="C354" s="38" t="str">
        <f t="shared" si="69"/>
        <v/>
      </c>
      <c r="D354" s="38" t="str">
        <f t="shared" ref="D354:D417" si="75">IF(A354="","", D353*(1+$B$21))</f>
        <v/>
      </c>
      <c r="E354" s="38" t="str">
        <f t="shared" ref="E354:E417" si="76">IF(D354="","",(D354-C354))</f>
        <v/>
      </c>
      <c r="F354" s="38" t="str">
        <f t="shared" ref="F354:F417" si="77">IF(A354="","", B354-E354)</f>
        <v/>
      </c>
      <c r="G354" s="38" t="str">
        <f t="shared" ref="G354:G417" si="78">IF(A354="","", (G353+C354))</f>
        <v/>
      </c>
      <c r="H354" s="38" t="str">
        <f t="shared" ref="H354:H417" si="79">IF(A354="","",(H353+E354))</f>
        <v/>
      </c>
      <c r="L354" t="str">
        <f t="shared" ref="L354:L417" si="80">IF(L353&lt;($B$8*$B$9),L353+1,"")</f>
        <v/>
      </c>
      <c r="M354" s="38" t="str">
        <f t="shared" si="70"/>
        <v/>
      </c>
      <c r="N354" s="38" t="str">
        <f t="shared" ref="N354:N417" si="81">IF(L354="","",(M354 *$B$6))</f>
        <v/>
      </c>
      <c r="O354" s="38" t="str">
        <f t="shared" ref="O354:O417" si="82">IF(L354="","",O353*(1+$B$7))</f>
        <v/>
      </c>
      <c r="P354" s="38" t="str">
        <f t="shared" si="71"/>
        <v/>
      </c>
      <c r="Q354" s="38" t="str">
        <f t="shared" si="72"/>
        <v/>
      </c>
      <c r="R354" s="38"/>
    </row>
    <row r="355" spans="1:18" x14ac:dyDescent="0.2">
      <c r="A355" t="str">
        <f t="shared" si="73"/>
        <v/>
      </c>
      <c r="B355" s="38" t="str">
        <f t="shared" si="74"/>
        <v/>
      </c>
      <c r="C355" s="38" t="str">
        <f t="shared" ref="C355:C418" si="83">IF(A355="","",(B355*$B$20))</f>
        <v/>
      </c>
      <c r="D355" s="38" t="str">
        <f t="shared" si="75"/>
        <v/>
      </c>
      <c r="E355" s="38" t="str">
        <f t="shared" si="76"/>
        <v/>
      </c>
      <c r="F355" s="38" t="str">
        <f t="shared" si="77"/>
        <v/>
      </c>
      <c r="G355" s="38" t="str">
        <f t="shared" si="78"/>
        <v/>
      </c>
      <c r="H355" s="38" t="str">
        <f t="shared" si="79"/>
        <v/>
      </c>
      <c r="L355" t="str">
        <f t="shared" si="80"/>
        <v/>
      </c>
      <c r="M355" s="38" t="str">
        <f t="shared" si="70"/>
        <v/>
      </c>
      <c r="N355" s="38" t="str">
        <f t="shared" si="81"/>
        <v/>
      </c>
      <c r="O355" s="38" t="str">
        <f t="shared" si="82"/>
        <v/>
      </c>
      <c r="P355" s="38" t="str">
        <f t="shared" si="71"/>
        <v/>
      </c>
      <c r="Q355" s="38" t="str">
        <f t="shared" si="72"/>
        <v/>
      </c>
      <c r="R355" s="38"/>
    </row>
    <row r="356" spans="1:18" x14ac:dyDescent="0.2">
      <c r="A356" t="str">
        <f t="shared" si="73"/>
        <v/>
      </c>
      <c r="B356" s="38" t="str">
        <f t="shared" si="74"/>
        <v/>
      </c>
      <c r="C356" s="38" t="str">
        <f t="shared" si="83"/>
        <v/>
      </c>
      <c r="D356" s="38" t="str">
        <f t="shared" si="75"/>
        <v/>
      </c>
      <c r="E356" s="38" t="str">
        <f t="shared" si="76"/>
        <v/>
      </c>
      <c r="F356" s="38" t="str">
        <f t="shared" si="77"/>
        <v/>
      </c>
      <c r="G356" s="38" t="str">
        <f t="shared" si="78"/>
        <v/>
      </c>
      <c r="H356" s="38" t="str">
        <f t="shared" si="79"/>
        <v/>
      </c>
      <c r="L356" t="str">
        <f t="shared" si="80"/>
        <v/>
      </c>
      <c r="M356" s="38" t="str">
        <f t="shared" si="70"/>
        <v/>
      </c>
      <c r="N356" s="38" t="str">
        <f t="shared" si="81"/>
        <v/>
      </c>
      <c r="O356" s="38" t="str">
        <f t="shared" si="82"/>
        <v/>
      </c>
      <c r="P356" s="38" t="str">
        <f t="shared" si="71"/>
        <v/>
      </c>
      <c r="Q356" s="38" t="str">
        <f t="shared" si="72"/>
        <v/>
      </c>
      <c r="R356" s="38"/>
    </row>
    <row r="357" spans="1:18" x14ac:dyDescent="0.2">
      <c r="A357" t="str">
        <f t="shared" si="73"/>
        <v/>
      </c>
      <c r="B357" s="38" t="str">
        <f t="shared" si="74"/>
        <v/>
      </c>
      <c r="C357" s="38" t="str">
        <f t="shared" si="83"/>
        <v/>
      </c>
      <c r="D357" s="38" t="str">
        <f t="shared" si="75"/>
        <v/>
      </c>
      <c r="E357" s="38" t="str">
        <f t="shared" si="76"/>
        <v/>
      </c>
      <c r="F357" s="38" t="str">
        <f t="shared" si="77"/>
        <v/>
      </c>
      <c r="G357" s="38" t="str">
        <f t="shared" si="78"/>
        <v/>
      </c>
      <c r="H357" s="38" t="str">
        <f t="shared" si="79"/>
        <v/>
      </c>
      <c r="L357" t="str">
        <f t="shared" si="80"/>
        <v/>
      </c>
      <c r="M357" s="38" t="str">
        <f t="shared" si="70"/>
        <v/>
      </c>
      <c r="N357" s="38" t="str">
        <f t="shared" si="81"/>
        <v/>
      </c>
      <c r="O357" s="38" t="str">
        <f t="shared" si="82"/>
        <v/>
      </c>
      <c r="P357" s="38" t="str">
        <f t="shared" si="71"/>
        <v/>
      </c>
      <c r="Q357" s="38" t="str">
        <f t="shared" si="72"/>
        <v/>
      </c>
      <c r="R357" s="38"/>
    </row>
    <row r="358" spans="1:18" x14ac:dyDescent="0.2">
      <c r="A358" t="str">
        <f t="shared" si="73"/>
        <v/>
      </c>
      <c r="B358" s="38" t="str">
        <f t="shared" si="74"/>
        <v/>
      </c>
      <c r="C358" s="38" t="str">
        <f t="shared" si="83"/>
        <v/>
      </c>
      <c r="D358" s="38" t="str">
        <f t="shared" si="75"/>
        <v/>
      </c>
      <c r="E358" s="38" t="str">
        <f t="shared" si="76"/>
        <v/>
      </c>
      <c r="F358" s="38" t="str">
        <f t="shared" si="77"/>
        <v/>
      </c>
      <c r="G358" s="38" t="str">
        <f t="shared" si="78"/>
        <v/>
      </c>
      <c r="H358" s="38" t="str">
        <f t="shared" si="79"/>
        <v/>
      </c>
      <c r="L358" t="str">
        <f t="shared" si="80"/>
        <v/>
      </c>
      <c r="M358" s="38" t="str">
        <f t="shared" si="70"/>
        <v/>
      </c>
      <c r="N358" s="38" t="str">
        <f t="shared" si="81"/>
        <v/>
      </c>
      <c r="O358" s="38" t="str">
        <f t="shared" si="82"/>
        <v/>
      </c>
      <c r="P358" s="38" t="str">
        <f t="shared" si="71"/>
        <v/>
      </c>
      <c r="Q358" s="38" t="str">
        <f t="shared" si="72"/>
        <v/>
      </c>
      <c r="R358" s="38"/>
    </row>
    <row r="359" spans="1:18" x14ac:dyDescent="0.2">
      <c r="A359" t="str">
        <f t="shared" si="73"/>
        <v/>
      </c>
      <c r="B359" s="38" t="str">
        <f t="shared" si="74"/>
        <v/>
      </c>
      <c r="C359" s="38" t="str">
        <f t="shared" si="83"/>
        <v/>
      </c>
      <c r="D359" s="38" t="str">
        <f t="shared" si="75"/>
        <v/>
      </c>
      <c r="E359" s="38" t="str">
        <f t="shared" si="76"/>
        <v/>
      </c>
      <c r="F359" s="38" t="str">
        <f t="shared" si="77"/>
        <v/>
      </c>
      <c r="G359" s="38" t="str">
        <f t="shared" si="78"/>
        <v/>
      </c>
      <c r="H359" s="38" t="str">
        <f t="shared" si="79"/>
        <v/>
      </c>
      <c r="L359" t="str">
        <f t="shared" si="80"/>
        <v/>
      </c>
      <c r="M359" s="38" t="str">
        <f t="shared" si="70"/>
        <v/>
      </c>
      <c r="N359" s="38" t="str">
        <f t="shared" si="81"/>
        <v/>
      </c>
      <c r="O359" s="38" t="str">
        <f t="shared" si="82"/>
        <v/>
      </c>
      <c r="P359" s="38" t="str">
        <f t="shared" si="71"/>
        <v/>
      </c>
      <c r="Q359" s="38" t="str">
        <f t="shared" si="72"/>
        <v/>
      </c>
      <c r="R359" s="38"/>
    </row>
    <row r="360" spans="1:18" x14ac:dyDescent="0.2">
      <c r="A360" t="str">
        <f t="shared" si="73"/>
        <v/>
      </c>
      <c r="B360" s="38" t="str">
        <f t="shared" si="74"/>
        <v/>
      </c>
      <c r="C360" s="38" t="str">
        <f t="shared" si="83"/>
        <v/>
      </c>
      <c r="D360" s="38" t="str">
        <f t="shared" si="75"/>
        <v/>
      </c>
      <c r="E360" s="38" t="str">
        <f t="shared" si="76"/>
        <v/>
      </c>
      <c r="F360" s="38" t="str">
        <f t="shared" si="77"/>
        <v/>
      </c>
      <c r="G360" s="38" t="str">
        <f t="shared" si="78"/>
        <v/>
      </c>
      <c r="H360" s="38" t="str">
        <f t="shared" si="79"/>
        <v/>
      </c>
      <c r="L360" t="str">
        <f t="shared" si="80"/>
        <v/>
      </c>
      <c r="M360" s="38" t="str">
        <f t="shared" si="70"/>
        <v/>
      </c>
      <c r="N360" s="38" t="str">
        <f t="shared" si="81"/>
        <v/>
      </c>
      <c r="O360" s="38" t="str">
        <f t="shared" si="82"/>
        <v/>
      </c>
      <c r="P360" s="38" t="str">
        <f t="shared" si="71"/>
        <v/>
      </c>
      <c r="Q360" s="38" t="str">
        <f t="shared" si="72"/>
        <v/>
      </c>
      <c r="R360" s="38"/>
    </row>
    <row r="361" spans="1:18" x14ac:dyDescent="0.2">
      <c r="A361" t="str">
        <f t="shared" si="73"/>
        <v/>
      </c>
      <c r="B361" s="38" t="str">
        <f t="shared" si="74"/>
        <v/>
      </c>
      <c r="C361" s="38" t="str">
        <f t="shared" si="83"/>
        <v/>
      </c>
      <c r="D361" s="38" t="str">
        <f t="shared" si="75"/>
        <v/>
      </c>
      <c r="E361" s="38" t="str">
        <f t="shared" si="76"/>
        <v/>
      </c>
      <c r="F361" s="38" t="str">
        <f t="shared" si="77"/>
        <v/>
      </c>
      <c r="G361" s="38" t="str">
        <f t="shared" si="78"/>
        <v/>
      </c>
      <c r="H361" s="38" t="str">
        <f t="shared" si="79"/>
        <v/>
      </c>
      <c r="L361" t="str">
        <f t="shared" si="80"/>
        <v/>
      </c>
      <c r="M361" s="38" t="str">
        <f t="shared" si="70"/>
        <v/>
      </c>
      <c r="N361" s="38" t="str">
        <f t="shared" si="81"/>
        <v/>
      </c>
      <c r="O361" s="38" t="str">
        <f t="shared" si="82"/>
        <v/>
      </c>
      <c r="P361" s="38" t="str">
        <f t="shared" si="71"/>
        <v/>
      </c>
      <c r="Q361" s="38" t="str">
        <f t="shared" si="72"/>
        <v/>
      </c>
      <c r="R361" s="38"/>
    </row>
    <row r="362" spans="1:18" x14ac:dyDescent="0.2">
      <c r="A362" t="str">
        <f t="shared" si="73"/>
        <v/>
      </c>
      <c r="B362" s="38" t="str">
        <f t="shared" si="74"/>
        <v/>
      </c>
      <c r="C362" s="38" t="str">
        <f t="shared" si="83"/>
        <v/>
      </c>
      <c r="D362" s="38" t="str">
        <f t="shared" si="75"/>
        <v/>
      </c>
      <c r="E362" s="38" t="str">
        <f t="shared" si="76"/>
        <v/>
      </c>
      <c r="F362" s="38" t="str">
        <f t="shared" si="77"/>
        <v/>
      </c>
      <c r="G362" s="38" t="str">
        <f t="shared" si="78"/>
        <v/>
      </c>
      <c r="H362" s="38" t="str">
        <f t="shared" si="79"/>
        <v/>
      </c>
      <c r="L362" t="str">
        <f t="shared" si="80"/>
        <v/>
      </c>
      <c r="M362" s="38" t="str">
        <f t="shared" si="70"/>
        <v/>
      </c>
      <c r="N362" s="38" t="str">
        <f t="shared" si="81"/>
        <v/>
      </c>
      <c r="O362" s="38" t="str">
        <f t="shared" si="82"/>
        <v/>
      </c>
      <c r="P362" s="38" t="str">
        <f t="shared" si="71"/>
        <v/>
      </c>
      <c r="Q362" s="38" t="str">
        <f t="shared" si="72"/>
        <v/>
      </c>
      <c r="R362" s="38"/>
    </row>
    <row r="363" spans="1:18" x14ac:dyDescent="0.2">
      <c r="A363" t="str">
        <f t="shared" si="73"/>
        <v/>
      </c>
      <c r="B363" s="38" t="str">
        <f t="shared" si="74"/>
        <v/>
      </c>
      <c r="C363" s="38" t="str">
        <f t="shared" si="83"/>
        <v/>
      </c>
      <c r="D363" s="38" t="str">
        <f t="shared" si="75"/>
        <v/>
      </c>
      <c r="E363" s="38" t="str">
        <f t="shared" si="76"/>
        <v/>
      </c>
      <c r="F363" s="38" t="str">
        <f t="shared" si="77"/>
        <v/>
      </c>
      <c r="G363" s="38" t="str">
        <f t="shared" si="78"/>
        <v/>
      </c>
      <c r="H363" s="38" t="str">
        <f t="shared" si="79"/>
        <v/>
      </c>
      <c r="L363" t="str">
        <f t="shared" si="80"/>
        <v/>
      </c>
      <c r="M363" s="38" t="str">
        <f t="shared" si="70"/>
        <v/>
      </c>
      <c r="N363" s="38" t="str">
        <f t="shared" si="81"/>
        <v/>
      </c>
      <c r="O363" s="38" t="str">
        <f t="shared" si="82"/>
        <v/>
      </c>
      <c r="P363" s="38" t="str">
        <f t="shared" si="71"/>
        <v/>
      </c>
      <c r="Q363" s="38" t="str">
        <f t="shared" si="72"/>
        <v/>
      </c>
      <c r="R363" s="38"/>
    </row>
    <row r="364" spans="1:18" x14ac:dyDescent="0.2">
      <c r="A364" t="str">
        <f t="shared" si="73"/>
        <v/>
      </c>
      <c r="B364" s="38" t="str">
        <f t="shared" si="74"/>
        <v/>
      </c>
      <c r="C364" s="38" t="str">
        <f t="shared" si="83"/>
        <v/>
      </c>
      <c r="D364" s="38" t="str">
        <f t="shared" si="75"/>
        <v/>
      </c>
      <c r="E364" s="38" t="str">
        <f t="shared" si="76"/>
        <v/>
      </c>
      <c r="F364" s="38" t="str">
        <f t="shared" si="77"/>
        <v/>
      </c>
      <c r="G364" s="38" t="str">
        <f t="shared" si="78"/>
        <v/>
      </c>
      <c r="H364" s="38" t="str">
        <f t="shared" si="79"/>
        <v/>
      </c>
      <c r="L364" t="str">
        <f t="shared" si="80"/>
        <v/>
      </c>
      <c r="M364" s="38" t="str">
        <f t="shared" si="70"/>
        <v/>
      </c>
      <c r="N364" s="38" t="str">
        <f t="shared" si="81"/>
        <v/>
      </c>
      <c r="O364" s="38" t="str">
        <f t="shared" si="82"/>
        <v/>
      </c>
      <c r="P364" s="38" t="str">
        <f t="shared" si="71"/>
        <v/>
      </c>
      <c r="Q364" s="38" t="str">
        <f t="shared" si="72"/>
        <v/>
      </c>
      <c r="R364" s="38"/>
    </row>
    <row r="365" spans="1:18" x14ac:dyDescent="0.2">
      <c r="A365" t="str">
        <f t="shared" si="73"/>
        <v/>
      </c>
      <c r="B365" s="38" t="str">
        <f t="shared" si="74"/>
        <v/>
      </c>
      <c r="C365" s="38" t="str">
        <f t="shared" si="83"/>
        <v/>
      </c>
      <c r="D365" s="38" t="str">
        <f t="shared" si="75"/>
        <v/>
      </c>
      <c r="E365" s="38" t="str">
        <f t="shared" si="76"/>
        <v/>
      </c>
      <c r="F365" s="38" t="str">
        <f t="shared" si="77"/>
        <v/>
      </c>
      <c r="G365" s="38" t="str">
        <f t="shared" si="78"/>
        <v/>
      </c>
      <c r="H365" s="38" t="str">
        <f t="shared" si="79"/>
        <v/>
      </c>
      <c r="L365" t="str">
        <f t="shared" si="80"/>
        <v/>
      </c>
      <c r="M365" s="38" t="str">
        <f t="shared" si="70"/>
        <v/>
      </c>
      <c r="N365" s="38" t="str">
        <f t="shared" si="81"/>
        <v/>
      </c>
      <c r="O365" s="38" t="str">
        <f t="shared" si="82"/>
        <v/>
      </c>
      <c r="P365" s="38" t="str">
        <f t="shared" si="71"/>
        <v/>
      </c>
      <c r="Q365" s="38" t="str">
        <f t="shared" si="72"/>
        <v/>
      </c>
      <c r="R365" s="38"/>
    </row>
    <row r="366" spans="1:18" x14ac:dyDescent="0.2">
      <c r="A366" t="str">
        <f t="shared" si="73"/>
        <v/>
      </c>
      <c r="B366" s="38" t="str">
        <f t="shared" si="74"/>
        <v/>
      </c>
      <c r="C366" s="38" t="str">
        <f t="shared" si="83"/>
        <v/>
      </c>
      <c r="D366" s="38" t="str">
        <f t="shared" si="75"/>
        <v/>
      </c>
      <c r="E366" s="38" t="str">
        <f t="shared" si="76"/>
        <v/>
      </c>
      <c r="F366" s="38" t="str">
        <f t="shared" si="77"/>
        <v/>
      </c>
      <c r="G366" s="38" t="str">
        <f t="shared" si="78"/>
        <v/>
      </c>
      <c r="H366" s="38" t="str">
        <f t="shared" si="79"/>
        <v/>
      </c>
      <c r="L366" t="str">
        <f t="shared" si="80"/>
        <v/>
      </c>
      <c r="M366" s="38" t="str">
        <f t="shared" si="70"/>
        <v/>
      </c>
      <c r="N366" s="38" t="str">
        <f t="shared" si="81"/>
        <v/>
      </c>
      <c r="O366" s="38" t="str">
        <f t="shared" si="82"/>
        <v/>
      </c>
      <c r="P366" s="38" t="str">
        <f t="shared" si="71"/>
        <v/>
      </c>
      <c r="Q366" s="38" t="str">
        <f t="shared" si="72"/>
        <v/>
      </c>
      <c r="R366" s="38"/>
    </row>
    <row r="367" spans="1:18" x14ac:dyDescent="0.2">
      <c r="A367" t="str">
        <f t="shared" si="73"/>
        <v/>
      </c>
      <c r="B367" s="38" t="str">
        <f t="shared" si="74"/>
        <v/>
      </c>
      <c r="C367" s="38" t="str">
        <f t="shared" si="83"/>
        <v/>
      </c>
      <c r="D367" s="38" t="str">
        <f t="shared" si="75"/>
        <v/>
      </c>
      <c r="E367" s="38" t="str">
        <f t="shared" si="76"/>
        <v/>
      </c>
      <c r="F367" s="38" t="str">
        <f t="shared" si="77"/>
        <v/>
      </c>
      <c r="G367" s="38" t="str">
        <f t="shared" si="78"/>
        <v/>
      </c>
      <c r="H367" s="38" t="str">
        <f t="shared" si="79"/>
        <v/>
      </c>
      <c r="L367" t="str">
        <f t="shared" si="80"/>
        <v/>
      </c>
      <c r="M367" s="38" t="str">
        <f t="shared" si="70"/>
        <v/>
      </c>
      <c r="N367" s="38" t="str">
        <f t="shared" si="81"/>
        <v/>
      </c>
      <c r="O367" s="38" t="str">
        <f t="shared" si="82"/>
        <v/>
      </c>
      <c r="P367" s="38" t="str">
        <f t="shared" si="71"/>
        <v/>
      </c>
      <c r="Q367" s="38" t="str">
        <f t="shared" si="72"/>
        <v/>
      </c>
      <c r="R367" s="38"/>
    </row>
    <row r="368" spans="1:18" x14ac:dyDescent="0.2">
      <c r="A368" t="str">
        <f t="shared" si="73"/>
        <v/>
      </c>
      <c r="B368" s="38" t="str">
        <f t="shared" si="74"/>
        <v/>
      </c>
      <c r="C368" s="38" t="str">
        <f t="shared" si="83"/>
        <v/>
      </c>
      <c r="D368" s="38" t="str">
        <f t="shared" si="75"/>
        <v/>
      </c>
      <c r="E368" s="38" t="str">
        <f t="shared" si="76"/>
        <v/>
      </c>
      <c r="F368" s="38" t="str">
        <f t="shared" si="77"/>
        <v/>
      </c>
      <c r="G368" s="38" t="str">
        <f t="shared" si="78"/>
        <v/>
      </c>
      <c r="H368" s="38" t="str">
        <f t="shared" si="79"/>
        <v/>
      </c>
      <c r="L368" t="str">
        <f t="shared" si="80"/>
        <v/>
      </c>
      <c r="M368" s="38" t="str">
        <f t="shared" si="70"/>
        <v/>
      </c>
      <c r="N368" s="38" t="str">
        <f t="shared" si="81"/>
        <v/>
      </c>
      <c r="O368" s="38" t="str">
        <f t="shared" si="82"/>
        <v/>
      </c>
      <c r="P368" s="38" t="str">
        <f t="shared" si="71"/>
        <v/>
      </c>
      <c r="Q368" s="38" t="str">
        <f t="shared" si="72"/>
        <v/>
      </c>
      <c r="R368" s="38"/>
    </row>
    <row r="369" spans="1:18" x14ac:dyDescent="0.2">
      <c r="A369" t="str">
        <f t="shared" si="73"/>
        <v/>
      </c>
      <c r="B369" s="38" t="str">
        <f t="shared" si="74"/>
        <v/>
      </c>
      <c r="C369" s="38" t="str">
        <f t="shared" si="83"/>
        <v/>
      </c>
      <c r="D369" s="38" t="str">
        <f t="shared" si="75"/>
        <v/>
      </c>
      <c r="E369" s="38" t="str">
        <f t="shared" si="76"/>
        <v/>
      </c>
      <c r="F369" s="38" t="str">
        <f t="shared" si="77"/>
        <v/>
      </c>
      <c r="G369" s="38" t="str">
        <f t="shared" si="78"/>
        <v/>
      </c>
      <c r="H369" s="38" t="str">
        <f t="shared" si="79"/>
        <v/>
      </c>
      <c r="L369" t="str">
        <f t="shared" si="80"/>
        <v/>
      </c>
      <c r="M369" s="38" t="str">
        <f t="shared" si="70"/>
        <v/>
      </c>
      <c r="N369" s="38" t="str">
        <f t="shared" si="81"/>
        <v/>
      </c>
      <c r="O369" s="38" t="str">
        <f t="shared" si="82"/>
        <v/>
      </c>
      <c r="P369" s="38" t="str">
        <f t="shared" si="71"/>
        <v/>
      </c>
      <c r="Q369" s="38" t="str">
        <f t="shared" si="72"/>
        <v/>
      </c>
      <c r="R369" s="38"/>
    </row>
    <row r="370" spans="1:18" x14ac:dyDescent="0.2">
      <c r="A370" t="str">
        <f t="shared" si="73"/>
        <v/>
      </c>
      <c r="B370" s="38" t="str">
        <f t="shared" si="74"/>
        <v/>
      </c>
      <c r="C370" s="38" t="str">
        <f t="shared" si="83"/>
        <v/>
      </c>
      <c r="D370" s="38" t="str">
        <f t="shared" si="75"/>
        <v/>
      </c>
      <c r="E370" s="38" t="str">
        <f t="shared" si="76"/>
        <v/>
      </c>
      <c r="F370" s="38" t="str">
        <f t="shared" si="77"/>
        <v/>
      </c>
      <c r="G370" s="38" t="str">
        <f t="shared" si="78"/>
        <v/>
      </c>
      <c r="H370" s="38" t="str">
        <f t="shared" si="79"/>
        <v/>
      </c>
      <c r="L370" t="str">
        <f t="shared" si="80"/>
        <v/>
      </c>
      <c r="M370" s="38" t="str">
        <f t="shared" si="70"/>
        <v/>
      </c>
      <c r="N370" s="38" t="str">
        <f t="shared" si="81"/>
        <v/>
      </c>
      <c r="O370" s="38" t="str">
        <f t="shared" si="82"/>
        <v/>
      </c>
      <c r="P370" s="38" t="str">
        <f t="shared" si="71"/>
        <v/>
      </c>
      <c r="Q370" s="38" t="str">
        <f t="shared" si="72"/>
        <v/>
      </c>
      <c r="R370" s="38"/>
    </row>
    <row r="371" spans="1:18" x14ac:dyDescent="0.2">
      <c r="A371" t="str">
        <f t="shared" si="73"/>
        <v/>
      </c>
      <c r="B371" s="38" t="str">
        <f t="shared" si="74"/>
        <v/>
      </c>
      <c r="C371" s="38" t="str">
        <f t="shared" si="83"/>
        <v/>
      </c>
      <c r="D371" s="38" t="str">
        <f t="shared" si="75"/>
        <v/>
      </c>
      <c r="E371" s="38" t="str">
        <f t="shared" si="76"/>
        <v/>
      </c>
      <c r="F371" s="38" t="str">
        <f t="shared" si="77"/>
        <v/>
      </c>
      <c r="G371" s="38" t="str">
        <f t="shared" si="78"/>
        <v/>
      </c>
      <c r="H371" s="38" t="str">
        <f t="shared" si="79"/>
        <v/>
      </c>
      <c r="L371" t="str">
        <f t="shared" si="80"/>
        <v/>
      </c>
      <c r="M371" s="38" t="str">
        <f t="shared" si="70"/>
        <v/>
      </c>
      <c r="N371" s="38" t="str">
        <f t="shared" si="81"/>
        <v/>
      </c>
      <c r="O371" s="38" t="str">
        <f t="shared" si="82"/>
        <v/>
      </c>
      <c r="P371" s="38" t="str">
        <f t="shared" si="71"/>
        <v/>
      </c>
      <c r="Q371" s="38" t="str">
        <f t="shared" si="72"/>
        <v/>
      </c>
      <c r="R371" s="38"/>
    </row>
    <row r="372" spans="1:18" x14ac:dyDescent="0.2">
      <c r="A372" t="str">
        <f t="shared" si="73"/>
        <v/>
      </c>
      <c r="B372" s="38" t="str">
        <f t="shared" si="74"/>
        <v/>
      </c>
      <c r="C372" s="38" t="str">
        <f t="shared" si="83"/>
        <v/>
      </c>
      <c r="D372" s="38" t="str">
        <f t="shared" si="75"/>
        <v/>
      </c>
      <c r="E372" s="38" t="str">
        <f t="shared" si="76"/>
        <v/>
      </c>
      <c r="F372" s="38" t="str">
        <f t="shared" si="77"/>
        <v/>
      </c>
      <c r="G372" s="38" t="str">
        <f t="shared" si="78"/>
        <v/>
      </c>
      <c r="H372" s="38" t="str">
        <f t="shared" si="79"/>
        <v/>
      </c>
      <c r="L372" t="str">
        <f t="shared" si="80"/>
        <v/>
      </c>
      <c r="M372" s="38" t="str">
        <f t="shared" si="70"/>
        <v/>
      </c>
      <c r="N372" s="38" t="str">
        <f t="shared" si="81"/>
        <v/>
      </c>
      <c r="O372" s="38" t="str">
        <f t="shared" si="82"/>
        <v/>
      </c>
      <c r="P372" s="38" t="str">
        <f t="shared" si="71"/>
        <v/>
      </c>
      <c r="Q372" s="38" t="str">
        <f t="shared" si="72"/>
        <v/>
      </c>
      <c r="R372" s="38"/>
    </row>
    <row r="373" spans="1:18" x14ac:dyDescent="0.2">
      <c r="A373" t="str">
        <f t="shared" si="73"/>
        <v/>
      </c>
      <c r="B373" s="38" t="str">
        <f t="shared" si="74"/>
        <v/>
      </c>
      <c r="C373" s="38" t="str">
        <f t="shared" si="83"/>
        <v/>
      </c>
      <c r="D373" s="38" t="str">
        <f t="shared" si="75"/>
        <v/>
      </c>
      <c r="E373" s="38" t="str">
        <f t="shared" si="76"/>
        <v/>
      </c>
      <c r="F373" s="38" t="str">
        <f t="shared" si="77"/>
        <v/>
      </c>
      <c r="G373" s="38" t="str">
        <f t="shared" si="78"/>
        <v/>
      </c>
      <c r="H373" s="38" t="str">
        <f t="shared" si="79"/>
        <v/>
      </c>
      <c r="L373" t="str">
        <f t="shared" si="80"/>
        <v/>
      </c>
      <c r="M373" s="38" t="str">
        <f t="shared" si="70"/>
        <v/>
      </c>
      <c r="N373" s="38" t="str">
        <f t="shared" si="81"/>
        <v/>
      </c>
      <c r="O373" s="38" t="str">
        <f t="shared" si="82"/>
        <v/>
      </c>
      <c r="P373" s="38" t="str">
        <f t="shared" si="71"/>
        <v/>
      </c>
      <c r="Q373" s="38" t="str">
        <f t="shared" si="72"/>
        <v/>
      </c>
      <c r="R373" s="38"/>
    </row>
    <row r="374" spans="1:18" x14ac:dyDescent="0.2">
      <c r="A374" t="str">
        <f t="shared" si="73"/>
        <v/>
      </c>
      <c r="B374" s="38" t="str">
        <f t="shared" si="74"/>
        <v/>
      </c>
      <c r="C374" s="38" t="str">
        <f t="shared" si="83"/>
        <v/>
      </c>
      <c r="D374" s="38" t="str">
        <f t="shared" si="75"/>
        <v/>
      </c>
      <c r="E374" s="38" t="str">
        <f t="shared" si="76"/>
        <v/>
      </c>
      <c r="F374" s="38" t="str">
        <f t="shared" si="77"/>
        <v/>
      </c>
      <c r="G374" s="38" t="str">
        <f t="shared" si="78"/>
        <v/>
      </c>
      <c r="H374" s="38" t="str">
        <f t="shared" si="79"/>
        <v/>
      </c>
      <c r="L374" t="str">
        <f t="shared" si="80"/>
        <v/>
      </c>
      <c r="M374" s="38" t="str">
        <f t="shared" si="70"/>
        <v/>
      </c>
      <c r="N374" s="38" t="str">
        <f t="shared" si="81"/>
        <v/>
      </c>
      <c r="O374" s="38" t="str">
        <f t="shared" si="82"/>
        <v/>
      </c>
      <c r="P374" s="38" t="str">
        <f t="shared" si="71"/>
        <v/>
      </c>
      <c r="Q374" s="38" t="str">
        <f t="shared" si="72"/>
        <v/>
      </c>
      <c r="R374" s="38"/>
    </row>
    <row r="375" spans="1:18" x14ac:dyDescent="0.2">
      <c r="A375" t="str">
        <f t="shared" si="73"/>
        <v/>
      </c>
      <c r="B375" s="38" t="str">
        <f t="shared" si="74"/>
        <v/>
      </c>
      <c r="C375" s="38" t="str">
        <f t="shared" si="83"/>
        <v/>
      </c>
      <c r="D375" s="38" t="str">
        <f t="shared" si="75"/>
        <v/>
      </c>
      <c r="E375" s="38" t="str">
        <f t="shared" si="76"/>
        <v/>
      </c>
      <c r="F375" s="38" t="str">
        <f t="shared" si="77"/>
        <v/>
      </c>
      <c r="G375" s="38" t="str">
        <f t="shared" si="78"/>
        <v/>
      </c>
      <c r="H375" s="38" t="str">
        <f t="shared" si="79"/>
        <v/>
      </c>
      <c r="L375" t="str">
        <f t="shared" si="80"/>
        <v/>
      </c>
      <c r="M375" s="38" t="str">
        <f t="shared" si="70"/>
        <v/>
      </c>
      <c r="N375" s="38" t="str">
        <f t="shared" si="81"/>
        <v/>
      </c>
      <c r="O375" s="38" t="str">
        <f t="shared" si="82"/>
        <v/>
      </c>
      <c r="P375" s="38" t="str">
        <f t="shared" si="71"/>
        <v/>
      </c>
      <c r="Q375" s="38" t="str">
        <f t="shared" si="72"/>
        <v/>
      </c>
      <c r="R375" s="38"/>
    </row>
    <row r="376" spans="1:18" x14ac:dyDescent="0.2">
      <c r="A376" t="str">
        <f t="shared" si="73"/>
        <v/>
      </c>
      <c r="B376" s="38" t="str">
        <f t="shared" si="74"/>
        <v/>
      </c>
      <c r="C376" s="38" t="str">
        <f t="shared" si="83"/>
        <v/>
      </c>
      <c r="D376" s="38" t="str">
        <f t="shared" si="75"/>
        <v/>
      </c>
      <c r="E376" s="38" t="str">
        <f t="shared" si="76"/>
        <v/>
      </c>
      <c r="F376" s="38" t="str">
        <f t="shared" si="77"/>
        <v/>
      </c>
      <c r="G376" s="38" t="str">
        <f t="shared" si="78"/>
        <v/>
      </c>
      <c r="H376" s="38" t="str">
        <f t="shared" si="79"/>
        <v/>
      </c>
      <c r="L376" t="str">
        <f t="shared" si="80"/>
        <v/>
      </c>
      <c r="M376" s="38" t="str">
        <f t="shared" si="70"/>
        <v/>
      </c>
      <c r="N376" s="38" t="str">
        <f t="shared" si="81"/>
        <v/>
      </c>
      <c r="O376" s="38" t="str">
        <f t="shared" si="82"/>
        <v/>
      </c>
      <c r="P376" s="38" t="str">
        <f t="shared" si="71"/>
        <v/>
      </c>
      <c r="Q376" s="38" t="str">
        <f t="shared" si="72"/>
        <v/>
      </c>
      <c r="R376" s="38"/>
    </row>
    <row r="377" spans="1:18" x14ac:dyDescent="0.2">
      <c r="A377" t="str">
        <f t="shared" si="73"/>
        <v/>
      </c>
      <c r="B377" s="38" t="str">
        <f t="shared" si="74"/>
        <v/>
      </c>
      <c r="C377" s="38" t="str">
        <f t="shared" si="83"/>
        <v/>
      </c>
      <c r="D377" s="38" t="str">
        <f t="shared" si="75"/>
        <v/>
      </c>
      <c r="E377" s="38" t="str">
        <f t="shared" si="76"/>
        <v/>
      </c>
      <c r="F377" s="38" t="str">
        <f t="shared" si="77"/>
        <v/>
      </c>
      <c r="G377" s="38" t="str">
        <f t="shared" si="78"/>
        <v/>
      </c>
      <c r="H377" s="38" t="str">
        <f t="shared" si="79"/>
        <v/>
      </c>
      <c r="L377" t="str">
        <f t="shared" si="80"/>
        <v/>
      </c>
      <c r="M377" s="38" t="str">
        <f t="shared" si="70"/>
        <v/>
      </c>
      <c r="N377" s="38" t="str">
        <f t="shared" si="81"/>
        <v/>
      </c>
      <c r="O377" s="38" t="str">
        <f t="shared" si="82"/>
        <v/>
      </c>
      <c r="P377" s="38" t="str">
        <f t="shared" si="71"/>
        <v/>
      </c>
      <c r="Q377" s="38" t="str">
        <f t="shared" si="72"/>
        <v/>
      </c>
      <c r="R377" s="38"/>
    </row>
    <row r="378" spans="1:18" x14ac:dyDescent="0.2">
      <c r="A378" t="str">
        <f t="shared" si="73"/>
        <v/>
      </c>
      <c r="B378" s="38" t="str">
        <f t="shared" si="74"/>
        <v/>
      </c>
      <c r="C378" s="38" t="str">
        <f t="shared" si="83"/>
        <v/>
      </c>
      <c r="D378" s="38" t="str">
        <f t="shared" si="75"/>
        <v/>
      </c>
      <c r="E378" s="38" t="str">
        <f t="shared" si="76"/>
        <v/>
      </c>
      <c r="F378" s="38" t="str">
        <f t="shared" si="77"/>
        <v/>
      </c>
      <c r="G378" s="38" t="str">
        <f t="shared" si="78"/>
        <v/>
      </c>
      <c r="H378" s="38" t="str">
        <f t="shared" si="79"/>
        <v/>
      </c>
      <c r="L378" t="str">
        <f t="shared" si="80"/>
        <v/>
      </c>
      <c r="M378" s="38" t="str">
        <f t="shared" si="70"/>
        <v/>
      </c>
      <c r="N378" s="38" t="str">
        <f t="shared" si="81"/>
        <v/>
      </c>
      <c r="O378" s="38" t="str">
        <f t="shared" si="82"/>
        <v/>
      </c>
      <c r="P378" s="38" t="str">
        <f t="shared" si="71"/>
        <v/>
      </c>
      <c r="Q378" s="38" t="str">
        <f t="shared" si="72"/>
        <v/>
      </c>
      <c r="R378" s="38"/>
    </row>
    <row r="379" spans="1:18" x14ac:dyDescent="0.2">
      <c r="A379" t="str">
        <f t="shared" si="73"/>
        <v/>
      </c>
      <c r="B379" s="38" t="str">
        <f t="shared" si="74"/>
        <v/>
      </c>
      <c r="C379" s="38" t="str">
        <f t="shared" si="83"/>
        <v/>
      </c>
      <c r="D379" s="38" t="str">
        <f t="shared" si="75"/>
        <v/>
      </c>
      <c r="E379" s="38" t="str">
        <f t="shared" si="76"/>
        <v/>
      </c>
      <c r="F379" s="38" t="str">
        <f t="shared" si="77"/>
        <v/>
      </c>
      <c r="G379" s="38" t="str">
        <f t="shared" si="78"/>
        <v/>
      </c>
      <c r="H379" s="38" t="str">
        <f t="shared" si="79"/>
        <v/>
      </c>
      <c r="L379" t="str">
        <f t="shared" si="80"/>
        <v/>
      </c>
      <c r="M379" s="38" t="str">
        <f t="shared" si="70"/>
        <v/>
      </c>
      <c r="N379" s="38" t="str">
        <f t="shared" si="81"/>
        <v/>
      </c>
      <c r="O379" s="38" t="str">
        <f t="shared" si="82"/>
        <v/>
      </c>
      <c r="P379" s="38" t="str">
        <f t="shared" si="71"/>
        <v/>
      </c>
      <c r="Q379" s="38" t="str">
        <f t="shared" si="72"/>
        <v/>
      </c>
      <c r="R379" s="38"/>
    </row>
    <row r="380" spans="1:18" x14ac:dyDescent="0.2">
      <c r="A380" t="str">
        <f t="shared" si="73"/>
        <v/>
      </c>
      <c r="B380" s="38" t="str">
        <f t="shared" si="74"/>
        <v/>
      </c>
      <c r="C380" s="38" t="str">
        <f t="shared" si="83"/>
        <v/>
      </c>
      <c r="D380" s="38" t="str">
        <f t="shared" si="75"/>
        <v/>
      </c>
      <c r="E380" s="38" t="str">
        <f t="shared" si="76"/>
        <v/>
      </c>
      <c r="F380" s="38" t="str">
        <f t="shared" si="77"/>
        <v/>
      </c>
      <c r="G380" s="38" t="str">
        <f t="shared" si="78"/>
        <v/>
      </c>
      <c r="H380" s="38" t="str">
        <f t="shared" si="79"/>
        <v/>
      </c>
      <c r="L380" t="str">
        <f t="shared" si="80"/>
        <v/>
      </c>
      <c r="M380" s="38" t="str">
        <f t="shared" si="70"/>
        <v/>
      </c>
      <c r="N380" s="38" t="str">
        <f t="shared" si="81"/>
        <v/>
      </c>
      <c r="O380" s="38" t="str">
        <f t="shared" si="82"/>
        <v/>
      </c>
      <c r="P380" s="38" t="str">
        <f t="shared" si="71"/>
        <v/>
      </c>
      <c r="Q380" s="38" t="str">
        <f t="shared" si="72"/>
        <v/>
      </c>
      <c r="R380" s="38"/>
    </row>
    <row r="381" spans="1:18" x14ac:dyDescent="0.2">
      <c r="A381" t="str">
        <f t="shared" si="73"/>
        <v/>
      </c>
      <c r="B381" s="38" t="str">
        <f t="shared" si="74"/>
        <v/>
      </c>
      <c r="C381" s="38" t="str">
        <f t="shared" si="83"/>
        <v/>
      </c>
      <c r="D381" s="38" t="str">
        <f t="shared" si="75"/>
        <v/>
      </c>
      <c r="E381" s="38" t="str">
        <f t="shared" si="76"/>
        <v/>
      </c>
      <c r="F381" s="38" t="str">
        <f t="shared" si="77"/>
        <v/>
      </c>
      <c r="G381" s="38" t="str">
        <f t="shared" si="78"/>
        <v/>
      </c>
      <c r="H381" s="38" t="str">
        <f t="shared" si="79"/>
        <v/>
      </c>
      <c r="L381" t="str">
        <f t="shared" si="80"/>
        <v/>
      </c>
      <c r="M381" s="38" t="str">
        <f t="shared" si="70"/>
        <v/>
      </c>
      <c r="N381" s="38" t="str">
        <f t="shared" si="81"/>
        <v/>
      </c>
      <c r="O381" s="38" t="str">
        <f t="shared" si="82"/>
        <v/>
      </c>
      <c r="P381" s="38" t="str">
        <f t="shared" si="71"/>
        <v/>
      </c>
      <c r="Q381" s="38" t="str">
        <f t="shared" si="72"/>
        <v/>
      </c>
      <c r="R381" s="38"/>
    </row>
    <row r="382" spans="1:18" x14ac:dyDescent="0.2">
      <c r="A382" t="str">
        <f t="shared" si="73"/>
        <v/>
      </c>
      <c r="B382" s="38" t="str">
        <f t="shared" si="74"/>
        <v/>
      </c>
      <c r="C382" s="38" t="str">
        <f t="shared" si="83"/>
        <v/>
      </c>
      <c r="D382" s="38" t="str">
        <f t="shared" si="75"/>
        <v/>
      </c>
      <c r="E382" s="38" t="str">
        <f t="shared" si="76"/>
        <v/>
      </c>
      <c r="F382" s="38" t="str">
        <f t="shared" si="77"/>
        <v/>
      </c>
      <c r="G382" s="38" t="str">
        <f t="shared" si="78"/>
        <v/>
      </c>
      <c r="H382" s="38" t="str">
        <f t="shared" si="79"/>
        <v/>
      </c>
      <c r="L382" t="str">
        <f t="shared" si="80"/>
        <v/>
      </c>
      <c r="M382" s="38" t="str">
        <f t="shared" si="70"/>
        <v/>
      </c>
      <c r="N382" s="38" t="str">
        <f t="shared" si="81"/>
        <v/>
      </c>
      <c r="O382" s="38" t="str">
        <f t="shared" si="82"/>
        <v/>
      </c>
      <c r="P382" s="38" t="str">
        <f t="shared" si="71"/>
        <v/>
      </c>
      <c r="Q382" s="38" t="str">
        <f t="shared" si="72"/>
        <v/>
      </c>
      <c r="R382" s="38"/>
    </row>
    <row r="383" spans="1:18" x14ac:dyDescent="0.2">
      <c r="A383" t="str">
        <f t="shared" si="73"/>
        <v/>
      </c>
      <c r="B383" s="38" t="str">
        <f t="shared" si="74"/>
        <v/>
      </c>
      <c r="C383" s="38" t="str">
        <f t="shared" si="83"/>
        <v/>
      </c>
      <c r="D383" s="38" t="str">
        <f t="shared" si="75"/>
        <v/>
      </c>
      <c r="E383" s="38" t="str">
        <f t="shared" si="76"/>
        <v/>
      </c>
      <c r="F383" s="38" t="str">
        <f t="shared" si="77"/>
        <v/>
      </c>
      <c r="G383" s="38" t="str">
        <f t="shared" si="78"/>
        <v/>
      </c>
      <c r="H383" s="38" t="str">
        <f t="shared" si="79"/>
        <v/>
      </c>
      <c r="L383" t="str">
        <f t="shared" si="80"/>
        <v/>
      </c>
      <c r="M383" s="38" t="str">
        <f t="shared" si="70"/>
        <v/>
      </c>
      <c r="N383" s="38" t="str">
        <f t="shared" si="81"/>
        <v/>
      </c>
      <c r="O383" s="38" t="str">
        <f t="shared" si="82"/>
        <v/>
      </c>
      <c r="P383" s="38" t="str">
        <f t="shared" si="71"/>
        <v/>
      </c>
      <c r="Q383" s="38" t="str">
        <f t="shared" si="72"/>
        <v/>
      </c>
      <c r="R383" s="38"/>
    </row>
    <row r="384" spans="1:18" x14ac:dyDescent="0.2">
      <c r="A384" t="str">
        <f t="shared" si="73"/>
        <v/>
      </c>
      <c r="B384" s="38" t="str">
        <f t="shared" si="74"/>
        <v/>
      </c>
      <c r="C384" s="38" t="str">
        <f t="shared" si="83"/>
        <v/>
      </c>
      <c r="D384" s="38" t="str">
        <f t="shared" si="75"/>
        <v/>
      </c>
      <c r="E384" s="38" t="str">
        <f t="shared" si="76"/>
        <v/>
      </c>
      <c r="F384" s="38" t="str">
        <f t="shared" si="77"/>
        <v/>
      </c>
      <c r="G384" s="38" t="str">
        <f t="shared" si="78"/>
        <v/>
      </c>
      <c r="H384" s="38" t="str">
        <f t="shared" si="79"/>
        <v/>
      </c>
      <c r="L384" t="str">
        <f t="shared" si="80"/>
        <v/>
      </c>
      <c r="M384" s="38" t="str">
        <f t="shared" si="70"/>
        <v/>
      </c>
      <c r="N384" s="38" t="str">
        <f t="shared" si="81"/>
        <v/>
      </c>
      <c r="O384" s="38" t="str">
        <f t="shared" si="82"/>
        <v/>
      </c>
      <c r="P384" s="38" t="str">
        <f t="shared" si="71"/>
        <v/>
      </c>
      <c r="Q384" s="38" t="str">
        <f t="shared" si="72"/>
        <v/>
      </c>
      <c r="R384" s="38"/>
    </row>
    <row r="385" spans="1:18" x14ac:dyDescent="0.2">
      <c r="A385" t="str">
        <f t="shared" si="73"/>
        <v/>
      </c>
      <c r="B385" s="38" t="str">
        <f t="shared" si="74"/>
        <v/>
      </c>
      <c r="C385" s="38" t="str">
        <f t="shared" si="83"/>
        <v/>
      </c>
      <c r="D385" s="38" t="str">
        <f t="shared" si="75"/>
        <v/>
      </c>
      <c r="E385" s="38" t="str">
        <f t="shared" si="76"/>
        <v/>
      </c>
      <c r="F385" s="38" t="str">
        <f t="shared" si="77"/>
        <v/>
      </c>
      <c r="G385" s="38" t="str">
        <f t="shared" si="78"/>
        <v/>
      </c>
      <c r="H385" s="38" t="str">
        <f t="shared" si="79"/>
        <v/>
      </c>
      <c r="L385" t="str">
        <f t="shared" si="80"/>
        <v/>
      </c>
      <c r="M385" s="38" t="str">
        <f t="shared" si="70"/>
        <v/>
      </c>
      <c r="N385" s="38" t="str">
        <f t="shared" si="81"/>
        <v/>
      </c>
      <c r="O385" s="38" t="str">
        <f t="shared" si="82"/>
        <v/>
      </c>
      <c r="P385" s="38" t="str">
        <f t="shared" si="71"/>
        <v/>
      </c>
      <c r="Q385" s="38" t="str">
        <f t="shared" si="72"/>
        <v/>
      </c>
      <c r="R385" s="38"/>
    </row>
    <row r="386" spans="1:18" x14ac:dyDescent="0.2">
      <c r="A386" t="str">
        <f t="shared" si="73"/>
        <v/>
      </c>
      <c r="B386" s="38" t="str">
        <f t="shared" si="74"/>
        <v/>
      </c>
      <c r="C386" s="38" t="str">
        <f t="shared" si="83"/>
        <v/>
      </c>
      <c r="D386" s="38" t="str">
        <f t="shared" si="75"/>
        <v/>
      </c>
      <c r="E386" s="38" t="str">
        <f t="shared" si="76"/>
        <v/>
      </c>
      <c r="F386" s="38" t="str">
        <f t="shared" si="77"/>
        <v/>
      </c>
      <c r="G386" s="38" t="str">
        <f t="shared" si="78"/>
        <v/>
      </c>
      <c r="H386" s="38" t="str">
        <f t="shared" si="79"/>
        <v/>
      </c>
      <c r="L386" t="str">
        <f t="shared" si="80"/>
        <v/>
      </c>
      <c r="M386" s="38" t="str">
        <f t="shared" si="70"/>
        <v/>
      </c>
      <c r="N386" s="38" t="str">
        <f t="shared" si="81"/>
        <v/>
      </c>
      <c r="O386" s="38" t="str">
        <f t="shared" si="82"/>
        <v/>
      </c>
      <c r="P386" s="38" t="str">
        <f t="shared" si="71"/>
        <v/>
      </c>
      <c r="Q386" s="38" t="str">
        <f t="shared" si="72"/>
        <v/>
      </c>
      <c r="R386" s="38"/>
    </row>
    <row r="387" spans="1:18" x14ac:dyDescent="0.2">
      <c r="A387" t="str">
        <f t="shared" si="73"/>
        <v/>
      </c>
      <c r="B387" s="38" t="str">
        <f t="shared" si="74"/>
        <v/>
      </c>
      <c r="C387" s="38" t="str">
        <f t="shared" si="83"/>
        <v/>
      </c>
      <c r="D387" s="38" t="str">
        <f t="shared" si="75"/>
        <v/>
      </c>
      <c r="E387" s="38" t="str">
        <f t="shared" si="76"/>
        <v/>
      </c>
      <c r="F387" s="38" t="str">
        <f t="shared" si="77"/>
        <v/>
      </c>
      <c r="G387" s="38" t="str">
        <f t="shared" si="78"/>
        <v/>
      </c>
      <c r="H387" s="38" t="str">
        <f t="shared" si="79"/>
        <v/>
      </c>
      <c r="L387" t="str">
        <f t="shared" si="80"/>
        <v/>
      </c>
      <c r="M387" s="38" t="str">
        <f t="shared" si="70"/>
        <v/>
      </c>
      <c r="N387" s="38" t="str">
        <f t="shared" si="81"/>
        <v/>
      </c>
      <c r="O387" s="38" t="str">
        <f t="shared" si="82"/>
        <v/>
      </c>
      <c r="P387" s="38" t="str">
        <f t="shared" si="71"/>
        <v/>
      </c>
      <c r="Q387" s="38" t="str">
        <f t="shared" si="72"/>
        <v/>
      </c>
      <c r="R387" s="38"/>
    </row>
    <row r="388" spans="1:18" x14ac:dyDescent="0.2">
      <c r="A388" t="str">
        <f t="shared" si="73"/>
        <v/>
      </c>
      <c r="B388" s="38" t="str">
        <f t="shared" si="74"/>
        <v/>
      </c>
      <c r="C388" s="38" t="str">
        <f t="shared" si="83"/>
        <v/>
      </c>
      <c r="D388" s="38" t="str">
        <f t="shared" si="75"/>
        <v/>
      </c>
      <c r="E388" s="38" t="str">
        <f t="shared" si="76"/>
        <v/>
      </c>
      <c r="F388" s="38" t="str">
        <f t="shared" si="77"/>
        <v/>
      </c>
      <c r="G388" s="38" t="str">
        <f t="shared" si="78"/>
        <v/>
      </c>
      <c r="H388" s="38" t="str">
        <f t="shared" si="79"/>
        <v/>
      </c>
      <c r="L388" t="str">
        <f t="shared" si="80"/>
        <v/>
      </c>
      <c r="M388" s="38" t="str">
        <f t="shared" si="70"/>
        <v/>
      </c>
      <c r="N388" s="38" t="str">
        <f t="shared" si="81"/>
        <v/>
      </c>
      <c r="O388" s="38" t="str">
        <f t="shared" si="82"/>
        <v/>
      </c>
      <c r="P388" s="38" t="str">
        <f t="shared" si="71"/>
        <v/>
      </c>
      <c r="Q388" s="38" t="str">
        <f t="shared" si="72"/>
        <v/>
      </c>
      <c r="R388" s="38"/>
    </row>
    <row r="389" spans="1:18" x14ac:dyDescent="0.2">
      <c r="A389" t="str">
        <f t="shared" si="73"/>
        <v/>
      </c>
      <c r="B389" s="38" t="str">
        <f t="shared" si="74"/>
        <v/>
      </c>
      <c r="C389" s="38" t="str">
        <f t="shared" si="83"/>
        <v/>
      </c>
      <c r="D389" s="38" t="str">
        <f t="shared" si="75"/>
        <v/>
      </c>
      <c r="E389" s="38" t="str">
        <f t="shared" si="76"/>
        <v/>
      </c>
      <c r="F389" s="38" t="str">
        <f t="shared" si="77"/>
        <v/>
      </c>
      <c r="G389" s="38" t="str">
        <f t="shared" si="78"/>
        <v/>
      </c>
      <c r="H389" s="38" t="str">
        <f t="shared" si="79"/>
        <v/>
      </c>
      <c r="L389" t="str">
        <f t="shared" si="80"/>
        <v/>
      </c>
      <c r="M389" s="38" t="str">
        <f t="shared" si="70"/>
        <v/>
      </c>
      <c r="N389" s="38" t="str">
        <f t="shared" si="81"/>
        <v/>
      </c>
      <c r="O389" s="38" t="str">
        <f t="shared" si="82"/>
        <v/>
      </c>
      <c r="P389" s="38" t="str">
        <f t="shared" si="71"/>
        <v/>
      </c>
      <c r="Q389" s="38" t="str">
        <f t="shared" si="72"/>
        <v/>
      </c>
      <c r="R389" s="38"/>
    </row>
    <row r="390" spans="1:18" x14ac:dyDescent="0.2">
      <c r="A390" t="str">
        <f t="shared" si="73"/>
        <v/>
      </c>
      <c r="B390" s="38" t="str">
        <f t="shared" si="74"/>
        <v/>
      </c>
      <c r="C390" s="38" t="str">
        <f t="shared" si="83"/>
        <v/>
      </c>
      <c r="D390" s="38" t="str">
        <f t="shared" si="75"/>
        <v/>
      </c>
      <c r="E390" s="38" t="str">
        <f t="shared" si="76"/>
        <v/>
      </c>
      <c r="F390" s="38" t="str">
        <f t="shared" si="77"/>
        <v/>
      </c>
      <c r="G390" s="38" t="str">
        <f t="shared" si="78"/>
        <v/>
      </c>
      <c r="H390" s="38" t="str">
        <f t="shared" si="79"/>
        <v/>
      </c>
      <c r="L390" t="str">
        <f t="shared" si="80"/>
        <v/>
      </c>
      <c r="M390" s="38" t="str">
        <f t="shared" si="70"/>
        <v/>
      </c>
      <c r="N390" s="38" t="str">
        <f t="shared" si="81"/>
        <v/>
      </c>
      <c r="O390" s="38" t="str">
        <f t="shared" si="82"/>
        <v/>
      </c>
      <c r="P390" s="38" t="str">
        <f t="shared" si="71"/>
        <v/>
      </c>
      <c r="Q390" s="38" t="str">
        <f t="shared" si="72"/>
        <v/>
      </c>
      <c r="R390" s="38"/>
    </row>
    <row r="391" spans="1:18" x14ac:dyDescent="0.2">
      <c r="A391" t="str">
        <f t="shared" si="73"/>
        <v/>
      </c>
      <c r="B391" s="38" t="str">
        <f t="shared" si="74"/>
        <v/>
      </c>
      <c r="C391" s="38" t="str">
        <f t="shared" si="83"/>
        <v/>
      </c>
      <c r="D391" s="38" t="str">
        <f t="shared" si="75"/>
        <v/>
      </c>
      <c r="E391" s="38" t="str">
        <f t="shared" si="76"/>
        <v/>
      </c>
      <c r="F391" s="38" t="str">
        <f t="shared" si="77"/>
        <v/>
      </c>
      <c r="G391" s="38" t="str">
        <f t="shared" si="78"/>
        <v/>
      </c>
      <c r="H391" s="38" t="str">
        <f t="shared" si="79"/>
        <v/>
      </c>
      <c r="L391" t="str">
        <f t="shared" si="80"/>
        <v/>
      </c>
      <c r="M391" s="38" t="str">
        <f t="shared" si="70"/>
        <v/>
      </c>
      <c r="N391" s="38" t="str">
        <f t="shared" si="81"/>
        <v/>
      </c>
      <c r="O391" s="38" t="str">
        <f t="shared" si="82"/>
        <v/>
      </c>
      <c r="P391" s="38" t="str">
        <f t="shared" si="71"/>
        <v/>
      </c>
      <c r="Q391" s="38" t="str">
        <f t="shared" si="72"/>
        <v/>
      </c>
      <c r="R391" s="38"/>
    </row>
    <row r="392" spans="1:18" x14ac:dyDescent="0.2">
      <c r="A392" t="str">
        <f t="shared" si="73"/>
        <v/>
      </c>
      <c r="B392" s="38" t="str">
        <f t="shared" si="74"/>
        <v/>
      </c>
      <c r="C392" s="38" t="str">
        <f t="shared" si="83"/>
        <v/>
      </c>
      <c r="D392" s="38" t="str">
        <f t="shared" si="75"/>
        <v/>
      </c>
      <c r="E392" s="38" t="str">
        <f t="shared" si="76"/>
        <v/>
      </c>
      <c r="F392" s="38" t="str">
        <f t="shared" si="77"/>
        <v/>
      </c>
      <c r="G392" s="38" t="str">
        <f t="shared" si="78"/>
        <v/>
      </c>
      <c r="H392" s="38" t="str">
        <f t="shared" si="79"/>
        <v/>
      </c>
      <c r="L392" t="str">
        <f t="shared" si="80"/>
        <v/>
      </c>
      <c r="M392" s="38" t="str">
        <f t="shared" si="70"/>
        <v/>
      </c>
      <c r="N392" s="38" t="str">
        <f t="shared" si="81"/>
        <v/>
      </c>
      <c r="O392" s="38" t="str">
        <f t="shared" si="82"/>
        <v/>
      </c>
      <c r="P392" s="38" t="str">
        <f t="shared" si="71"/>
        <v/>
      </c>
      <c r="Q392" s="38" t="str">
        <f t="shared" si="72"/>
        <v/>
      </c>
      <c r="R392" s="38"/>
    </row>
    <row r="393" spans="1:18" x14ac:dyDescent="0.2">
      <c r="A393" t="str">
        <f t="shared" si="73"/>
        <v/>
      </c>
      <c r="B393" s="38" t="str">
        <f t="shared" si="74"/>
        <v/>
      </c>
      <c r="C393" s="38" t="str">
        <f t="shared" si="83"/>
        <v/>
      </c>
      <c r="D393" s="38" t="str">
        <f t="shared" si="75"/>
        <v/>
      </c>
      <c r="E393" s="38" t="str">
        <f t="shared" si="76"/>
        <v/>
      </c>
      <c r="F393" s="38" t="str">
        <f t="shared" si="77"/>
        <v/>
      </c>
      <c r="G393" s="38" t="str">
        <f t="shared" si="78"/>
        <v/>
      </c>
      <c r="H393" s="38" t="str">
        <f t="shared" si="79"/>
        <v/>
      </c>
      <c r="L393" t="str">
        <f t="shared" si="80"/>
        <v/>
      </c>
      <c r="M393" s="38" t="str">
        <f t="shared" si="70"/>
        <v/>
      </c>
      <c r="N393" s="38" t="str">
        <f t="shared" si="81"/>
        <v/>
      </c>
      <c r="O393" s="38" t="str">
        <f t="shared" si="82"/>
        <v/>
      </c>
      <c r="P393" s="38" t="str">
        <f t="shared" si="71"/>
        <v/>
      </c>
      <c r="Q393" s="38" t="str">
        <f t="shared" si="72"/>
        <v/>
      </c>
      <c r="R393" s="38"/>
    </row>
    <row r="394" spans="1:18" x14ac:dyDescent="0.2">
      <c r="A394" t="str">
        <f t="shared" si="73"/>
        <v/>
      </c>
      <c r="B394" s="38" t="str">
        <f t="shared" si="74"/>
        <v/>
      </c>
      <c r="C394" s="38" t="str">
        <f t="shared" si="83"/>
        <v/>
      </c>
      <c r="D394" s="38" t="str">
        <f t="shared" si="75"/>
        <v/>
      </c>
      <c r="E394" s="38" t="str">
        <f t="shared" si="76"/>
        <v/>
      </c>
      <c r="F394" s="38" t="str">
        <f t="shared" si="77"/>
        <v/>
      </c>
      <c r="G394" s="38" t="str">
        <f t="shared" si="78"/>
        <v/>
      </c>
      <c r="H394" s="38" t="str">
        <f t="shared" si="79"/>
        <v/>
      </c>
      <c r="L394" t="str">
        <f t="shared" si="80"/>
        <v/>
      </c>
      <c r="M394" s="38" t="str">
        <f t="shared" si="70"/>
        <v/>
      </c>
      <c r="N394" s="38" t="str">
        <f t="shared" si="81"/>
        <v/>
      </c>
      <c r="O394" s="38" t="str">
        <f t="shared" si="82"/>
        <v/>
      </c>
      <c r="P394" s="38" t="str">
        <f t="shared" si="71"/>
        <v/>
      </c>
      <c r="Q394" s="38" t="str">
        <f t="shared" si="72"/>
        <v/>
      </c>
      <c r="R394" s="38"/>
    </row>
    <row r="395" spans="1:18" x14ac:dyDescent="0.2">
      <c r="A395" t="str">
        <f t="shared" si="73"/>
        <v/>
      </c>
      <c r="B395" s="38" t="str">
        <f t="shared" si="74"/>
        <v/>
      </c>
      <c r="C395" s="38" t="str">
        <f t="shared" si="83"/>
        <v/>
      </c>
      <c r="D395" s="38" t="str">
        <f t="shared" si="75"/>
        <v/>
      </c>
      <c r="E395" s="38" t="str">
        <f t="shared" si="76"/>
        <v/>
      </c>
      <c r="F395" s="38" t="str">
        <f t="shared" si="77"/>
        <v/>
      </c>
      <c r="G395" s="38" t="str">
        <f t="shared" si="78"/>
        <v/>
      </c>
      <c r="H395" s="38" t="str">
        <f t="shared" si="79"/>
        <v/>
      </c>
      <c r="L395" t="str">
        <f t="shared" si="80"/>
        <v/>
      </c>
      <c r="M395" s="38" t="str">
        <f t="shared" si="70"/>
        <v/>
      </c>
      <c r="N395" s="38" t="str">
        <f t="shared" si="81"/>
        <v/>
      </c>
      <c r="O395" s="38" t="str">
        <f t="shared" si="82"/>
        <v/>
      </c>
      <c r="P395" s="38" t="str">
        <f t="shared" si="71"/>
        <v/>
      </c>
      <c r="Q395" s="38" t="str">
        <f t="shared" si="72"/>
        <v/>
      </c>
      <c r="R395" s="38"/>
    </row>
    <row r="396" spans="1:18" x14ac:dyDescent="0.2">
      <c r="A396" t="str">
        <f t="shared" si="73"/>
        <v/>
      </c>
      <c r="B396" s="38" t="str">
        <f t="shared" si="74"/>
        <v/>
      </c>
      <c r="C396" s="38" t="str">
        <f t="shared" si="83"/>
        <v/>
      </c>
      <c r="D396" s="38" t="str">
        <f t="shared" si="75"/>
        <v/>
      </c>
      <c r="E396" s="38" t="str">
        <f t="shared" si="76"/>
        <v/>
      </c>
      <c r="F396" s="38" t="str">
        <f t="shared" si="77"/>
        <v/>
      </c>
      <c r="G396" s="38" t="str">
        <f t="shared" si="78"/>
        <v/>
      </c>
      <c r="H396" s="38" t="str">
        <f t="shared" si="79"/>
        <v/>
      </c>
      <c r="L396" t="str">
        <f t="shared" si="80"/>
        <v/>
      </c>
      <c r="M396" s="38" t="str">
        <f t="shared" si="70"/>
        <v/>
      </c>
      <c r="N396" s="38" t="str">
        <f t="shared" si="81"/>
        <v/>
      </c>
      <c r="O396" s="38" t="str">
        <f t="shared" si="82"/>
        <v/>
      </c>
      <c r="P396" s="38" t="str">
        <f t="shared" si="71"/>
        <v/>
      </c>
      <c r="Q396" s="38" t="str">
        <f t="shared" si="72"/>
        <v/>
      </c>
      <c r="R396" s="38"/>
    </row>
    <row r="397" spans="1:18" x14ac:dyDescent="0.2">
      <c r="A397" t="str">
        <f t="shared" si="73"/>
        <v/>
      </c>
      <c r="B397" s="38" t="str">
        <f t="shared" si="74"/>
        <v/>
      </c>
      <c r="C397" s="38" t="str">
        <f t="shared" si="83"/>
        <v/>
      </c>
      <c r="D397" s="38" t="str">
        <f t="shared" si="75"/>
        <v/>
      </c>
      <c r="E397" s="38" t="str">
        <f t="shared" si="76"/>
        <v/>
      </c>
      <c r="F397" s="38" t="str">
        <f t="shared" si="77"/>
        <v/>
      </c>
      <c r="G397" s="38" t="str">
        <f t="shared" si="78"/>
        <v/>
      </c>
      <c r="H397" s="38" t="str">
        <f t="shared" si="79"/>
        <v/>
      </c>
      <c r="L397" t="str">
        <f t="shared" si="80"/>
        <v/>
      </c>
      <c r="M397" s="38" t="str">
        <f t="shared" si="70"/>
        <v/>
      </c>
      <c r="N397" s="38" t="str">
        <f t="shared" si="81"/>
        <v/>
      </c>
      <c r="O397" s="38" t="str">
        <f t="shared" si="82"/>
        <v/>
      </c>
      <c r="P397" s="38" t="str">
        <f t="shared" si="71"/>
        <v/>
      </c>
      <c r="Q397" s="38" t="str">
        <f t="shared" si="72"/>
        <v/>
      </c>
      <c r="R397" s="38"/>
    </row>
    <row r="398" spans="1:18" x14ac:dyDescent="0.2">
      <c r="A398" t="str">
        <f t="shared" si="73"/>
        <v/>
      </c>
      <c r="B398" s="38" t="str">
        <f t="shared" si="74"/>
        <v/>
      </c>
      <c r="C398" s="38" t="str">
        <f t="shared" si="83"/>
        <v/>
      </c>
      <c r="D398" s="38" t="str">
        <f t="shared" si="75"/>
        <v/>
      </c>
      <c r="E398" s="38" t="str">
        <f t="shared" si="76"/>
        <v/>
      </c>
      <c r="F398" s="38" t="str">
        <f t="shared" si="77"/>
        <v/>
      </c>
      <c r="G398" s="38" t="str">
        <f t="shared" si="78"/>
        <v/>
      </c>
      <c r="H398" s="38" t="str">
        <f t="shared" si="79"/>
        <v/>
      </c>
      <c r="L398" t="str">
        <f t="shared" si="80"/>
        <v/>
      </c>
      <c r="M398" s="38" t="str">
        <f t="shared" si="70"/>
        <v/>
      </c>
      <c r="N398" s="38" t="str">
        <f t="shared" si="81"/>
        <v/>
      </c>
      <c r="O398" s="38" t="str">
        <f t="shared" si="82"/>
        <v/>
      </c>
      <c r="P398" s="38" t="str">
        <f t="shared" si="71"/>
        <v/>
      </c>
      <c r="Q398" s="38" t="str">
        <f t="shared" si="72"/>
        <v/>
      </c>
      <c r="R398" s="38"/>
    </row>
    <row r="399" spans="1:18" x14ac:dyDescent="0.2">
      <c r="A399" t="str">
        <f t="shared" si="73"/>
        <v/>
      </c>
      <c r="B399" s="38" t="str">
        <f t="shared" si="74"/>
        <v/>
      </c>
      <c r="C399" s="38" t="str">
        <f t="shared" si="83"/>
        <v/>
      </c>
      <c r="D399" s="38" t="str">
        <f t="shared" si="75"/>
        <v/>
      </c>
      <c r="E399" s="38" t="str">
        <f t="shared" si="76"/>
        <v/>
      </c>
      <c r="F399" s="38" t="str">
        <f t="shared" si="77"/>
        <v/>
      </c>
      <c r="G399" s="38" t="str">
        <f t="shared" si="78"/>
        <v/>
      </c>
      <c r="H399" s="38" t="str">
        <f t="shared" si="79"/>
        <v/>
      </c>
      <c r="L399" t="str">
        <f t="shared" si="80"/>
        <v/>
      </c>
      <c r="M399" s="38" t="str">
        <f t="shared" si="70"/>
        <v/>
      </c>
      <c r="N399" s="38" t="str">
        <f t="shared" si="81"/>
        <v/>
      </c>
      <c r="O399" s="38" t="str">
        <f t="shared" si="82"/>
        <v/>
      </c>
      <c r="P399" s="38" t="str">
        <f t="shared" si="71"/>
        <v/>
      </c>
      <c r="Q399" s="38" t="str">
        <f t="shared" si="72"/>
        <v/>
      </c>
      <c r="R399" s="38"/>
    </row>
    <row r="400" spans="1:18" x14ac:dyDescent="0.2">
      <c r="A400" t="str">
        <f t="shared" si="73"/>
        <v/>
      </c>
      <c r="B400" s="38" t="str">
        <f t="shared" si="74"/>
        <v/>
      </c>
      <c r="C400" s="38" t="str">
        <f t="shared" si="83"/>
        <v/>
      </c>
      <c r="D400" s="38" t="str">
        <f t="shared" si="75"/>
        <v/>
      </c>
      <c r="E400" s="38" t="str">
        <f t="shared" si="76"/>
        <v/>
      </c>
      <c r="F400" s="38" t="str">
        <f t="shared" si="77"/>
        <v/>
      </c>
      <c r="G400" s="38" t="str">
        <f t="shared" si="78"/>
        <v/>
      </c>
      <c r="H400" s="38" t="str">
        <f t="shared" si="79"/>
        <v/>
      </c>
      <c r="L400" t="str">
        <f t="shared" si="80"/>
        <v/>
      </c>
      <c r="M400" s="38" t="str">
        <f t="shared" si="70"/>
        <v/>
      </c>
      <c r="N400" s="38" t="str">
        <f t="shared" si="81"/>
        <v/>
      </c>
      <c r="O400" s="38" t="str">
        <f t="shared" si="82"/>
        <v/>
      </c>
      <c r="P400" s="38" t="str">
        <f t="shared" si="71"/>
        <v/>
      </c>
      <c r="Q400" s="38" t="str">
        <f t="shared" si="72"/>
        <v/>
      </c>
      <c r="R400" s="38"/>
    </row>
    <row r="401" spans="1:18" x14ac:dyDescent="0.2">
      <c r="A401" t="str">
        <f t="shared" si="73"/>
        <v/>
      </c>
      <c r="B401" s="38" t="str">
        <f t="shared" si="74"/>
        <v/>
      </c>
      <c r="C401" s="38" t="str">
        <f t="shared" si="83"/>
        <v/>
      </c>
      <c r="D401" s="38" t="str">
        <f t="shared" si="75"/>
        <v/>
      </c>
      <c r="E401" s="38" t="str">
        <f t="shared" si="76"/>
        <v/>
      </c>
      <c r="F401" s="38" t="str">
        <f t="shared" si="77"/>
        <v/>
      </c>
      <c r="G401" s="38" t="str">
        <f t="shared" si="78"/>
        <v/>
      </c>
      <c r="H401" s="38" t="str">
        <f t="shared" si="79"/>
        <v/>
      </c>
      <c r="L401" t="str">
        <f t="shared" si="80"/>
        <v/>
      </c>
      <c r="M401" s="38" t="str">
        <f t="shared" si="70"/>
        <v/>
      </c>
      <c r="N401" s="38" t="str">
        <f t="shared" si="81"/>
        <v/>
      </c>
      <c r="O401" s="38" t="str">
        <f t="shared" si="82"/>
        <v/>
      </c>
      <c r="P401" s="38" t="str">
        <f t="shared" si="71"/>
        <v/>
      </c>
      <c r="Q401" s="38" t="str">
        <f t="shared" si="72"/>
        <v/>
      </c>
      <c r="R401" s="38"/>
    </row>
    <row r="402" spans="1:18" x14ac:dyDescent="0.2">
      <c r="A402" t="str">
        <f t="shared" si="73"/>
        <v/>
      </c>
      <c r="B402" s="38" t="str">
        <f t="shared" si="74"/>
        <v/>
      </c>
      <c r="C402" s="38" t="str">
        <f t="shared" si="83"/>
        <v/>
      </c>
      <c r="D402" s="38" t="str">
        <f t="shared" si="75"/>
        <v/>
      </c>
      <c r="E402" s="38" t="str">
        <f t="shared" si="76"/>
        <v/>
      </c>
      <c r="F402" s="38" t="str">
        <f t="shared" si="77"/>
        <v/>
      </c>
      <c r="G402" s="38" t="str">
        <f t="shared" si="78"/>
        <v/>
      </c>
      <c r="H402" s="38" t="str">
        <f t="shared" si="79"/>
        <v/>
      </c>
      <c r="L402" t="str">
        <f t="shared" si="80"/>
        <v/>
      </c>
      <c r="M402" s="38" t="str">
        <f t="shared" si="70"/>
        <v/>
      </c>
      <c r="N402" s="38" t="str">
        <f t="shared" si="81"/>
        <v/>
      </c>
      <c r="O402" s="38" t="str">
        <f t="shared" si="82"/>
        <v/>
      </c>
      <c r="P402" s="38" t="str">
        <f t="shared" si="71"/>
        <v/>
      </c>
      <c r="Q402" s="38" t="str">
        <f t="shared" si="72"/>
        <v/>
      </c>
      <c r="R402" s="38"/>
    </row>
    <row r="403" spans="1:18" x14ac:dyDescent="0.2">
      <c r="A403" t="str">
        <f t="shared" si="73"/>
        <v/>
      </c>
      <c r="B403" s="38" t="str">
        <f t="shared" si="74"/>
        <v/>
      </c>
      <c r="C403" s="38" t="str">
        <f t="shared" si="83"/>
        <v/>
      </c>
      <c r="D403" s="38" t="str">
        <f t="shared" si="75"/>
        <v/>
      </c>
      <c r="E403" s="38" t="str">
        <f t="shared" si="76"/>
        <v/>
      </c>
      <c r="F403" s="38" t="str">
        <f t="shared" si="77"/>
        <v/>
      </c>
      <c r="G403" s="38" t="str">
        <f t="shared" si="78"/>
        <v/>
      </c>
      <c r="H403" s="38" t="str">
        <f t="shared" si="79"/>
        <v/>
      </c>
      <c r="L403" t="str">
        <f t="shared" si="80"/>
        <v/>
      </c>
      <c r="M403" s="38" t="str">
        <f t="shared" si="70"/>
        <v/>
      </c>
      <c r="N403" s="38" t="str">
        <f t="shared" si="81"/>
        <v/>
      </c>
      <c r="O403" s="38" t="str">
        <f t="shared" si="82"/>
        <v/>
      </c>
      <c r="P403" s="38" t="str">
        <f t="shared" si="71"/>
        <v/>
      </c>
      <c r="Q403" s="38" t="str">
        <f t="shared" si="72"/>
        <v/>
      </c>
      <c r="R403" s="38"/>
    </row>
    <row r="404" spans="1:18" x14ac:dyDescent="0.2">
      <c r="A404" t="str">
        <f t="shared" si="73"/>
        <v/>
      </c>
      <c r="B404" s="38" t="str">
        <f t="shared" si="74"/>
        <v/>
      </c>
      <c r="C404" s="38" t="str">
        <f t="shared" si="83"/>
        <v/>
      </c>
      <c r="D404" s="38" t="str">
        <f t="shared" si="75"/>
        <v/>
      </c>
      <c r="E404" s="38" t="str">
        <f t="shared" si="76"/>
        <v/>
      </c>
      <c r="F404" s="38" t="str">
        <f t="shared" si="77"/>
        <v/>
      </c>
      <c r="G404" s="38" t="str">
        <f t="shared" si="78"/>
        <v/>
      </c>
      <c r="H404" s="38" t="str">
        <f t="shared" si="79"/>
        <v/>
      </c>
      <c r="L404" t="str">
        <f t="shared" si="80"/>
        <v/>
      </c>
      <c r="M404" s="38" t="str">
        <f t="shared" si="70"/>
        <v/>
      </c>
      <c r="N404" s="38" t="str">
        <f t="shared" si="81"/>
        <v/>
      </c>
      <c r="O404" s="38" t="str">
        <f t="shared" si="82"/>
        <v/>
      </c>
      <c r="P404" s="38" t="str">
        <f t="shared" si="71"/>
        <v/>
      </c>
      <c r="Q404" s="38" t="str">
        <f t="shared" si="72"/>
        <v/>
      </c>
      <c r="R404" s="38"/>
    </row>
    <row r="405" spans="1:18" x14ac:dyDescent="0.2">
      <c r="A405" t="str">
        <f t="shared" si="73"/>
        <v/>
      </c>
      <c r="B405" s="38" t="str">
        <f t="shared" si="74"/>
        <v/>
      </c>
      <c r="C405" s="38" t="str">
        <f t="shared" si="83"/>
        <v/>
      </c>
      <c r="D405" s="38" t="str">
        <f t="shared" si="75"/>
        <v/>
      </c>
      <c r="E405" s="38" t="str">
        <f t="shared" si="76"/>
        <v/>
      </c>
      <c r="F405" s="38" t="str">
        <f t="shared" si="77"/>
        <v/>
      </c>
      <c r="G405" s="38" t="str">
        <f t="shared" si="78"/>
        <v/>
      </c>
      <c r="H405" s="38" t="str">
        <f t="shared" si="79"/>
        <v/>
      </c>
      <c r="L405" t="str">
        <f t="shared" si="80"/>
        <v/>
      </c>
      <c r="M405" s="38" t="str">
        <f t="shared" si="70"/>
        <v/>
      </c>
      <c r="N405" s="38" t="str">
        <f t="shared" si="81"/>
        <v/>
      </c>
      <c r="O405" s="38" t="str">
        <f t="shared" si="82"/>
        <v/>
      </c>
      <c r="P405" s="38" t="str">
        <f t="shared" si="71"/>
        <v/>
      </c>
      <c r="Q405" s="38" t="str">
        <f t="shared" si="72"/>
        <v/>
      </c>
      <c r="R405" s="38"/>
    </row>
    <row r="406" spans="1:18" x14ac:dyDescent="0.2">
      <c r="A406" t="str">
        <f t="shared" si="73"/>
        <v/>
      </c>
      <c r="B406" s="38" t="str">
        <f t="shared" si="74"/>
        <v/>
      </c>
      <c r="C406" s="38" t="str">
        <f t="shared" si="83"/>
        <v/>
      </c>
      <c r="D406" s="38" t="str">
        <f t="shared" si="75"/>
        <v/>
      </c>
      <c r="E406" s="38" t="str">
        <f t="shared" si="76"/>
        <v/>
      </c>
      <c r="F406" s="38" t="str">
        <f t="shared" si="77"/>
        <v/>
      </c>
      <c r="G406" s="38" t="str">
        <f t="shared" si="78"/>
        <v/>
      </c>
      <c r="H406" s="38" t="str">
        <f t="shared" si="79"/>
        <v/>
      </c>
      <c r="L406" t="str">
        <f t="shared" si="80"/>
        <v/>
      </c>
      <c r="M406" s="38" t="str">
        <f t="shared" si="70"/>
        <v/>
      </c>
      <c r="N406" s="38" t="str">
        <f t="shared" si="81"/>
        <v/>
      </c>
      <c r="O406" s="38" t="str">
        <f t="shared" si="82"/>
        <v/>
      </c>
      <c r="P406" s="38" t="str">
        <f t="shared" si="71"/>
        <v/>
      </c>
      <c r="Q406" s="38" t="str">
        <f t="shared" si="72"/>
        <v/>
      </c>
      <c r="R406" s="38"/>
    </row>
    <row r="407" spans="1:18" x14ac:dyDescent="0.2">
      <c r="A407" t="str">
        <f t="shared" si="73"/>
        <v/>
      </c>
      <c r="B407" s="38" t="str">
        <f t="shared" si="74"/>
        <v/>
      </c>
      <c r="C407" s="38" t="str">
        <f t="shared" si="83"/>
        <v/>
      </c>
      <c r="D407" s="38" t="str">
        <f t="shared" si="75"/>
        <v/>
      </c>
      <c r="E407" s="38" t="str">
        <f t="shared" si="76"/>
        <v/>
      </c>
      <c r="F407" s="38" t="str">
        <f t="shared" si="77"/>
        <v/>
      </c>
      <c r="G407" s="38" t="str">
        <f t="shared" si="78"/>
        <v/>
      </c>
      <c r="H407" s="38" t="str">
        <f t="shared" si="79"/>
        <v/>
      </c>
      <c r="L407" t="str">
        <f t="shared" si="80"/>
        <v/>
      </c>
      <c r="M407" s="38" t="str">
        <f t="shared" si="70"/>
        <v/>
      </c>
      <c r="N407" s="38" t="str">
        <f t="shared" si="81"/>
        <v/>
      </c>
      <c r="O407" s="38" t="str">
        <f t="shared" si="82"/>
        <v/>
      </c>
      <c r="P407" s="38" t="str">
        <f t="shared" si="71"/>
        <v/>
      </c>
      <c r="Q407" s="38" t="str">
        <f t="shared" si="72"/>
        <v/>
      </c>
      <c r="R407" s="38"/>
    </row>
    <row r="408" spans="1:18" x14ac:dyDescent="0.2">
      <c r="A408" t="str">
        <f t="shared" si="73"/>
        <v/>
      </c>
      <c r="B408" s="38" t="str">
        <f t="shared" si="74"/>
        <v/>
      </c>
      <c r="C408" s="38" t="str">
        <f t="shared" si="83"/>
        <v/>
      </c>
      <c r="D408" s="38" t="str">
        <f t="shared" si="75"/>
        <v/>
      </c>
      <c r="E408" s="38" t="str">
        <f t="shared" si="76"/>
        <v/>
      </c>
      <c r="F408" s="38" t="str">
        <f t="shared" si="77"/>
        <v/>
      </c>
      <c r="G408" s="38" t="str">
        <f t="shared" si="78"/>
        <v/>
      </c>
      <c r="H408" s="38" t="str">
        <f t="shared" si="79"/>
        <v/>
      </c>
      <c r="L408" t="str">
        <f t="shared" si="80"/>
        <v/>
      </c>
      <c r="M408" s="38" t="str">
        <f t="shared" si="70"/>
        <v/>
      </c>
      <c r="N408" s="38" t="str">
        <f t="shared" si="81"/>
        <v/>
      </c>
      <c r="O408" s="38" t="str">
        <f t="shared" si="82"/>
        <v/>
      </c>
      <c r="P408" s="38" t="str">
        <f t="shared" si="71"/>
        <v/>
      </c>
      <c r="Q408" s="38" t="str">
        <f t="shared" si="72"/>
        <v/>
      </c>
      <c r="R408" s="38"/>
    </row>
    <row r="409" spans="1:18" x14ac:dyDescent="0.2">
      <c r="A409" t="str">
        <f t="shared" si="73"/>
        <v/>
      </c>
      <c r="B409" s="38" t="str">
        <f t="shared" si="74"/>
        <v/>
      </c>
      <c r="C409" s="38" t="str">
        <f t="shared" si="83"/>
        <v/>
      </c>
      <c r="D409" s="38" t="str">
        <f t="shared" si="75"/>
        <v/>
      </c>
      <c r="E409" s="38" t="str">
        <f t="shared" si="76"/>
        <v/>
      </c>
      <c r="F409" s="38" t="str">
        <f t="shared" si="77"/>
        <v/>
      </c>
      <c r="G409" s="38" t="str">
        <f t="shared" si="78"/>
        <v/>
      </c>
      <c r="H409" s="38" t="str">
        <f t="shared" si="79"/>
        <v/>
      </c>
      <c r="L409" t="str">
        <f t="shared" si="80"/>
        <v/>
      </c>
      <c r="M409" s="38" t="str">
        <f t="shared" si="70"/>
        <v/>
      </c>
      <c r="N409" s="38" t="str">
        <f t="shared" si="81"/>
        <v/>
      </c>
      <c r="O409" s="38" t="str">
        <f t="shared" si="82"/>
        <v/>
      </c>
      <c r="P409" s="38" t="str">
        <f t="shared" si="71"/>
        <v/>
      </c>
      <c r="Q409" s="38" t="str">
        <f t="shared" si="72"/>
        <v/>
      </c>
      <c r="R409" s="38"/>
    </row>
    <row r="410" spans="1:18" x14ac:dyDescent="0.2">
      <c r="A410" t="str">
        <f t="shared" si="73"/>
        <v/>
      </c>
      <c r="B410" s="38" t="str">
        <f t="shared" si="74"/>
        <v/>
      </c>
      <c r="C410" s="38" t="str">
        <f t="shared" si="83"/>
        <v/>
      </c>
      <c r="D410" s="38" t="str">
        <f t="shared" si="75"/>
        <v/>
      </c>
      <c r="E410" s="38" t="str">
        <f t="shared" si="76"/>
        <v/>
      </c>
      <c r="F410" s="38" t="str">
        <f t="shared" si="77"/>
        <v/>
      </c>
      <c r="G410" s="38" t="str">
        <f t="shared" si="78"/>
        <v/>
      </c>
      <c r="H410" s="38" t="str">
        <f t="shared" si="79"/>
        <v/>
      </c>
      <c r="L410" t="str">
        <f t="shared" si="80"/>
        <v/>
      </c>
      <c r="M410" s="38" t="str">
        <f t="shared" si="70"/>
        <v/>
      </c>
      <c r="N410" s="38" t="str">
        <f t="shared" si="81"/>
        <v/>
      </c>
      <c r="O410" s="38" t="str">
        <f t="shared" si="82"/>
        <v/>
      </c>
      <c r="P410" s="38" t="str">
        <f t="shared" si="71"/>
        <v/>
      </c>
      <c r="Q410" s="38" t="str">
        <f t="shared" si="72"/>
        <v/>
      </c>
      <c r="R410" s="38"/>
    </row>
    <row r="411" spans="1:18" x14ac:dyDescent="0.2">
      <c r="A411" t="str">
        <f t="shared" si="73"/>
        <v/>
      </c>
      <c r="B411" s="38" t="str">
        <f t="shared" si="74"/>
        <v/>
      </c>
      <c r="C411" s="38" t="str">
        <f t="shared" si="83"/>
        <v/>
      </c>
      <c r="D411" s="38" t="str">
        <f t="shared" si="75"/>
        <v/>
      </c>
      <c r="E411" s="38" t="str">
        <f t="shared" si="76"/>
        <v/>
      </c>
      <c r="F411" s="38" t="str">
        <f t="shared" si="77"/>
        <v/>
      </c>
      <c r="G411" s="38" t="str">
        <f t="shared" si="78"/>
        <v/>
      </c>
      <c r="H411" s="38" t="str">
        <f t="shared" si="79"/>
        <v/>
      </c>
      <c r="L411" t="str">
        <f t="shared" si="80"/>
        <v/>
      </c>
      <c r="M411" s="38" t="str">
        <f t="shared" si="70"/>
        <v/>
      </c>
      <c r="N411" s="38" t="str">
        <f t="shared" si="81"/>
        <v/>
      </c>
      <c r="O411" s="38" t="str">
        <f t="shared" si="82"/>
        <v/>
      </c>
      <c r="P411" s="38" t="str">
        <f t="shared" si="71"/>
        <v/>
      </c>
      <c r="Q411" s="38" t="str">
        <f t="shared" si="72"/>
        <v/>
      </c>
      <c r="R411" s="38"/>
    </row>
    <row r="412" spans="1:18" x14ac:dyDescent="0.2">
      <c r="A412" t="str">
        <f t="shared" si="73"/>
        <v/>
      </c>
      <c r="B412" s="38" t="str">
        <f t="shared" si="74"/>
        <v/>
      </c>
      <c r="C412" s="38" t="str">
        <f t="shared" si="83"/>
        <v/>
      </c>
      <c r="D412" s="38" t="str">
        <f t="shared" si="75"/>
        <v/>
      </c>
      <c r="E412" s="38" t="str">
        <f t="shared" si="76"/>
        <v/>
      </c>
      <c r="F412" s="38" t="str">
        <f t="shared" si="77"/>
        <v/>
      </c>
      <c r="G412" s="38" t="str">
        <f t="shared" si="78"/>
        <v/>
      </c>
      <c r="H412" s="38" t="str">
        <f t="shared" si="79"/>
        <v/>
      </c>
      <c r="L412" t="str">
        <f t="shared" si="80"/>
        <v/>
      </c>
      <c r="M412" s="38" t="str">
        <f t="shared" si="70"/>
        <v/>
      </c>
      <c r="N412" s="38" t="str">
        <f t="shared" si="81"/>
        <v/>
      </c>
      <c r="O412" s="38" t="str">
        <f t="shared" si="82"/>
        <v/>
      </c>
      <c r="P412" s="38" t="str">
        <f t="shared" si="71"/>
        <v/>
      </c>
      <c r="Q412" s="38" t="str">
        <f t="shared" si="72"/>
        <v/>
      </c>
      <c r="R412" s="38"/>
    </row>
    <row r="413" spans="1:18" x14ac:dyDescent="0.2">
      <c r="A413" t="str">
        <f t="shared" si="73"/>
        <v/>
      </c>
      <c r="B413" s="38" t="str">
        <f t="shared" si="74"/>
        <v/>
      </c>
      <c r="C413" s="38" t="str">
        <f t="shared" si="83"/>
        <v/>
      </c>
      <c r="D413" s="38" t="str">
        <f t="shared" si="75"/>
        <v/>
      </c>
      <c r="E413" s="38" t="str">
        <f t="shared" si="76"/>
        <v/>
      </c>
      <c r="F413" s="38" t="str">
        <f t="shared" si="77"/>
        <v/>
      </c>
      <c r="G413" s="38" t="str">
        <f t="shared" si="78"/>
        <v/>
      </c>
      <c r="H413" s="38" t="str">
        <f t="shared" si="79"/>
        <v/>
      </c>
      <c r="L413" t="str">
        <f t="shared" si="80"/>
        <v/>
      </c>
      <c r="M413" s="38" t="str">
        <f t="shared" si="70"/>
        <v/>
      </c>
      <c r="N413" s="38" t="str">
        <f t="shared" si="81"/>
        <v/>
      </c>
      <c r="O413" s="38" t="str">
        <f t="shared" si="82"/>
        <v/>
      </c>
      <c r="P413" s="38" t="str">
        <f t="shared" si="71"/>
        <v/>
      </c>
      <c r="Q413" s="38" t="str">
        <f t="shared" si="72"/>
        <v/>
      </c>
      <c r="R413" s="38"/>
    </row>
    <row r="414" spans="1:18" x14ac:dyDescent="0.2">
      <c r="A414" t="str">
        <f t="shared" si="73"/>
        <v/>
      </c>
      <c r="B414" s="38" t="str">
        <f t="shared" si="74"/>
        <v/>
      </c>
      <c r="C414" s="38" t="str">
        <f t="shared" si="83"/>
        <v/>
      </c>
      <c r="D414" s="38" t="str">
        <f t="shared" si="75"/>
        <v/>
      </c>
      <c r="E414" s="38" t="str">
        <f t="shared" si="76"/>
        <v/>
      </c>
      <c r="F414" s="38" t="str">
        <f t="shared" si="77"/>
        <v/>
      </c>
      <c r="G414" s="38" t="str">
        <f t="shared" si="78"/>
        <v/>
      </c>
      <c r="H414" s="38" t="str">
        <f t="shared" si="79"/>
        <v/>
      </c>
      <c r="L414" t="str">
        <f t="shared" si="80"/>
        <v/>
      </c>
      <c r="M414" s="38" t="str">
        <f t="shared" si="70"/>
        <v/>
      </c>
      <c r="N414" s="38" t="str">
        <f t="shared" si="81"/>
        <v/>
      </c>
      <c r="O414" s="38" t="str">
        <f t="shared" si="82"/>
        <v/>
      </c>
      <c r="P414" s="38" t="str">
        <f t="shared" si="71"/>
        <v/>
      </c>
      <c r="Q414" s="38" t="str">
        <f t="shared" si="72"/>
        <v/>
      </c>
      <c r="R414" s="38"/>
    </row>
    <row r="415" spans="1:18" x14ac:dyDescent="0.2">
      <c r="A415" t="str">
        <f t="shared" si="73"/>
        <v/>
      </c>
      <c r="B415" s="38" t="str">
        <f t="shared" si="74"/>
        <v/>
      </c>
      <c r="C415" s="38" t="str">
        <f t="shared" si="83"/>
        <v/>
      </c>
      <c r="D415" s="38" t="str">
        <f t="shared" si="75"/>
        <v/>
      </c>
      <c r="E415" s="38" t="str">
        <f t="shared" si="76"/>
        <v/>
      </c>
      <c r="F415" s="38" t="str">
        <f t="shared" si="77"/>
        <v/>
      </c>
      <c r="G415" s="38" t="str">
        <f t="shared" si="78"/>
        <v/>
      </c>
      <c r="H415" s="38" t="str">
        <f t="shared" si="79"/>
        <v/>
      </c>
      <c r="L415" t="str">
        <f t="shared" si="80"/>
        <v/>
      </c>
      <c r="M415" s="38" t="str">
        <f t="shared" si="70"/>
        <v/>
      </c>
      <c r="N415" s="38" t="str">
        <f t="shared" si="81"/>
        <v/>
      </c>
      <c r="O415" s="38" t="str">
        <f t="shared" si="82"/>
        <v/>
      </c>
      <c r="P415" s="38" t="str">
        <f t="shared" si="71"/>
        <v/>
      </c>
      <c r="Q415" s="38" t="str">
        <f t="shared" si="72"/>
        <v/>
      </c>
      <c r="R415" s="38"/>
    </row>
    <row r="416" spans="1:18" x14ac:dyDescent="0.2">
      <c r="A416" t="str">
        <f t="shared" si="73"/>
        <v/>
      </c>
      <c r="B416" s="38" t="str">
        <f t="shared" si="74"/>
        <v/>
      </c>
      <c r="C416" s="38" t="str">
        <f t="shared" si="83"/>
        <v/>
      </c>
      <c r="D416" s="38" t="str">
        <f t="shared" si="75"/>
        <v/>
      </c>
      <c r="E416" s="38" t="str">
        <f t="shared" si="76"/>
        <v/>
      </c>
      <c r="F416" s="38" t="str">
        <f t="shared" si="77"/>
        <v/>
      </c>
      <c r="G416" s="38" t="str">
        <f t="shared" si="78"/>
        <v/>
      </c>
      <c r="H416" s="38" t="str">
        <f t="shared" si="79"/>
        <v/>
      </c>
      <c r="L416" t="str">
        <f t="shared" si="80"/>
        <v/>
      </c>
      <c r="M416" s="38" t="str">
        <f t="shared" si="70"/>
        <v/>
      </c>
      <c r="N416" s="38" t="str">
        <f t="shared" si="81"/>
        <v/>
      </c>
      <c r="O416" s="38" t="str">
        <f t="shared" si="82"/>
        <v/>
      </c>
      <c r="P416" s="38" t="str">
        <f t="shared" si="71"/>
        <v/>
      </c>
      <c r="Q416" s="38" t="str">
        <f t="shared" si="72"/>
        <v/>
      </c>
      <c r="R416" s="38"/>
    </row>
    <row r="417" spans="1:18" x14ac:dyDescent="0.2">
      <c r="A417" t="str">
        <f t="shared" si="73"/>
        <v/>
      </c>
      <c r="B417" s="38" t="str">
        <f t="shared" si="74"/>
        <v/>
      </c>
      <c r="C417" s="38" t="str">
        <f t="shared" si="83"/>
        <v/>
      </c>
      <c r="D417" s="38" t="str">
        <f t="shared" si="75"/>
        <v/>
      </c>
      <c r="E417" s="38" t="str">
        <f t="shared" si="76"/>
        <v/>
      </c>
      <c r="F417" s="38" t="str">
        <f t="shared" si="77"/>
        <v/>
      </c>
      <c r="G417" s="38" t="str">
        <f t="shared" si="78"/>
        <v/>
      </c>
      <c r="H417" s="38" t="str">
        <f t="shared" si="79"/>
        <v/>
      </c>
      <c r="L417" t="str">
        <f t="shared" si="80"/>
        <v/>
      </c>
      <c r="M417" s="38" t="str">
        <f t="shared" ref="M417:M480" si="84">IF(L417="","",P416)</f>
        <v/>
      </c>
      <c r="N417" s="38" t="str">
        <f t="shared" si="81"/>
        <v/>
      </c>
      <c r="O417" s="38" t="str">
        <f t="shared" si="82"/>
        <v/>
      </c>
      <c r="P417" s="38" t="str">
        <f t="shared" ref="P417:P480" si="85">IF(L417="","", M417+N417+O417)</f>
        <v/>
      </c>
      <c r="Q417" s="38" t="str">
        <f t="shared" ref="Q417:Q480" si="86">IF(L417="","", (Q416+N417))</f>
        <v/>
      </c>
      <c r="R417" s="38"/>
    </row>
    <row r="418" spans="1:18" x14ac:dyDescent="0.2">
      <c r="A418" t="str">
        <f t="shared" ref="A418:A481" si="87">IF(A417&lt;($B$22*$B$23),A417+1,"")</f>
        <v/>
      </c>
      <c r="B418" s="38" t="str">
        <f t="shared" ref="B418:B481" si="88">IF(A418="","",F417)</f>
        <v/>
      </c>
      <c r="C418" s="38" t="str">
        <f t="shared" si="83"/>
        <v/>
      </c>
      <c r="D418" s="38" t="str">
        <f t="shared" ref="D418:D481" si="89">IF(A418="","", D417*(1+$B$21))</f>
        <v/>
      </c>
      <c r="E418" s="38" t="str">
        <f t="shared" ref="E418:E481" si="90">IF(D418="","",(D418-C418))</f>
        <v/>
      </c>
      <c r="F418" s="38" t="str">
        <f t="shared" ref="F418:F481" si="91">IF(A418="","", B418-E418)</f>
        <v/>
      </c>
      <c r="G418" s="38" t="str">
        <f t="shared" ref="G418:G481" si="92">IF(A418="","", (G417+C418))</f>
        <v/>
      </c>
      <c r="H418" s="38" t="str">
        <f t="shared" ref="H418:H481" si="93">IF(A418="","",(H417+E418))</f>
        <v/>
      </c>
      <c r="L418" t="str">
        <f t="shared" ref="L418:L481" si="94">IF(L417&lt;($B$8*$B$9),L417+1,"")</f>
        <v/>
      </c>
      <c r="M418" s="38" t="str">
        <f t="shared" si="84"/>
        <v/>
      </c>
      <c r="N418" s="38" t="str">
        <f t="shared" ref="N418:N481" si="95">IF(L418="","",(M418 *$B$6))</f>
        <v/>
      </c>
      <c r="O418" s="38" t="str">
        <f t="shared" ref="O418:O481" si="96">IF(L418="","",O417*(1+$B$7))</f>
        <v/>
      </c>
      <c r="P418" s="38" t="str">
        <f t="shared" si="85"/>
        <v/>
      </c>
      <c r="Q418" s="38" t="str">
        <f t="shared" si="86"/>
        <v/>
      </c>
      <c r="R418" s="38"/>
    </row>
    <row r="419" spans="1:18" x14ac:dyDescent="0.2">
      <c r="A419" t="str">
        <f t="shared" si="87"/>
        <v/>
      </c>
      <c r="B419" s="38" t="str">
        <f t="shared" si="88"/>
        <v/>
      </c>
      <c r="C419" s="38" t="str">
        <f t="shared" ref="C419:C482" si="97">IF(A419="","",(B419*$B$20))</f>
        <v/>
      </c>
      <c r="D419" s="38" t="str">
        <f t="shared" si="89"/>
        <v/>
      </c>
      <c r="E419" s="38" t="str">
        <f t="shared" si="90"/>
        <v/>
      </c>
      <c r="F419" s="38" t="str">
        <f t="shared" si="91"/>
        <v/>
      </c>
      <c r="G419" s="38" t="str">
        <f t="shared" si="92"/>
        <v/>
      </c>
      <c r="H419" s="38" t="str">
        <f t="shared" si="93"/>
        <v/>
      </c>
      <c r="L419" t="str">
        <f t="shared" si="94"/>
        <v/>
      </c>
      <c r="M419" s="38" t="str">
        <f t="shared" si="84"/>
        <v/>
      </c>
      <c r="N419" s="38" t="str">
        <f t="shared" si="95"/>
        <v/>
      </c>
      <c r="O419" s="38" t="str">
        <f t="shared" si="96"/>
        <v/>
      </c>
      <c r="P419" s="38" t="str">
        <f t="shared" si="85"/>
        <v/>
      </c>
      <c r="Q419" s="38" t="str">
        <f t="shared" si="86"/>
        <v/>
      </c>
      <c r="R419" s="38"/>
    </row>
    <row r="420" spans="1:18" x14ac:dyDescent="0.2">
      <c r="A420" t="str">
        <f t="shared" si="87"/>
        <v/>
      </c>
      <c r="B420" s="38" t="str">
        <f t="shared" si="88"/>
        <v/>
      </c>
      <c r="C420" s="38" t="str">
        <f t="shared" si="97"/>
        <v/>
      </c>
      <c r="D420" s="38" t="str">
        <f t="shared" si="89"/>
        <v/>
      </c>
      <c r="E420" s="38" t="str">
        <f t="shared" si="90"/>
        <v/>
      </c>
      <c r="F420" s="38" t="str">
        <f t="shared" si="91"/>
        <v/>
      </c>
      <c r="G420" s="38" t="str">
        <f t="shared" si="92"/>
        <v/>
      </c>
      <c r="H420" s="38" t="str">
        <f t="shared" si="93"/>
        <v/>
      </c>
      <c r="L420" t="str">
        <f t="shared" si="94"/>
        <v/>
      </c>
      <c r="M420" s="38" t="str">
        <f t="shared" si="84"/>
        <v/>
      </c>
      <c r="N420" s="38" t="str">
        <f t="shared" si="95"/>
        <v/>
      </c>
      <c r="O420" s="38" t="str">
        <f t="shared" si="96"/>
        <v/>
      </c>
      <c r="P420" s="38" t="str">
        <f t="shared" si="85"/>
        <v/>
      </c>
      <c r="Q420" s="38" t="str">
        <f t="shared" si="86"/>
        <v/>
      </c>
      <c r="R420" s="38"/>
    </row>
    <row r="421" spans="1:18" x14ac:dyDescent="0.2">
      <c r="A421" t="str">
        <f t="shared" si="87"/>
        <v/>
      </c>
      <c r="B421" s="38" t="str">
        <f t="shared" si="88"/>
        <v/>
      </c>
      <c r="C421" s="38" t="str">
        <f t="shared" si="97"/>
        <v/>
      </c>
      <c r="D421" s="38" t="str">
        <f t="shared" si="89"/>
        <v/>
      </c>
      <c r="E421" s="38" t="str">
        <f t="shared" si="90"/>
        <v/>
      </c>
      <c r="F421" s="38" t="str">
        <f t="shared" si="91"/>
        <v/>
      </c>
      <c r="G421" s="38" t="str">
        <f t="shared" si="92"/>
        <v/>
      </c>
      <c r="H421" s="38" t="str">
        <f t="shared" si="93"/>
        <v/>
      </c>
      <c r="L421" t="str">
        <f t="shared" si="94"/>
        <v/>
      </c>
      <c r="M421" s="38" t="str">
        <f t="shared" si="84"/>
        <v/>
      </c>
      <c r="N421" s="38" t="str">
        <f t="shared" si="95"/>
        <v/>
      </c>
      <c r="O421" s="38" t="str">
        <f t="shared" si="96"/>
        <v/>
      </c>
      <c r="P421" s="38" t="str">
        <f t="shared" si="85"/>
        <v/>
      </c>
      <c r="Q421" s="38" t="str">
        <f t="shared" si="86"/>
        <v/>
      </c>
      <c r="R421" s="38"/>
    </row>
    <row r="422" spans="1:18" x14ac:dyDescent="0.2">
      <c r="A422" t="str">
        <f t="shared" si="87"/>
        <v/>
      </c>
      <c r="B422" s="38" t="str">
        <f t="shared" si="88"/>
        <v/>
      </c>
      <c r="C422" s="38" t="str">
        <f t="shared" si="97"/>
        <v/>
      </c>
      <c r="D422" s="38" t="str">
        <f t="shared" si="89"/>
        <v/>
      </c>
      <c r="E422" s="38" t="str">
        <f t="shared" si="90"/>
        <v/>
      </c>
      <c r="F422" s="38" t="str">
        <f t="shared" si="91"/>
        <v/>
      </c>
      <c r="G422" s="38" t="str">
        <f t="shared" si="92"/>
        <v/>
      </c>
      <c r="H422" s="38" t="str">
        <f t="shared" si="93"/>
        <v/>
      </c>
      <c r="L422" t="str">
        <f t="shared" si="94"/>
        <v/>
      </c>
      <c r="M422" s="38" t="str">
        <f t="shared" si="84"/>
        <v/>
      </c>
      <c r="N422" s="38" t="str">
        <f t="shared" si="95"/>
        <v/>
      </c>
      <c r="O422" s="38" t="str">
        <f t="shared" si="96"/>
        <v/>
      </c>
      <c r="P422" s="38" t="str">
        <f t="shared" si="85"/>
        <v/>
      </c>
      <c r="Q422" s="38" t="str">
        <f t="shared" si="86"/>
        <v/>
      </c>
      <c r="R422" s="38"/>
    </row>
    <row r="423" spans="1:18" x14ac:dyDescent="0.2">
      <c r="A423" t="str">
        <f t="shared" si="87"/>
        <v/>
      </c>
      <c r="B423" s="38" t="str">
        <f t="shared" si="88"/>
        <v/>
      </c>
      <c r="C423" s="38" t="str">
        <f t="shared" si="97"/>
        <v/>
      </c>
      <c r="D423" s="38" t="str">
        <f t="shared" si="89"/>
        <v/>
      </c>
      <c r="E423" s="38" t="str">
        <f t="shared" si="90"/>
        <v/>
      </c>
      <c r="F423" s="38" t="str">
        <f t="shared" si="91"/>
        <v/>
      </c>
      <c r="G423" s="38" t="str">
        <f t="shared" si="92"/>
        <v/>
      </c>
      <c r="H423" s="38" t="str">
        <f t="shared" si="93"/>
        <v/>
      </c>
      <c r="L423" t="str">
        <f t="shared" si="94"/>
        <v/>
      </c>
      <c r="M423" s="38" t="str">
        <f t="shared" si="84"/>
        <v/>
      </c>
      <c r="N423" s="38" t="str">
        <f t="shared" si="95"/>
        <v/>
      </c>
      <c r="O423" s="38" t="str">
        <f t="shared" si="96"/>
        <v/>
      </c>
      <c r="P423" s="38" t="str">
        <f t="shared" si="85"/>
        <v/>
      </c>
      <c r="Q423" s="38" t="str">
        <f t="shared" si="86"/>
        <v/>
      </c>
      <c r="R423" s="38"/>
    </row>
    <row r="424" spans="1:18" x14ac:dyDescent="0.2">
      <c r="A424" t="str">
        <f t="shared" si="87"/>
        <v/>
      </c>
      <c r="B424" s="38" t="str">
        <f t="shared" si="88"/>
        <v/>
      </c>
      <c r="C424" s="38" t="str">
        <f t="shared" si="97"/>
        <v/>
      </c>
      <c r="D424" s="38" t="str">
        <f t="shared" si="89"/>
        <v/>
      </c>
      <c r="E424" s="38" t="str">
        <f t="shared" si="90"/>
        <v/>
      </c>
      <c r="F424" s="38" t="str">
        <f t="shared" si="91"/>
        <v/>
      </c>
      <c r="G424" s="38" t="str">
        <f t="shared" si="92"/>
        <v/>
      </c>
      <c r="H424" s="38" t="str">
        <f t="shared" si="93"/>
        <v/>
      </c>
      <c r="L424" t="str">
        <f t="shared" si="94"/>
        <v/>
      </c>
      <c r="M424" s="38" t="str">
        <f t="shared" si="84"/>
        <v/>
      </c>
      <c r="N424" s="38" t="str">
        <f t="shared" si="95"/>
        <v/>
      </c>
      <c r="O424" s="38" t="str">
        <f t="shared" si="96"/>
        <v/>
      </c>
      <c r="P424" s="38" t="str">
        <f t="shared" si="85"/>
        <v/>
      </c>
      <c r="Q424" s="38" t="str">
        <f t="shared" si="86"/>
        <v/>
      </c>
      <c r="R424" s="38"/>
    </row>
    <row r="425" spans="1:18" x14ac:dyDescent="0.2">
      <c r="A425" t="str">
        <f t="shared" si="87"/>
        <v/>
      </c>
      <c r="B425" s="38" t="str">
        <f t="shared" si="88"/>
        <v/>
      </c>
      <c r="C425" s="38" t="str">
        <f t="shared" si="97"/>
        <v/>
      </c>
      <c r="D425" s="38" t="str">
        <f t="shared" si="89"/>
        <v/>
      </c>
      <c r="E425" s="38" t="str">
        <f t="shared" si="90"/>
        <v/>
      </c>
      <c r="F425" s="38" t="str">
        <f t="shared" si="91"/>
        <v/>
      </c>
      <c r="G425" s="38" t="str">
        <f t="shared" si="92"/>
        <v/>
      </c>
      <c r="H425" s="38" t="str">
        <f t="shared" si="93"/>
        <v/>
      </c>
      <c r="L425" t="str">
        <f t="shared" si="94"/>
        <v/>
      </c>
      <c r="M425" s="38" t="str">
        <f t="shared" si="84"/>
        <v/>
      </c>
      <c r="N425" s="38" t="str">
        <f t="shared" si="95"/>
        <v/>
      </c>
      <c r="O425" s="38" t="str">
        <f t="shared" si="96"/>
        <v/>
      </c>
      <c r="P425" s="38" t="str">
        <f t="shared" si="85"/>
        <v/>
      </c>
      <c r="Q425" s="38" t="str">
        <f t="shared" si="86"/>
        <v/>
      </c>
      <c r="R425" s="38"/>
    </row>
    <row r="426" spans="1:18" x14ac:dyDescent="0.2">
      <c r="A426" t="str">
        <f t="shared" si="87"/>
        <v/>
      </c>
      <c r="B426" s="38" t="str">
        <f t="shared" si="88"/>
        <v/>
      </c>
      <c r="C426" s="38" t="str">
        <f t="shared" si="97"/>
        <v/>
      </c>
      <c r="D426" s="38" t="str">
        <f t="shared" si="89"/>
        <v/>
      </c>
      <c r="E426" s="38" t="str">
        <f t="shared" si="90"/>
        <v/>
      </c>
      <c r="F426" s="38" t="str">
        <f t="shared" si="91"/>
        <v/>
      </c>
      <c r="G426" s="38" t="str">
        <f t="shared" si="92"/>
        <v/>
      </c>
      <c r="H426" s="38" t="str">
        <f t="shared" si="93"/>
        <v/>
      </c>
      <c r="L426" t="str">
        <f t="shared" si="94"/>
        <v/>
      </c>
      <c r="M426" s="38" t="str">
        <f t="shared" si="84"/>
        <v/>
      </c>
      <c r="N426" s="38" t="str">
        <f t="shared" si="95"/>
        <v/>
      </c>
      <c r="O426" s="38" t="str">
        <f t="shared" si="96"/>
        <v/>
      </c>
      <c r="P426" s="38" t="str">
        <f t="shared" si="85"/>
        <v/>
      </c>
      <c r="Q426" s="38" t="str">
        <f t="shared" si="86"/>
        <v/>
      </c>
      <c r="R426" s="38"/>
    </row>
    <row r="427" spans="1:18" x14ac:dyDescent="0.2">
      <c r="A427" t="str">
        <f t="shared" si="87"/>
        <v/>
      </c>
      <c r="B427" s="38" t="str">
        <f t="shared" si="88"/>
        <v/>
      </c>
      <c r="C427" s="38" t="str">
        <f t="shared" si="97"/>
        <v/>
      </c>
      <c r="D427" s="38" t="str">
        <f t="shared" si="89"/>
        <v/>
      </c>
      <c r="E427" s="38" t="str">
        <f t="shared" si="90"/>
        <v/>
      </c>
      <c r="F427" s="38" t="str">
        <f t="shared" si="91"/>
        <v/>
      </c>
      <c r="G427" s="38" t="str">
        <f t="shared" si="92"/>
        <v/>
      </c>
      <c r="H427" s="38" t="str">
        <f t="shared" si="93"/>
        <v/>
      </c>
      <c r="L427" t="str">
        <f t="shared" si="94"/>
        <v/>
      </c>
      <c r="M427" s="38" t="str">
        <f t="shared" si="84"/>
        <v/>
      </c>
      <c r="N427" s="38" t="str">
        <f t="shared" si="95"/>
        <v/>
      </c>
      <c r="O427" s="38" t="str">
        <f t="shared" si="96"/>
        <v/>
      </c>
      <c r="P427" s="38" t="str">
        <f t="shared" si="85"/>
        <v/>
      </c>
      <c r="Q427" s="38" t="str">
        <f t="shared" si="86"/>
        <v/>
      </c>
      <c r="R427" s="38"/>
    </row>
    <row r="428" spans="1:18" x14ac:dyDescent="0.2">
      <c r="A428" t="str">
        <f t="shared" si="87"/>
        <v/>
      </c>
      <c r="B428" s="38" t="str">
        <f t="shared" si="88"/>
        <v/>
      </c>
      <c r="C428" s="38" t="str">
        <f t="shared" si="97"/>
        <v/>
      </c>
      <c r="D428" s="38" t="str">
        <f t="shared" si="89"/>
        <v/>
      </c>
      <c r="E428" s="38" t="str">
        <f t="shared" si="90"/>
        <v/>
      </c>
      <c r="F428" s="38" t="str">
        <f t="shared" si="91"/>
        <v/>
      </c>
      <c r="G428" s="38" t="str">
        <f t="shared" si="92"/>
        <v/>
      </c>
      <c r="H428" s="38" t="str">
        <f t="shared" si="93"/>
        <v/>
      </c>
      <c r="L428" t="str">
        <f t="shared" si="94"/>
        <v/>
      </c>
      <c r="M428" s="38" t="str">
        <f t="shared" si="84"/>
        <v/>
      </c>
      <c r="N428" s="38" t="str">
        <f t="shared" si="95"/>
        <v/>
      </c>
      <c r="O428" s="38" t="str">
        <f t="shared" si="96"/>
        <v/>
      </c>
      <c r="P428" s="38" t="str">
        <f t="shared" si="85"/>
        <v/>
      </c>
      <c r="Q428" s="38" t="str">
        <f t="shared" si="86"/>
        <v/>
      </c>
      <c r="R428" s="38"/>
    </row>
    <row r="429" spans="1:18" x14ac:dyDescent="0.2">
      <c r="A429" t="str">
        <f t="shared" si="87"/>
        <v/>
      </c>
      <c r="B429" s="38" t="str">
        <f t="shared" si="88"/>
        <v/>
      </c>
      <c r="C429" s="38" t="str">
        <f t="shared" si="97"/>
        <v/>
      </c>
      <c r="D429" s="38" t="str">
        <f t="shared" si="89"/>
        <v/>
      </c>
      <c r="E429" s="38" t="str">
        <f t="shared" si="90"/>
        <v/>
      </c>
      <c r="F429" s="38" t="str">
        <f t="shared" si="91"/>
        <v/>
      </c>
      <c r="G429" s="38" t="str">
        <f t="shared" si="92"/>
        <v/>
      </c>
      <c r="H429" s="38" t="str">
        <f t="shared" si="93"/>
        <v/>
      </c>
      <c r="L429" t="str">
        <f t="shared" si="94"/>
        <v/>
      </c>
      <c r="M429" s="38" t="str">
        <f t="shared" si="84"/>
        <v/>
      </c>
      <c r="N429" s="38" t="str">
        <f t="shared" si="95"/>
        <v/>
      </c>
      <c r="O429" s="38" t="str">
        <f t="shared" si="96"/>
        <v/>
      </c>
      <c r="P429" s="38" t="str">
        <f t="shared" si="85"/>
        <v/>
      </c>
      <c r="Q429" s="38" t="str">
        <f t="shared" si="86"/>
        <v/>
      </c>
      <c r="R429" s="38"/>
    </row>
    <row r="430" spans="1:18" x14ac:dyDescent="0.2">
      <c r="A430" t="str">
        <f t="shared" si="87"/>
        <v/>
      </c>
      <c r="B430" s="38" t="str">
        <f t="shared" si="88"/>
        <v/>
      </c>
      <c r="C430" s="38" t="str">
        <f t="shared" si="97"/>
        <v/>
      </c>
      <c r="D430" s="38" t="str">
        <f t="shared" si="89"/>
        <v/>
      </c>
      <c r="E430" s="38" t="str">
        <f t="shared" si="90"/>
        <v/>
      </c>
      <c r="F430" s="38" t="str">
        <f t="shared" si="91"/>
        <v/>
      </c>
      <c r="G430" s="38" t="str">
        <f t="shared" si="92"/>
        <v/>
      </c>
      <c r="H430" s="38" t="str">
        <f t="shared" si="93"/>
        <v/>
      </c>
      <c r="L430" t="str">
        <f t="shared" si="94"/>
        <v/>
      </c>
      <c r="M430" s="38" t="str">
        <f t="shared" si="84"/>
        <v/>
      </c>
      <c r="N430" s="38" t="str">
        <f t="shared" si="95"/>
        <v/>
      </c>
      <c r="O430" s="38" t="str">
        <f t="shared" si="96"/>
        <v/>
      </c>
      <c r="P430" s="38" t="str">
        <f t="shared" si="85"/>
        <v/>
      </c>
      <c r="Q430" s="38" t="str">
        <f t="shared" si="86"/>
        <v/>
      </c>
      <c r="R430" s="38"/>
    </row>
    <row r="431" spans="1:18" x14ac:dyDescent="0.2">
      <c r="A431" t="str">
        <f t="shared" si="87"/>
        <v/>
      </c>
      <c r="B431" s="38" t="str">
        <f t="shared" si="88"/>
        <v/>
      </c>
      <c r="C431" s="38" t="str">
        <f t="shared" si="97"/>
        <v/>
      </c>
      <c r="D431" s="38" t="str">
        <f t="shared" si="89"/>
        <v/>
      </c>
      <c r="E431" s="38" t="str">
        <f t="shared" si="90"/>
        <v/>
      </c>
      <c r="F431" s="38" t="str">
        <f t="shared" si="91"/>
        <v/>
      </c>
      <c r="G431" s="38" t="str">
        <f t="shared" si="92"/>
        <v/>
      </c>
      <c r="H431" s="38" t="str">
        <f t="shared" si="93"/>
        <v/>
      </c>
      <c r="L431" t="str">
        <f t="shared" si="94"/>
        <v/>
      </c>
      <c r="M431" s="38" t="str">
        <f t="shared" si="84"/>
        <v/>
      </c>
      <c r="N431" s="38" t="str">
        <f t="shared" si="95"/>
        <v/>
      </c>
      <c r="O431" s="38" t="str">
        <f t="shared" si="96"/>
        <v/>
      </c>
      <c r="P431" s="38" t="str">
        <f t="shared" si="85"/>
        <v/>
      </c>
      <c r="Q431" s="38" t="str">
        <f t="shared" si="86"/>
        <v/>
      </c>
      <c r="R431" s="38"/>
    </row>
    <row r="432" spans="1:18" x14ac:dyDescent="0.2">
      <c r="A432" t="str">
        <f t="shared" si="87"/>
        <v/>
      </c>
      <c r="B432" s="38" t="str">
        <f t="shared" si="88"/>
        <v/>
      </c>
      <c r="C432" s="38" t="str">
        <f t="shared" si="97"/>
        <v/>
      </c>
      <c r="D432" s="38" t="str">
        <f t="shared" si="89"/>
        <v/>
      </c>
      <c r="E432" s="38" t="str">
        <f t="shared" si="90"/>
        <v/>
      </c>
      <c r="F432" s="38" t="str">
        <f t="shared" si="91"/>
        <v/>
      </c>
      <c r="G432" s="38" t="str">
        <f t="shared" si="92"/>
        <v/>
      </c>
      <c r="H432" s="38" t="str">
        <f t="shared" si="93"/>
        <v/>
      </c>
      <c r="L432" t="str">
        <f t="shared" si="94"/>
        <v/>
      </c>
      <c r="M432" s="38" t="str">
        <f t="shared" si="84"/>
        <v/>
      </c>
      <c r="N432" s="38" t="str">
        <f t="shared" si="95"/>
        <v/>
      </c>
      <c r="O432" s="38" t="str">
        <f t="shared" si="96"/>
        <v/>
      </c>
      <c r="P432" s="38" t="str">
        <f t="shared" si="85"/>
        <v/>
      </c>
      <c r="Q432" s="38" t="str">
        <f t="shared" si="86"/>
        <v/>
      </c>
      <c r="R432" s="38"/>
    </row>
    <row r="433" spans="1:18" x14ac:dyDescent="0.2">
      <c r="A433" t="str">
        <f t="shared" si="87"/>
        <v/>
      </c>
      <c r="B433" s="38" t="str">
        <f t="shared" si="88"/>
        <v/>
      </c>
      <c r="C433" s="38" t="str">
        <f t="shared" si="97"/>
        <v/>
      </c>
      <c r="D433" s="38" t="str">
        <f t="shared" si="89"/>
        <v/>
      </c>
      <c r="E433" s="38" t="str">
        <f t="shared" si="90"/>
        <v/>
      </c>
      <c r="F433" s="38" t="str">
        <f t="shared" si="91"/>
        <v/>
      </c>
      <c r="G433" s="38" t="str">
        <f t="shared" si="92"/>
        <v/>
      </c>
      <c r="H433" s="38" t="str">
        <f t="shared" si="93"/>
        <v/>
      </c>
      <c r="L433" t="str">
        <f t="shared" si="94"/>
        <v/>
      </c>
      <c r="M433" s="38" t="str">
        <f t="shared" si="84"/>
        <v/>
      </c>
      <c r="N433" s="38" t="str">
        <f t="shared" si="95"/>
        <v/>
      </c>
      <c r="O433" s="38" t="str">
        <f t="shared" si="96"/>
        <v/>
      </c>
      <c r="P433" s="38" t="str">
        <f t="shared" si="85"/>
        <v/>
      </c>
      <c r="Q433" s="38" t="str">
        <f t="shared" si="86"/>
        <v/>
      </c>
      <c r="R433" s="38"/>
    </row>
    <row r="434" spans="1:18" x14ac:dyDescent="0.2">
      <c r="A434" t="str">
        <f t="shared" si="87"/>
        <v/>
      </c>
      <c r="B434" s="38" t="str">
        <f t="shared" si="88"/>
        <v/>
      </c>
      <c r="C434" s="38" t="str">
        <f t="shared" si="97"/>
        <v/>
      </c>
      <c r="D434" s="38" t="str">
        <f t="shared" si="89"/>
        <v/>
      </c>
      <c r="E434" s="38" t="str">
        <f t="shared" si="90"/>
        <v/>
      </c>
      <c r="F434" s="38" t="str">
        <f t="shared" si="91"/>
        <v/>
      </c>
      <c r="G434" s="38" t="str">
        <f t="shared" si="92"/>
        <v/>
      </c>
      <c r="H434" s="38" t="str">
        <f t="shared" si="93"/>
        <v/>
      </c>
      <c r="L434" t="str">
        <f t="shared" si="94"/>
        <v/>
      </c>
      <c r="M434" s="38" t="str">
        <f t="shared" si="84"/>
        <v/>
      </c>
      <c r="N434" s="38" t="str">
        <f t="shared" si="95"/>
        <v/>
      </c>
      <c r="O434" s="38" t="str">
        <f t="shared" si="96"/>
        <v/>
      </c>
      <c r="P434" s="38" t="str">
        <f t="shared" si="85"/>
        <v/>
      </c>
      <c r="Q434" s="38" t="str">
        <f t="shared" si="86"/>
        <v/>
      </c>
      <c r="R434" s="38"/>
    </row>
    <row r="435" spans="1:18" x14ac:dyDescent="0.2">
      <c r="A435" t="str">
        <f t="shared" si="87"/>
        <v/>
      </c>
      <c r="B435" s="38" t="str">
        <f t="shared" si="88"/>
        <v/>
      </c>
      <c r="C435" s="38" t="str">
        <f t="shared" si="97"/>
        <v/>
      </c>
      <c r="D435" s="38" t="str">
        <f t="shared" si="89"/>
        <v/>
      </c>
      <c r="E435" s="38" t="str">
        <f t="shared" si="90"/>
        <v/>
      </c>
      <c r="F435" s="38" t="str">
        <f t="shared" si="91"/>
        <v/>
      </c>
      <c r="G435" s="38" t="str">
        <f t="shared" si="92"/>
        <v/>
      </c>
      <c r="H435" s="38" t="str">
        <f t="shared" si="93"/>
        <v/>
      </c>
      <c r="L435" t="str">
        <f t="shared" si="94"/>
        <v/>
      </c>
      <c r="M435" s="38" t="str">
        <f t="shared" si="84"/>
        <v/>
      </c>
      <c r="N435" s="38" t="str">
        <f t="shared" si="95"/>
        <v/>
      </c>
      <c r="O435" s="38" t="str">
        <f t="shared" si="96"/>
        <v/>
      </c>
      <c r="P435" s="38" t="str">
        <f t="shared" si="85"/>
        <v/>
      </c>
      <c r="Q435" s="38" t="str">
        <f t="shared" si="86"/>
        <v/>
      </c>
      <c r="R435" s="38"/>
    </row>
    <row r="436" spans="1:18" x14ac:dyDescent="0.2">
      <c r="A436" t="str">
        <f t="shared" si="87"/>
        <v/>
      </c>
      <c r="B436" s="38" t="str">
        <f t="shared" si="88"/>
        <v/>
      </c>
      <c r="C436" s="38" t="str">
        <f t="shared" si="97"/>
        <v/>
      </c>
      <c r="D436" s="38" t="str">
        <f t="shared" si="89"/>
        <v/>
      </c>
      <c r="E436" s="38" t="str">
        <f t="shared" si="90"/>
        <v/>
      </c>
      <c r="F436" s="38" t="str">
        <f t="shared" si="91"/>
        <v/>
      </c>
      <c r="G436" s="38" t="str">
        <f t="shared" si="92"/>
        <v/>
      </c>
      <c r="H436" s="38" t="str">
        <f t="shared" si="93"/>
        <v/>
      </c>
      <c r="L436" t="str">
        <f t="shared" si="94"/>
        <v/>
      </c>
      <c r="M436" s="38" t="str">
        <f t="shared" si="84"/>
        <v/>
      </c>
      <c r="N436" s="38" t="str">
        <f t="shared" si="95"/>
        <v/>
      </c>
      <c r="O436" s="38" t="str">
        <f t="shared" si="96"/>
        <v/>
      </c>
      <c r="P436" s="38" t="str">
        <f t="shared" si="85"/>
        <v/>
      </c>
      <c r="Q436" s="38" t="str">
        <f t="shared" si="86"/>
        <v/>
      </c>
      <c r="R436" s="38"/>
    </row>
    <row r="437" spans="1:18" x14ac:dyDescent="0.2">
      <c r="A437" t="str">
        <f t="shared" si="87"/>
        <v/>
      </c>
      <c r="B437" s="38" t="str">
        <f t="shared" si="88"/>
        <v/>
      </c>
      <c r="C437" s="38" t="str">
        <f t="shared" si="97"/>
        <v/>
      </c>
      <c r="D437" s="38" t="str">
        <f t="shared" si="89"/>
        <v/>
      </c>
      <c r="E437" s="38" t="str">
        <f t="shared" si="90"/>
        <v/>
      </c>
      <c r="F437" s="38" t="str">
        <f t="shared" si="91"/>
        <v/>
      </c>
      <c r="G437" s="38" t="str">
        <f t="shared" si="92"/>
        <v/>
      </c>
      <c r="H437" s="38" t="str">
        <f t="shared" si="93"/>
        <v/>
      </c>
      <c r="L437" t="str">
        <f t="shared" si="94"/>
        <v/>
      </c>
      <c r="M437" s="38" t="str">
        <f t="shared" si="84"/>
        <v/>
      </c>
      <c r="N437" s="38" t="str">
        <f t="shared" si="95"/>
        <v/>
      </c>
      <c r="O437" s="38" t="str">
        <f t="shared" si="96"/>
        <v/>
      </c>
      <c r="P437" s="38" t="str">
        <f t="shared" si="85"/>
        <v/>
      </c>
      <c r="Q437" s="38" t="str">
        <f t="shared" si="86"/>
        <v/>
      </c>
      <c r="R437" s="38"/>
    </row>
    <row r="438" spans="1:18" x14ac:dyDescent="0.2">
      <c r="A438" t="str">
        <f t="shared" si="87"/>
        <v/>
      </c>
      <c r="B438" s="38" t="str">
        <f t="shared" si="88"/>
        <v/>
      </c>
      <c r="C438" s="38" t="str">
        <f t="shared" si="97"/>
        <v/>
      </c>
      <c r="D438" s="38" t="str">
        <f t="shared" si="89"/>
        <v/>
      </c>
      <c r="E438" s="38" t="str">
        <f t="shared" si="90"/>
        <v/>
      </c>
      <c r="F438" s="38" t="str">
        <f t="shared" si="91"/>
        <v/>
      </c>
      <c r="G438" s="38" t="str">
        <f t="shared" si="92"/>
        <v/>
      </c>
      <c r="H438" s="38" t="str">
        <f t="shared" si="93"/>
        <v/>
      </c>
      <c r="L438" t="str">
        <f t="shared" si="94"/>
        <v/>
      </c>
      <c r="M438" s="38" t="str">
        <f t="shared" si="84"/>
        <v/>
      </c>
      <c r="N438" s="38" t="str">
        <f t="shared" si="95"/>
        <v/>
      </c>
      <c r="O438" s="38" t="str">
        <f t="shared" si="96"/>
        <v/>
      </c>
      <c r="P438" s="38" t="str">
        <f t="shared" si="85"/>
        <v/>
      </c>
      <c r="Q438" s="38" t="str">
        <f t="shared" si="86"/>
        <v/>
      </c>
      <c r="R438" s="38"/>
    </row>
    <row r="439" spans="1:18" x14ac:dyDescent="0.2">
      <c r="A439" t="str">
        <f t="shared" si="87"/>
        <v/>
      </c>
      <c r="B439" s="38" t="str">
        <f t="shared" si="88"/>
        <v/>
      </c>
      <c r="C439" s="38" t="str">
        <f t="shared" si="97"/>
        <v/>
      </c>
      <c r="D439" s="38" t="str">
        <f t="shared" si="89"/>
        <v/>
      </c>
      <c r="E439" s="38" t="str">
        <f t="shared" si="90"/>
        <v/>
      </c>
      <c r="F439" s="38" t="str">
        <f t="shared" si="91"/>
        <v/>
      </c>
      <c r="G439" s="38" t="str">
        <f t="shared" si="92"/>
        <v/>
      </c>
      <c r="H439" s="38" t="str">
        <f t="shared" si="93"/>
        <v/>
      </c>
      <c r="L439" t="str">
        <f t="shared" si="94"/>
        <v/>
      </c>
      <c r="M439" s="38" t="str">
        <f t="shared" si="84"/>
        <v/>
      </c>
      <c r="N439" s="38" t="str">
        <f t="shared" si="95"/>
        <v/>
      </c>
      <c r="O439" s="38" t="str">
        <f t="shared" si="96"/>
        <v/>
      </c>
      <c r="P439" s="38" t="str">
        <f t="shared" si="85"/>
        <v/>
      </c>
      <c r="Q439" s="38" t="str">
        <f t="shared" si="86"/>
        <v/>
      </c>
      <c r="R439" s="38"/>
    </row>
    <row r="440" spans="1:18" x14ac:dyDescent="0.2">
      <c r="A440" t="str">
        <f t="shared" si="87"/>
        <v/>
      </c>
      <c r="B440" s="38" t="str">
        <f t="shared" si="88"/>
        <v/>
      </c>
      <c r="C440" s="38" t="str">
        <f t="shared" si="97"/>
        <v/>
      </c>
      <c r="D440" s="38" t="str">
        <f t="shared" si="89"/>
        <v/>
      </c>
      <c r="E440" s="38" t="str">
        <f t="shared" si="90"/>
        <v/>
      </c>
      <c r="F440" s="38" t="str">
        <f t="shared" si="91"/>
        <v/>
      </c>
      <c r="G440" s="38" t="str">
        <f t="shared" si="92"/>
        <v/>
      </c>
      <c r="H440" s="38" t="str">
        <f t="shared" si="93"/>
        <v/>
      </c>
      <c r="L440" t="str">
        <f t="shared" si="94"/>
        <v/>
      </c>
      <c r="M440" s="38" t="str">
        <f t="shared" si="84"/>
        <v/>
      </c>
      <c r="N440" s="38" t="str">
        <f t="shared" si="95"/>
        <v/>
      </c>
      <c r="O440" s="38" t="str">
        <f t="shared" si="96"/>
        <v/>
      </c>
      <c r="P440" s="38" t="str">
        <f t="shared" si="85"/>
        <v/>
      </c>
      <c r="Q440" s="38" t="str">
        <f t="shared" si="86"/>
        <v/>
      </c>
      <c r="R440" s="38"/>
    </row>
    <row r="441" spans="1:18" x14ac:dyDescent="0.2">
      <c r="A441" t="str">
        <f t="shared" si="87"/>
        <v/>
      </c>
      <c r="B441" s="38" t="str">
        <f t="shared" si="88"/>
        <v/>
      </c>
      <c r="C441" s="38" t="str">
        <f t="shared" si="97"/>
        <v/>
      </c>
      <c r="D441" s="38" t="str">
        <f t="shared" si="89"/>
        <v/>
      </c>
      <c r="E441" s="38" t="str">
        <f t="shared" si="90"/>
        <v/>
      </c>
      <c r="F441" s="38" t="str">
        <f t="shared" si="91"/>
        <v/>
      </c>
      <c r="G441" s="38" t="str">
        <f t="shared" si="92"/>
        <v/>
      </c>
      <c r="H441" s="38" t="str">
        <f t="shared" si="93"/>
        <v/>
      </c>
      <c r="L441" t="str">
        <f t="shared" si="94"/>
        <v/>
      </c>
      <c r="M441" s="38" t="str">
        <f t="shared" si="84"/>
        <v/>
      </c>
      <c r="N441" s="38" t="str">
        <f t="shared" si="95"/>
        <v/>
      </c>
      <c r="O441" s="38" t="str">
        <f t="shared" si="96"/>
        <v/>
      </c>
      <c r="P441" s="38" t="str">
        <f t="shared" si="85"/>
        <v/>
      </c>
      <c r="Q441" s="38" t="str">
        <f t="shared" si="86"/>
        <v/>
      </c>
      <c r="R441" s="38"/>
    </row>
    <row r="442" spans="1:18" x14ac:dyDescent="0.2">
      <c r="A442" t="str">
        <f t="shared" si="87"/>
        <v/>
      </c>
      <c r="B442" s="38" t="str">
        <f t="shared" si="88"/>
        <v/>
      </c>
      <c r="C442" s="38" t="str">
        <f t="shared" si="97"/>
        <v/>
      </c>
      <c r="D442" s="38" t="str">
        <f t="shared" si="89"/>
        <v/>
      </c>
      <c r="E442" s="38" t="str">
        <f t="shared" si="90"/>
        <v/>
      </c>
      <c r="F442" s="38" t="str">
        <f t="shared" si="91"/>
        <v/>
      </c>
      <c r="G442" s="38" t="str">
        <f t="shared" si="92"/>
        <v/>
      </c>
      <c r="H442" s="38" t="str">
        <f t="shared" si="93"/>
        <v/>
      </c>
      <c r="L442" t="str">
        <f t="shared" si="94"/>
        <v/>
      </c>
      <c r="M442" s="38" t="str">
        <f t="shared" si="84"/>
        <v/>
      </c>
      <c r="N442" s="38" t="str">
        <f t="shared" si="95"/>
        <v/>
      </c>
      <c r="O442" s="38" t="str">
        <f t="shared" si="96"/>
        <v/>
      </c>
      <c r="P442" s="38" t="str">
        <f t="shared" si="85"/>
        <v/>
      </c>
      <c r="Q442" s="38" t="str">
        <f t="shared" si="86"/>
        <v/>
      </c>
      <c r="R442" s="38"/>
    </row>
    <row r="443" spans="1:18" x14ac:dyDescent="0.2">
      <c r="A443" t="str">
        <f t="shared" si="87"/>
        <v/>
      </c>
      <c r="B443" s="38" t="str">
        <f t="shared" si="88"/>
        <v/>
      </c>
      <c r="C443" s="38" t="str">
        <f t="shared" si="97"/>
        <v/>
      </c>
      <c r="D443" s="38" t="str">
        <f t="shared" si="89"/>
        <v/>
      </c>
      <c r="E443" s="38" t="str">
        <f t="shared" si="90"/>
        <v/>
      </c>
      <c r="F443" s="38" t="str">
        <f t="shared" si="91"/>
        <v/>
      </c>
      <c r="G443" s="38" t="str">
        <f t="shared" si="92"/>
        <v/>
      </c>
      <c r="H443" s="38" t="str">
        <f t="shared" si="93"/>
        <v/>
      </c>
      <c r="L443" t="str">
        <f t="shared" si="94"/>
        <v/>
      </c>
      <c r="M443" s="38" t="str">
        <f t="shared" si="84"/>
        <v/>
      </c>
      <c r="N443" s="38" t="str">
        <f t="shared" si="95"/>
        <v/>
      </c>
      <c r="O443" s="38" t="str">
        <f t="shared" si="96"/>
        <v/>
      </c>
      <c r="P443" s="38" t="str">
        <f t="shared" si="85"/>
        <v/>
      </c>
      <c r="Q443" s="38" t="str">
        <f t="shared" si="86"/>
        <v/>
      </c>
      <c r="R443" s="38"/>
    </row>
    <row r="444" spans="1:18" x14ac:dyDescent="0.2">
      <c r="A444" t="str">
        <f t="shared" si="87"/>
        <v/>
      </c>
      <c r="B444" s="38" t="str">
        <f t="shared" si="88"/>
        <v/>
      </c>
      <c r="C444" s="38" t="str">
        <f t="shared" si="97"/>
        <v/>
      </c>
      <c r="D444" s="38" t="str">
        <f t="shared" si="89"/>
        <v/>
      </c>
      <c r="E444" s="38" t="str">
        <f t="shared" si="90"/>
        <v/>
      </c>
      <c r="F444" s="38" t="str">
        <f t="shared" si="91"/>
        <v/>
      </c>
      <c r="G444" s="38" t="str">
        <f t="shared" si="92"/>
        <v/>
      </c>
      <c r="H444" s="38" t="str">
        <f t="shared" si="93"/>
        <v/>
      </c>
      <c r="L444" t="str">
        <f t="shared" si="94"/>
        <v/>
      </c>
      <c r="M444" s="38" t="str">
        <f t="shared" si="84"/>
        <v/>
      </c>
      <c r="N444" s="38" t="str">
        <f t="shared" si="95"/>
        <v/>
      </c>
      <c r="O444" s="38" t="str">
        <f t="shared" si="96"/>
        <v/>
      </c>
      <c r="P444" s="38" t="str">
        <f t="shared" si="85"/>
        <v/>
      </c>
      <c r="Q444" s="38" t="str">
        <f t="shared" si="86"/>
        <v/>
      </c>
      <c r="R444" s="38"/>
    </row>
    <row r="445" spans="1:18" x14ac:dyDescent="0.2">
      <c r="A445" t="str">
        <f t="shared" si="87"/>
        <v/>
      </c>
      <c r="B445" s="38" t="str">
        <f t="shared" si="88"/>
        <v/>
      </c>
      <c r="C445" s="38" t="str">
        <f t="shared" si="97"/>
        <v/>
      </c>
      <c r="D445" s="38" t="str">
        <f t="shared" si="89"/>
        <v/>
      </c>
      <c r="E445" s="38" t="str">
        <f t="shared" si="90"/>
        <v/>
      </c>
      <c r="F445" s="38" t="str">
        <f t="shared" si="91"/>
        <v/>
      </c>
      <c r="G445" s="38" t="str">
        <f t="shared" si="92"/>
        <v/>
      </c>
      <c r="H445" s="38" t="str">
        <f t="shared" si="93"/>
        <v/>
      </c>
      <c r="L445" t="str">
        <f t="shared" si="94"/>
        <v/>
      </c>
      <c r="M445" s="38" t="str">
        <f t="shared" si="84"/>
        <v/>
      </c>
      <c r="N445" s="38" t="str">
        <f t="shared" si="95"/>
        <v/>
      </c>
      <c r="O445" s="38" t="str">
        <f t="shared" si="96"/>
        <v/>
      </c>
      <c r="P445" s="38" t="str">
        <f t="shared" si="85"/>
        <v/>
      </c>
      <c r="Q445" s="38" t="str">
        <f t="shared" si="86"/>
        <v/>
      </c>
      <c r="R445" s="38"/>
    </row>
    <row r="446" spans="1:18" x14ac:dyDescent="0.2">
      <c r="A446" t="str">
        <f t="shared" si="87"/>
        <v/>
      </c>
      <c r="B446" s="38" t="str">
        <f t="shared" si="88"/>
        <v/>
      </c>
      <c r="C446" s="38" t="str">
        <f t="shared" si="97"/>
        <v/>
      </c>
      <c r="D446" s="38" t="str">
        <f t="shared" si="89"/>
        <v/>
      </c>
      <c r="E446" s="38" t="str">
        <f t="shared" si="90"/>
        <v/>
      </c>
      <c r="F446" s="38" t="str">
        <f t="shared" si="91"/>
        <v/>
      </c>
      <c r="G446" s="38" t="str">
        <f t="shared" si="92"/>
        <v/>
      </c>
      <c r="H446" s="38" t="str">
        <f t="shared" si="93"/>
        <v/>
      </c>
      <c r="L446" t="str">
        <f t="shared" si="94"/>
        <v/>
      </c>
      <c r="M446" s="38" t="str">
        <f t="shared" si="84"/>
        <v/>
      </c>
      <c r="N446" s="38" t="str">
        <f t="shared" si="95"/>
        <v/>
      </c>
      <c r="O446" s="38" t="str">
        <f t="shared" si="96"/>
        <v/>
      </c>
      <c r="P446" s="38" t="str">
        <f t="shared" si="85"/>
        <v/>
      </c>
      <c r="Q446" s="38" t="str">
        <f t="shared" si="86"/>
        <v/>
      </c>
      <c r="R446" s="38"/>
    </row>
    <row r="447" spans="1:18" x14ac:dyDescent="0.2">
      <c r="A447" t="str">
        <f t="shared" si="87"/>
        <v/>
      </c>
      <c r="B447" s="38" t="str">
        <f t="shared" si="88"/>
        <v/>
      </c>
      <c r="C447" s="38" t="str">
        <f t="shared" si="97"/>
        <v/>
      </c>
      <c r="D447" s="38" t="str">
        <f t="shared" si="89"/>
        <v/>
      </c>
      <c r="E447" s="38" t="str">
        <f t="shared" si="90"/>
        <v/>
      </c>
      <c r="F447" s="38" t="str">
        <f t="shared" si="91"/>
        <v/>
      </c>
      <c r="G447" s="38" t="str">
        <f t="shared" si="92"/>
        <v/>
      </c>
      <c r="H447" s="38" t="str">
        <f t="shared" si="93"/>
        <v/>
      </c>
      <c r="L447" t="str">
        <f t="shared" si="94"/>
        <v/>
      </c>
      <c r="M447" s="38" t="str">
        <f t="shared" si="84"/>
        <v/>
      </c>
      <c r="N447" s="38" t="str">
        <f t="shared" si="95"/>
        <v/>
      </c>
      <c r="O447" s="38" t="str">
        <f t="shared" si="96"/>
        <v/>
      </c>
      <c r="P447" s="38" t="str">
        <f t="shared" si="85"/>
        <v/>
      </c>
      <c r="Q447" s="38" t="str">
        <f t="shared" si="86"/>
        <v/>
      </c>
      <c r="R447" s="38"/>
    </row>
    <row r="448" spans="1:18" x14ac:dyDescent="0.2">
      <c r="A448" t="str">
        <f t="shared" si="87"/>
        <v/>
      </c>
      <c r="B448" s="38" t="str">
        <f t="shared" si="88"/>
        <v/>
      </c>
      <c r="C448" s="38" t="str">
        <f t="shared" si="97"/>
        <v/>
      </c>
      <c r="D448" s="38" t="str">
        <f t="shared" si="89"/>
        <v/>
      </c>
      <c r="E448" s="38" t="str">
        <f t="shared" si="90"/>
        <v/>
      </c>
      <c r="F448" s="38" t="str">
        <f t="shared" si="91"/>
        <v/>
      </c>
      <c r="G448" s="38" t="str">
        <f t="shared" si="92"/>
        <v/>
      </c>
      <c r="H448" s="38" t="str">
        <f t="shared" si="93"/>
        <v/>
      </c>
      <c r="L448" t="str">
        <f t="shared" si="94"/>
        <v/>
      </c>
      <c r="M448" s="38" t="str">
        <f t="shared" si="84"/>
        <v/>
      </c>
      <c r="N448" s="38" t="str">
        <f t="shared" si="95"/>
        <v/>
      </c>
      <c r="O448" s="38" t="str">
        <f t="shared" si="96"/>
        <v/>
      </c>
      <c r="P448" s="38" t="str">
        <f t="shared" si="85"/>
        <v/>
      </c>
      <c r="Q448" s="38" t="str">
        <f t="shared" si="86"/>
        <v/>
      </c>
      <c r="R448" s="38"/>
    </row>
    <row r="449" spans="1:18" x14ac:dyDescent="0.2">
      <c r="A449" t="str">
        <f t="shared" si="87"/>
        <v/>
      </c>
      <c r="B449" s="38" t="str">
        <f t="shared" si="88"/>
        <v/>
      </c>
      <c r="C449" s="38" t="str">
        <f t="shared" si="97"/>
        <v/>
      </c>
      <c r="D449" s="38" t="str">
        <f t="shared" si="89"/>
        <v/>
      </c>
      <c r="E449" s="38" t="str">
        <f t="shared" si="90"/>
        <v/>
      </c>
      <c r="F449" s="38" t="str">
        <f t="shared" si="91"/>
        <v/>
      </c>
      <c r="G449" s="38" t="str">
        <f t="shared" si="92"/>
        <v/>
      </c>
      <c r="H449" s="38" t="str">
        <f t="shared" si="93"/>
        <v/>
      </c>
      <c r="L449" t="str">
        <f t="shared" si="94"/>
        <v/>
      </c>
      <c r="M449" s="38" t="str">
        <f t="shared" si="84"/>
        <v/>
      </c>
      <c r="N449" s="38" t="str">
        <f t="shared" si="95"/>
        <v/>
      </c>
      <c r="O449" s="38" t="str">
        <f t="shared" si="96"/>
        <v/>
      </c>
      <c r="P449" s="38" t="str">
        <f t="shared" si="85"/>
        <v/>
      </c>
      <c r="Q449" s="38" t="str">
        <f t="shared" si="86"/>
        <v/>
      </c>
      <c r="R449" s="38"/>
    </row>
    <row r="450" spans="1:18" x14ac:dyDescent="0.2">
      <c r="A450" t="str">
        <f t="shared" si="87"/>
        <v/>
      </c>
      <c r="B450" s="38" t="str">
        <f t="shared" si="88"/>
        <v/>
      </c>
      <c r="C450" s="38" t="str">
        <f t="shared" si="97"/>
        <v/>
      </c>
      <c r="D450" s="38" t="str">
        <f t="shared" si="89"/>
        <v/>
      </c>
      <c r="E450" s="38" t="str">
        <f t="shared" si="90"/>
        <v/>
      </c>
      <c r="F450" s="38" t="str">
        <f t="shared" si="91"/>
        <v/>
      </c>
      <c r="G450" s="38" t="str">
        <f t="shared" si="92"/>
        <v/>
      </c>
      <c r="H450" s="38" t="str">
        <f t="shared" si="93"/>
        <v/>
      </c>
      <c r="L450" t="str">
        <f t="shared" si="94"/>
        <v/>
      </c>
      <c r="M450" s="38" t="str">
        <f t="shared" si="84"/>
        <v/>
      </c>
      <c r="N450" s="38" t="str">
        <f t="shared" si="95"/>
        <v/>
      </c>
      <c r="O450" s="38" t="str">
        <f t="shared" si="96"/>
        <v/>
      </c>
      <c r="P450" s="38" t="str">
        <f t="shared" si="85"/>
        <v/>
      </c>
      <c r="Q450" s="38" t="str">
        <f t="shared" si="86"/>
        <v/>
      </c>
      <c r="R450" s="38"/>
    </row>
    <row r="451" spans="1:18" x14ac:dyDescent="0.2">
      <c r="A451" t="str">
        <f t="shared" si="87"/>
        <v/>
      </c>
      <c r="B451" s="38" t="str">
        <f t="shared" si="88"/>
        <v/>
      </c>
      <c r="C451" s="38" t="str">
        <f t="shared" si="97"/>
        <v/>
      </c>
      <c r="D451" s="38" t="str">
        <f t="shared" si="89"/>
        <v/>
      </c>
      <c r="E451" s="38" t="str">
        <f t="shared" si="90"/>
        <v/>
      </c>
      <c r="F451" s="38" t="str">
        <f t="shared" si="91"/>
        <v/>
      </c>
      <c r="G451" s="38" t="str">
        <f t="shared" si="92"/>
        <v/>
      </c>
      <c r="H451" s="38" t="str">
        <f t="shared" si="93"/>
        <v/>
      </c>
      <c r="L451" t="str">
        <f t="shared" si="94"/>
        <v/>
      </c>
      <c r="M451" s="38" t="str">
        <f t="shared" si="84"/>
        <v/>
      </c>
      <c r="N451" s="38" t="str">
        <f t="shared" si="95"/>
        <v/>
      </c>
      <c r="O451" s="38" t="str">
        <f t="shared" si="96"/>
        <v/>
      </c>
      <c r="P451" s="38" t="str">
        <f t="shared" si="85"/>
        <v/>
      </c>
      <c r="Q451" s="38" t="str">
        <f t="shared" si="86"/>
        <v/>
      </c>
      <c r="R451" s="38"/>
    </row>
    <row r="452" spans="1:18" x14ac:dyDescent="0.2">
      <c r="A452" t="str">
        <f t="shared" si="87"/>
        <v/>
      </c>
      <c r="B452" s="38" t="str">
        <f t="shared" si="88"/>
        <v/>
      </c>
      <c r="C452" s="38" t="str">
        <f t="shared" si="97"/>
        <v/>
      </c>
      <c r="D452" s="38" t="str">
        <f t="shared" si="89"/>
        <v/>
      </c>
      <c r="E452" s="38" t="str">
        <f t="shared" si="90"/>
        <v/>
      </c>
      <c r="F452" s="38" t="str">
        <f t="shared" si="91"/>
        <v/>
      </c>
      <c r="G452" s="38" t="str">
        <f t="shared" si="92"/>
        <v/>
      </c>
      <c r="H452" s="38" t="str">
        <f t="shared" si="93"/>
        <v/>
      </c>
      <c r="L452" t="str">
        <f t="shared" si="94"/>
        <v/>
      </c>
      <c r="M452" s="38" t="str">
        <f t="shared" si="84"/>
        <v/>
      </c>
      <c r="N452" s="38" t="str">
        <f t="shared" si="95"/>
        <v/>
      </c>
      <c r="O452" s="38" t="str">
        <f t="shared" si="96"/>
        <v/>
      </c>
      <c r="P452" s="38" t="str">
        <f t="shared" si="85"/>
        <v/>
      </c>
      <c r="Q452" s="38" t="str">
        <f t="shared" si="86"/>
        <v/>
      </c>
      <c r="R452" s="38"/>
    </row>
    <row r="453" spans="1:18" x14ac:dyDescent="0.2">
      <c r="A453" t="str">
        <f t="shared" si="87"/>
        <v/>
      </c>
      <c r="B453" s="38" t="str">
        <f t="shared" si="88"/>
        <v/>
      </c>
      <c r="C453" s="38" t="str">
        <f t="shared" si="97"/>
        <v/>
      </c>
      <c r="D453" s="38" t="str">
        <f t="shared" si="89"/>
        <v/>
      </c>
      <c r="E453" s="38" t="str">
        <f t="shared" si="90"/>
        <v/>
      </c>
      <c r="F453" s="38" t="str">
        <f t="shared" si="91"/>
        <v/>
      </c>
      <c r="G453" s="38" t="str">
        <f t="shared" si="92"/>
        <v/>
      </c>
      <c r="H453" s="38" t="str">
        <f t="shared" si="93"/>
        <v/>
      </c>
      <c r="L453" t="str">
        <f t="shared" si="94"/>
        <v/>
      </c>
      <c r="M453" s="38" t="str">
        <f t="shared" si="84"/>
        <v/>
      </c>
      <c r="N453" s="38" t="str">
        <f t="shared" si="95"/>
        <v/>
      </c>
      <c r="O453" s="38" t="str">
        <f t="shared" si="96"/>
        <v/>
      </c>
      <c r="P453" s="38" t="str">
        <f t="shared" si="85"/>
        <v/>
      </c>
      <c r="Q453" s="38" t="str">
        <f t="shared" si="86"/>
        <v/>
      </c>
      <c r="R453" s="38"/>
    </row>
    <row r="454" spans="1:18" x14ac:dyDescent="0.2">
      <c r="A454" t="str">
        <f t="shared" si="87"/>
        <v/>
      </c>
      <c r="B454" s="38" t="str">
        <f t="shared" si="88"/>
        <v/>
      </c>
      <c r="C454" s="38" t="str">
        <f t="shared" si="97"/>
        <v/>
      </c>
      <c r="D454" s="38" t="str">
        <f t="shared" si="89"/>
        <v/>
      </c>
      <c r="E454" s="38" t="str">
        <f t="shared" si="90"/>
        <v/>
      </c>
      <c r="F454" s="38" t="str">
        <f t="shared" si="91"/>
        <v/>
      </c>
      <c r="G454" s="38" t="str">
        <f t="shared" si="92"/>
        <v/>
      </c>
      <c r="H454" s="38" t="str">
        <f t="shared" si="93"/>
        <v/>
      </c>
      <c r="L454" t="str">
        <f t="shared" si="94"/>
        <v/>
      </c>
      <c r="M454" s="38" t="str">
        <f t="shared" si="84"/>
        <v/>
      </c>
      <c r="N454" s="38" t="str">
        <f t="shared" si="95"/>
        <v/>
      </c>
      <c r="O454" s="38" t="str">
        <f t="shared" si="96"/>
        <v/>
      </c>
      <c r="P454" s="38" t="str">
        <f t="shared" si="85"/>
        <v/>
      </c>
      <c r="Q454" s="38" t="str">
        <f t="shared" si="86"/>
        <v/>
      </c>
      <c r="R454" s="38"/>
    </row>
    <row r="455" spans="1:18" x14ac:dyDescent="0.2">
      <c r="A455" t="str">
        <f t="shared" si="87"/>
        <v/>
      </c>
      <c r="B455" s="38" t="str">
        <f t="shared" si="88"/>
        <v/>
      </c>
      <c r="C455" s="38" t="str">
        <f t="shared" si="97"/>
        <v/>
      </c>
      <c r="D455" s="38" t="str">
        <f t="shared" si="89"/>
        <v/>
      </c>
      <c r="E455" s="38" t="str">
        <f t="shared" si="90"/>
        <v/>
      </c>
      <c r="F455" s="38" t="str">
        <f t="shared" si="91"/>
        <v/>
      </c>
      <c r="G455" s="38" t="str">
        <f t="shared" si="92"/>
        <v/>
      </c>
      <c r="H455" s="38" t="str">
        <f t="shared" si="93"/>
        <v/>
      </c>
      <c r="L455" t="str">
        <f t="shared" si="94"/>
        <v/>
      </c>
      <c r="M455" s="38" t="str">
        <f t="shared" si="84"/>
        <v/>
      </c>
      <c r="N455" s="38" t="str">
        <f t="shared" si="95"/>
        <v/>
      </c>
      <c r="O455" s="38" t="str">
        <f t="shared" si="96"/>
        <v/>
      </c>
      <c r="P455" s="38" t="str">
        <f t="shared" si="85"/>
        <v/>
      </c>
      <c r="Q455" s="38" t="str">
        <f t="shared" si="86"/>
        <v/>
      </c>
      <c r="R455" s="38"/>
    </row>
    <row r="456" spans="1:18" x14ac:dyDescent="0.2">
      <c r="A456" t="str">
        <f t="shared" si="87"/>
        <v/>
      </c>
      <c r="B456" s="38" t="str">
        <f t="shared" si="88"/>
        <v/>
      </c>
      <c r="C456" s="38" t="str">
        <f t="shared" si="97"/>
        <v/>
      </c>
      <c r="D456" s="38" t="str">
        <f t="shared" si="89"/>
        <v/>
      </c>
      <c r="E456" s="38" t="str">
        <f t="shared" si="90"/>
        <v/>
      </c>
      <c r="F456" s="38" t="str">
        <f t="shared" si="91"/>
        <v/>
      </c>
      <c r="G456" s="38" t="str">
        <f t="shared" si="92"/>
        <v/>
      </c>
      <c r="H456" s="38" t="str">
        <f t="shared" si="93"/>
        <v/>
      </c>
      <c r="L456" t="str">
        <f t="shared" si="94"/>
        <v/>
      </c>
      <c r="M456" s="38" t="str">
        <f t="shared" si="84"/>
        <v/>
      </c>
      <c r="N456" s="38" t="str">
        <f t="shared" si="95"/>
        <v/>
      </c>
      <c r="O456" s="38" t="str">
        <f t="shared" si="96"/>
        <v/>
      </c>
      <c r="P456" s="38" t="str">
        <f t="shared" si="85"/>
        <v/>
      </c>
      <c r="Q456" s="38" t="str">
        <f t="shared" si="86"/>
        <v/>
      </c>
      <c r="R456" s="38"/>
    </row>
    <row r="457" spans="1:18" x14ac:dyDescent="0.2">
      <c r="A457" t="str">
        <f t="shared" si="87"/>
        <v/>
      </c>
      <c r="B457" s="38" t="str">
        <f t="shared" si="88"/>
        <v/>
      </c>
      <c r="C457" s="38" t="str">
        <f t="shared" si="97"/>
        <v/>
      </c>
      <c r="D457" s="38" t="str">
        <f t="shared" si="89"/>
        <v/>
      </c>
      <c r="E457" s="38" t="str">
        <f t="shared" si="90"/>
        <v/>
      </c>
      <c r="F457" s="38" t="str">
        <f t="shared" si="91"/>
        <v/>
      </c>
      <c r="G457" s="38" t="str">
        <f t="shared" si="92"/>
        <v/>
      </c>
      <c r="H457" s="38" t="str">
        <f t="shared" si="93"/>
        <v/>
      </c>
      <c r="L457" t="str">
        <f t="shared" si="94"/>
        <v/>
      </c>
      <c r="M457" s="38" t="str">
        <f t="shared" si="84"/>
        <v/>
      </c>
      <c r="N457" s="38" t="str">
        <f t="shared" si="95"/>
        <v/>
      </c>
      <c r="O457" s="38" t="str">
        <f t="shared" si="96"/>
        <v/>
      </c>
      <c r="P457" s="38" t="str">
        <f t="shared" si="85"/>
        <v/>
      </c>
      <c r="Q457" s="38" t="str">
        <f t="shared" si="86"/>
        <v/>
      </c>
      <c r="R457" s="38"/>
    </row>
    <row r="458" spans="1:18" x14ac:dyDescent="0.2">
      <c r="A458" t="str">
        <f t="shared" si="87"/>
        <v/>
      </c>
      <c r="B458" s="38" t="str">
        <f t="shared" si="88"/>
        <v/>
      </c>
      <c r="C458" s="38" t="str">
        <f t="shared" si="97"/>
        <v/>
      </c>
      <c r="D458" s="38" t="str">
        <f t="shared" si="89"/>
        <v/>
      </c>
      <c r="E458" s="38" t="str">
        <f t="shared" si="90"/>
        <v/>
      </c>
      <c r="F458" s="38" t="str">
        <f t="shared" si="91"/>
        <v/>
      </c>
      <c r="G458" s="38" t="str">
        <f t="shared" si="92"/>
        <v/>
      </c>
      <c r="H458" s="38" t="str">
        <f t="shared" si="93"/>
        <v/>
      </c>
      <c r="L458" t="str">
        <f t="shared" si="94"/>
        <v/>
      </c>
      <c r="M458" s="38" t="str">
        <f t="shared" si="84"/>
        <v/>
      </c>
      <c r="N458" s="38" t="str">
        <f t="shared" si="95"/>
        <v/>
      </c>
      <c r="O458" s="38" t="str">
        <f t="shared" si="96"/>
        <v/>
      </c>
      <c r="P458" s="38" t="str">
        <f t="shared" si="85"/>
        <v/>
      </c>
      <c r="Q458" s="38" t="str">
        <f t="shared" si="86"/>
        <v/>
      </c>
      <c r="R458" s="38"/>
    </row>
    <row r="459" spans="1:18" x14ac:dyDescent="0.2">
      <c r="A459" t="str">
        <f t="shared" si="87"/>
        <v/>
      </c>
      <c r="B459" s="38" t="str">
        <f t="shared" si="88"/>
        <v/>
      </c>
      <c r="C459" s="38" t="str">
        <f t="shared" si="97"/>
        <v/>
      </c>
      <c r="D459" s="38" t="str">
        <f t="shared" si="89"/>
        <v/>
      </c>
      <c r="E459" s="38" t="str">
        <f t="shared" si="90"/>
        <v/>
      </c>
      <c r="F459" s="38" t="str">
        <f t="shared" si="91"/>
        <v/>
      </c>
      <c r="G459" s="38" t="str">
        <f t="shared" si="92"/>
        <v/>
      </c>
      <c r="H459" s="38" t="str">
        <f t="shared" si="93"/>
        <v/>
      </c>
      <c r="L459" t="str">
        <f t="shared" si="94"/>
        <v/>
      </c>
      <c r="M459" s="38" t="str">
        <f t="shared" si="84"/>
        <v/>
      </c>
      <c r="N459" s="38" t="str">
        <f t="shared" si="95"/>
        <v/>
      </c>
      <c r="O459" s="38" t="str">
        <f t="shared" si="96"/>
        <v/>
      </c>
      <c r="P459" s="38" t="str">
        <f t="shared" si="85"/>
        <v/>
      </c>
      <c r="Q459" s="38" t="str">
        <f t="shared" si="86"/>
        <v/>
      </c>
      <c r="R459" s="38"/>
    </row>
    <row r="460" spans="1:18" x14ac:dyDescent="0.2">
      <c r="A460" t="str">
        <f t="shared" si="87"/>
        <v/>
      </c>
      <c r="B460" s="38" t="str">
        <f t="shared" si="88"/>
        <v/>
      </c>
      <c r="C460" s="38" t="str">
        <f t="shared" si="97"/>
        <v/>
      </c>
      <c r="D460" s="38" t="str">
        <f t="shared" si="89"/>
        <v/>
      </c>
      <c r="E460" s="38" t="str">
        <f t="shared" si="90"/>
        <v/>
      </c>
      <c r="F460" s="38" t="str">
        <f t="shared" si="91"/>
        <v/>
      </c>
      <c r="G460" s="38" t="str">
        <f t="shared" si="92"/>
        <v/>
      </c>
      <c r="H460" s="38" t="str">
        <f t="shared" si="93"/>
        <v/>
      </c>
      <c r="L460" t="str">
        <f t="shared" si="94"/>
        <v/>
      </c>
      <c r="M460" s="38" t="str">
        <f t="shared" si="84"/>
        <v/>
      </c>
      <c r="N460" s="38" t="str">
        <f t="shared" si="95"/>
        <v/>
      </c>
      <c r="O460" s="38" t="str">
        <f t="shared" si="96"/>
        <v/>
      </c>
      <c r="P460" s="38" t="str">
        <f t="shared" si="85"/>
        <v/>
      </c>
      <c r="Q460" s="38" t="str">
        <f t="shared" si="86"/>
        <v/>
      </c>
      <c r="R460" s="38"/>
    </row>
    <row r="461" spans="1:18" x14ac:dyDescent="0.2">
      <c r="A461" t="str">
        <f t="shared" si="87"/>
        <v/>
      </c>
      <c r="B461" s="38" t="str">
        <f t="shared" si="88"/>
        <v/>
      </c>
      <c r="C461" s="38" t="str">
        <f t="shared" si="97"/>
        <v/>
      </c>
      <c r="D461" s="38" t="str">
        <f t="shared" si="89"/>
        <v/>
      </c>
      <c r="E461" s="38" t="str">
        <f t="shared" si="90"/>
        <v/>
      </c>
      <c r="F461" s="38" t="str">
        <f t="shared" si="91"/>
        <v/>
      </c>
      <c r="G461" s="38" t="str">
        <f t="shared" si="92"/>
        <v/>
      </c>
      <c r="H461" s="38" t="str">
        <f t="shared" si="93"/>
        <v/>
      </c>
      <c r="L461" t="str">
        <f t="shared" si="94"/>
        <v/>
      </c>
      <c r="M461" s="38" t="str">
        <f t="shared" si="84"/>
        <v/>
      </c>
      <c r="N461" s="38" t="str">
        <f t="shared" si="95"/>
        <v/>
      </c>
      <c r="O461" s="38" t="str">
        <f t="shared" si="96"/>
        <v/>
      </c>
      <c r="P461" s="38" t="str">
        <f t="shared" si="85"/>
        <v/>
      </c>
      <c r="Q461" s="38" t="str">
        <f t="shared" si="86"/>
        <v/>
      </c>
      <c r="R461" s="38"/>
    </row>
    <row r="462" spans="1:18" x14ac:dyDescent="0.2">
      <c r="A462" t="str">
        <f t="shared" si="87"/>
        <v/>
      </c>
      <c r="B462" s="38" t="str">
        <f t="shared" si="88"/>
        <v/>
      </c>
      <c r="C462" s="38" t="str">
        <f t="shared" si="97"/>
        <v/>
      </c>
      <c r="D462" s="38" t="str">
        <f t="shared" si="89"/>
        <v/>
      </c>
      <c r="E462" s="38" t="str">
        <f t="shared" si="90"/>
        <v/>
      </c>
      <c r="F462" s="38" t="str">
        <f t="shared" si="91"/>
        <v/>
      </c>
      <c r="G462" s="38" t="str">
        <f t="shared" si="92"/>
        <v/>
      </c>
      <c r="H462" s="38" t="str">
        <f t="shared" si="93"/>
        <v/>
      </c>
      <c r="L462" t="str">
        <f t="shared" si="94"/>
        <v/>
      </c>
      <c r="M462" s="38" t="str">
        <f t="shared" si="84"/>
        <v/>
      </c>
      <c r="N462" s="38" t="str">
        <f t="shared" si="95"/>
        <v/>
      </c>
      <c r="O462" s="38" t="str">
        <f t="shared" si="96"/>
        <v/>
      </c>
      <c r="P462" s="38" t="str">
        <f t="shared" si="85"/>
        <v/>
      </c>
      <c r="Q462" s="38" t="str">
        <f t="shared" si="86"/>
        <v/>
      </c>
      <c r="R462" s="38"/>
    </row>
    <row r="463" spans="1:18" x14ac:dyDescent="0.2">
      <c r="A463" t="str">
        <f t="shared" si="87"/>
        <v/>
      </c>
      <c r="B463" s="38" t="str">
        <f t="shared" si="88"/>
        <v/>
      </c>
      <c r="C463" s="38" t="str">
        <f t="shared" si="97"/>
        <v/>
      </c>
      <c r="D463" s="38" t="str">
        <f t="shared" si="89"/>
        <v/>
      </c>
      <c r="E463" s="38" t="str">
        <f t="shared" si="90"/>
        <v/>
      </c>
      <c r="F463" s="38" t="str">
        <f t="shared" si="91"/>
        <v/>
      </c>
      <c r="G463" s="38" t="str">
        <f t="shared" si="92"/>
        <v/>
      </c>
      <c r="H463" s="38" t="str">
        <f t="shared" si="93"/>
        <v/>
      </c>
      <c r="L463" t="str">
        <f t="shared" si="94"/>
        <v/>
      </c>
      <c r="M463" s="38" t="str">
        <f t="shared" si="84"/>
        <v/>
      </c>
      <c r="N463" s="38" t="str">
        <f t="shared" si="95"/>
        <v/>
      </c>
      <c r="O463" s="38" t="str">
        <f t="shared" si="96"/>
        <v/>
      </c>
      <c r="P463" s="38" t="str">
        <f t="shared" si="85"/>
        <v/>
      </c>
      <c r="Q463" s="38" t="str">
        <f t="shared" si="86"/>
        <v/>
      </c>
      <c r="R463" s="38"/>
    </row>
    <row r="464" spans="1:18" x14ac:dyDescent="0.2">
      <c r="A464" t="str">
        <f t="shared" si="87"/>
        <v/>
      </c>
      <c r="B464" s="38" t="str">
        <f t="shared" si="88"/>
        <v/>
      </c>
      <c r="C464" s="38" t="str">
        <f t="shared" si="97"/>
        <v/>
      </c>
      <c r="D464" s="38" t="str">
        <f t="shared" si="89"/>
        <v/>
      </c>
      <c r="E464" s="38" t="str">
        <f t="shared" si="90"/>
        <v/>
      </c>
      <c r="F464" s="38" t="str">
        <f t="shared" si="91"/>
        <v/>
      </c>
      <c r="G464" s="38" t="str">
        <f t="shared" si="92"/>
        <v/>
      </c>
      <c r="H464" s="38" t="str">
        <f t="shared" si="93"/>
        <v/>
      </c>
      <c r="L464" t="str">
        <f t="shared" si="94"/>
        <v/>
      </c>
      <c r="M464" s="38" t="str">
        <f t="shared" si="84"/>
        <v/>
      </c>
      <c r="N464" s="38" t="str">
        <f t="shared" si="95"/>
        <v/>
      </c>
      <c r="O464" s="38" t="str">
        <f t="shared" si="96"/>
        <v/>
      </c>
      <c r="P464" s="38" t="str">
        <f t="shared" si="85"/>
        <v/>
      </c>
      <c r="Q464" s="38" t="str">
        <f t="shared" si="86"/>
        <v/>
      </c>
      <c r="R464" s="38"/>
    </row>
    <row r="465" spans="1:18" x14ac:dyDescent="0.2">
      <c r="A465" t="str">
        <f t="shared" si="87"/>
        <v/>
      </c>
      <c r="B465" s="38" t="str">
        <f t="shared" si="88"/>
        <v/>
      </c>
      <c r="C465" s="38" t="str">
        <f t="shared" si="97"/>
        <v/>
      </c>
      <c r="D465" s="38" t="str">
        <f t="shared" si="89"/>
        <v/>
      </c>
      <c r="E465" s="38" t="str">
        <f t="shared" si="90"/>
        <v/>
      </c>
      <c r="F465" s="38" t="str">
        <f t="shared" si="91"/>
        <v/>
      </c>
      <c r="G465" s="38" t="str">
        <f t="shared" si="92"/>
        <v/>
      </c>
      <c r="H465" s="38" t="str">
        <f t="shared" si="93"/>
        <v/>
      </c>
      <c r="L465" t="str">
        <f t="shared" si="94"/>
        <v/>
      </c>
      <c r="M465" s="38" t="str">
        <f t="shared" si="84"/>
        <v/>
      </c>
      <c r="N465" s="38" t="str">
        <f t="shared" si="95"/>
        <v/>
      </c>
      <c r="O465" s="38" t="str">
        <f t="shared" si="96"/>
        <v/>
      </c>
      <c r="P465" s="38" t="str">
        <f t="shared" si="85"/>
        <v/>
      </c>
      <c r="Q465" s="38" t="str">
        <f t="shared" si="86"/>
        <v/>
      </c>
      <c r="R465" s="38"/>
    </row>
    <row r="466" spans="1:18" x14ac:dyDescent="0.2">
      <c r="A466" t="str">
        <f t="shared" si="87"/>
        <v/>
      </c>
      <c r="B466" s="38" t="str">
        <f t="shared" si="88"/>
        <v/>
      </c>
      <c r="C466" s="38" t="str">
        <f t="shared" si="97"/>
        <v/>
      </c>
      <c r="D466" s="38" t="str">
        <f t="shared" si="89"/>
        <v/>
      </c>
      <c r="E466" s="38" t="str">
        <f t="shared" si="90"/>
        <v/>
      </c>
      <c r="F466" s="38" t="str">
        <f t="shared" si="91"/>
        <v/>
      </c>
      <c r="G466" s="38" t="str">
        <f t="shared" si="92"/>
        <v/>
      </c>
      <c r="H466" s="38" t="str">
        <f t="shared" si="93"/>
        <v/>
      </c>
      <c r="L466" t="str">
        <f t="shared" si="94"/>
        <v/>
      </c>
      <c r="M466" s="38" t="str">
        <f t="shared" si="84"/>
        <v/>
      </c>
      <c r="N466" s="38" t="str">
        <f t="shared" si="95"/>
        <v/>
      </c>
      <c r="O466" s="38" t="str">
        <f t="shared" si="96"/>
        <v/>
      </c>
      <c r="P466" s="38" t="str">
        <f t="shared" si="85"/>
        <v/>
      </c>
      <c r="Q466" s="38" t="str">
        <f t="shared" si="86"/>
        <v/>
      </c>
      <c r="R466" s="38"/>
    </row>
    <row r="467" spans="1:18" x14ac:dyDescent="0.2">
      <c r="A467" t="str">
        <f t="shared" si="87"/>
        <v/>
      </c>
      <c r="B467" s="38" t="str">
        <f t="shared" si="88"/>
        <v/>
      </c>
      <c r="C467" s="38" t="str">
        <f t="shared" si="97"/>
        <v/>
      </c>
      <c r="D467" s="38" t="str">
        <f t="shared" si="89"/>
        <v/>
      </c>
      <c r="E467" s="38" t="str">
        <f t="shared" si="90"/>
        <v/>
      </c>
      <c r="F467" s="38" t="str">
        <f t="shared" si="91"/>
        <v/>
      </c>
      <c r="G467" s="38" t="str">
        <f t="shared" si="92"/>
        <v/>
      </c>
      <c r="H467" s="38" t="str">
        <f t="shared" si="93"/>
        <v/>
      </c>
      <c r="L467" t="str">
        <f t="shared" si="94"/>
        <v/>
      </c>
      <c r="M467" s="38" t="str">
        <f t="shared" si="84"/>
        <v/>
      </c>
      <c r="N467" s="38" t="str">
        <f t="shared" si="95"/>
        <v/>
      </c>
      <c r="O467" s="38" t="str">
        <f t="shared" si="96"/>
        <v/>
      </c>
      <c r="P467" s="38" t="str">
        <f t="shared" si="85"/>
        <v/>
      </c>
      <c r="Q467" s="38" t="str">
        <f t="shared" si="86"/>
        <v/>
      </c>
      <c r="R467" s="38"/>
    </row>
    <row r="468" spans="1:18" x14ac:dyDescent="0.2">
      <c r="A468" t="str">
        <f t="shared" si="87"/>
        <v/>
      </c>
      <c r="B468" s="38" t="str">
        <f t="shared" si="88"/>
        <v/>
      </c>
      <c r="C468" s="38" t="str">
        <f t="shared" si="97"/>
        <v/>
      </c>
      <c r="D468" s="38" t="str">
        <f t="shared" si="89"/>
        <v/>
      </c>
      <c r="E468" s="38" t="str">
        <f t="shared" si="90"/>
        <v/>
      </c>
      <c r="F468" s="38" t="str">
        <f t="shared" si="91"/>
        <v/>
      </c>
      <c r="G468" s="38" t="str">
        <f t="shared" si="92"/>
        <v/>
      </c>
      <c r="H468" s="38" t="str">
        <f t="shared" si="93"/>
        <v/>
      </c>
      <c r="L468" t="str">
        <f t="shared" si="94"/>
        <v/>
      </c>
      <c r="M468" s="38" t="str">
        <f t="shared" si="84"/>
        <v/>
      </c>
      <c r="N468" s="38" t="str">
        <f t="shared" si="95"/>
        <v/>
      </c>
      <c r="O468" s="38" t="str">
        <f t="shared" si="96"/>
        <v/>
      </c>
      <c r="P468" s="38" t="str">
        <f t="shared" si="85"/>
        <v/>
      </c>
      <c r="Q468" s="38" t="str">
        <f t="shared" si="86"/>
        <v/>
      </c>
      <c r="R468" s="38"/>
    </row>
    <row r="469" spans="1:18" x14ac:dyDescent="0.2">
      <c r="A469" t="str">
        <f t="shared" si="87"/>
        <v/>
      </c>
      <c r="B469" s="38" t="str">
        <f t="shared" si="88"/>
        <v/>
      </c>
      <c r="C469" s="38" t="str">
        <f t="shared" si="97"/>
        <v/>
      </c>
      <c r="D469" s="38" t="str">
        <f t="shared" si="89"/>
        <v/>
      </c>
      <c r="E469" s="38" t="str">
        <f t="shared" si="90"/>
        <v/>
      </c>
      <c r="F469" s="38" t="str">
        <f t="shared" si="91"/>
        <v/>
      </c>
      <c r="G469" s="38" t="str">
        <f t="shared" si="92"/>
        <v/>
      </c>
      <c r="H469" s="38" t="str">
        <f t="shared" si="93"/>
        <v/>
      </c>
      <c r="L469" t="str">
        <f t="shared" si="94"/>
        <v/>
      </c>
      <c r="M469" s="38" t="str">
        <f t="shared" si="84"/>
        <v/>
      </c>
      <c r="N469" s="38" t="str">
        <f t="shared" si="95"/>
        <v/>
      </c>
      <c r="O469" s="38" t="str">
        <f t="shared" si="96"/>
        <v/>
      </c>
      <c r="P469" s="38" t="str">
        <f t="shared" si="85"/>
        <v/>
      </c>
      <c r="Q469" s="38" t="str">
        <f t="shared" si="86"/>
        <v/>
      </c>
      <c r="R469" s="38"/>
    </row>
    <row r="470" spans="1:18" x14ac:dyDescent="0.2">
      <c r="A470" t="str">
        <f t="shared" si="87"/>
        <v/>
      </c>
      <c r="B470" s="38" t="str">
        <f t="shared" si="88"/>
        <v/>
      </c>
      <c r="C470" s="38" t="str">
        <f t="shared" si="97"/>
        <v/>
      </c>
      <c r="D470" s="38" t="str">
        <f t="shared" si="89"/>
        <v/>
      </c>
      <c r="E470" s="38" t="str">
        <f t="shared" si="90"/>
        <v/>
      </c>
      <c r="F470" s="38" t="str">
        <f t="shared" si="91"/>
        <v/>
      </c>
      <c r="G470" s="38" t="str">
        <f t="shared" si="92"/>
        <v/>
      </c>
      <c r="H470" s="38" t="str">
        <f t="shared" si="93"/>
        <v/>
      </c>
      <c r="L470" t="str">
        <f t="shared" si="94"/>
        <v/>
      </c>
      <c r="M470" s="38" t="str">
        <f t="shared" si="84"/>
        <v/>
      </c>
      <c r="N470" s="38" t="str">
        <f t="shared" si="95"/>
        <v/>
      </c>
      <c r="O470" s="38" t="str">
        <f t="shared" si="96"/>
        <v/>
      </c>
      <c r="P470" s="38" t="str">
        <f t="shared" si="85"/>
        <v/>
      </c>
      <c r="Q470" s="38" t="str">
        <f t="shared" si="86"/>
        <v/>
      </c>
      <c r="R470" s="38"/>
    </row>
    <row r="471" spans="1:18" x14ac:dyDescent="0.2">
      <c r="A471" t="str">
        <f t="shared" si="87"/>
        <v/>
      </c>
      <c r="B471" s="38" t="str">
        <f t="shared" si="88"/>
        <v/>
      </c>
      <c r="C471" s="38" t="str">
        <f t="shared" si="97"/>
        <v/>
      </c>
      <c r="D471" s="38" t="str">
        <f t="shared" si="89"/>
        <v/>
      </c>
      <c r="E471" s="38" t="str">
        <f t="shared" si="90"/>
        <v/>
      </c>
      <c r="F471" s="38" t="str">
        <f t="shared" si="91"/>
        <v/>
      </c>
      <c r="G471" s="38" t="str">
        <f t="shared" si="92"/>
        <v/>
      </c>
      <c r="H471" s="38" t="str">
        <f t="shared" si="93"/>
        <v/>
      </c>
      <c r="L471" t="str">
        <f t="shared" si="94"/>
        <v/>
      </c>
      <c r="M471" s="38" t="str">
        <f t="shared" si="84"/>
        <v/>
      </c>
      <c r="N471" s="38" t="str">
        <f t="shared" si="95"/>
        <v/>
      </c>
      <c r="O471" s="38" t="str">
        <f t="shared" si="96"/>
        <v/>
      </c>
      <c r="P471" s="38" t="str">
        <f t="shared" si="85"/>
        <v/>
      </c>
      <c r="Q471" s="38" t="str">
        <f t="shared" si="86"/>
        <v/>
      </c>
      <c r="R471" s="38"/>
    </row>
    <row r="472" spans="1:18" x14ac:dyDescent="0.2">
      <c r="A472" t="str">
        <f t="shared" si="87"/>
        <v/>
      </c>
      <c r="B472" s="38" t="str">
        <f t="shared" si="88"/>
        <v/>
      </c>
      <c r="C472" s="38" t="str">
        <f t="shared" si="97"/>
        <v/>
      </c>
      <c r="D472" s="38" t="str">
        <f t="shared" si="89"/>
        <v/>
      </c>
      <c r="E472" s="38" t="str">
        <f t="shared" si="90"/>
        <v/>
      </c>
      <c r="F472" s="38" t="str">
        <f t="shared" si="91"/>
        <v/>
      </c>
      <c r="G472" s="38" t="str">
        <f t="shared" si="92"/>
        <v/>
      </c>
      <c r="H472" s="38" t="str">
        <f t="shared" si="93"/>
        <v/>
      </c>
      <c r="L472" t="str">
        <f t="shared" si="94"/>
        <v/>
      </c>
      <c r="M472" s="38" t="str">
        <f t="shared" si="84"/>
        <v/>
      </c>
      <c r="N472" s="38" t="str">
        <f t="shared" si="95"/>
        <v/>
      </c>
      <c r="O472" s="38" t="str">
        <f t="shared" si="96"/>
        <v/>
      </c>
      <c r="P472" s="38" t="str">
        <f t="shared" si="85"/>
        <v/>
      </c>
      <c r="Q472" s="38" t="str">
        <f t="shared" si="86"/>
        <v/>
      </c>
      <c r="R472" s="38"/>
    </row>
    <row r="473" spans="1:18" x14ac:dyDescent="0.2">
      <c r="A473" t="str">
        <f t="shared" si="87"/>
        <v/>
      </c>
      <c r="B473" s="38" t="str">
        <f t="shared" si="88"/>
        <v/>
      </c>
      <c r="C473" s="38" t="str">
        <f t="shared" si="97"/>
        <v/>
      </c>
      <c r="D473" s="38" t="str">
        <f t="shared" si="89"/>
        <v/>
      </c>
      <c r="E473" s="38" t="str">
        <f t="shared" si="90"/>
        <v/>
      </c>
      <c r="F473" s="38" t="str">
        <f t="shared" si="91"/>
        <v/>
      </c>
      <c r="G473" s="38" t="str">
        <f t="shared" si="92"/>
        <v/>
      </c>
      <c r="H473" s="38" t="str">
        <f t="shared" si="93"/>
        <v/>
      </c>
      <c r="L473" t="str">
        <f t="shared" si="94"/>
        <v/>
      </c>
      <c r="M473" s="38" t="str">
        <f t="shared" si="84"/>
        <v/>
      </c>
      <c r="N473" s="38" t="str">
        <f t="shared" si="95"/>
        <v/>
      </c>
      <c r="O473" s="38" t="str">
        <f t="shared" si="96"/>
        <v/>
      </c>
      <c r="P473" s="38" t="str">
        <f t="shared" si="85"/>
        <v/>
      </c>
      <c r="Q473" s="38" t="str">
        <f t="shared" si="86"/>
        <v/>
      </c>
      <c r="R473" s="38"/>
    </row>
    <row r="474" spans="1:18" x14ac:dyDescent="0.2">
      <c r="A474" t="str">
        <f t="shared" si="87"/>
        <v/>
      </c>
      <c r="B474" s="38" t="str">
        <f t="shared" si="88"/>
        <v/>
      </c>
      <c r="C474" s="38" t="str">
        <f t="shared" si="97"/>
        <v/>
      </c>
      <c r="D474" s="38" t="str">
        <f t="shared" si="89"/>
        <v/>
      </c>
      <c r="E474" s="38" t="str">
        <f t="shared" si="90"/>
        <v/>
      </c>
      <c r="F474" s="38" t="str">
        <f t="shared" si="91"/>
        <v/>
      </c>
      <c r="G474" s="38" t="str">
        <f t="shared" si="92"/>
        <v/>
      </c>
      <c r="H474" s="38" t="str">
        <f t="shared" si="93"/>
        <v/>
      </c>
      <c r="L474" t="str">
        <f t="shared" si="94"/>
        <v/>
      </c>
      <c r="M474" s="38" t="str">
        <f t="shared" si="84"/>
        <v/>
      </c>
      <c r="N474" s="38" t="str">
        <f t="shared" si="95"/>
        <v/>
      </c>
      <c r="O474" s="38" t="str">
        <f t="shared" si="96"/>
        <v/>
      </c>
      <c r="P474" s="38" t="str">
        <f t="shared" si="85"/>
        <v/>
      </c>
      <c r="Q474" s="38" t="str">
        <f t="shared" si="86"/>
        <v/>
      </c>
      <c r="R474" s="38"/>
    </row>
    <row r="475" spans="1:18" x14ac:dyDescent="0.2">
      <c r="A475" t="str">
        <f t="shared" si="87"/>
        <v/>
      </c>
      <c r="B475" s="38" t="str">
        <f t="shared" si="88"/>
        <v/>
      </c>
      <c r="C475" s="38" t="str">
        <f t="shared" si="97"/>
        <v/>
      </c>
      <c r="D475" s="38" t="str">
        <f t="shared" si="89"/>
        <v/>
      </c>
      <c r="E475" s="38" t="str">
        <f t="shared" si="90"/>
        <v/>
      </c>
      <c r="F475" s="38" t="str">
        <f t="shared" si="91"/>
        <v/>
      </c>
      <c r="G475" s="38" t="str">
        <f t="shared" si="92"/>
        <v/>
      </c>
      <c r="H475" s="38" t="str">
        <f t="shared" si="93"/>
        <v/>
      </c>
      <c r="L475" t="str">
        <f t="shared" si="94"/>
        <v/>
      </c>
      <c r="M475" s="38" t="str">
        <f t="shared" si="84"/>
        <v/>
      </c>
      <c r="N475" s="38" t="str">
        <f t="shared" si="95"/>
        <v/>
      </c>
      <c r="O475" s="38" t="str">
        <f t="shared" si="96"/>
        <v/>
      </c>
      <c r="P475" s="38" t="str">
        <f t="shared" si="85"/>
        <v/>
      </c>
      <c r="Q475" s="38" t="str">
        <f t="shared" si="86"/>
        <v/>
      </c>
      <c r="R475" s="38"/>
    </row>
    <row r="476" spans="1:18" x14ac:dyDescent="0.2">
      <c r="A476" t="str">
        <f t="shared" si="87"/>
        <v/>
      </c>
      <c r="B476" s="38" t="str">
        <f t="shared" si="88"/>
        <v/>
      </c>
      <c r="C476" s="38" t="str">
        <f t="shared" si="97"/>
        <v/>
      </c>
      <c r="D476" s="38" t="str">
        <f t="shared" si="89"/>
        <v/>
      </c>
      <c r="E476" s="38" t="str">
        <f t="shared" si="90"/>
        <v/>
      </c>
      <c r="F476" s="38" t="str">
        <f t="shared" si="91"/>
        <v/>
      </c>
      <c r="G476" s="38" t="str">
        <f t="shared" si="92"/>
        <v/>
      </c>
      <c r="H476" s="38" t="str">
        <f t="shared" si="93"/>
        <v/>
      </c>
      <c r="L476" t="str">
        <f t="shared" si="94"/>
        <v/>
      </c>
      <c r="M476" s="38" t="str">
        <f t="shared" si="84"/>
        <v/>
      </c>
      <c r="N476" s="38" t="str">
        <f t="shared" si="95"/>
        <v/>
      </c>
      <c r="O476" s="38" t="str">
        <f t="shared" si="96"/>
        <v/>
      </c>
      <c r="P476" s="38" t="str">
        <f t="shared" si="85"/>
        <v/>
      </c>
      <c r="Q476" s="38" t="str">
        <f t="shared" si="86"/>
        <v/>
      </c>
      <c r="R476" s="38"/>
    </row>
    <row r="477" spans="1:18" x14ac:dyDescent="0.2">
      <c r="A477" t="str">
        <f t="shared" si="87"/>
        <v/>
      </c>
      <c r="B477" s="38" t="str">
        <f t="shared" si="88"/>
        <v/>
      </c>
      <c r="C477" s="38" t="str">
        <f t="shared" si="97"/>
        <v/>
      </c>
      <c r="D477" s="38" t="str">
        <f t="shared" si="89"/>
        <v/>
      </c>
      <c r="E477" s="38" t="str">
        <f t="shared" si="90"/>
        <v/>
      </c>
      <c r="F477" s="38" t="str">
        <f t="shared" si="91"/>
        <v/>
      </c>
      <c r="G477" s="38" t="str">
        <f t="shared" si="92"/>
        <v/>
      </c>
      <c r="H477" s="38" t="str">
        <f t="shared" si="93"/>
        <v/>
      </c>
      <c r="L477" t="str">
        <f t="shared" si="94"/>
        <v/>
      </c>
      <c r="M477" s="38" t="str">
        <f t="shared" si="84"/>
        <v/>
      </c>
      <c r="N477" s="38" t="str">
        <f t="shared" si="95"/>
        <v/>
      </c>
      <c r="O477" s="38" t="str">
        <f t="shared" si="96"/>
        <v/>
      </c>
      <c r="P477" s="38" t="str">
        <f t="shared" si="85"/>
        <v/>
      </c>
      <c r="Q477" s="38" t="str">
        <f t="shared" si="86"/>
        <v/>
      </c>
      <c r="R477" s="38"/>
    </row>
    <row r="478" spans="1:18" x14ac:dyDescent="0.2">
      <c r="A478" t="str">
        <f t="shared" si="87"/>
        <v/>
      </c>
      <c r="B478" s="38" t="str">
        <f t="shared" si="88"/>
        <v/>
      </c>
      <c r="C478" s="38" t="str">
        <f t="shared" si="97"/>
        <v/>
      </c>
      <c r="D478" s="38" t="str">
        <f t="shared" si="89"/>
        <v/>
      </c>
      <c r="E478" s="38" t="str">
        <f t="shared" si="90"/>
        <v/>
      </c>
      <c r="F478" s="38" t="str">
        <f t="shared" si="91"/>
        <v/>
      </c>
      <c r="G478" s="38" t="str">
        <f t="shared" si="92"/>
        <v/>
      </c>
      <c r="H478" s="38" t="str">
        <f t="shared" si="93"/>
        <v/>
      </c>
      <c r="L478" t="str">
        <f t="shared" si="94"/>
        <v/>
      </c>
      <c r="M478" s="38" t="str">
        <f t="shared" si="84"/>
        <v/>
      </c>
      <c r="N478" s="38" t="str">
        <f t="shared" si="95"/>
        <v/>
      </c>
      <c r="O478" s="38" t="str">
        <f t="shared" si="96"/>
        <v/>
      </c>
      <c r="P478" s="38" t="str">
        <f t="shared" si="85"/>
        <v/>
      </c>
      <c r="Q478" s="38" t="str">
        <f t="shared" si="86"/>
        <v/>
      </c>
      <c r="R478" s="38"/>
    </row>
    <row r="479" spans="1:18" x14ac:dyDescent="0.2">
      <c r="A479" t="str">
        <f t="shared" si="87"/>
        <v/>
      </c>
      <c r="B479" s="38" t="str">
        <f t="shared" si="88"/>
        <v/>
      </c>
      <c r="C479" s="38" t="str">
        <f t="shared" si="97"/>
        <v/>
      </c>
      <c r="D479" s="38" t="str">
        <f t="shared" si="89"/>
        <v/>
      </c>
      <c r="E479" s="38" t="str">
        <f t="shared" si="90"/>
        <v/>
      </c>
      <c r="F479" s="38" t="str">
        <f t="shared" si="91"/>
        <v/>
      </c>
      <c r="G479" s="38" t="str">
        <f t="shared" si="92"/>
        <v/>
      </c>
      <c r="H479" s="38" t="str">
        <f t="shared" si="93"/>
        <v/>
      </c>
      <c r="L479" t="str">
        <f t="shared" si="94"/>
        <v/>
      </c>
      <c r="M479" s="38" t="str">
        <f t="shared" si="84"/>
        <v/>
      </c>
      <c r="N479" s="38" t="str">
        <f t="shared" si="95"/>
        <v/>
      </c>
      <c r="O479" s="38" t="str">
        <f t="shared" si="96"/>
        <v/>
      </c>
      <c r="P479" s="38" t="str">
        <f t="shared" si="85"/>
        <v/>
      </c>
      <c r="Q479" s="38" t="str">
        <f t="shared" si="86"/>
        <v/>
      </c>
      <c r="R479" s="38"/>
    </row>
    <row r="480" spans="1:18" x14ac:dyDescent="0.2">
      <c r="A480" t="str">
        <f t="shared" si="87"/>
        <v/>
      </c>
      <c r="B480" s="38" t="str">
        <f t="shared" si="88"/>
        <v/>
      </c>
      <c r="C480" s="38" t="str">
        <f t="shared" si="97"/>
        <v/>
      </c>
      <c r="D480" s="38" t="str">
        <f t="shared" si="89"/>
        <v/>
      </c>
      <c r="E480" s="38" t="str">
        <f t="shared" si="90"/>
        <v/>
      </c>
      <c r="F480" s="38" t="str">
        <f t="shared" si="91"/>
        <v/>
      </c>
      <c r="G480" s="38" t="str">
        <f t="shared" si="92"/>
        <v/>
      </c>
      <c r="H480" s="38" t="str">
        <f t="shared" si="93"/>
        <v/>
      </c>
      <c r="L480" t="str">
        <f t="shared" si="94"/>
        <v/>
      </c>
      <c r="M480" s="38" t="str">
        <f t="shared" si="84"/>
        <v/>
      </c>
      <c r="N480" s="38" t="str">
        <f t="shared" si="95"/>
        <v/>
      </c>
      <c r="O480" s="38" t="str">
        <f t="shared" si="96"/>
        <v/>
      </c>
      <c r="P480" s="38" t="str">
        <f t="shared" si="85"/>
        <v/>
      </c>
      <c r="Q480" s="38" t="str">
        <f t="shared" si="86"/>
        <v/>
      </c>
      <c r="R480" s="38"/>
    </row>
    <row r="481" spans="1:18" x14ac:dyDescent="0.2">
      <c r="A481" t="str">
        <f t="shared" si="87"/>
        <v/>
      </c>
      <c r="B481" s="38" t="str">
        <f t="shared" si="88"/>
        <v/>
      </c>
      <c r="C481" s="38" t="str">
        <f t="shared" si="97"/>
        <v/>
      </c>
      <c r="D481" s="38" t="str">
        <f t="shared" si="89"/>
        <v/>
      </c>
      <c r="E481" s="38" t="str">
        <f t="shared" si="90"/>
        <v/>
      </c>
      <c r="F481" s="38" t="str">
        <f t="shared" si="91"/>
        <v/>
      </c>
      <c r="G481" s="38" t="str">
        <f t="shared" si="92"/>
        <v/>
      </c>
      <c r="H481" s="38" t="str">
        <f t="shared" si="93"/>
        <v/>
      </c>
      <c r="L481" t="str">
        <f t="shared" si="94"/>
        <v/>
      </c>
      <c r="M481" s="38" t="str">
        <f t="shared" ref="M481:M544" si="98">IF(L481="","",P480)</f>
        <v/>
      </c>
      <c r="N481" s="38" t="str">
        <f t="shared" si="95"/>
        <v/>
      </c>
      <c r="O481" s="38" t="str">
        <f t="shared" si="96"/>
        <v/>
      </c>
      <c r="P481" s="38" t="str">
        <f t="shared" ref="P481:P544" si="99">IF(L481="","", M481+N481+O481)</f>
        <v/>
      </c>
      <c r="Q481" s="38" t="str">
        <f t="shared" ref="Q481:Q544" si="100">IF(L481="","", (Q480+N481))</f>
        <v/>
      </c>
      <c r="R481" s="38"/>
    </row>
    <row r="482" spans="1:18" x14ac:dyDescent="0.2">
      <c r="A482" t="str">
        <f t="shared" ref="A482:A545" si="101">IF(A481&lt;($B$22*$B$23),A481+1,"")</f>
        <v/>
      </c>
      <c r="B482" s="38" t="str">
        <f t="shared" ref="B482:B545" si="102">IF(A482="","",F481)</f>
        <v/>
      </c>
      <c r="C482" s="38" t="str">
        <f t="shared" si="97"/>
        <v/>
      </c>
      <c r="D482" s="38" t="str">
        <f t="shared" ref="D482:D545" si="103">IF(A482="","", D481*(1+$B$21))</f>
        <v/>
      </c>
      <c r="E482" s="38" t="str">
        <f t="shared" ref="E482:E545" si="104">IF(D482="","",(D482-C482))</f>
        <v/>
      </c>
      <c r="F482" s="38" t="str">
        <f t="shared" ref="F482:F545" si="105">IF(A482="","", B482-E482)</f>
        <v/>
      </c>
      <c r="G482" s="38" t="str">
        <f t="shared" ref="G482:G545" si="106">IF(A482="","", (G481+C482))</f>
        <v/>
      </c>
      <c r="H482" s="38" t="str">
        <f t="shared" ref="H482:H545" si="107">IF(A482="","",(H481+E482))</f>
        <v/>
      </c>
      <c r="L482" t="str">
        <f t="shared" ref="L482:L545" si="108">IF(L481&lt;($B$8*$B$9),L481+1,"")</f>
        <v/>
      </c>
      <c r="M482" s="38" t="str">
        <f t="shared" si="98"/>
        <v/>
      </c>
      <c r="N482" s="38" t="str">
        <f t="shared" ref="N482:N545" si="109">IF(L482="","",(M482 *$B$6))</f>
        <v/>
      </c>
      <c r="O482" s="38" t="str">
        <f t="shared" ref="O482:O545" si="110">IF(L482="","",O481*(1+$B$7))</f>
        <v/>
      </c>
      <c r="P482" s="38" t="str">
        <f t="shared" si="99"/>
        <v/>
      </c>
      <c r="Q482" s="38" t="str">
        <f t="shared" si="100"/>
        <v/>
      </c>
      <c r="R482" s="38"/>
    </row>
    <row r="483" spans="1:18" x14ac:dyDescent="0.2">
      <c r="A483" t="str">
        <f t="shared" si="101"/>
        <v/>
      </c>
      <c r="B483" s="38" t="str">
        <f t="shared" si="102"/>
        <v/>
      </c>
      <c r="C483" s="38" t="str">
        <f t="shared" ref="C483:C546" si="111">IF(A483="","",(B483*$B$20))</f>
        <v/>
      </c>
      <c r="D483" s="38" t="str">
        <f t="shared" si="103"/>
        <v/>
      </c>
      <c r="E483" s="38" t="str">
        <f t="shared" si="104"/>
        <v/>
      </c>
      <c r="F483" s="38" t="str">
        <f t="shared" si="105"/>
        <v/>
      </c>
      <c r="G483" s="38" t="str">
        <f t="shared" si="106"/>
        <v/>
      </c>
      <c r="H483" s="38" t="str">
        <f t="shared" si="107"/>
        <v/>
      </c>
      <c r="L483" t="str">
        <f t="shared" si="108"/>
        <v/>
      </c>
      <c r="M483" s="38" t="str">
        <f t="shared" si="98"/>
        <v/>
      </c>
      <c r="N483" s="38" t="str">
        <f t="shared" si="109"/>
        <v/>
      </c>
      <c r="O483" s="38" t="str">
        <f t="shared" si="110"/>
        <v/>
      </c>
      <c r="P483" s="38" t="str">
        <f t="shared" si="99"/>
        <v/>
      </c>
      <c r="Q483" s="38" t="str">
        <f t="shared" si="100"/>
        <v/>
      </c>
      <c r="R483" s="38"/>
    </row>
    <row r="484" spans="1:18" x14ac:dyDescent="0.2">
      <c r="A484" t="str">
        <f t="shared" si="101"/>
        <v/>
      </c>
      <c r="B484" s="38" t="str">
        <f t="shared" si="102"/>
        <v/>
      </c>
      <c r="C484" s="38" t="str">
        <f t="shared" si="111"/>
        <v/>
      </c>
      <c r="D484" s="38" t="str">
        <f t="shared" si="103"/>
        <v/>
      </c>
      <c r="E484" s="38" t="str">
        <f t="shared" si="104"/>
        <v/>
      </c>
      <c r="F484" s="38" t="str">
        <f t="shared" si="105"/>
        <v/>
      </c>
      <c r="G484" s="38" t="str">
        <f t="shared" si="106"/>
        <v/>
      </c>
      <c r="H484" s="38" t="str">
        <f t="shared" si="107"/>
        <v/>
      </c>
      <c r="L484" t="str">
        <f t="shared" si="108"/>
        <v/>
      </c>
      <c r="M484" s="38" t="str">
        <f t="shared" si="98"/>
        <v/>
      </c>
      <c r="N484" s="38" t="str">
        <f t="shared" si="109"/>
        <v/>
      </c>
      <c r="O484" s="38" t="str">
        <f t="shared" si="110"/>
        <v/>
      </c>
      <c r="P484" s="38" t="str">
        <f t="shared" si="99"/>
        <v/>
      </c>
      <c r="Q484" s="38" t="str">
        <f t="shared" si="100"/>
        <v/>
      </c>
      <c r="R484" s="38"/>
    </row>
    <row r="485" spans="1:18" x14ac:dyDescent="0.2">
      <c r="A485" t="str">
        <f t="shared" si="101"/>
        <v/>
      </c>
      <c r="B485" s="38" t="str">
        <f t="shared" si="102"/>
        <v/>
      </c>
      <c r="C485" s="38" t="str">
        <f t="shared" si="111"/>
        <v/>
      </c>
      <c r="D485" s="38" t="str">
        <f t="shared" si="103"/>
        <v/>
      </c>
      <c r="E485" s="38" t="str">
        <f t="shared" si="104"/>
        <v/>
      </c>
      <c r="F485" s="38" t="str">
        <f t="shared" si="105"/>
        <v/>
      </c>
      <c r="G485" s="38" t="str">
        <f t="shared" si="106"/>
        <v/>
      </c>
      <c r="H485" s="38" t="str">
        <f t="shared" si="107"/>
        <v/>
      </c>
      <c r="L485" t="str">
        <f t="shared" si="108"/>
        <v/>
      </c>
      <c r="M485" s="38" t="str">
        <f t="shared" si="98"/>
        <v/>
      </c>
      <c r="N485" s="38" t="str">
        <f t="shared" si="109"/>
        <v/>
      </c>
      <c r="O485" s="38" t="str">
        <f t="shared" si="110"/>
        <v/>
      </c>
      <c r="P485" s="38" t="str">
        <f t="shared" si="99"/>
        <v/>
      </c>
      <c r="Q485" s="38" t="str">
        <f t="shared" si="100"/>
        <v/>
      </c>
      <c r="R485" s="38"/>
    </row>
    <row r="486" spans="1:18" x14ac:dyDescent="0.2">
      <c r="A486" t="str">
        <f t="shared" si="101"/>
        <v/>
      </c>
      <c r="B486" s="38" t="str">
        <f t="shared" si="102"/>
        <v/>
      </c>
      <c r="C486" s="38" t="str">
        <f t="shared" si="111"/>
        <v/>
      </c>
      <c r="D486" s="38" t="str">
        <f t="shared" si="103"/>
        <v/>
      </c>
      <c r="E486" s="38" t="str">
        <f t="shared" si="104"/>
        <v/>
      </c>
      <c r="F486" s="38" t="str">
        <f t="shared" si="105"/>
        <v/>
      </c>
      <c r="G486" s="38" t="str">
        <f t="shared" si="106"/>
        <v/>
      </c>
      <c r="H486" s="38" t="str">
        <f t="shared" si="107"/>
        <v/>
      </c>
      <c r="L486" t="str">
        <f t="shared" si="108"/>
        <v/>
      </c>
      <c r="M486" s="38" t="str">
        <f t="shared" si="98"/>
        <v/>
      </c>
      <c r="N486" s="38" t="str">
        <f t="shared" si="109"/>
        <v/>
      </c>
      <c r="O486" s="38" t="str">
        <f t="shared" si="110"/>
        <v/>
      </c>
      <c r="P486" s="38" t="str">
        <f t="shared" si="99"/>
        <v/>
      </c>
      <c r="Q486" s="38" t="str">
        <f t="shared" si="100"/>
        <v/>
      </c>
      <c r="R486" s="38"/>
    </row>
    <row r="487" spans="1:18" x14ac:dyDescent="0.2">
      <c r="A487" t="str">
        <f t="shared" si="101"/>
        <v/>
      </c>
      <c r="B487" s="38" t="str">
        <f t="shared" si="102"/>
        <v/>
      </c>
      <c r="C487" s="38" t="str">
        <f t="shared" si="111"/>
        <v/>
      </c>
      <c r="D487" s="38" t="str">
        <f t="shared" si="103"/>
        <v/>
      </c>
      <c r="E487" s="38" t="str">
        <f t="shared" si="104"/>
        <v/>
      </c>
      <c r="F487" s="38" t="str">
        <f t="shared" si="105"/>
        <v/>
      </c>
      <c r="G487" s="38" t="str">
        <f t="shared" si="106"/>
        <v/>
      </c>
      <c r="H487" s="38" t="str">
        <f t="shared" si="107"/>
        <v/>
      </c>
      <c r="L487" t="str">
        <f t="shared" si="108"/>
        <v/>
      </c>
      <c r="M487" s="38" t="str">
        <f t="shared" si="98"/>
        <v/>
      </c>
      <c r="N487" s="38" t="str">
        <f t="shared" si="109"/>
        <v/>
      </c>
      <c r="O487" s="38" t="str">
        <f t="shared" si="110"/>
        <v/>
      </c>
      <c r="P487" s="38" t="str">
        <f t="shared" si="99"/>
        <v/>
      </c>
      <c r="Q487" s="38" t="str">
        <f t="shared" si="100"/>
        <v/>
      </c>
      <c r="R487" s="38"/>
    </row>
    <row r="488" spans="1:18" x14ac:dyDescent="0.2">
      <c r="A488" t="str">
        <f t="shared" si="101"/>
        <v/>
      </c>
      <c r="B488" s="38" t="str">
        <f t="shared" si="102"/>
        <v/>
      </c>
      <c r="C488" s="38" t="str">
        <f t="shared" si="111"/>
        <v/>
      </c>
      <c r="D488" s="38" t="str">
        <f t="shared" si="103"/>
        <v/>
      </c>
      <c r="E488" s="38" t="str">
        <f t="shared" si="104"/>
        <v/>
      </c>
      <c r="F488" s="38" t="str">
        <f t="shared" si="105"/>
        <v/>
      </c>
      <c r="G488" s="38" t="str">
        <f t="shared" si="106"/>
        <v/>
      </c>
      <c r="H488" s="38" t="str">
        <f t="shared" si="107"/>
        <v/>
      </c>
      <c r="L488" t="str">
        <f t="shared" si="108"/>
        <v/>
      </c>
      <c r="M488" s="38" t="str">
        <f t="shared" si="98"/>
        <v/>
      </c>
      <c r="N488" s="38" t="str">
        <f t="shared" si="109"/>
        <v/>
      </c>
      <c r="O488" s="38" t="str">
        <f t="shared" si="110"/>
        <v/>
      </c>
      <c r="P488" s="38" t="str">
        <f t="shared" si="99"/>
        <v/>
      </c>
      <c r="Q488" s="38" t="str">
        <f t="shared" si="100"/>
        <v/>
      </c>
      <c r="R488" s="38"/>
    </row>
    <row r="489" spans="1:18" x14ac:dyDescent="0.2">
      <c r="A489" t="str">
        <f t="shared" si="101"/>
        <v/>
      </c>
      <c r="B489" s="38" t="str">
        <f t="shared" si="102"/>
        <v/>
      </c>
      <c r="C489" s="38" t="str">
        <f t="shared" si="111"/>
        <v/>
      </c>
      <c r="D489" s="38" t="str">
        <f t="shared" si="103"/>
        <v/>
      </c>
      <c r="E489" s="38" t="str">
        <f t="shared" si="104"/>
        <v/>
      </c>
      <c r="F489" s="38" t="str">
        <f t="shared" si="105"/>
        <v/>
      </c>
      <c r="G489" s="38" t="str">
        <f t="shared" si="106"/>
        <v/>
      </c>
      <c r="H489" s="38" t="str">
        <f t="shared" si="107"/>
        <v/>
      </c>
      <c r="L489" t="str">
        <f t="shared" si="108"/>
        <v/>
      </c>
      <c r="M489" s="38" t="str">
        <f t="shared" si="98"/>
        <v/>
      </c>
      <c r="N489" s="38" t="str">
        <f t="shared" si="109"/>
        <v/>
      </c>
      <c r="O489" s="38" t="str">
        <f t="shared" si="110"/>
        <v/>
      </c>
      <c r="P489" s="38" t="str">
        <f t="shared" si="99"/>
        <v/>
      </c>
      <c r="Q489" s="38" t="str">
        <f t="shared" si="100"/>
        <v/>
      </c>
      <c r="R489" s="38"/>
    </row>
    <row r="490" spans="1:18" x14ac:dyDescent="0.2">
      <c r="A490" t="str">
        <f t="shared" si="101"/>
        <v/>
      </c>
      <c r="B490" s="38" t="str">
        <f t="shared" si="102"/>
        <v/>
      </c>
      <c r="C490" s="38" t="str">
        <f t="shared" si="111"/>
        <v/>
      </c>
      <c r="D490" s="38" t="str">
        <f t="shared" si="103"/>
        <v/>
      </c>
      <c r="E490" s="38" t="str">
        <f t="shared" si="104"/>
        <v/>
      </c>
      <c r="F490" s="38" t="str">
        <f t="shared" si="105"/>
        <v/>
      </c>
      <c r="G490" s="38" t="str">
        <f t="shared" si="106"/>
        <v/>
      </c>
      <c r="H490" s="38" t="str">
        <f t="shared" si="107"/>
        <v/>
      </c>
      <c r="L490" t="str">
        <f t="shared" si="108"/>
        <v/>
      </c>
      <c r="M490" s="38" t="str">
        <f t="shared" si="98"/>
        <v/>
      </c>
      <c r="N490" s="38" t="str">
        <f t="shared" si="109"/>
        <v/>
      </c>
      <c r="O490" s="38" t="str">
        <f t="shared" si="110"/>
        <v/>
      </c>
      <c r="P490" s="38" t="str">
        <f t="shared" si="99"/>
        <v/>
      </c>
      <c r="Q490" s="38" t="str">
        <f t="shared" si="100"/>
        <v/>
      </c>
      <c r="R490" s="38"/>
    </row>
    <row r="491" spans="1:18" x14ac:dyDescent="0.2">
      <c r="A491" t="str">
        <f t="shared" si="101"/>
        <v/>
      </c>
      <c r="B491" s="38" t="str">
        <f t="shared" si="102"/>
        <v/>
      </c>
      <c r="C491" s="38" t="str">
        <f t="shared" si="111"/>
        <v/>
      </c>
      <c r="D491" s="38" t="str">
        <f t="shared" si="103"/>
        <v/>
      </c>
      <c r="E491" s="38" t="str">
        <f t="shared" si="104"/>
        <v/>
      </c>
      <c r="F491" s="38" t="str">
        <f t="shared" si="105"/>
        <v/>
      </c>
      <c r="G491" s="38" t="str">
        <f t="shared" si="106"/>
        <v/>
      </c>
      <c r="H491" s="38" t="str">
        <f t="shared" si="107"/>
        <v/>
      </c>
      <c r="L491" t="str">
        <f t="shared" si="108"/>
        <v/>
      </c>
      <c r="M491" s="38" t="str">
        <f t="shared" si="98"/>
        <v/>
      </c>
      <c r="N491" s="38" t="str">
        <f t="shared" si="109"/>
        <v/>
      </c>
      <c r="O491" s="38" t="str">
        <f t="shared" si="110"/>
        <v/>
      </c>
      <c r="P491" s="38" t="str">
        <f t="shared" si="99"/>
        <v/>
      </c>
      <c r="Q491" s="38" t="str">
        <f t="shared" si="100"/>
        <v/>
      </c>
      <c r="R491" s="38"/>
    </row>
    <row r="492" spans="1:18" x14ac:dyDescent="0.2">
      <c r="A492" t="str">
        <f t="shared" si="101"/>
        <v/>
      </c>
      <c r="B492" s="38" t="str">
        <f t="shared" si="102"/>
        <v/>
      </c>
      <c r="C492" s="38" t="str">
        <f t="shared" si="111"/>
        <v/>
      </c>
      <c r="D492" s="38" t="str">
        <f t="shared" si="103"/>
        <v/>
      </c>
      <c r="E492" s="38" t="str">
        <f t="shared" si="104"/>
        <v/>
      </c>
      <c r="F492" s="38" t="str">
        <f t="shared" si="105"/>
        <v/>
      </c>
      <c r="G492" s="38" t="str">
        <f t="shared" si="106"/>
        <v/>
      </c>
      <c r="H492" s="38" t="str">
        <f t="shared" si="107"/>
        <v/>
      </c>
      <c r="L492" t="str">
        <f t="shared" si="108"/>
        <v/>
      </c>
      <c r="M492" s="38" t="str">
        <f t="shared" si="98"/>
        <v/>
      </c>
      <c r="N492" s="38" t="str">
        <f t="shared" si="109"/>
        <v/>
      </c>
      <c r="O492" s="38" t="str">
        <f t="shared" si="110"/>
        <v/>
      </c>
      <c r="P492" s="38" t="str">
        <f t="shared" si="99"/>
        <v/>
      </c>
      <c r="Q492" s="38" t="str">
        <f t="shared" si="100"/>
        <v/>
      </c>
      <c r="R492" s="38"/>
    </row>
    <row r="493" spans="1:18" x14ac:dyDescent="0.2">
      <c r="A493" t="str">
        <f t="shared" si="101"/>
        <v/>
      </c>
      <c r="B493" s="38" t="str">
        <f t="shared" si="102"/>
        <v/>
      </c>
      <c r="C493" s="38" t="str">
        <f t="shared" si="111"/>
        <v/>
      </c>
      <c r="D493" s="38" t="str">
        <f t="shared" si="103"/>
        <v/>
      </c>
      <c r="E493" s="38" t="str">
        <f t="shared" si="104"/>
        <v/>
      </c>
      <c r="F493" s="38" t="str">
        <f t="shared" si="105"/>
        <v/>
      </c>
      <c r="G493" s="38" t="str">
        <f t="shared" si="106"/>
        <v/>
      </c>
      <c r="H493" s="38" t="str">
        <f t="shared" si="107"/>
        <v/>
      </c>
      <c r="L493" t="str">
        <f t="shared" si="108"/>
        <v/>
      </c>
      <c r="M493" s="38" t="str">
        <f t="shared" si="98"/>
        <v/>
      </c>
      <c r="N493" s="38" t="str">
        <f t="shared" si="109"/>
        <v/>
      </c>
      <c r="O493" s="38" t="str">
        <f t="shared" si="110"/>
        <v/>
      </c>
      <c r="P493" s="38" t="str">
        <f t="shared" si="99"/>
        <v/>
      </c>
      <c r="Q493" s="38" t="str">
        <f t="shared" si="100"/>
        <v/>
      </c>
      <c r="R493" s="38"/>
    </row>
    <row r="494" spans="1:18" x14ac:dyDescent="0.2">
      <c r="A494" t="str">
        <f t="shared" si="101"/>
        <v/>
      </c>
      <c r="B494" s="38" t="str">
        <f t="shared" si="102"/>
        <v/>
      </c>
      <c r="C494" s="38" t="str">
        <f t="shared" si="111"/>
        <v/>
      </c>
      <c r="D494" s="38" t="str">
        <f t="shared" si="103"/>
        <v/>
      </c>
      <c r="E494" s="38" t="str">
        <f t="shared" si="104"/>
        <v/>
      </c>
      <c r="F494" s="38" t="str">
        <f t="shared" si="105"/>
        <v/>
      </c>
      <c r="G494" s="38" t="str">
        <f t="shared" si="106"/>
        <v/>
      </c>
      <c r="H494" s="38" t="str">
        <f t="shared" si="107"/>
        <v/>
      </c>
      <c r="L494" t="str">
        <f t="shared" si="108"/>
        <v/>
      </c>
      <c r="M494" s="38" t="str">
        <f t="shared" si="98"/>
        <v/>
      </c>
      <c r="N494" s="38" t="str">
        <f t="shared" si="109"/>
        <v/>
      </c>
      <c r="O494" s="38" t="str">
        <f t="shared" si="110"/>
        <v/>
      </c>
      <c r="P494" s="38" t="str">
        <f t="shared" si="99"/>
        <v/>
      </c>
      <c r="Q494" s="38" t="str">
        <f t="shared" si="100"/>
        <v/>
      </c>
      <c r="R494" s="38"/>
    </row>
    <row r="495" spans="1:18" x14ac:dyDescent="0.2">
      <c r="A495" t="str">
        <f t="shared" si="101"/>
        <v/>
      </c>
      <c r="B495" s="38" t="str">
        <f t="shared" si="102"/>
        <v/>
      </c>
      <c r="C495" s="38" t="str">
        <f t="shared" si="111"/>
        <v/>
      </c>
      <c r="D495" s="38" t="str">
        <f t="shared" si="103"/>
        <v/>
      </c>
      <c r="E495" s="38" t="str">
        <f t="shared" si="104"/>
        <v/>
      </c>
      <c r="F495" s="38" t="str">
        <f t="shared" si="105"/>
        <v/>
      </c>
      <c r="G495" s="38" t="str">
        <f t="shared" si="106"/>
        <v/>
      </c>
      <c r="H495" s="38" t="str">
        <f t="shared" si="107"/>
        <v/>
      </c>
      <c r="L495" t="str">
        <f t="shared" si="108"/>
        <v/>
      </c>
      <c r="M495" s="38" t="str">
        <f t="shared" si="98"/>
        <v/>
      </c>
      <c r="N495" s="38" t="str">
        <f t="shared" si="109"/>
        <v/>
      </c>
      <c r="O495" s="38" t="str">
        <f t="shared" si="110"/>
        <v/>
      </c>
      <c r="P495" s="38" t="str">
        <f t="shared" si="99"/>
        <v/>
      </c>
      <c r="Q495" s="38" t="str">
        <f t="shared" si="100"/>
        <v/>
      </c>
      <c r="R495" s="38"/>
    </row>
    <row r="496" spans="1:18" x14ac:dyDescent="0.2">
      <c r="A496" t="str">
        <f t="shared" si="101"/>
        <v/>
      </c>
      <c r="B496" s="38" t="str">
        <f t="shared" si="102"/>
        <v/>
      </c>
      <c r="C496" s="38" t="str">
        <f t="shared" si="111"/>
        <v/>
      </c>
      <c r="D496" s="38" t="str">
        <f t="shared" si="103"/>
        <v/>
      </c>
      <c r="E496" s="38" t="str">
        <f t="shared" si="104"/>
        <v/>
      </c>
      <c r="F496" s="38" t="str">
        <f t="shared" si="105"/>
        <v/>
      </c>
      <c r="G496" s="38" t="str">
        <f t="shared" si="106"/>
        <v/>
      </c>
      <c r="H496" s="38" t="str">
        <f t="shared" si="107"/>
        <v/>
      </c>
      <c r="L496" t="str">
        <f t="shared" si="108"/>
        <v/>
      </c>
      <c r="M496" s="38" t="str">
        <f t="shared" si="98"/>
        <v/>
      </c>
      <c r="N496" s="38" t="str">
        <f t="shared" si="109"/>
        <v/>
      </c>
      <c r="O496" s="38" t="str">
        <f t="shared" si="110"/>
        <v/>
      </c>
      <c r="P496" s="38" t="str">
        <f t="shared" si="99"/>
        <v/>
      </c>
      <c r="Q496" s="38" t="str">
        <f t="shared" si="100"/>
        <v/>
      </c>
      <c r="R496" s="38"/>
    </row>
    <row r="497" spans="1:18" x14ac:dyDescent="0.2">
      <c r="A497" t="str">
        <f t="shared" si="101"/>
        <v/>
      </c>
      <c r="B497" s="38" t="str">
        <f t="shared" si="102"/>
        <v/>
      </c>
      <c r="C497" s="38" t="str">
        <f t="shared" si="111"/>
        <v/>
      </c>
      <c r="D497" s="38" t="str">
        <f t="shared" si="103"/>
        <v/>
      </c>
      <c r="E497" s="38" t="str">
        <f t="shared" si="104"/>
        <v/>
      </c>
      <c r="F497" s="38" t="str">
        <f t="shared" si="105"/>
        <v/>
      </c>
      <c r="G497" s="38" t="str">
        <f t="shared" si="106"/>
        <v/>
      </c>
      <c r="H497" s="38" t="str">
        <f t="shared" si="107"/>
        <v/>
      </c>
      <c r="L497" t="str">
        <f t="shared" si="108"/>
        <v/>
      </c>
      <c r="M497" s="38" t="str">
        <f t="shared" si="98"/>
        <v/>
      </c>
      <c r="N497" s="38" t="str">
        <f t="shared" si="109"/>
        <v/>
      </c>
      <c r="O497" s="38" t="str">
        <f t="shared" si="110"/>
        <v/>
      </c>
      <c r="P497" s="38" t="str">
        <f t="shared" si="99"/>
        <v/>
      </c>
      <c r="Q497" s="38" t="str">
        <f t="shared" si="100"/>
        <v/>
      </c>
      <c r="R497" s="38"/>
    </row>
    <row r="498" spans="1:18" x14ac:dyDescent="0.2">
      <c r="A498" t="str">
        <f t="shared" si="101"/>
        <v/>
      </c>
      <c r="B498" s="38" t="str">
        <f t="shared" si="102"/>
        <v/>
      </c>
      <c r="C498" s="38" t="str">
        <f t="shared" si="111"/>
        <v/>
      </c>
      <c r="D498" s="38" t="str">
        <f t="shared" si="103"/>
        <v/>
      </c>
      <c r="E498" s="38" t="str">
        <f t="shared" si="104"/>
        <v/>
      </c>
      <c r="F498" s="38" t="str">
        <f t="shared" si="105"/>
        <v/>
      </c>
      <c r="G498" s="38" t="str">
        <f t="shared" si="106"/>
        <v/>
      </c>
      <c r="H498" s="38" t="str">
        <f t="shared" si="107"/>
        <v/>
      </c>
      <c r="L498" t="str">
        <f t="shared" si="108"/>
        <v/>
      </c>
      <c r="M498" s="38" t="str">
        <f t="shared" si="98"/>
        <v/>
      </c>
      <c r="N498" s="38" t="str">
        <f t="shared" si="109"/>
        <v/>
      </c>
      <c r="O498" s="38" t="str">
        <f t="shared" si="110"/>
        <v/>
      </c>
      <c r="P498" s="38" t="str">
        <f t="shared" si="99"/>
        <v/>
      </c>
      <c r="Q498" s="38" t="str">
        <f t="shared" si="100"/>
        <v/>
      </c>
      <c r="R498" s="38"/>
    </row>
    <row r="499" spans="1:18" x14ac:dyDescent="0.2">
      <c r="A499" t="str">
        <f t="shared" si="101"/>
        <v/>
      </c>
      <c r="B499" s="38" t="str">
        <f t="shared" si="102"/>
        <v/>
      </c>
      <c r="C499" s="38" t="str">
        <f t="shared" si="111"/>
        <v/>
      </c>
      <c r="D499" s="38" t="str">
        <f t="shared" si="103"/>
        <v/>
      </c>
      <c r="E499" s="38" t="str">
        <f t="shared" si="104"/>
        <v/>
      </c>
      <c r="F499" s="38" t="str">
        <f t="shared" si="105"/>
        <v/>
      </c>
      <c r="G499" s="38" t="str">
        <f t="shared" si="106"/>
        <v/>
      </c>
      <c r="H499" s="38" t="str">
        <f t="shared" si="107"/>
        <v/>
      </c>
      <c r="L499" t="str">
        <f t="shared" si="108"/>
        <v/>
      </c>
      <c r="M499" s="38" t="str">
        <f t="shared" si="98"/>
        <v/>
      </c>
      <c r="N499" s="38" t="str">
        <f t="shared" si="109"/>
        <v/>
      </c>
      <c r="O499" s="38" t="str">
        <f t="shared" si="110"/>
        <v/>
      </c>
      <c r="P499" s="38" t="str">
        <f t="shared" si="99"/>
        <v/>
      </c>
      <c r="Q499" s="38" t="str">
        <f t="shared" si="100"/>
        <v/>
      </c>
      <c r="R499" s="38"/>
    </row>
    <row r="500" spans="1:18" x14ac:dyDescent="0.2">
      <c r="A500" t="str">
        <f t="shared" si="101"/>
        <v/>
      </c>
      <c r="B500" s="38" t="str">
        <f t="shared" si="102"/>
        <v/>
      </c>
      <c r="C500" s="38" t="str">
        <f t="shared" si="111"/>
        <v/>
      </c>
      <c r="D500" s="38" t="str">
        <f t="shared" si="103"/>
        <v/>
      </c>
      <c r="E500" s="38" t="str">
        <f t="shared" si="104"/>
        <v/>
      </c>
      <c r="F500" s="38" t="str">
        <f t="shared" si="105"/>
        <v/>
      </c>
      <c r="G500" s="38" t="str">
        <f t="shared" si="106"/>
        <v/>
      </c>
      <c r="H500" s="38" t="str">
        <f t="shared" si="107"/>
        <v/>
      </c>
      <c r="L500" t="str">
        <f t="shared" si="108"/>
        <v/>
      </c>
      <c r="M500" s="38" t="str">
        <f t="shared" si="98"/>
        <v/>
      </c>
      <c r="N500" s="38" t="str">
        <f t="shared" si="109"/>
        <v/>
      </c>
      <c r="O500" s="38" t="str">
        <f t="shared" si="110"/>
        <v/>
      </c>
      <c r="P500" s="38" t="str">
        <f t="shared" si="99"/>
        <v/>
      </c>
      <c r="Q500" s="38" t="str">
        <f t="shared" si="100"/>
        <v/>
      </c>
      <c r="R500" s="38"/>
    </row>
    <row r="501" spans="1:18" x14ac:dyDescent="0.2">
      <c r="A501" t="str">
        <f t="shared" si="101"/>
        <v/>
      </c>
      <c r="B501" s="38" t="str">
        <f t="shared" si="102"/>
        <v/>
      </c>
      <c r="C501" s="38" t="str">
        <f t="shared" si="111"/>
        <v/>
      </c>
      <c r="D501" s="38" t="str">
        <f t="shared" si="103"/>
        <v/>
      </c>
      <c r="E501" s="38" t="str">
        <f t="shared" si="104"/>
        <v/>
      </c>
      <c r="F501" s="38" t="str">
        <f t="shared" si="105"/>
        <v/>
      </c>
      <c r="G501" s="38" t="str">
        <f t="shared" si="106"/>
        <v/>
      </c>
      <c r="H501" s="38" t="str">
        <f t="shared" si="107"/>
        <v/>
      </c>
      <c r="L501" t="str">
        <f t="shared" si="108"/>
        <v/>
      </c>
      <c r="M501" s="38" t="str">
        <f t="shared" si="98"/>
        <v/>
      </c>
      <c r="N501" s="38" t="str">
        <f t="shared" si="109"/>
        <v/>
      </c>
      <c r="O501" s="38" t="str">
        <f t="shared" si="110"/>
        <v/>
      </c>
      <c r="P501" s="38" t="str">
        <f t="shared" si="99"/>
        <v/>
      </c>
      <c r="Q501" s="38" t="str">
        <f t="shared" si="100"/>
        <v/>
      </c>
      <c r="R501" s="38"/>
    </row>
    <row r="502" spans="1:18" x14ac:dyDescent="0.2">
      <c r="A502" t="str">
        <f t="shared" si="101"/>
        <v/>
      </c>
      <c r="B502" s="38" t="str">
        <f t="shared" si="102"/>
        <v/>
      </c>
      <c r="C502" s="38" t="str">
        <f t="shared" si="111"/>
        <v/>
      </c>
      <c r="D502" s="38" t="str">
        <f t="shared" si="103"/>
        <v/>
      </c>
      <c r="E502" s="38" t="str">
        <f t="shared" si="104"/>
        <v/>
      </c>
      <c r="F502" s="38" t="str">
        <f t="shared" si="105"/>
        <v/>
      </c>
      <c r="G502" s="38" t="str">
        <f t="shared" si="106"/>
        <v/>
      </c>
      <c r="H502" s="38" t="str">
        <f t="shared" si="107"/>
        <v/>
      </c>
      <c r="L502" t="str">
        <f t="shared" si="108"/>
        <v/>
      </c>
      <c r="M502" s="38" t="str">
        <f t="shared" si="98"/>
        <v/>
      </c>
      <c r="N502" s="38" t="str">
        <f t="shared" si="109"/>
        <v/>
      </c>
      <c r="O502" s="38" t="str">
        <f t="shared" si="110"/>
        <v/>
      </c>
      <c r="P502" s="38" t="str">
        <f t="shared" si="99"/>
        <v/>
      </c>
      <c r="Q502" s="38" t="str">
        <f t="shared" si="100"/>
        <v/>
      </c>
      <c r="R502" s="38"/>
    </row>
    <row r="503" spans="1:18" x14ac:dyDescent="0.2">
      <c r="A503" t="str">
        <f t="shared" si="101"/>
        <v/>
      </c>
      <c r="B503" s="38" t="str">
        <f t="shared" si="102"/>
        <v/>
      </c>
      <c r="C503" s="38" t="str">
        <f t="shared" si="111"/>
        <v/>
      </c>
      <c r="D503" s="38" t="str">
        <f t="shared" si="103"/>
        <v/>
      </c>
      <c r="E503" s="38" t="str">
        <f t="shared" si="104"/>
        <v/>
      </c>
      <c r="F503" s="38" t="str">
        <f t="shared" si="105"/>
        <v/>
      </c>
      <c r="G503" s="38" t="str">
        <f t="shared" si="106"/>
        <v/>
      </c>
      <c r="H503" s="38" t="str">
        <f t="shared" si="107"/>
        <v/>
      </c>
      <c r="L503" t="str">
        <f t="shared" si="108"/>
        <v/>
      </c>
      <c r="M503" s="38" t="str">
        <f t="shared" si="98"/>
        <v/>
      </c>
      <c r="N503" s="38" t="str">
        <f t="shared" si="109"/>
        <v/>
      </c>
      <c r="O503" s="38" t="str">
        <f t="shared" si="110"/>
        <v/>
      </c>
      <c r="P503" s="38" t="str">
        <f t="shared" si="99"/>
        <v/>
      </c>
      <c r="Q503" s="38" t="str">
        <f t="shared" si="100"/>
        <v/>
      </c>
      <c r="R503" s="38"/>
    </row>
    <row r="504" spans="1:18" x14ac:dyDescent="0.2">
      <c r="A504" t="str">
        <f t="shared" si="101"/>
        <v/>
      </c>
      <c r="B504" s="38" t="str">
        <f t="shared" si="102"/>
        <v/>
      </c>
      <c r="C504" s="38" t="str">
        <f t="shared" si="111"/>
        <v/>
      </c>
      <c r="D504" s="38" t="str">
        <f t="shared" si="103"/>
        <v/>
      </c>
      <c r="E504" s="38" t="str">
        <f t="shared" si="104"/>
        <v/>
      </c>
      <c r="F504" s="38" t="str">
        <f t="shared" si="105"/>
        <v/>
      </c>
      <c r="G504" s="38" t="str">
        <f t="shared" si="106"/>
        <v/>
      </c>
      <c r="H504" s="38" t="str">
        <f t="shared" si="107"/>
        <v/>
      </c>
      <c r="L504" t="str">
        <f t="shared" si="108"/>
        <v/>
      </c>
      <c r="M504" s="38" t="str">
        <f t="shared" si="98"/>
        <v/>
      </c>
      <c r="N504" s="38" t="str">
        <f t="shared" si="109"/>
        <v/>
      </c>
      <c r="O504" s="38" t="str">
        <f t="shared" si="110"/>
        <v/>
      </c>
      <c r="P504" s="38" t="str">
        <f t="shared" si="99"/>
        <v/>
      </c>
      <c r="Q504" s="38" t="str">
        <f t="shared" si="100"/>
        <v/>
      </c>
      <c r="R504" s="38"/>
    </row>
    <row r="505" spans="1:18" x14ac:dyDescent="0.2">
      <c r="A505" t="str">
        <f t="shared" si="101"/>
        <v/>
      </c>
      <c r="B505" s="38" t="str">
        <f t="shared" si="102"/>
        <v/>
      </c>
      <c r="C505" s="38" t="str">
        <f t="shared" si="111"/>
        <v/>
      </c>
      <c r="D505" s="38" t="str">
        <f t="shared" si="103"/>
        <v/>
      </c>
      <c r="E505" s="38" t="str">
        <f t="shared" si="104"/>
        <v/>
      </c>
      <c r="F505" s="38" t="str">
        <f t="shared" si="105"/>
        <v/>
      </c>
      <c r="G505" s="38" t="str">
        <f t="shared" si="106"/>
        <v/>
      </c>
      <c r="H505" s="38" t="str">
        <f t="shared" si="107"/>
        <v/>
      </c>
      <c r="L505" t="str">
        <f t="shared" si="108"/>
        <v/>
      </c>
      <c r="M505" s="38" t="str">
        <f t="shared" si="98"/>
        <v/>
      </c>
      <c r="N505" s="38" t="str">
        <f t="shared" si="109"/>
        <v/>
      </c>
      <c r="O505" s="38" t="str">
        <f t="shared" si="110"/>
        <v/>
      </c>
      <c r="P505" s="38" t="str">
        <f t="shared" si="99"/>
        <v/>
      </c>
      <c r="Q505" s="38" t="str">
        <f t="shared" si="100"/>
        <v/>
      </c>
      <c r="R505" s="38"/>
    </row>
    <row r="506" spans="1:18" x14ac:dyDescent="0.2">
      <c r="A506" t="str">
        <f t="shared" si="101"/>
        <v/>
      </c>
      <c r="B506" s="38" t="str">
        <f t="shared" si="102"/>
        <v/>
      </c>
      <c r="C506" s="38" t="str">
        <f t="shared" si="111"/>
        <v/>
      </c>
      <c r="D506" s="38" t="str">
        <f t="shared" si="103"/>
        <v/>
      </c>
      <c r="E506" s="38" t="str">
        <f t="shared" si="104"/>
        <v/>
      </c>
      <c r="F506" s="38" t="str">
        <f t="shared" si="105"/>
        <v/>
      </c>
      <c r="G506" s="38" t="str">
        <f t="shared" si="106"/>
        <v/>
      </c>
      <c r="H506" s="38" t="str">
        <f t="shared" si="107"/>
        <v/>
      </c>
      <c r="L506" t="str">
        <f t="shared" si="108"/>
        <v/>
      </c>
      <c r="M506" s="38" t="str">
        <f t="shared" si="98"/>
        <v/>
      </c>
      <c r="N506" s="38" t="str">
        <f t="shared" si="109"/>
        <v/>
      </c>
      <c r="O506" s="38" t="str">
        <f t="shared" si="110"/>
        <v/>
      </c>
      <c r="P506" s="38" t="str">
        <f t="shared" si="99"/>
        <v/>
      </c>
      <c r="Q506" s="38" t="str">
        <f t="shared" si="100"/>
        <v/>
      </c>
      <c r="R506" s="38"/>
    </row>
    <row r="507" spans="1:18" x14ac:dyDescent="0.2">
      <c r="A507" t="str">
        <f t="shared" si="101"/>
        <v/>
      </c>
      <c r="B507" s="38" t="str">
        <f t="shared" si="102"/>
        <v/>
      </c>
      <c r="C507" s="38" t="str">
        <f t="shared" si="111"/>
        <v/>
      </c>
      <c r="D507" s="38" t="str">
        <f t="shared" si="103"/>
        <v/>
      </c>
      <c r="E507" s="38" t="str">
        <f t="shared" si="104"/>
        <v/>
      </c>
      <c r="F507" s="38" t="str">
        <f t="shared" si="105"/>
        <v/>
      </c>
      <c r="G507" s="38" t="str">
        <f t="shared" si="106"/>
        <v/>
      </c>
      <c r="H507" s="38" t="str">
        <f t="shared" si="107"/>
        <v/>
      </c>
      <c r="L507" t="str">
        <f t="shared" si="108"/>
        <v/>
      </c>
      <c r="M507" s="38" t="str">
        <f t="shared" si="98"/>
        <v/>
      </c>
      <c r="N507" s="38" t="str">
        <f t="shared" si="109"/>
        <v/>
      </c>
      <c r="O507" s="38" t="str">
        <f t="shared" si="110"/>
        <v/>
      </c>
      <c r="P507" s="38" t="str">
        <f t="shared" si="99"/>
        <v/>
      </c>
      <c r="Q507" s="38" t="str">
        <f t="shared" si="100"/>
        <v/>
      </c>
      <c r="R507" s="38"/>
    </row>
    <row r="508" spans="1:18" x14ac:dyDescent="0.2">
      <c r="A508" t="str">
        <f t="shared" si="101"/>
        <v/>
      </c>
      <c r="B508" s="38" t="str">
        <f t="shared" si="102"/>
        <v/>
      </c>
      <c r="C508" s="38" t="str">
        <f t="shared" si="111"/>
        <v/>
      </c>
      <c r="D508" s="38" t="str">
        <f t="shared" si="103"/>
        <v/>
      </c>
      <c r="E508" s="38" t="str">
        <f t="shared" si="104"/>
        <v/>
      </c>
      <c r="F508" s="38" t="str">
        <f t="shared" si="105"/>
        <v/>
      </c>
      <c r="G508" s="38" t="str">
        <f t="shared" si="106"/>
        <v/>
      </c>
      <c r="H508" s="38" t="str">
        <f t="shared" si="107"/>
        <v/>
      </c>
      <c r="L508" t="str">
        <f t="shared" si="108"/>
        <v/>
      </c>
      <c r="M508" s="38" t="str">
        <f t="shared" si="98"/>
        <v/>
      </c>
      <c r="N508" s="38" t="str">
        <f t="shared" si="109"/>
        <v/>
      </c>
      <c r="O508" s="38" t="str">
        <f t="shared" si="110"/>
        <v/>
      </c>
      <c r="P508" s="38" t="str">
        <f t="shared" si="99"/>
        <v/>
      </c>
      <c r="Q508" s="38" t="str">
        <f t="shared" si="100"/>
        <v/>
      </c>
      <c r="R508" s="38"/>
    </row>
    <row r="509" spans="1:18" x14ac:dyDescent="0.2">
      <c r="A509" t="str">
        <f t="shared" si="101"/>
        <v/>
      </c>
      <c r="B509" s="38" t="str">
        <f t="shared" si="102"/>
        <v/>
      </c>
      <c r="C509" s="38" t="str">
        <f t="shared" si="111"/>
        <v/>
      </c>
      <c r="D509" s="38" t="str">
        <f t="shared" si="103"/>
        <v/>
      </c>
      <c r="E509" s="38" t="str">
        <f t="shared" si="104"/>
        <v/>
      </c>
      <c r="F509" s="38" t="str">
        <f t="shared" si="105"/>
        <v/>
      </c>
      <c r="G509" s="38" t="str">
        <f t="shared" si="106"/>
        <v/>
      </c>
      <c r="H509" s="38" t="str">
        <f t="shared" si="107"/>
        <v/>
      </c>
      <c r="L509" t="str">
        <f t="shared" si="108"/>
        <v/>
      </c>
      <c r="M509" s="38" t="str">
        <f t="shared" si="98"/>
        <v/>
      </c>
      <c r="N509" s="38" t="str">
        <f t="shared" si="109"/>
        <v/>
      </c>
      <c r="O509" s="38" t="str">
        <f t="shared" si="110"/>
        <v/>
      </c>
      <c r="P509" s="38" t="str">
        <f t="shared" si="99"/>
        <v/>
      </c>
      <c r="Q509" s="38" t="str">
        <f t="shared" si="100"/>
        <v/>
      </c>
      <c r="R509" s="38"/>
    </row>
    <row r="510" spans="1:18" x14ac:dyDescent="0.2">
      <c r="A510" t="str">
        <f t="shared" si="101"/>
        <v/>
      </c>
      <c r="B510" s="38" t="str">
        <f t="shared" si="102"/>
        <v/>
      </c>
      <c r="C510" s="38" t="str">
        <f t="shared" si="111"/>
        <v/>
      </c>
      <c r="D510" s="38" t="str">
        <f t="shared" si="103"/>
        <v/>
      </c>
      <c r="E510" s="38" t="str">
        <f t="shared" si="104"/>
        <v/>
      </c>
      <c r="F510" s="38" t="str">
        <f t="shared" si="105"/>
        <v/>
      </c>
      <c r="G510" s="38" t="str">
        <f t="shared" si="106"/>
        <v/>
      </c>
      <c r="H510" s="38" t="str">
        <f t="shared" si="107"/>
        <v/>
      </c>
      <c r="L510" t="str">
        <f t="shared" si="108"/>
        <v/>
      </c>
      <c r="M510" s="38" t="str">
        <f t="shared" si="98"/>
        <v/>
      </c>
      <c r="N510" s="38" t="str">
        <f t="shared" si="109"/>
        <v/>
      </c>
      <c r="O510" s="38" t="str">
        <f t="shared" si="110"/>
        <v/>
      </c>
      <c r="P510" s="38" t="str">
        <f t="shared" si="99"/>
        <v/>
      </c>
      <c r="Q510" s="38" t="str">
        <f t="shared" si="100"/>
        <v/>
      </c>
      <c r="R510" s="38"/>
    </row>
    <row r="511" spans="1:18" x14ac:dyDescent="0.2">
      <c r="A511" t="str">
        <f t="shared" si="101"/>
        <v/>
      </c>
      <c r="B511" s="38" t="str">
        <f t="shared" si="102"/>
        <v/>
      </c>
      <c r="C511" s="38" t="str">
        <f t="shared" si="111"/>
        <v/>
      </c>
      <c r="D511" s="38" t="str">
        <f t="shared" si="103"/>
        <v/>
      </c>
      <c r="E511" s="38" t="str">
        <f t="shared" si="104"/>
        <v/>
      </c>
      <c r="F511" s="38" t="str">
        <f t="shared" si="105"/>
        <v/>
      </c>
      <c r="G511" s="38" t="str">
        <f t="shared" si="106"/>
        <v/>
      </c>
      <c r="H511" s="38" t="str">
        <f t="shared" si="107"/>
        <v/>
      </c>
      <c r="L511" t="str">
        <f t="shared" si="108"/>
        <v/>
      </c>
      <c r="M511" s="38" t="str">
        <f t="shared" si="98"/>
        <v/>
      </c>
      <c r="N511" s="38" t="str">
        <f t="shared" si="109"/>
        <v/>
      </c>
      <c r="O511" s="38" t="str">
        <f t="shared" si="110"/>
        <v/>
      </c>
      <c r="P511" s="38" t="str">
        <f t="shared" si="99"/>
        <v/>
      </c>
      <c r="Q511" s="38" t="str">
        <f t="shared" si="100"/>
        <v/>
      </c>
      <c r="R511" s="38"/>
    </row>
    <row r="512" spans="1:18" x14ac:dyDescent="0.2">
      <c r="A512" t="str">
        <f t="shared" si="101"/>
        <v/>
      </c>
      <c r="B512" s="38" t="str">
        <f t="shared" si="102"/>
        <v/>
      </c>
      <c r="C512" s="38" t="str">
        <f t="shared" si="111"/>
        <v/>
      </c>
      <c r="D512" s="38" t="str">
        <f t="shared" si="103"/>
        <v/>
      </c>
      <c r="E512" s="38" t="str">
        <f t="shared" si="104"/>
        <v/>
      </c>
      <c r="F512" s="38" t="str">
        <f t="shared" si="105"/>
        <v/>
      </c>
      <c r="G512" s="38" t="str">
        <f t="shared" si="106"/>
        <v/>
      </c>
      <c r="H512" s="38" t="str">
        <f t="shared" si="107"/>
        <v/>
      </c>
      <c r="L512" t="str">
        <f t="shared" si="108"/>
        <v/>
      </c>
      <c r="M512" s="38" t="str">
        <f t="shared" si="98"/>
        <v/>
      </c>
      <c r="N512" s="38" t="str">
        <f t="shared" si="109"/>
        <v/>
      </c>
      <c r="O512" s="38" t="str">
        <f t="shared" si="110"/>
        <v/>
      </c>
      <c r="P512" s="38" t="str">
        <f t="shared" si="99"/>
        <v/>
      </c>
      <c r="Q512" s="38" t="str">
        <f t="shared" si="100"/>
        <v/>
      </c>
      <c r="R512" s="38"/>
    </row>
    <row r="513" spans="1:18" x14ac:dyDescent="0.2">
      <c r="A513" t="str">
        <f t="shared" si="101"/>
        <v/>
      </c>
      <c r="B513" s="38" t="str">
        <f t="shared" si="102"/>
        <v/>
      </c>
      <c r="C513" s="38" t="str">
        <f t="shared" si="111"/>
        <v/>
      </c>
      <c r="D513" s="38" t="str">
        <f t="shared" si="103"/>
        <v/>
      </c>
      <c r="E513" s="38" t="str">
        <f t="shared" si="104"/>
        <v/>
      </c>
      <c r="F513" s="38" t="str">
        <f t="shared" si="105"/>
        <v/>
      </c>
      <c r="G513" s="38" t="str">
        <f t="shared" si="106"/>
        <v/>
      </c>
      <c r="H513" s="38" t="str">
        <f t="shared" si="107"/>
        <v/>
      </c>
      <c r="L513" t="str">
        <f t="shared" si="108"/>
        <v/>
      </c>
      <c r="M513" s="38" t="str">
        <f t="shared" si="98"/>
        <v/>
      </c>
      <c r="N513" s="38" t="str">
        <f t="shared" si="109"/>
        <v/>
      </c>
      <c r="O513" s="38" t="str">
        <f t="shared" si="110"/>
        <v/>
      </c>
      <c r="P513" s="38" t="str">
        <f t="shared" si="99"/>
        <v/>
      </c>
      <c r="Q513" s="38" t="str">
        <f t="shared" si="100"/>
        <v/>
      </c>
      <c r="R513" s="38"/>
    </row>
    <row r="514" spans="1:18" x14ac:dyDescent="0.2">
      <c r="A514" t="str">
        <f t="shared" si="101"/>
        <v/>
      </c>
      <c r="B514" s="38" t="str">
        <f t="shared" si="102"/>
        <v/>
      </c>
      <c r="C514" s="38" t="str">
        <f t="shared" si="111"/>
        <v/>
      </c>
      <c r="D514" s="38" t="str">
        <f t="shared" si="103"/>
        <v/>
      </c>
      <c r="E514" s="38" t="str">
        <f t="shared" si="104"/>
        <v/>
      </c>
      <c r="F514" s="38" t="str">
        <f t="shared" si="105"/>
        <v/>
      </c>
      <c r="G514" s="38" t="str">
        <f t="shared" si="106"/>
        <v/>
      </c>
      <c r="H514" s="38" t="str">
        <f t="shared" si="107"/>
        <v/>
      </c>
      <c r="L514" t="str">
        <f t="shared" si="108"/>
        <v/>
      </c>
      <c r="M514" s="38" t="str">
        <f t="shared" si="98"/>
        <v/>
      </c>
      <c r="N514" s="38" t="str">
        <f t="shared" si="109"/>
        <v/>
      </c>
      <c r="O514" s="38" t="str">
        <f t="shared" si="110"/>
        <v/>
      </c>
      <c r="P514" s="38" t="str">
        <f t="shared" si="99"/>
        <v/>
      </c>
      <c r="Q514" s="38" t="str">
        <f t="shared" si="100"/>
        <v/>
      </c>
      <c r="R514" s="38"/>
    </row>
    <row r="515" spans="1:18" x14ac:dyDescent="0.2">
      <c r="A515" t="str">
        <f t="shared" si="101"/>
        <v/>
      </c>
      <c r="B515" s="38" t="str">
        <f t="shared" si="102"/>
        <v/>
      </c>
      <c r="C515" s="38" t="str">
        <f t="shared" si="111"/>
        <v/>
      </c>
      <c r="D515" s="38" t="str">
        <f t="shared" si="103"/>
        <v/>
      </c>
      <c r="E515" s="38" t="str">
        <f t="shared" si="104"/>
        <v/>
      </c>
      <c r="F515" s="38" t="str">
        <f t="shared" si="105"/>
        <v/>
      </c>
      <c r="G515" s="38" t="str">
        <f t="shared" si="106"/>
        <v/>
      </c>
      <c r="H515" s="38" t="str">
        <f t="shared" si="107"/>
        <v/>
      </c>
      <c r="L515" t="str">
        <f t="shared" si="108"/>
        <v/>
      </c>
      <c r="M515" s="38" t="str">
        <f t="shared" si="98"/>
        <v/>
      </c>
      <c r="N515" s="38" t="str">
        <f t="shared" si="109"/>
        <v/>
      </c>
      <c r="O515" s="38" t="str">
        <f t="shared" si="110"/>
        <v/>
      </c>
      <c r="P515" s="38" t="str">
        <f t="shared" si="99"/>
        <v/>
      </c>
      <c r="Q515" s="38" t="str">
        <f t="shared" si="100"/>
        <v/>
      </c>
      <c r="R515" s="38"/>
    </row>
    <row r="516" spans="1:18" x14ac:dyDescent="0.2">
      <c r="A516" t="str">
        <f t="shared" si="101"/>
        <v/>
      </c>
      <c r="B516" s="38" t="str">
        <f t="shared" si="102"/>
        <v/>
      </c>
      <c r="C516" s="38" t="str">
        <f t="shared" si="111"/>
        <v/>
      </c>
      <c r="D516" s="38" t="str">
        <f t="shared" si="103"/>
        <v/>
      </c>
      <c r="E516" s="38" t="str">
        <f t="shared" si="104"/>
        <v/>
      </c>
      <c r="F516" s="38" t="str">
        <f t="shared" si="105"/>
        <v/>
      </c>
      <c r="G516" s="38" t="str">
        <f t="shared" si="106"/>
        <v/>
      </c>
      <c r="H516" s="38" t="str">
        <f t="shared" si="107"/>
        <v/>
      </c>
      <c r="L516" t="str">
        <f t="shared" si="108"/>
        <v/>
      </c>
      <c r="M516" s="38" t="str">
        <f t="shared" si="98"/>
        <v/>
      </c>
      <c r="N516" s="38" t="str">
        <f t="shared" si="109"/>
        <v/>
      </c>
      <c r="O516" s="38" t="str">
        <f t="shared" si="110"/>
        <v/>
      </c>
      <c r="P516" s="38" t="str">
        <f t="shared" si="99"/>
        <v/>
      </c>
      <c r="Q516" s="38" t="str">
        <f t="shared" si="100"/>
        <v/>
      </c>
      <c r="R516" s="38"/>
    </row>
    <row r="517" spans="1:18" x14ac:dyDescent="0.2">
      <c r="A517" t="str">
        <f t="shared" si="101"/>
        <v/>
      </c>
      <c r="B517" s="38" t="str">
        <f t="shared" si="102"/>
        <v/>
      </c>
      <c r="C517" s="38" t="str">
        <f t="shared" si="111"/>
        <v/>
      </c>
      <c r="D517" s="38" t="str">
        <f t="shared" si="103"/>
        <v/>
      </c>
      <c r="E517" s="38" t="str">
        <f t="shared" si="104"/>
        <v/>
      </c>
      <c r="F517" s="38" t="str">
        <f t="shared" si="105"/>
        <v/>
      </c>
      <c r="G517" s="38" t="str">
        <f t="shared" si="106"/>
        <v/>
      </c>
      <c r="H517" s="38" t="str">
        <f t="shared" si="107"/>
        <v/>
      </c>
      <c r="L517" t="str">
        <f t="shared" si="108"/>
        <v/>
      </c>
      <c r="M517" s="38" t="str">
        <f t="shared" si="98"/>
        <v/>
      </c>
      <c r="N517" s="38" t="str">
        <f t="shared" si="109"/>
        <v/>
      </c>
      <c r="O517" s="38" t="str">
        <f t="shared" si="110"/>
        <v/>
      </c>
      <c r="P517" s="38" t="str">
        <f t="shared" si="99"/>
        <v/>
      </c>
      <c r="Q517" s="38" t="str">
        <f t="shared" si="100"/>
        <v/>
      </c>
      <c r="R517" s="38"/>
    </row>
    <row r="518" spans="1:18" x14ac:dyDescent="0.2">
      <c r="A518" t="str">
        <f t="shared" si="101"/>
        <v/>
      </c>
      <c r="B518" s="38" t="str">
        <f t="shared" si="102"/>
        <v/>
      </c>
      <c r="C518" s="38" t="str">
        <f t="shared" si="111"/>
        <v/>
      </c>
      <c r="D518" s="38" t="str">
        <f t="shared" si="103"/>
        <v/>
      </c>
      <c r="E518" s="38" t="str">
        <f t="shared" si="104"/>
        <v/>
      </c>
      <c r="F518" s="38" t="str">
        <f t="shared" si="105"/>
        <v/>
      </c>
      <c r="G518" s="38" t="str">
        <f t="shared" si="106"/>
        <v/>
      </c>
      <c r="H518" s="38" t="str">
        <f t="shared" si="107"/>
        <v/>
      </c>
      <c r="L518" t="str">
        <f t="shared" si="108"/>
        <v/>
      </c>
      <c r="M518" s="38" t="str">
        <f t="shared" si="98"/>
        <v/>
      </c>
      <c r="N518" s="38" t="str">
        <f t="shared" si="109"/>
        <v/>
      </c>
      <c r="O518" s="38" t="str">
        <f t="shared" si="110"/>
        <v/>
      </c>
      <c r="P518" s="38" t="str">
        <f t="shared" si="99"/>
        <v/>
      </c>
      <c r="Q518" s="38" t="str">
        <f t="shared" si="100"/>
        <v/>
      </c>
      <c r="R518" s="38"/>
    </row>
    <row r="519" spans="1:18" x14ac:dyDescent="0.2">
      <c r="A519" t="str">
        <f t="shared" si="101"/>
        <v/>
      </c>
      <c r="B519" s="38" t="str">
        <f t="shared" si="102"/>
        <v/>
      </c>
      <c r="C519" s="38" t="str">
        <f t="shared" si="111"/>
        <v/>
      </c>
      <c r="D519" s="38" t="str">
        <f t="shared" si="103"/>
        <v/>
      </c>
      <c r="E519" s="38" t="str">
        <f t="shared" si="104"/>
        <v/>
      </c>
      <c r="F519" s="38" t="str">
        <f t="shared" si="105"/>
        <v/>
      </c>
      <c r="G519" s="38" t="str">
        <f t="shared" si="106"/>
        <v/>
      </c>
      <c r="H519" s="38" t="str">
        <f t="shared" si="107"/>
        <v/>
      </c>
      <c r="L519" t="str">
        <f t="shared" si="108"/>
        <v/>
      </c>
      <c r="M519" s="38" t="str">
        <f t="shared" si="98"/>
        <v/>
      </c>
      <c r="N519" s="38" t="str">
        <f t="shared" si="109"/>
        <v/>
      </c>
      <c r="O519" s="38" t="str">
        <f t="shared" si="110"/>
        <v/>
      </c>
      <c r="P519" s="38" t="str">
        <f t="shared" si="99"/>
        <v/>
      </c>
      <c r="Q519" s="38" t="str">
        <f t="shared" si="100"/>
        <v/>
      </c>
      <c r="R519" s="38"/>
    </row>
    <row r="520" spans="1:18" x14ac:dyDescent="0.2">
      <c r="A520" t="str">
        <f t="shared" si="101"/>
        <v/>
      </c>
      <c r="B520" s="38" t="str">
        <f t="shared" si="102"/>
        <v/>
      </c>
      <c r="C520" s="38" t="str">
        <f t="shared" si="111"/>
        <v/>
      </c>
      <c r="D520" s="38" t="str">
        <f t="shared" si="103"/>
        <v/>
      </c>
      <c r="E520" s="38" t="str">
        <f t="shared" si="104"/>
        <v/>
      </c>
      <c r="F520" s="38" t="str">
        <f t="shared" si="105"/>
        <v/>
      </c>
      <c r="G520" s="38" t="str">
        <f t="shared" si="106"/>
        <v/>
      </c>
      <c r="H520" s="38" t="str">
        <f t="shared" si="107"/>
        <v/>
      </c>
      <c r="L520" t="str">
        <f t="shared" si="108"/>
        <v/>
      </c>
      <c r="M520" s="38" t="str">
        <f t="shared" si="98"/>
        <v/>
      </c>
      <c r="N520" s="38" t="str">
        <f t="shared" si="109"/>
        <v/>
      </c>
      <c r="O520" s="38" t="str">
        <f t="shared" si="110"/>
        <v/>
      </c>
      <c r="P520" s="38" t="str">
        <f t="shared" si="99"/>
        <v/>
      </c>
      <c r="Q520" s="38" t="str">
        <f t="shared" si="100"/>
        <v/>
      </c>
      <c r="R520" s="38"/>
    </row>
    <row r="521" spans="1:18" x14ac:dyDescent="0.2">
      <c r="A521" t="str">
        <f t="shared" si="101"/>
        <v/>
      </c>
      <c r="B521" s="38" t="str">
        <f t="shared" si="102"/>
        <v/>
      </c>
      <c r="C521" s="38" t="str">
        <f t="shared" si="111"/>
        <v/>
      </c>
      <c r="D521" s="38" t="str">
        <f t="shared" si="103"/>
        <v/>
      </c>
      <c r="E521" s="38" t="str">
        <f t="shared" si="104"/>
        <v/>
      </c>
      <c r="F521" s="38" t="str">
        <f t="shared" si="105"/>
        <v/>
      </c>
      <c r="G521" s="38" t="str">
        <f t="shared" si="106"/>
        <v/>
      </c>
      <c r="H521" s="38" t="str">
        <f t="shared" si="107"/>
        <v/>
      </c>
      <c r="L521" t="str">
        <f t="shared" si="108"/>
        <v/>
      </c>
      <c r="M521" s="38" t="str">
        <f t="shared" si="98"/>
        <v/>
      </c>
      <c r="N521" s="38" t="str">
        <f t="shared" si="109"/>
        <v/>
      </c>
      <c r="O521" s="38" t="str">
        <f t="shared" si="110"/>
        <v/>
      </c>
      <c r="P521" s="38" t="str">
        <f t="shared" si="99"/>
        <v/>
      </c>
      <c r="Q521" s="38" t="str">
        <f t="shared" si="100"/>
        <v/>
      </c>
      <c r="R521" s="38"/>
    </row>
    <row r="522" spans="1:18" x14ac:dyDescent="0.2">
      <c r="A522" t="str">
        <f t="shared" si="101"/>
        <v/>
      </c>
      <c r="B522" s="38" t="str">
        <f t="shared" si="102"/>
        <v/>
      </c>
      <c r="C522" s="38" t="str">
        <f t="shared" si="111"/>
        <v/>
      </c>
      <c r="D522" s="38" t="str">
        <f t="shared" si="103"/>
        <v/>
      </c>
      <c r="E522" s="38" t="str">
        <f t="shared" si="104"/>
        <v/>
      </c>
      <c r="F522" s="38" t="str">
        <f t="shared" si="105"/>
        <v/>
      </c>
      <c r="G522" s="38" t="str">
        <f t="shared" si="106"/>
        <v/>
      </c>
      <c r="H522" s="38" t="str">
        <f t="shared" si="107"/>
        <v/>
      </c>
      <c r="L522" t="str">
        <f t="shared" si="108"/>
        <v/>
      </c>
      <c r="M522" s="38" t="str">
        <f t="shared" si="98"/>
        <v/>
      </c>
      <c r="N522" s="38" t="str">
        <f t="shared" si="109"/>
        <v/>
      </c>
      <c r="O522" s="38" t="str">
        <f t="shared" si="110"/>
        <v/>
      </c>
      <c r="P522" s="38" t="str">
        <f t="shared" si="99"/>
        <v/>
      </c>
      <c r="Q522" s="38" t="str">
        <f t="shared" si="100"/>
        <v/>
      </c>
      <c r="R522" s="38"/>
    </row>
    <row r="523" spans="1:18" x14ac:dyDescent="0.2">
      <c r="A523" t="str">
        <f t="shared" si="101"/>
        <v/>
      </c>
      <c r="B523" s="38" t="str">
        <f t="shared" si="102"/>
        <v/>
      </c>
      <c r="C523" s="38" t="str">
        <f t="shared" si="111"/>
        <v/>
      </c>
      <c r="D523" s="38" t="str">
        <f t="shared" si="103"/>
        <v/>
      </c>
      <c r="E523" s="38" t="str">
        <f t="shared" si="104"/>
        <v/>
      </c>
      <c r="F523" s="38" t="str">
        <f t="shared" si="105"/>
        <v/>
      </c>
      <c r="G523" s="38" t="str">
        <f t="shared" si="106"/>
        <v/>
      </c>
      <c r="H523" s="38" t="str">
        <f t="shared" si="107"/>
        <v/>
      </c>
      <c r="L523" t="str">
        <f t="shared" si="108"/>
        <v/>
      </c>
      <c r="M523" s="38" t="str">
        <f t="shared" si="98"/>
        <v/>
      </c>
      <c r="N523" s="38" t="str">
        <f t="shared" si="109"/>
        <v/>
      </c>
      <c r="O523" s="38" t="str">
        <f t="shared" si="110"/>
        <v/>
      </c>
      <c r="P523" s="38" t="str">
        <f t="shared" si="99"/>
        <v/>
      </c>
      <c r="Q523" s="38" t="str">
        <f t="shared" si="100"/>
        <v/>
      </c>
      <c r="R523" s="38"/>
    </row>
    <row r="524" spans="1:18" x14ac:dyDescent="0.2">
      <c r="A524" t="str">
        <f t="shared" si="101"/>
        <v/>
      </c>
      <c r="B524" s="38" t="str">
        <f t="shared" si="102"/>
        <v/>
      </c>
      <c r="C524" s="38" t="str">
        <f t="shared" si="111"/>
        <v/>
      </c>
      <c r="D524" s="38" t="str">
        <f t="shared" si="103"/>
        <v/>
      </c>
      <c r="E524" s="38" t="str">
        <f t="shared" si="104"/>
        <v/>
      </c>
      <c r="F524" s="38" t="str">
        <f t="shared" si="105"/>
        <v/>
      </c>
      <c r="G524" s="38" t="str">
        <f t="shared" si="106"/>
        <v/>
      </c>
      <c r="H524" s="38" t="str">
        <f t="shared" si="107"/>
        <v/>
      </c>
      <c r="L524" t="str">
        <f t="shared" si="108"/>
        <v/>
      </c>
      <c r="M524" s="38" t="str">
        <f t="shared" si="98"/>
        <v/>
      </c>
      <c r="N524" s="38" t="str">
        <f t="shared" si="109"/>
        <v/>
      </c>
      <c r="O524" s="38" t="str">
        <f t="shared" si="110"/>
        <v/>
      </c>
      <c r="P524" s="38" t="str">
        <f t="shared" si="99"/>
        <v/>
      </c>
      <c r="Q524" s="38" t="str">
        <f t="shared" si="100"/>
        <v/>
      </c>
      <c r="R524" s="38"/>
    </row>
    <row r="525" spans="1:18" x14ac:dyDescent="0.2">
      <c r="A525" t="str">
        <f t="shared" si="101"/>
        <v/>
      </c>
      <c r="B525" s="38" t="str">
        <f t="shared" si="102"/>
        <v/>
      </c>
      <c r="C525" s="38" t="str">
        <f t="shared" si="111"/>
        <v/>
      </c>
      <c r="D525" s="38" t="str">
        <f t="shared" si="103"/>
        <v/>
      </c>
      <c r="E525" s="38" t="str">
        <f t="shared" si="104"/>
        <v/>
      </c>
      <c r="F525" s="38" t="str">
        <f t="shared" si="105"/>
        <v/>
      </c>
      <c r="G525" s="38" t="str">
        <f t="shared" si="106"/>
        <v/>
      </c>
      <c r="H525" s="38" t="str">
        <f t="shared" si="107"/>
        <v/>
      </c>
      <c r="L525" t="str">
        <f t="shared" si="108"/>
        <v/>
      </c>
      <c r="M525" s="38" t="str">
        <f t="shared" si="98"/>
        <v/>
      </c>
      <c r="N525" s="38" t="str">
        <f t="shared" si="109"/>
        <v/>
      </c>
      <c r="O525" s="38" t="str">
        <f t="shared" si="110"/>
        <v/>
      </c>
      <c r="P525" s="38" t="str">
        <f t="shared" si="99"/>
        <v/>
      </c>
      <c r="Q525" s="38" t="str">
        <f t="shared" si="100"/>
        <v/>
      </c>
      <c r="R525" s="38"/>
    </row>
    <row r="526" spans="1:18" x14ac:dyDescent="0.2">
      <c r="A526" t="str">
        <f t="shared" si="101"/>
        <v/>
      </c>
      <c r="B526" s="38" t="str">
        <f t="shared" si="102"/>
        <v/>
      </c>
      <c r="C526" s="38" t="str">
        <f t="shared" si="111"/>
        <v/>
      </c>
      <c r="D526" s="38" t="str">
        <f t="shared" si="103"/>
        <v/>
      </c>
      <c r="E526" s="38" t="str">
        <f t="shared" si="104"/>
        <v/>
      </c>
      <c r="F526" s="38" t="str">
        <f t="shared" si="105"/>
        <v/>
      </c>
      <c r="G526" s="38" t="str">
        <f t="shared" si="106"/>
        <v/>
      </c>
      <c r="H526" s="38" t="str">
        <f t="shared" si="107"/>
        <v/>
      </c>
      <c r="L526" t="str">
        <f t="shared" si="108"/>
        <v/>
      </c>
      <c r="M526" s="38" t="str">
        <f t="shared" si="98"/>
        <v/>
      </c>
      <c r="N526" s="38" t="str">
        <f t="shared" si="109"/>
        <v/>
      </c>
      <c r="O526" s="38" t="str">
        <f t="shared" si="110"/>
        <v/>
      </c>
      <c r="P526" s="38" t="str">
        <f t="shared" si="99"/>
        <v/>
      </c>
      <c r="Q526" s="38" t="str">
        <f t="shared" si="100"/>
        <v/>
      </c>
      <c r="R526" s="38"/>
    </row>
    <row r="527" spans="1:18" x14ac:dyDescent="0.2">
      <c r="A527" t="str">
        <f t="shared" si="101"/>
        <v/>
      </c>
      <c r="B527" s="38" t="str">
        <f t="shared" si="102"/>
        <v/>
      </c>
      <c r="C527" s="38" t="str">
        <f t="shared" si="111"/>
        <v/>
      </c>
      <c r="D527" s="38" t="str">
        <f t="shared" si="103"/>
        <v/>
      </c>
      <c r="E527" s="38" t="str">
        <f t="shared" si="104"/>
        <v/>
      </c>
      <c r="F527" s="38" t="str">
        <f t="shared" si="105"/>
        <v/>
      </c>
      <c r="G527" s="38" t="str">
        <f t="shared" si="106"/>
        <v/>
      </c>
      <c r="H527" s="38" t="str">
        <f t="shared" si="107"/>
        <v/>
      </c>
      <c r="L527" t="str">
        <f t="shared" si="108"/>
        <v/>
      </c>
      <c r="M527" s="38" t="str">
        <f t="shared" si="98"/>
        <v/>
      </c>
      <c r="N527" s="38" t="str">
        <f t="shared" si="109"/>
        <v/>
      </c>
      <c r="O527" s="38" t="str">
        <f t="shared" si="110"/>
        <v/>
      </c>
      <c r="P527" s="38" t="str">
        <f t="shared" si="99"/>
        <v/>
      </c>
      <c r="Q527" s="38" t="str">
        <f t="shared" si="100"/>
        <v/>
      </c>
      <c r="R527" s="38"/>
    </row>
    <row r="528" spans="1:18" x14ac:dyDescent="0.2">
      <c r="A528" t="str">
        <f t="shared" si="101"/>
        <v/>
      </c>
      <c r="B528" s="38" t="str">
        <f t="shared" si="102"/>
        <v/>
      </c>
      <c r="C528" s="38" t="str">
        <f t="shared" si="111"/>
        <v/>
      </c>
      <c r="D528" s="38" t="str">
        <f t="shared" si="103"/>
        <v/>
      </c>
      <c r="E528" s="38" t="str">
        <f t="shared" si="104"/>
        <v/>
      </c>
      <c r="F528" s="38" t="str">
        <f t="shared" si="105"/>
        <v/>
      </c>
      <c r="G528" s="38" t="str">
        <f t="shared" si="106"/>
        <v/>
      </c>
      <c r="H528" s="38" t="str">
        <f t="shared" si="107"/>
        <v/>
      </c>
      <c r="L528" t="str">
        <f t="shared" si="108"/>
        <v/>
      </c>
      <c r="M528" s="38" t="str">
        <f t="shared" si="98"/>
        <v/>
      </c>
      <c r="N528" s="38" t="str">
        <f t="shared" si="109"/>
        <v/>
      </c>
      <c r="O528" s="38" t="str">
        <f t="shared" si="110"/>
        <v/>
      </c>
      <c r="P528" s="38" t="str">
        <f t="shared" si="99"/>
        <v/>
      </c>
      <c r="Q528" s="38" t="str">
        <f t="shared" si="100"/>
        <v/>
      </c>
      <c r="R528" s="38"/>
    </row>
    <row r="529" spans="1:18" x14ac:dyDescent="0.2">
      <c r="A529" t="str">
        <f t="shared" si="101"/>
        <v/>
      </c>
      <c r="B529" s="38" t="str">
        <f t="shared" si="102"/>
        <v/>
      </c>
      <c r="C529" s="38" t="str">
        <f t="shared" si="111"/>
        <v/>
      </c>
      <c r="D529" s="38" t="str">
        <f t="shared" si="103"/>
        <v/>
      </c>
      <c r="E529" s="38" t="str">
        <f t="shared" si="104"/>
        <v/>
      </c>
      <c r="F529" s="38" t="str">
        <f t="shared" si="105"/>
        <v/>
      </c>
      <c r="G529" s="38" t="str">
        <f t="shared" si="106"/>
        <v/>
      </c>
      <c r="H529" s="38" t="str">
        <f t="shared" si="107"/>
        <v/>
      </c>
      <c r="L529" t="str">
        <f t="shared" si="108"/>
        <v/>
      </c>
      <c r="M529" s="38" t="str">
        <f t="shared" si="98"/>
        <v/>
      </c>
      <c r="N529" s="38" t="str">
        <f t="shared" si="109"/>
        <v/>
      </c>
      <c r="O529" s="38" t="str">
        <f t="shared" si="110"/>
        <v/>
      </c>
      <c r="P529" s="38" t="str">
        <f t="shared" si="99"/>
        <v/>
      </c>
      <c r="Q529" s="38" t="str">
        <f t="shared" si="100"/>
        <v/>
      </c>
      <c r="R529" s="38"/>
    </row>
    <row r="530" spans="1:18" x14ac:dyDescent="0.2">
      <c r="A530" t="str">
        <f t="shared" si="101"/>
        <v/>
      </c>
      <c r="B530" s="38" t="str">
        <f t="shared" si="102"/>
        <v/>
      </c>
      <c r="C530" s="38" t="str">
        <f t="shared" si="111"/>
        <v/>
      </c>
      <c r="D530" s="38" t="str">
        <f t="shared" si="103"/>
        <v/>
      </c>
      <c r="E530" s="38" t="str">
        <f t="shared" si="104"/>
        <v/>
      </c>
      <c r="F530" s="38" t="str">
        <f t="shared" si="105"/>
        <v/>
      </c>
      <c r="G530" s="38" t="str">
        <f t="shared" si="106"/>
        <v/>
      </c>
      <c r="H530" s="38" t="str">
        <f t="shared" si="107"/>
        <v/>
      </c>
      <c r="L530" t="str">
        <f t="shared" si="108"/>
        <v/>
      </c>
      <c r="M530" s="38" t="str">
        <f t="shared" si="98"/>
        <v/>
      </c>
      <c r="N530" s="38" t="str">
        <f t="shared" si="109"/>
        <v/>
      </c>
      <c r="O530" s="38" t="str">
        <f t="shared" si="110"/>
        <v/>
      </c>
      <c r="P530" s="38" t="str">
        <f t="shared" si="99"/>
        <v/>
      </c>
      <c r="Q530" s="38" t="str">
        <f t="shared" si="100"/>
        <v/>
      </c>
      <c r="R530" s="38"/>
    </row>
    <row r="531" spans="1:18" x14ac:dyDescent="0.2">
      <c r="A531" t="str">
        <f t="shared" si="101"/>
        <v/>
      </c>
      <c r="B531" s="38" t="str">
        <f t="shared" si="102"/>
        <v/>
      </c>
      <c r="C531" s="38" t="str">
        <f t="shared" si="111"/>
        <v/>
      </c>
      <c r="D531" s="38" t="str">
        <f t="shared" si="103"/>
        <v/>
      </c>
      <c r="E531" s="38" t="str">
        <f t="shared" si="104"/>
        <v/>
      </c>
      <c r="F531" s="38" t="str">
        <f t="shared" si="105"/>
        <v/>
      </c>
      <c r="G531" s="38" t="str">
        <f t="shared" si="106"/>
        <v/>
      </c>
      <c r="H531" s="38" t="str">
        <f t="shared" si="107"/>
        <v/>
      </c>
      <c r="L531" t="str">
        <f t="shared" si="108"/>
        <v/>
      </c>
      <c r="M531" s="38" t="str">
        <f t="shared" si="98"/>
        <v/>
      </c>
      <c r="N531" s="38" t="str">
        <f t="shared" si="109"/>
        <v/>
      </c>
      <c r="O531" s="38" t="str">
        <f t="shared" si="110"/>
        <v/>
      </c>
      <c r="P531" s="38" t="str">
        <f t="shared" si="99"/>
        <v/>
      </c>
      <c r="Q531" s="38" t="str">
        <f t="shared" si="100"/>
        <v/>
      </c>
      <c r="R531" s="38"/>
    </row>
    <row r="532" spans="1:18" x14ac:dyDescent="0.2">
      <c r="A532" t="str">
        <f t="shared" si="101"/>
        <v/>
      </c>
      <c r="B532" s="38" t="str">
        <f t="shared" si="102"/>
        <v/>
      </c>
      <c r="C532" s="38" t="str">
        <f t="shared" si="111"/>
        <v/>
      </c>
      <c r="D532" s="38" t="str">
        <f t="shared" si="103"/>
        <v/>
      </c>
      <c r="E532" s="38" t="str">
        <f t="shared" si="104"/>
        <v/>
      </c>
      <c r="F532" s="38" t="str">
        <f t="shared" si="105"/>
        <v/>
      </c>
      <c r="G532" s="38" t="str">
        <f t="shared" si="106"/>
        <v/>
      </c>
      <c r="H532" s="38" t="str">
        <f t="shared" si="107"/>
        <v/>
      </c>
      <c r="L532" t="str">
        <f t="shared" si="108"/>
        <v/>
      </c>
      <c r="M532" s="38" t="str">
        <f t="shared" si="98"/>
        <v/>
      </c>
      <c r="N532" s="38" t="str">
        <f t="shared" si="109"/>
        <v/>
      </c>
      <c r="O532" s="38" t="str">
        <f t="shared" si="110"/>
        <v/>
      </c>
      <c r="P532" s="38" t="str">
        <f t="shared" si="99"/>
        <v/>
      </c>
      <c r="Q532" s="38" t="str">
        <f t="shared" si="100"/>
        <v/>
      </c>
      <c r="R532" s="38"/>
    </row>
    <row r="533" spans="1:18" x14ac:dyDescent="0.2">
      <c r="A533" t="str">
        <f t="shared" si="101"/>
        <v/>
      </c>
      <c r="B533" s="38" t="str">
        <f t="shared" si="102"/>
        <v/>
      </c>
      <c r="C533" s="38" t="str">
        <f t="shared" si="111"/>
        <v/>
      </c>
      <c r="D533" s="38" t="str">
        <f t="shared" si="103"/>
        <v/>
      </c>
      <c r="E533" s="38" t="str">
        <f t="shared" si="104"/>
        <v/>
      </c>
      <c r="F533" s="38" t="str">
        <f t="shared" si="105"/>
        <v/>
      </c>
      <c r="G533" s="38" t="str">
        <f t="shared" si="106"/>
        <v/>
      </c>
      <c r="H533" s="38" t="str">
        <f t="shared" si="107"/>
        <v/>
      </c>
      <c r="L533" t="str">
        <f t="shared" si="108"/>
        <v/>
      </c>
      <c r="M533" s="38" t="str">
        <f t="shared" si="98"/>
        <v/>
      </c>
      <c r="N533" s="38" t="str">
        <f t="shared" si="109"/>
        <v/>
      </c>
      <c r="O533" s="38" t="str">
        <f t="shared" si="110"/>
        <v/>
      </c>
      <c r="P533" s="38" t="str">
        <f t="shared" si="99"/>
        <v/>
      </c>
      <c r="Q533" s="38" t="str">
        <f t="shared" si="100"/>
        <v/>
      </c>
      <c r="R533" s="38"/>
    </row>
    <row r="534" spans="1:18" x14ac:dyDescent="0.2">
      <c r="A534" t="str">
        <f t="shared" si="101"/>
        <v/>
      </c>
      <c r="B534" s="38" t="str">
        <f t="shared" si="102"/>
        <v/>
      </c>
      <c r="C534" s="38" t="str">
        <f t="shared" si="111"/>
        <v/>
      </c>
      <c r="D534" s="38" t="str">
        <f t="shared" si="103"/>
        <v/>
      </c>
      <c r="E534" s="38" t="str">
        <f t="shared" si="104"/>
        <v/>
      </c>
      <c r="F534" s="38" t="str">
        <f t="shared" si="105"/>
        <v/>
      </c>
      <c r="G534" s="38" t="str">
        <f t="shared" si="106"/>
        <v/>
      </c>
      <c r="H534" s="38" t="str">
        <f t="shared" si="107"/>
        <v/>
      </c>
      <c r="L534" t="str">
        <f t="shared" si="108"/>
        <v/>
      </c>
      <c r="M534" s="38" t="str">
        <f t="shared" si="98"/>
        <v/>
      </c>
      <c r="N534" s="38" t="str">
        <f t="shared" si="109"/>
        <v/>
      </c>
      <c r="O534" s="38" t="str">
        <f t="shared" si="110"/>
        <v/>
      </c>
      <c r="P534" s="38" t="str">
        <f t="shared" si="99"/>
        <v/>
      </c>
      <c r="Q534" s="38" t="str">
        <f t="shared" si="100"/>
        <v/>
      </c>
      <c r="R534" s="38"/>
    </row>
    <row r="535" spans="1:18" x14ac:dyDescent="0.2">
      <c r="A535" t="str">
        <f t="shared" si="101"/>
        <v/>
      </c>
      <c r="B535" s="38" t="str">
        <f t="shared" si="102"/>
        <v/>
      </c>
      <c r="C535" s="38" t="str">
        <f t="shared" si="111"/>
        <v/>
      </c>
      <c r="D535" s="38" t="str">
        <f t="shared" si="103"/>
        <v/>
      </c>
      <c r="E535" s="38" t="str">
        <f t="shared" si="104"/>
        <v/>
      </c>
      <c r="F535" s="38" t="str">
        <f t="shared" si="105"/>
        <v/>
      </c>
      <c r="G535" s="38" t="str">
        <f t="shared" si="106"/>
        <v/>
      </c>
      <c r="H535" s="38" t="str">
        <f t="shared" si="107"/>
        <v/>
      </c>
      <c r="L535" t="str">
        <f t="shared" si="108"/>
        <v/>
      </c>
      <c r="M535" s="38" t="str">
        <f t="shared" si="98"/>
        <v/>
      </c>
      <c r="N535" s="38" t="str">
        <f t="shared" si="109"/>
        <v/>
      </c>
      <c r="O535" s="38" t="str">
        <f t="shared" si="110"/>
        <v/>
      </c>
      <c r="P535" s="38" t="str">
        <f t="shared" si="99"/>
        <v/>
      </c>
      <c r="Q535" s="38" t="str">
        <f t="shared" si="100"/>
        <v/>
      </c>
      <c r="R535" s="38"/>
    </row>
    <row r="536" spans="1:18" x14ac:dyDescent="0.2">
      <c r="A536" t="str">
        <f t="shared" si="101"/>
        <v/>
      </c>
      <c r="B536" s="38" t="str">
        <f t="shared" si="102"/>
        <v/>
      </c>
      <c r="C536" s="38" t="str">
        <f t="shared" si="111"/>
        <v/>
      </c>
      <c r="D536" s="38" t="str">
        <f t="shared" si="103"/>
        <v/>
      </c>
      <c r="E536" s="38" t="str">
        <f t="shared" si="104"/>
        <v/>
      </c>
      <c r="F536" s="38" t="str">
        <f t="shared" si="105"/>
        <v/>
      </c>
      <c r="G536" s="38" t="str">
        <f t="shared" si="106"/>
        <v/>
      </c>
      <c r="H536" s="38" t="str">
        <f t="shared" si="107"/>
        <v/>
      </c>
      <c r="L536" t="str">
        <f t="shared" si="108"/>
        <v/>
      </c>
      <c r="M536" s="38" t="str">
        <f t="shared" si="98"/>
        <v/>
      </c>
      <c r="N536" s="38" t="str">
        <f t="shared" si="109"/>
        <v/>
      </c>
      <c r="O536" s="38" t="str">
        <f t="shared" si="110"/>
        <v/>
      </c>
      <c r="P536" s="38" t="str">
        <f t="shared" si="99"/>
        <v/>
      </c>
      <c r="Q536" s="38" t="str">
        <f t="shared" si="100"/>
        <v/>
      </c>
      <c r="R536" s="38"/>
    </row>
    <row r="537" spans="1:18" x14ac:dyDescent="0.2">
      <c r="A537" t="str">
        <f t="shared" si="101"/>
        <v/>
      </c>
      <c r="B537" s="38" t="str">
        <f t="shared" si="102"/>
        <v/>
      </c>
      <c r="C537" s="38" t="str">
        <f t="shared" si="111"/>
        <v/>
      </c>
      <c r="D537" s="38" t="str">
        <f t="shared" si="103"/>
        <v/>
      </c>
      <c r="E537" s="38" t="str">
        <f t="shared" si="104"/>
        <v/>
      </c>
      <c r="F537" s="38" t="str">
        <f t="shared" si="105"/>
        <v/>
      </c>
      <c r="G537" s="38" t="str">
        <f t="shared" si="106"/>
        <v/>
      </c>
      <c r="H537" s="38" t="str">
        <f t="shared" si="107"/>
        <v/>
      </c>
      <c r="L537" t="str">
        <f t="shared" si="108"/>
        <v/>
      </c>
      <c r="M537" s="38" t="str">
        <f t="shared" si="98"/>
        <v/>
      </c>
      <c r="N537" s="38" t="str">
        <f t="shared" si="109"/>
        <v/>
      </c>
      <c r="O537" s="38" t="str">
        <f t="shared" si="110"/>
        <v/>
      </c>
      <c r="P537" s="38" t="str">
        <f t="shared" si="99"/>
        <v/>
      </c>
      <c r="Q537" s="38" t="str">
        <f t="shared" si="100"/>
        <v/>
      </c>
      <c r="R537" s="38"/>
    </row>
    <row r="538" spans="1:18" x14ac:dyDescent="0.2">
      <c r="A538" t="str">
        <f t="shared" si="101"/>
        <v/>
      </c>
      <c r="B538" s="38" t="str">
        <f t="shared" si="102"/>
        <v/>
      </c>
      <c r="C538" s="38" t="str">
        <f t="shared" si="111"/>
        <v/>
      </c>
      <c r="D538" s="38" t="str">
        <f t="shared" si="103"/>
        <v/>
      </c>
      <c r="E538" s="38" t="str">
        <f t="shared" si="104"/>
        <v/>
      </c>
      <c r="F538" s="38" t="str">
        <f t="shared" si="105"/>
        <v/>
      </c>
      <c r="G538" s="38" t="str">
        <f t="shared" si="106"/>
        <v/>
      </c>
      <c r="H538" s="38" t="str">
        <f t="shared" si="107"/>
        <v/>
      </c>
      <c r="L538" t="str">
        <f t="shared" si="108"/>
        <v/>
      </c>
      <c r="M538" s="38" t="str">
        <f t="shared" si="98"/>
        <v/>
      </c>
      <c r="N538" s="38" t="str">
        <f t="shared" si="109"/>
        <v/>
      </c>
      <c r="O538" s="38" t="str">
        <f t="shared" si="110"/>
        <v/>
      </c>
      <c r="P538" s="38" t="str">
        <f t="shared" si="99"/>
        <v/>
      </c>
      <c r="Q538" s="38" t="str">
        <f t="shared" si="100"/>
        <v/>
      </c>
      <c r="R538" s="38"/>
    </row>
    <row r="539" spans="1:18" x14ac:dyDescent="0.2">
      <c r="A539" t="str">
        <f t="shared" si="101"/>
        <v/>
      </c>
      <c r="B539" s="38" t="str">
        <f t="shared" si="102"/>
        <v/>
      </c>
      <c r="C539" s="38" t="str">
        <f t="shared" si="111"/>
        <v/>
      </c>
      <c r="D539" s="38" t="str">
        <f t="shared" si="103"/>
        <v/>
      </c>
      <c r="E539" s="38" t="str">
        <f t="shared" si="104"/>
        <v/>
      </c>
      <c r="F539" s="38" t="str">
        <f t="shared" si="105"/>
        <v/>
      </c>
      <c r="G539" s="38" t="str">
        <f t="shared" si="106"/>
        <v/>
      </c>
      <c r="H539" s="38" t="str">
        <f t="shared" si="107"/>
        <v/>
      </c>
      <c r="L539" t="str">
        <f t="shared" si="108"/>
        <v/>
      </c>
      <c r="M539" s="38" t="str">
        <f t="shared" si="98"/>
        <v/>
      </c>
      <c r="N539" s="38" t="str">
        <f t="shared" si="109"/>
        <v/>
      </c>
      <c r="O539" s="38" t="str">
        <f t="shared" si="110"/>
        <v/>
      </c>
      <c r="P539" s="38" t="str">
        <f t="shared" si="99"/>
        <v/>
      </c>
      <c r="Q539" s="38" t="str">
        <f t="shared" si="100"/>
        <v/>
      </c>
      <c r="R539" s="38"/>
    </row>
    <row r="540" spans="1:18" x14ac:dyDescent="0.2">
      <c r="A540" t="str">
        <f t="shared" si="101"/>
        <v/>
      </c>
      <c r="B540" s="38" t="str">
        <f t="shared" si="102"/>
        <v/>
      </c>
      <c r="C540" s="38" t="str">
        <f t="shared" si="111"/>
        <v/>
      </c>
      <c r="D540" s="38" t="str">
        <f t="shared" si="103"/>
        <v/>
      </c>
      <c r="E540" s="38" t="str">
        <f t="shared" si="104"/>
        <v/>
      </c>
      <c r="F540" s="38" t="str">
        <f t="shared" si="105"/>
        <v/>
      </c>
      <c r="G540" s="38" t="str">
        <f t="shared" si="106"/>
        <v/>
      </c>
      <c r="H540" s="38" t="str">
        <f t="shared" si="107"/>
        <v/>
      </c>
      <c r="L540" t="str">
        <f t="shared" si="108"/>
        <v/>
      </c>
      <c r="M540" s="38" t="str">
        <f t="shared" si="98"/>
        <v/>
      </c>
      <c r="N540" s="38" t="str">
        <f t="shared" si="109"/>
        <v/>
      </c>
      <c r="O540" s="38" t="str">
        <f t="shared" si="110"/>
        <v/>
      </c>
      <c r="P540" s="38" t="str">
        <f t="shared" si="99"/>
        <v/>
      </c>
      <c r="Q540" s="38" t="str">
        <f t="shared" si="100"/>
        <v/>
      </c>
      <c r="R540" s="38"/>
    </row>
    <row r="541" spans="1:18" x14ac:dyDescent="0.2">
      <c r="A541" t="str">
        <f t="shared" si="101"/>
        <v/>
      </c>
      <c r="B541" s="38" t="str">
        <f t="shared" si="102"/>
        <v/>
      </c>
      <c r="C541" s="38" t="str">
        <f t="shared" si="111"/>
        <v/>
      </c>
      <c r="D541" s="38" t="str">
        <f t="shared" si="103"/>
        <v/>
      </c>
      <c r="E541" s="38" t="str">
        <f t="shared" si="104"/>
        <v/>
      </c>
      <c r="F541" s="38" t="str">
        <f t="shared" si="105"/>
        <v/>
      </c>
      <c r="G541" s="38" t="str">
        <f t="shared" si="106"/>
        <v/>
      </c>
      <c r="H541" s="38" t="str">
        <f t="shared" si="107"/>
        <v/>
      </c>
      <c r="L541" t="str">
        <f t="shared" si="108"/>
        <v/>
      </c>
      <c r="M541" s="38" t="str">
        <f t="shared" si="98"/>
        <v/>
      </c>
      <c r="N541" s="38" t="str">
        <f t="shared" si="109"/>
        <v/>
      </c>
      <c r="O541" s="38" t="str">
        <f t="shared" si="110"/>
        <v/>
      </c>
      <c r="P541" s="38" t="str">
        <f t="shared" si="99"/>
        <v/>
      </c>
      <c r="Q541" s="38" t="str">
        <f t="shared" si="100"/>
        <v/>
      </c>
      <c r="R541" s="38"/>
    </row>
    <row r="542" spans="1:18" x14ac:dyDescent="0.2">
      <c r="A542" t="str">
        <f t="shared" si="101"/>
        <v/>
      </c>
      <c r="B542" s="38" t="str">
        <f t="shared" si="102"/>
        <v/>
      </c>
      <c r="C542" s="38" t="str">
        <f t="shared" si="111"/>
        <v/>
      </c>
      <c r="D542" s="38" t="str">
        <f t="shared" si="103"/>
        <v/>
      </c>
      <c r="E542" s="38" t="str">
        <f t="shared" si="104"/>
        <v/>
      </c>
      <c r="F542" s="38" t="str">
        <f t="shared" si="105"/>
        <v/>
      </c>
      <c r="G542" s="38" t="str">
        <f t="shared" si="106"/>
        <v/>
      </c>
      <c r="H542" s="38" t="str">
        <f t="shared" si="107"/>
        <v/>
      </c>
      <c r="L542" t="str">
        <f t="shared" si="108"/>
        <v/>
      </c>
      <c r="M542" s="38" t="str">
        <f t="shared" si="98"/>
        <v/>
      </c>
      <c r="N542" s="38" t="str">
        <f t="shared" si="109"/>
        <v/>
      </c>
      <c r="O542" s="38" t="str">
        <f t="shared" si="110"/>
        <v/>
      </c>
      <c r="P542" s="38" t="str">
        <f t="shared" si="99"/>
        <v/>
      </c>
      <c r="Q542" s="38" t="str">
        <f t="shared" si="100"/>
        <v/>
      </c>
      <c r="R542" s="38"/>
    </row>
    <row r="543" spans="1:18" x14ac:dyDescent="0.2">
      <c r="A543" t="str">
        <f t="shared" si="101"/>
        <v/>
      </c>
      <c r="B543" s="38" t="str">
        <f t="shared" si="102"/>
        <v/>
      </c>
      <c r="C543" s="38" t="str">
        <f t="shared" si="111"/>
        <v/>
      </c>
      <c r="D543" s="38" t="str">
        <f t="shared" si="103"/>
        <v/>
      </c>
      <c r="E543" s="38" t="str">
        <f t="shared" si="104"/>
        <v/>
      </c>
      <c r="F543" s="38" t="str">
        <f t="shared" si="105"/>
        <v/>
      </c>
      <c r="G543" s="38" t="str">
        <f t="shared" si="106"/>
        <v/>
      </c>
      <c r="H543" s="38" t="str">
        <f t="shared" si="107"/>
        <v/>
      </c>
      <c r="L543" t="str">
        <f t="shared" si="108"/>
        <v/>
      </c>
      <c r="M543" s="38" t="str">
        <f t="shared" si="98"/>
        <v/>
      </c>
      <c r="N543" s="38" t="str">
        <f t="shared" si="109"/>
        <v/>
      </c>
      <c r="O543" s="38" t="str">
        <f t="shared" si="110"/>
        <v/>
      </c>
      <c r="P543" s="38" t="str">
        <f t="shared" si="99"/>
        <v/>
      </c>
      <c r="Q543" s="38" t="str">
        <f t="shared" si="100"/>
        <v/>
      </c>
      <c r="R543" s="38"/>
    </row>
    <row r="544" spans="1:18" x14ac:dyDescent="0.2">
      <c r="A544" t="str">
        <f t="shared" si="101"/>
        <v/>
      </c>
      <c r="B544" s="38" t="str">
        <f t="shared" si="102"/>
        <v/>
      </c>
      <c r="C544" s="38" t="str">
        <f t="shared" si="111"/>
        <v/>
      </c>
      <c r="D544" s="38" t="str">
        <f t="shared" si="103"/>
        <v/>
      </c>
      <c r="E544" s="38" t="str">
        <f t="shared" si="104"/>
        <v/>
      </c>
      <c r="F544" s="38" t="str">
        <f t="shared" si="105"/>
        <v/>
      </c>
      <c r="G544" s="38" t="str">
        <f t="shared" si="106"/>
        <v/>
      </c>
      <c r="H544" s="38" t="str">
        <f t="shared" si="107"/>
        <v/>
      </c>
      <c r="L544" t="str">
        <f t="shared" si="108"/>
        <v/>
      </c>
      <c r="M544" s="38" t="str">
        <f t="shared" si="98"/>
        <v/>
      </c>
      <c r="N544" s="38" t="str">
        <f t="shared" si="109"/>
        <v/>
      </c>
      <c r="O544" s="38" t="str">
        <f t="shared" si="110"/>
        <v/>
      </c>
      <c r="P544" s="38" t="str">
        <f t="shared" si="99"/>
        <v/>
      </c>
      <c r="Q544" s="38" t="str">
        <f t="shared" si="100"/>
        <v/>
      </c>
      <c r="R544" s="38"/>
    </row>
    <row r="545" spans="1:18" x14ac:dyDescent="0.2">
      <c r="A545" t="str">
        <f t="shared" si="101"/>
        <v/>
      </c>
      <c r="B545" s="38" t="str">
        <f t="shared" si="102"/>
        <v/>
      </c>
      <c r="C545" s="38" t="str">
        <f t="shared" si="111"/>
        <v/>
      </c>
      <c r="D545" s="38" t="str">
        <f t="shared" si="103"/>
        <v/>
      </c>
      <c r="E545" s="38" t="str">
        <f t="shared" si="104"/>
        <v/>
      </c>
      <c r="F545" s="38" t="str">
        <f t="shared" si="105"/>
        <v/>
      </c>
      <c r="G545" s="38" t="str">
        <f t="shared" si="106"/>
        <v/>
      </c>
      <c r="H545" s="38" t="str">
        <f t="shared" si="107"/>
        <v/>
      </c>
      <c r="L545" t="str">
        <f t="shared" si="108"/>
        <v/>
      </c>
      <c r="M545" s="38" t="str">
        <f t="shared" ref="M545:M608" si="112">IF(L545="","",P544)</f>
        <v/>
      </c>
      <c r="N545" s="38" t="str">
        <f t="shared" si="109"/>
        <v/>
      </c>
      <c r="O545" s="38" t="str">
        <f t="shared" si="110"/>
        <v/>
      </c>
      <c r="P545" s="38" t="str">
        <f t="shared" ref="P545:P608" si="113">IF(L545="","", M545+N545+O545)</f>
        <v/>
      </c>
      <c r="Q545" s="38" t="str">
        <f t="shared" ref="Q545:Q608" si="114">IF(L545="","", (Q544+N545))</f>
        <v/>
      </c>
      <c r="R545" s="38"/>
    </row>
    <row r="546" spans="1:18" x14ac:dyDescent="0.2">
      <c r="A546" t="str">
        <f t="shared" ref="A546:A609" si="115">IF(A545&lt;($B$22*$B$23),A545+1,"")</f>
        <v/>
      </c>
      <c r="B546" s="38" t="str">
        <f t="shared" ref="B546:B609" si="116">IF(A546="","",F545)</f>
        <v/>
      </c>
      <c r="C546" s="38" t="str">
        <f t="shared" si="111"/>
        <v/>
      </c>
      <c r="D546" s="38" t="str">
        <f t="shared" ref="D546:D609" si="117">IF(A546="","", D545*(1+$B$21))</f>
        <v/>
      </c>
      <c r="E546" s="38" t="str">
        <f t="shared" ref="E546:E609" si="118">IF(D546="","",(D546-C546))</f>
        <v/>
      </c>
      <c r="F546" s="38" t="str">
        <f t="shared" ref="F546:F609" si="119">IF(A546="","", B546-E546)</f>
        <v/>
      </c>
      <c r="G546" s="38" t="str">
        <f t="shared" ref="G546:G609" si="120">IF(A546="","", (G545+C546))</f>
        <v/>
      </c>
      <c r="H546" s="38" t="str">
        <f t="shared" ref="H546:H609" si="121">IF(A546="","",(H545+E546))</f>
        <v/>
      </c>
      <c r="L546" t="str">
        <f t="shared" ref="L546:L609" si="122">IF(L545&lt;($B$8*$B$9),L545+1,"")</f>
        <v/>
      </c>
      <c r="M546" s="38" t="str">
        <f t="shared" si="112"/>
        <v/>
      </c>
      <c r="N546" s="38" t="str">
        <f t="shared" ref="N546:N609" si="123">IF(L546="","",(M546 *$B$6))</f>
        <v/>
      </c>
      <c r="O546" s="38" t="str">
        <f t="shared" ref="O546:O609" si="124">IF(L546="","",O545*(1+$B$7))</f>
        <v/>
      </c>
      <c r="P546" s="38" t="str">
        <f t="shared" si="113"/>
        <v/>
      </c>
      <c r="Q546" s="38" t="str">
        <f t="shared" si="114"/>
        <v/>
      </c>
      <c r="R546" s="38"/>
    </row>
    <row r="547" spans="1:18" x14ac:dyDescent="0.2">
      <c r="A547" t="str">
        <f t="shared" si="115"/>
        <v/>
      </c>
      <c r="B547" s="38" t="str">
        <f t="shared" si="116"/>
        <v/>
      </c>
      <c r="C547" s="38" t="str">
        <f t="shared" ref="C547:C610" si="125">IF(A547="","",(B547*$B$20))</f>
        <v/>
      </c>
      <c r="D547" s="38" t="str">
        <f t="shared" si="117"/>
        <v/>
      </c>
      <c r="E547" s="38" t="str">
        <f t="shared" si="118"/>
        <v/>
      </c>
      <c r="F547" s="38" t="str">
        <f t="shared" si="119"/>
        <v/>
      </c>
      <c r="G547" s="38" t="str">
        <f t="shared" si="120"/>
        <v/>
      </c>
      <c r="H547" s="38" t="str">
        <f t="shared" si="121"/>
        <v/>
      </c>
      <c r="L547" t="str">
        <f t="shared" si="122"/>
        <v/>
      </c>
      <c r="M547" s="38" t="str">
        <f t="shared" si="112"/>
        <v/>
      </c>
      <c r="N547" s="38" t="str">
        <f t="shared" si="123"/>
        <v/>
      </c>
      <c r="O547" s="38" t="str">
        <f t="shared" si="124"/>
        <v/>
      </c>
      <c r="P547" s="38" t="str">
        <f t="shared" si="113"/>
        <v/>
      </c>
      <c r="Q547" s="38" t="str">
        <f t="shared" si="114"/>
        <v/>
      </c>
      <c r="R547" s="38"/>
    </row>
    <row r="548" spans="1:18" x14ac:dyDescent="0.2">
      <c r="A548" t="str">
        <f t="shared" si="115"/>
        <v/>
      </c>
      <c r="B548" s="38" t="str">
        <f t="shared" si="116"/>
        <v/>
      </c>
      <c r="C548" s="38" t="str">
        <f t="shared" si="125"/>
        <v/>
      </c>
      <c r="D548" s="38" t="str">
        <f t="shared" si="117"/>
        <v/>
      </c>
      <c r="E548" s="38" t="str">
        <f t="shared" si="118"/>
        <v/>
      </c>
      <c r="F548" s="38" t="str">
        <f t="shared" si="119"/>
        <v/>
      </c>
      <c r="G548" s="38" t="str">
        <f t="shared" si="120"/>
        <v/>
      </c>
      <c r="H548" s="38" t="str">
        <f t="shared" si="121"/>
        <v/>
      </c>
      <c r="L548" t="str">
        <f t="shared" si="122"/>
        <v/>
      </c>
      <c r="M548" s="38" t="str">
        <f t="shared" si="112"/>
        <v/>
      </c>
      <c r="N548" s="38" t="str">
        <f t="shared" si="123"/>
        <v/>
      </c>
      <c r="O548" s="38" t="str">
        <f t="shared" si="124"/>
        <v/>
      </c>
      <c r="P548" s="38" t="str">
        <f t="shared" si="113"/>
        <v/>
      </c>
      <c r="Q548" s="38" t="str">
        <f t="shared" si="114"/>
        <v/>
      </c>
      <c r="R548" s="38"/>
    </row>
    <row r="549" spans="1:18" x14ac:dyDescent="0.2">
      <c r="A549" t="str">
        <f t="shared" si="115"/>
        <v/>
      </c>
      <c r="B549" s="38" t="str">
        <f t="shared" si="116"/>
        <v/>
      </c>
      <c r="C549" s="38" t="str">
        <f t="shared" si="125"/>
        <v/>
      </c>
      <c r="D549" s="38" t="str">
        <f t="shared" si="117"/>
        <v/>
      </c>
      <c r="E549" s="38" t="str">
        <f t="shared" si="118"/>
        <v/>
      </c>
      <c r="F549" s="38" t="str">
        <f t="shared" si="119"/>
        <v/>
      </c>
      <c r="G549" s="38" t="str">
        <f t="shared" si="120"/>
        <v/>
      </c>
      <c r="H549" s="38" t="str">
        <f t="shared" si="121"/>
        <v/>
      </c>
      <c r="L549" t="str">
        <f t="shared" si="122"/>
        <v/>
      </c>
      <c r="M549" s="38" t="str">
        <f t="shared" si="112"/>
        <v/>
      </c>
      <c r="N549" s="38" t="str">
        <f t="shared" si="123"/>
        <v/>
      </c>
      <c r="O549" s="38" t="str">
        <f t="shared" si="124"/>
        <v/>
      </c>
      <c r="P549" s="38" t="str">
        <f t="shared" si="113"/>
        <v/>
      </c>
      <c r="Q549" s="38" t="str">
        <f t="shared" si="114"/>
        <v/>
      </c>
      <c r="R549" s="38"/>
    </row>
    <row r="550" spans="1:18" x14ac:dyDescent="0.2">
      <c r="A550" t="str">
        <f t="shared" si="115"/>
        <v/>
      </c>
      <c r="B550" s="38" t="str">
        <f t="shared" si="116"/>
        <v/>
      </c>
      <c r="C550" s="38" t="str">
        <f t="shared" si="125"/>
        <v/>
      </c>
      <c r="D550" s="38" t="str">
        <f t="shared" si="117"/>
        <v/>
      </c>
      <c r="E550" s="38" t="str">
        <f t="shared" si="118"/>
        <v/>
      </c>
      <c r="F550" s="38" t="str">
        <f t="shared" si="119"/>
        <v/>
      </c>
      <c r="G550" s="38" t="str">
        <f t="shared" si="120"/>
        <v/>
      </c>
      <c r="H550" s="38" t="str">
        <f t="shared" si="121"/>
        <v/>
      </c>
      <c r="L550" t="str">
        <f t="shared" si="122"/>
        <v/>
      </c>
      <c r="M550" s="38" t="str">
        <f t="shared" si="112"/>
        <v/>
      </c>
      <c r="N550" s="38" t="str">
        <f t="shared" si="123"/>
        <v/>
      </c>
      <c r="O550" s="38" t="str">
        <f t="shared" si="124"/>
        <v/>
      </c>
      <c r="P550" s="38" t="str">
        <f t="shared" si="113"/>
        <v/>
      </c>
      <c r="Q550" s="38" t="str">
        <f t="shared" si="114"/>
        <v/>
      </c>
      <c r="R550" s="38"/>
    </row>
    <row r="551" spans="1:18" x14ac:dyDescent="0.2">
      <c r="A551" t="str">
        <f t="shared" si="115"/>
        <v/>
      </c>
      <c r="B551" s="38" t="str">
        <f t="shared" si="116"/>
        <v/>
      </c>
      <c r="C551" s="38" t="str">
        <f t="shared" si="125"/>
        <v/>
      </c>
      <c r="D551" s="38" t="str">
        <f t="shared" si="117"/>
        <v/>
      </c>
      <c r="E551" s="38" t="str">
        <f t="shared" si="118"/>
        <v/>
      </c>
      <c r="F551" s="38" t="str">
        <f t="shared" si="119"/>
        <v/>
      </c>
      <c r="G551" s="38" t="str">
        <f t="shared" si="120"/>
        <v/>
      </c>
      <c r="H551" s="38" t="str">
        <f t="shared" si="121"/>
        <v/>
      </c>
      <c r="L551" t="str">
        <f t="shared" si="122"/>
        <v/>
      </c>
      <c r="M551" s="38" t="str">
        <f t="shared" si="112"/>
        <v/>
      </c>
      <c r="N551" s="38" t="str">
        <f t="shared" si="123"/>
        <v/>
      </c>
      <c r="O551" s="38" t="str">
        <f t="shared" si="124"/>
        <v/>
      </c>
      <c r="P551" s="38" t="str">
        <f t="shared" si="113"/>
        <v/>
      </c>
      <c r="Q551" s="38" t="str">
        <f t="shared" si="114"/>
        <v/>
      </c>
      <c r="R551" s="38"/>
    </row>
    <row r="552" spans="1:18" x14ac:dyDescent="0.2">
      <c r="A552" t="str">
        <f t="shared" si="115"/>
        <v/>
      </c>
      <c r="B552" s="38" t="str">
        <f t="shared" si="116"/>
        <v/>
      </c>
      <c r="C552" s="38" t="str">
        <f t="shared" si="125"/>
        <v/>
      </c>
      <c r="D552" s="38" t="str">
        <f t="shared" si="117"/>
        <v/>
      </c>
      <c r="E552" s="38" t="str">
        <f t="shared" si="118"/>
        <v/>
      </c>
      <c r="F552" s="38" t="str">
        <f t="shared" si="119"/>
        <v/>
      </c>
      <c r="G552" s="38" t="str">
        <f t="shared" si="120"/>
        <v/>
      </c>
      <c r="H552" s="38" t="str">
        <f t="shared" si="121"/>
        <v/>
      </c>
      <c r="L552" t="str">
        <f t="shared" si="122"/>
        <v/>
      </c>
      <c r="M552" s="38" t="str">
        <f t="shared" si="112"/>
        <v/>
      </c>
      <c r="N552" s="38" t="str">
        <f t="shared" si="123"/>
        <v/>
      </c>
      <c r="O552" s="38" t="str">
        <f t="shared" si="124"/>
        <v/>
      </c>
      <c r="P552" s="38" t="str">
        <f t="shared" si="113"/>
        <v/>
      </c>
      <c r="Q552" s="38" t="str">
        <f t="shared" si="114"/>
        <v/>
      </c>
      <c r="R552" s="38"/>
    </row>
    <row r="553" spans="1:18" x14ac:dyDescent="0.2">
      <c r="A553" t="str">
        <f t="shared" si="115"/>
        <v/>
      </c>
      <c r="B553" s="38" t="str">
        <f t="shared" si="116"/>
        <v/>
      </c>
      <c r="C553" s="38" t="str">
        <f t="shared" si="125"/>
        <v/>
      </c>
      <c r="D553" s="38" t="str">
        <f t="shared" si="117"/>
        <v/>
      </c>
      <c r="E553" s="38" t="str">
        <f t="shared" si="118"/>
        <v/>
      </c>
      <c r="F553" s="38" t="str">
        <f t="shared" si="119"/>
        <v/>
      </c>
      <c r="G553" s="38" t="str">
        <f t="shared" si="120"/>
        <v/>
      </c>
      <c r="H553" s="38" t="str">
        <f t="shared" si="121"/>
        <v/>
      </c>
      <c r="L553" t="str">
        <f t="shared" si="122"/>
        <v/>
      </c>
      <c r="M553" s="38" t="str">
        <f t="shared" si="112"/>
        <v/>
      </c>
      <c r="N553" s="38" t="str">
        <f t="shared" si="123"/>
        <v/>
      </c>
      <c r="O553" s="38" t="str">
        <f t="shared" si="124"/>
        <v/>
      </c>
      <c r="P553" s="38" t="str">
        <f t="shared" si="113"/>
        <v/>
      </c>
      <c r="Q553" s="38" t="str">
        <f t="shared" si="114"/>
        <v/>
      </c>
      <c r="R553" s="38"/>
    </row>
    <row r="554" spans="1:18" x14ac:dyDescent="0.2">
      <c r="A554" t="str">
        <f t="shared" si="115"/>
        <v/>
      </c>
      <c r="B554" s="38" t="str">
        <f t="shared" si="116"/>
        <v/>
      </c>
      <c r="C554" s="38" t="str">
        <f t="shared" si="125"/>
        <v/>
      </c>
      <c r="D554" s="38" t="str">
        <f t="shared" si="117"/>
        <v/>
      </c>
      <c r="E554" s="38" t="str">
        <f t="shared" si="118"/>
        <v/>
      </c>
      <c r="F554" s="38" t="str">
        <f t="shared" si="119"/>
        <v/>
      </c>
      <c r="G554" s="38" t="str">
        <f t="shared" si="120"/>
        <v/>
      </c>
      <c r="H554" s="38" t="str">
        <f t="shared" si="121"/>
        <v/>
      </c>
      <c r="L554" t="str">
        <f t="shared" si="122"/>
        <v/>
      </c>
      <c r="M554" s="38" t="str">
        <f t="shared" si="112"/>
        <v/>
      </c>
      <c r="N554" s="38" t="str">
        <f t="shared" si="123"/>
        <v/>
      </c>
      <c r="O554" s="38" t="str">
        <f t="shared" si="124"/>
        <v/>
      </c>
      <c r="P554" s="38" t="str">
        <f t="shared" si="113"/>
        <v/>
      </c>
      <c r="Q554" s="38" t="str">
        <f t="shared" si="114"/>
        <v/>
      </c>
      <c r="R554" s="38"/>
    </row>
    <row r="555" spans="1:18" x14ac:dyDescent="0.2">
      <c r="A555" t="str">
        <f t="shared" si="115"/>
        <v/>
      </c>
      <c r="B555" s="38" t="str">
        <f t="shared" si="116"/>
        <v/>
      </c>
      <c r="C555" s="38" t="str">
        <f t="shared" si="125"/>
        <v/>
      </c>
      <c r="D555" s="38" t="str">
        <f t="shared" si="117"/>
        <v/>
      </c>
      <c r="E555" s="38" t="str">
        <f t="shared" si="118"/>
        <v/>
      </c>
      <c r="F555" s="38" t="str">
        <f t="shared" si="119"/>
        <v/>
      </c>
      <c r="G555" s="38" t="str">
        <f t="shared" si="120"/>
        <v/>
      </c>
      <c r="H555" s="38" t="str">
        <f t="shared" si="121"/>
        <v/>
      </c>
      <c r="L555" t="str">
        <f t="shared" si="122"/>
        <v/>
      </c>
      <c r="M555" s="38" t="str">
        <f t="shared" si="112"/>
        <v/>
      </c>
      <c r="N555" s="38" t="str">
        <f t="shared" si="123"/>
        <v/>
      </c>
      <c r="O555" s="38" t="str">
        <f t="shared" si="124"/>
        <v/>
      </c>
      <c r="P555" s="38" t="str">
        <f t="shared" si="113"/>
        <v/>
      </c>
      <c r="Q555" s="38" t="str">
        <f t="shared" si="114"/>
        <v/>
      </c>
      <c r="R555" s="38"/>
    </row>
    <row r="556" spans="1:18" x14ac:dyDescent="0.2">
      <c r="A556" t="str">
        <f t="shared" si="115"/>
        <v/>
      </c>
      <c r="B556" s="38" t="str">
        <f t="shared" si="116"/>
        <v/>
      </c>
      <c r="C556" s="38" t="str">
        <f t="shared" si="125"/>
        <v/>
      </c>
      <c r="D556" s="38" t="str">
        <f t="shared" si="117"/>
        <v/>
      </c>
      <c r="E556" s="38" t="str">
        <f t="shared" si="118"/>
        <v/>
      </c>
      <c r="F556" s="38" t="str">
        <f t="shared" si="119"/>
        <v/>
      </c>
      <c r="G556" s="38" t="str">
        <f t="shared" si="120"/>
        <v/>
      </c>
      <c r="H556" s="38" t="str">
        <f t="shared" si="121"/>
        <v/>
      </c>
      <c r="L556" t="str">
        <f t="shared" si="122"/>
        <v/>
      </c>
      <c r="M556" s="38" t="str">
        <f t="shared" si="112"/>
        <v/>
      </c>
      <c r="N556" s="38" t="str">
        <f t="shared" si="123"/>
        <v/>
      </c>
      <c r="O556" s="38" t="str">
        <f t="shared" si="124"/>
        <v/>
      </c>
      <c r="P556" s="38" t="str">
        <f t="shared" si="113"/>
        <v/>
      </c>
      <c r="Q556" s="38" t="str">
        <f t="shared" si="114"/>
        <v/>
      </c>
      <c r="R556" s="38"/>
    </row>
    <row r="557" spans="1:18" x14ac:dyDescent="0.2">
      <c r="A557" t="str">
        <f t="shared" si="115"/>
        <v/>
      </c>
      <c r="B557" s="38" t="str">
        <f t="shared" si="116"/>
        <v/>
      </c>
      <c r="C557" s="38" t="str">
        <f t="shared" si="125"/>
        <v/>
      </c>
      <c r="D557" s="38" t="str">
        <f t="shared" si="117"/>
        <v/>
      </c>
      <c r="E557" s="38" t="str">
        <f t="shared" si="118"/>
        <v/>
      </c>
      <c r="F557" s="38" t="str">
        <f t="shared" si="119"/>
        <v/>
      </c>
      <c r="G557" s="38" t="str">
        <f t="shared" si="120"/>
        <v/>
      </c>
      <c r="H557" s="38" t="str">
        <f t="shared" si="121"/>
        <v/>
      </c>
      <c r="L557" t="str">
        <f t="shared" si="122"/>
        <v/>
      </c>
      <c r="M557" s="38" t="str">
        <f t="shared" si="112"/>
        <v/>
      </c>
      <c r="N557" s="38" t="str">
        <f t="shared" si="123"/>
        <v/>
      </c>
      <c r="O557" s="38" t="str">
        <f t="shared" si="124"/>
        <v/>
      </c>
      <c r="P557" s="38" t="str">
        <f t="shared" si="113"/>
        <v/>
      </c>
      <c r="Q557" s="38" t="str">
        <f t="shared" si="114"/>
        <v/>
      </c>
      <c r="R557" s="38"/>
    </row>
    <row r="558" spans="1:18" x14ac:dyDescent="0.2">
      <c r="A558" t="str">
        <f t="shared" si="115"/>
        <v/>
      </c>
      <c r="B558" s="38" t="str">
        <f t="shared" si="116"/>
        <v/>
      </c>
      <c r="C558" s="38" t="str">
        <f t="shared" si="125"/>
        <v/>
      </c>
      <c r="D558" s="38" t="str">
        <f t="shared" si="117"/>
        <v/>
      </c>
      <c r="E558" s="38" t="str">
        <f t="shared" si="118"/>
        <v/>
      </c>
      <c r="F558" s="38" t="str">
        <f t="shared" si="119"/>
        <v/>
      </c>
      <c r="G558" s="38" t="str">
        <f t="shared" si="120"/>
        <v/>
      </c>
      <c r="H558" s="38" t="str">
        <f t="shared" si="121"/>
        <v/>
      </c>
      <c r="L558" t="str">
        <f t="shared" si="122"/>
        <v/>
      </c>
      <c r="M558" s="38" t="str">
        <f t="shared" si="112"/>
        <v/>
      </c>
      <c r="N558" s="38" t="str">
        <f t="shared" si="123"/>
        <v/>
      </c>
      <c r="O558" s="38" t="str">
        <f t="shared" si="124"/>
        <v/>
      </c>
      <c r="P558" s="38" t="str">
        <f t="shared" si="113"/>
        <v/>
      </c>
      <c r="Q558" s="38" t="str">
        <f t="shared" si="114"/>
        <v/>
      </c>
      <c r="R558" s="38"/>
    </row>
    <row r="559" spans="1:18" x14ac:dyDescent="0.2">
      <c r="A559" t="str">
        <f t="shared" si="115"/>
        <v/>
      </c>
      <c r="B559" s="38" t="str">
        <f t="shared" si="116"/>
        <v/>
      </c>
      <c r="C559" s="38" t="str">
        <f t="shared" si="125"/>
        <v/>
      </c>
      <c r="D559" s="38" t="str">
        <f t="shared" si="117"/>
        <v/>
      </c>
      <c r="E559" s="38" t="str">
        <f t="shared" si="118"/>
        <v/>
      </c>
      <c r="F559" s="38" t="str">
        <f t="shared" si="119"/>
        <v/>
      </c>
      <c r="G559" s="38" t="str">
        <f t="shared" si="120"/>
        <v/>
      </c>
      <c r="H559" s="38" t="str">
        <f t="shared" si="121"/>
        <v/>
      </c>
      <c r="L559" t="str">
        <f t="shared" si="122"/>
        <v/>
      </c>
      <c r="M559" s="38" t="str">
        <f t="shared" si="112"/>
        <v/>
      </c>
      <c r="N559" s="38" t="str">
        <f t="shared" si="123"/>
        <v/>
      </c>
      <c r="O559" s="38" t="str">
        <f t="shared" si="124"/>
        <v/>
      </c>
      <c r="P559" s="38" t="str">
        <f t="shared" si="113"/>
        <v/>
      </c>
      <c r="Q559" s="38" t="str">
        <f t="shared" si="114"/>
        <v/>
      </c>
      <c r="R559" s="38"/>
    </row>
    <row r="560" spans="1:18" x14ac:dyDescent="0.2">
      <c r="A560" t="str">
        <f t="shared" si="115"/>
        <v/>
      </c>
      <c r="B560" s="38" t="str">
        <f t="shared" si="116"/>
        <v/>
      </c>
      <c r="C560" s="38" t="str">
        <f t="shared" si="125"/>
        <v/>
      </c>
      <c r="D560" s="38" t="str">
        <f t="shared" si="117"/>
        <v/>
      </c>
      <c r="E560" s="38" t="str">
        <f t="shared" si="118"/>
        <v/>
      </c>
      <c r="F560" s="38" t="str">
        <f t="shared" si="119"/>
        <v/>
      </c>
      <c r="G560" s="38" t="str">
        <f t="shared" si="120"/>
        <v/>
      </c>
      <c r="H560" s="38" t="str">
        <f t="shared" si="121"/>
        <v/>
      </c>
      <c r="L560" t="str">
        <f t="shared" si="122"/>
        <v/>
      </c>
      <c r="M560" s="38" t="str">
        <f t="shared" si="112"/>
        <v/>
      </c>
      <c r="N560" s="38" t="str">
        <f t="shared" si="123"/>
        <v/>
      </c>
      <c r="O560" s="38" t="str">
        <f t="shared" si="124"/>
        <v/>
      </c>
      <c r="P560" s="38" t="str">
        <f t="shared" si="113"/>
        <v/>
      </c>
      <c r="Q560" s="38" t="str">
        <f t="shared" si="114"/>
        <v/>
      </c>
      <c r="R560" s="38"/>
    </row>
    <row r="561" spans="1:18" x14ac:dyDescent="0.2">
      <c r="A561" t="str">
        <f t="shared" si="115"/>
        <v/>
      </c>
      <c r="B561" s="38" t="str">
        <f t="shared" si="116"/>
        <v/>
      </c>
      <c r="C561" s="38" t="str">
        <f t="shared" si="125"/>
        <v/>
      </c>
      <c r="D561" s="38" t="str">
        <f t="shared" si="117"/>
        <v/>
      </c>
      <c r="E561" s="38" t="str">
        <f t="shared" si="118"/>
        <v/>
      </c>
      <c r="F561" s="38" t="str">
        <f t="shared" si="119"/>
        <v/>
      </c>
      <c r="G561" s="38" t="str">
        <f t="shared" si="120"/>
        <v/>
      </c>
      <c r="H561" s="38" t="str">
        <f t="shared" si="121"/>
        <v/>
      </c>
      <c r="L561" t="str">
        <f t="shared" si="122"/>
        <v/>
      </c>
      <c r="M561" s="38" t="str">
        <f t="shared" si="112"/>
        <v/>
      </c>
      <c r="N561" s="38" t="str">
        <f t="shared" si="123"/>
        <v/>
      </c>
      <c r="O561" s="38" t="str">
        <f t="shared" si="124"/>
        <v/>
      </c>
      <c r="P561" s="38" t="str">
        <f t="shared" si="113"/>
        <v/>
      </c>
      <c r="Q561" s="38" t="str">
        <f t="shared" si="114"/>
        <v/>
      </c>
      <c r="R561" s="38"/>
    </row>
    <row r="562" spans="1:18" x14ac:dyDescent="0.2">
      <c r="A562" t="str">
        <f t="shared" si="115"/>
        <v/>
      </c>
      <c r="B562" s="38" t="str">
        <f t="shared" si="116"/>
        <v/>
      </c>
      <c r="C562" s="38" t="str">
        <f t="shared" si="125"/>
        <v/>
      </c>
      <c r="D562" s="38" t="str">
        <f t="shared" si="117"/>
        <v/>
      </c>
      <c r="E562" s="38" t="str">
        <f t="shared" si="118"/>
        <v/>
      </c>
      <c r="F562" s="38" t="str">
        <f t="shared" si="119"/>
        <v/>
      </c>
      <c r="G562" s="38" t="str">
        <f t="shared" si="120"/>
        <v/>
      </c>
      <c r="H562" s="38" t="str">
        <f t="shared" si="121"/>
        <v/>
      </c>
      <c r="L562" t="str">
        <f t="shared" si="122"/>
        <v/>
      </c>
      <c r="M562" s="38" t="str">
        <f t="shared" si="112"/>
        <v/>
      </c>
      <c r="N562" s="38" t="str">
        <f t="shared" si="123"/>
        <v/>
      </c>
      <c r="O562" s="38" t="str">
        <f t="shared" si="124"/>
        <v/>
      </c>
      <c r="P562" s="38" t="str">
        <f t="shared" si="113"/>
        <v/>
      </c>
      <c r="Q562" s="38" t="str">
        <f t="shared" si="114"/>
        <v/>
      </c>
      <c r="R562" s="38"/>
    </row>
    <row r="563" spans="1:18" x14ac:dyDescent="0.2">
      <c r="A563" t="str">
        <f t="shared" si="115"/>
        <v/>
      </c>
      <c r="B563" s="38" t="str">
        <f t="shared" si="116"/>
        <v/>
      </c>
      <c r="C563" s="38" t="str">
        <f t="shared" si="125"/>
        <v/>
      </c>
      <c r="D563" s="38" t="str">
        <f t="shared" si="117"/>
        <v/>
      </c>
      <c r="E563" s="38" t="str">
        <f t="shared" si="118"/>
        <v/>
      </c>
      <c r="F563" s="38" t="str">
        <f t="shared" si="119"/>
        <v/>
      </c>
      <c r="G563" s="38" t="str">
        <f t="shared" si="120"/>
        <v/>
      </c>
      <c r="H563" s="38" t="str">
        <f t="shared" si="121"/>
        <v/>
      </c>
      <c r="L563" t="str">
        <f t="shared" si="122"/>
        <v/>
      </c>
      <c r="M563" s="38" t="str">
        <f t="shared" si="112"/>
        <v/>
      </c>
      <c r="N563" s="38" t="str">
        <f t="shared" si="123"/>
        <v/>
      </c>
      <c r="O563" s="38" t="str">
        <f t="shared" si="124"/>
        <v/>
      </c>
      <c r="P563" s="38" t="str">
        <f t="shared" si="113"/>
        <v/>
      </c>
      <c r="Q563" s="38" t="str">
        <f t="shared" si="114"/>
        <v/>
      </c>
      <c r="R563" s="38"/>
    </row>
    <row r="564" spans="1:18" x14ac:dyDescent="0.2">
      <c r="A564" t="str">
        <f t="shared" si="115"/>
        <v/>
      </c>
      <c r="B564" s="38" t="str">
        <f t="shared" si="116"/>
        <v/>
      </c>
      <c r="C564" s="38" t="str">
        <f t="shared" si="125"/>
        <v/>
      </c>
      <c r="D564" s="38" t="str">
        <f t="shared" si="117"/>
        <v/>
      </c>
      <c r="E564" s="38" t="str">
        <f t="shared" si="118"/>
        <v/>
      </c>
      <c r="F564" s="38" t="str">
        <f t="shared" si="119"/>
        <v/>
      </c>
      <c r="G564" s="38" t="str">
        <f t="shared" si="120"/>
        <v/>
      </c>
      <c r="H564" s="38" t="str">
        <f t="shared" si="121"/>
        <v/>
      </c>
      <c r="L564" t="str">
        <f t="shared" si="122"/>
        <v/>
      </c>
      <c r="M564" s="38" t="str">
        <f t="shared" si="112"/>
        <v/>
      </c>
      <c r="N564" s="38" t="str">
        <f t="shared" si="123"/>
        <v/>
      </c>
      <c r="O564" s="38" t="str">
        <f t="shared" si="124"/>
        <v/>
      </c>
      <c r="P564" s="38" t="str">
        <f t="shared" si="113"/>
        <v/>
      </c>
      <c r="Q564" s="38" t="str">
        <f t="shared" si="114"/>
        <v/>
      </c>
      <c r="R564" s="38"/>
    </row>
    <row r="565" spans="1:18" x14ac:dyDescent="0.2">
      <c r="A565" t="str">
        <f t="shared" si="115"/>
        <v/>
      </c>
      <c r="B565" s="38" t="str">
        <f t="shared" si="116"/>
        <v/>
      </c>
      <c r="C565" s="38" t="str">
        <f t="shared" si="125"/>
        <v/>
      </c>
      <c r="D565" s="38" t="str">
        <f t="shared" si="117"/>
        <v/>
      </c>
      <c r="E565" s="38" t="str">
        <f t="shared" si="118"/>
        <v/>
      </c>
      <c r="F565" s="38" t="str">
        <f t="shared" si="119"/>
        <v/>
      </c>
      <c r="G565" s="38" t="str">
        <f t="shared" si="120"/>
        <v/>
      </c>
      <c r="H565" s="38" t="str">
        <f t="shared" si="121"/>
        <v/>
      </c>
      <c r="L565" t="str">
        <f t="shared" si="122"/>
        <v/>
      </c>
      <c r="M565" s="38" t="str">
        <f t="shared" si="112"/>
        <v/>
      </c>
      <c r="N565" s="38" t="str">
        <f t="shared" si="123"/>
        <v/>
      </c>
      <c r="O565" s="38" t="str">
        <f t="shared" si="124"/>
        <v/>
      </c>
      <c r="P565" s="38" t="str">
        <f t="shared" si="113"/>
        <v/>
      </c>
      <c r="Q565" s="38" t="str">
        <f t="shared" si="114"/>
        <v/>
      </c>
      <c r="R565" s="38"/>
    </row>
    <row r="566" spans="1:18" x14ac:dyDescent="0.2">
      <c r="A566" t="str">
        <f t="shared" si="115"/>
        <v/>
      </c>
      <c r="B566" s="38" t="str">
        <f t="shared" si="116"/>
        <v/>
      </c>
      <c r="C566" s="38" t="str">
        <f t="shared" si="125"/>
        <v/>
      </c>
      <c r="D566" s="38" t="str">
        <f t="shared" si="117"/>
        <v/>
      </c>
      <c r="E566" s="38" t="str">
        <f t="shared" si="118"/>
        <v/>
      </c>
      <c r="F566" s="38" t="str">
        <f t="shared" si="119"/>
        <v/>
      </c>
      <c r="G566" s="38" t="str">
        <f t="shared" si="120"/>
        <v/>
      </c>
      <c r="H566" s="38" t="str">
        <f t="shared" si="121"/>
        <v/>
      </c>
      <c r="L566" t="str">
        <f t="shared" si="122"/>
        <v/>
      </c>
      <c r="M566" s="38" t="str">
        <f t="shared" si="112"/>
        <v/>
      </c>
      <c r="N566" s="38" t="str">
        <f t="shared" si="123"/>
        <v/>
      </c>
      <c r="O566" s="38" t="str">
        <f t="shared" si="124"/>
        <v/>
      </c>
      <c r="P566" s="38" t="str">
        <f t="shared" si="113"/>
        <v/>
      </c>
      <c r="Q566" s="38" t="str">
        <f t="shared" si="114"/>
        <v/>
      </c>
      <c r="R566" s="38"/>
    </row>
    <row r="567" spans="1:18" x14ac:dyDescent="0.2">
      <c r="A567" t="str">
        <f t="shared" si="115"/>
        <v/>
      </c>
      <c r="B567" s="38" t="str">
        <f t="shared" si="116"/>
        <v/>
      </c>
      <c r="C567" s="38" t="str">
        <f t="shared" si="125"/>
        <v/>
      </c>
      <c r="D567" s="38" t="str">
        <f t="shared" si="117"/>
        <v/>
      </c>
      <c r="E567" s="38" t="str">
        <f t="shared" si="118"/>
        <v/>
      </c>
      <c r="F567" s="38" t="str">
        <f t="shared" si="119"/>
        <v/>
      </c>
      <c r="G567" s="38" t="str">
        <f t="shared" si="120"/>
        <v/>
      </c>
      <c r="H567" s="38" t="str">
        <f t="shared" si="121"/>
        <v/>
      </c>
      <c r="L567" t="str">
        <f t="shared" si="122"/>
        <v/>
      </c>
      <c r="M567" s="38" t="str">
        <f t="shared" si="112"/>
        <v/>
      </c>
      <c r="N567" s="38" t="str">
        <f t="shared" si="123"/>
        <v/>
      </c>
      <c r="O567" s="38" t="str">
        <f t="shared" si="124"/>
        <v/>
      </c>
      <c r="P567" s="38" t="str">
        <f t="shared" si="113"/>
        <v/>
      </c>
      <c r="Q567" s="38" t="str">
        <f t="shared" si="114"/>
        <v/>
      </c>
      <c r="R567" s="38"/>
    </row>
    <row r="568" spans="1:18" x14ac:dyDescent="0.2">
      <c r="A568" t="str">
        <f t="shared" si="115"/>
        <v/>
      </c>
      <c r="B568" s="38" t="str">
        <f t="shared" si="116"/>
        <v/>
      </c>
      <c r="C568" s="38" t="str">
        <f t="shared" si="125"/>
        <v/>
      </c>
      <c r="D568" s="38" t="str">
        <f t="shared" si="117"/>
        <v/>
      </c>
      <c r="E568" s="38" t="str">
        <f t="shared" si="118"/>
        <v/>
      </c>
      <c r="F568" s="38" t="str">
        <f t="shared" si="119"/>
        <v/>
      </c>
      <c r="G568" s="38" t="str">
        <f t="shared" si="120"/>
        <v/>
      </c>
      <c r="H568" s="38" t="str">
        <f t="shared" si="121"/>
        <v/>
      </c>
      <c r="L568" t="str">
        <f t="shared" si="122"/>
        <v/>
      </c>
      <c r="M568" s="38" t="str">
        <f t="shared" si="112"/>
        <v/>
      </c>
      <c r="N568" s="38" t="str">
        <f t="shared" si="123"/>
        <v/>
      </c>
      <c r="O568" s="38" t="str">
        <f t="shared" si="124"/>
        <v/>
      </c>
      <c r="P568" s="38" t="str">
        <f t="shared" si="113"/>
        <v/>
      </c>
      <c r="Q568" s="38" t="str">
        <f t="shared" si="114"/>
        <v/>
      </c>
      <c r="R568" s="38"/>
    </row>
    <row r="569" spans="1:18" x14ac:dyDescent="0.2">
      <c r="A569" t="str">
        <f t="shared" si="115"/>
        <v/>
      </c>
      <c r="B569" s="38" t="str">
        <f t="shared" si="116"/>
        <v/>
      </c>
      <c r="C569" s="38" t="str">
        <f t="shared" si="125"/>
        <v/>
      </c>
      <c r="D569" s="38" t="str">
        <f t="shared" si="117"/>
        <v/>
      </c>
      <c r="E569" s="38" t="str">
        <f t="shared" si="118"/>
        <v/>
      </c>
      <c r="F569" s="38" t="str">
        <f t="shared" si="119"/>
        <v/>
      </c>
      <c r="G569" s="38" t="str">
        <f t="shared" si="120"/>
        <v/>
      </c>
      <c r="H569" s="38" t="str">
        <f t="shared" si="121"/>
        <v/>
      </c>
      <c r="L569" t="str">
        <f t="shared" si="122"/>
        <v/>
      </c>
      <c r="M569" s="38" t="str">
        <f t="shared" si="112"/>
        <v/>
      </c>
      <c r="N569" s="38" t="str">
        <f t="shared" si="123"/>
        <v/>
      </c>
      <c r="O569" s="38" t="str">
        <f t="shared" si="124"/>
        <v/>
      </c>
      <c r="P569" s="38" t="str">
        <f t="shared" si="113"/>
        <v/>
      </c>
      <c r="Q569" s="38" t="str">
        <f t="shared" si="114"/>
        <v/>
      </c>
      <c r="R569" s="38"/>
    </row>
    <row r="570" spans="1:18" x14ac:dyDescent="0.2">
      <c r="A570" t="str">
        <f t="shared" si="115"/>
        <v/>
      </c>
      <c r="B570" s="38" t="str">
        <f t="shared" si="116"/>
        <v/>
      </c>
      <c r="C570" s="38" t="str">
        <f t="shared" si="125"/>
        <v/>
      </c>
      <c r="D570" s="38" t="str">
        <f t="shared" si="117"/>
        <v/>
      </c>
      <c r="E570" s="38" t="str">
        <f t="shared" si="118"/>
        <v/>
      </c>
      <c r="F570" s="38" t="str">
        <f t="shared" si="119"/>
        <v/>
      </c>
      <c r="G570" s="38" t="str">
        <f t="shared" si="120"/>
        <v/>
      </c>
      <c r="H570" s="38" t="str">
        <f t="shared" si="121"/>
        <v/>
      </c>
      <c r="L570" t="str">
        <f t="shared" si="122"/>
        <v/>
      </c>
      <c r="M570" s="38" t="str">
        <f t="shared" si="112"/>
        <v/>
      </c>
      <c r="N570" s="38" t="str">
        <f t="shared" si="123"/>
        <v/>
      </c>
      <c r="O570" s="38" t="str">
        <f t="shared" si="124"/>
        <v/>
      </c>
      <c r="P570" s="38" t="str">
        <f t="shared" si="113"/>
        <v/>
      </c>
      <c r="Q570" s="38" t="str">
        <f t="shared" si="114"/>
        <v/>
      </c>
      <c r="R570" s="38"/>
    </row>
    <row r="571" spans="1:18" x14ac:dyDescent="0.2">
      <c r="A571" t="str">
        <f t="shared" si="115"/>
        <v/>
      </c>
      <c r="B571" s="38" t="str">
        <f t="shared" si="116"/>
        <v/>
      </c>
      <c r="C571" s="38" t="str">
        <f t="shared" si="125"/>
        <v/>
      </c>
      <c r="D571" s="38" t="str">
        <f t="shared" si="117"/>
        <v/>
      </c>
      <c r="E571" s="38" t="str">
        <f t="shared" si="118"/>
        <v/>
      </c>
      <c r="F571" s="38" t="str">
        <f t="shared" si="119"/>
        <v/>
      </c>
      <c r="G571" s="38" t="str">
        <f t="shared" si="120"/>
        <v/>
      </c>
      <c r="H571" s="38" t="str">
        <f t="shared" si="121"/>
        <v/>
      </c>
      <c r="L571" t="str">
        <f t="shared" si="122"/>
        <v/>
      </c>
      <c r="M571" s="38" t="str">
        <f t="shared" si="112"/>
        <v/>
      </c>
      <c r="N571" s="38" t="str">
        <f t="shared" si="123"/>
        <v/>
      </c>
      <c r="O571" s="38" t="str">
        <f t="shared" si="124"/>
        <v/>
      </c>
      <c r="P571" s="38" t="str">
        <f t="shared" si="113"/>
        <v/>
      </c>
      <c r="Q571" s="38" t="str">
        <f t="shared" si="114"/>
        <v/>
      </c>
      <c r="R571" s="38"/>
    </row>
    <row r="572" spans="1:18" x14ac:dyDescent="0.2">
      <c r="A572" t="str">
        <f t="shared" si="115"/>
        <v/>
      </c>
      <c r="B572" s="38" t="str">
        <f t="shared" si="116"/>
        <v/>
      </c>
      <c r="C572" s="38" t="str">
        <f t="shared" si="125"/>
        <v/>
      </c>
      <c r="D572" s="38" t="str">
        <f t="shared" si="117"/>
        <v/>
      </c>
      <c r="E572" s="38" t="str">
        <f t="shared" si="118"/>
        <v/>
      </c>
      <c r="F572" s="38" t="str">
        <f t="shared" si="119"/>
        <v/>
      </c>
      <c r="G572" s="38" t="str">
        <f t="shared" si="120"/>
        <v/>
      </c>
      <c r="H572" s="38" t="str">
        <f t="shared" si="121"/>
        <v/>
      </c>
      <c r="L572" t="str">
        <f t="shared" si="122"/>
        <v/>
      </c>
      <c r="M572" s="38" t="str">
        <f t="shared" si="112"/>
        <v/>
      </c>
      <c r="N572" s="38" t="str">
        <f t="shared" si="123"/>
        <v/>
      </c>
      <c r="O572" s="38" t="str">
        <f t="shared" si="124"/>
        <v/>
      </c>
      <c r="P572" s="38" t="str">
        <f t="shared" si="113"/>
        <v/>
      </c>
      <c r="Q572" s="38" t="str">
        <f t="shared" si="114"/>
        <v/>
      </c>
      <c r="R572" s="38"/>
    </row>
    <row r="573" spans="1:18" x14ac:dyDescent="0.2">
      <c r="A573" t="str">
        <f t="shared" si="115"/>
        <v/>
      </c>
      <c r="B573" s="38" t="str">
        <f t="shared" si="116"/>
        <v/>
      </c>
      <c r="C573" s="38" t="str">
        <f t="shared" si="125"/>
        <v/>
      </c>
      <c r="D573" s="38" t="str">
        <f t="shared" si="117"/>
        <v/>
      </c>
      <c r="E573" s="38" t="str">
        <f t="shared" si="118"/>
        <v/>
      </c>
      <c r="F573" s="38" t="str">
        <f t="shared" si="119"/>
        <v/>
      </c>
      <c r="G573" s="38" t="str">
        <f t="shared" si="120"/>
        <v/>
      </c>
      <c r="H573" s="38" t="str">
        <f t="shared" si="121"/>
        <v/>
      </c>
      <c r="L573" t="str">
        <f t="shared" si="122"/>
        <v/>
      </c>
      <c r="M573" s="38" t="str">
        <f t="shared" si="112"/>
        <v/>
      </c>
      <c r="N573" s="38" t="str">
        <f t="shared" si="123"/>
        <v/>
      </c>
      <c r="O573" s="38" t="str">
        <f t="shared" si="124"/>
        <v/>
      </c>
      <c r="P573" s="38" t="str">
        <f t="shared" si="113"/>
        <v/>
      </c>
      <c r="Q573" s="38" t="str">
        <f t="shared" si="114"/>
        <v/>
      </c>
      <c r="R573" s="38"/>
    </row>
    <row r="574" spans="1:18" x14ac:dyDescent="0.2">
      <c r="A574" t="str">
        <f t="shared" si="115"/>
        <v/>
      </c>
      <c r="B574" s="38" t="str">
        <f t="shared" si="116"/>
        <v/>
      </c>
      <c r="C574" s="38" t="str">
        <f t="shared" si="125"/>
        <v/>
      </c>
      <c r="D574" s="38" t="str">
        <f t="shared" si="117"/>
        <v/>
      </c>
      <c r="E574" s="38" t="str">
        <f t="shared" si="118"/>
        <v/>
      </c>
      <c r="F574" s="38" t="str">
        <f t="shared" si="119"/>
        <v/>
      </c>
      <c r="G574" s="38" t="str">
        <f t="shared" si="120"/>
        <v/>
      </c>
      <c r="H574" s="38" t="str">
        <f t="shared" si="121"/>
        <v/>
      </c>
      <c r="L574" t="str">
        <f t="shared" si="122"/>
        <v/>
      </c>
      <c r="M574" s="38" t="str">
        <f t="shared" si="112"/>
        <v/>
      </c>
      <c r="N574" s="38" t="str">
        <f t="shared" si="123"/>
        <v/>
      </c>
      <c r="O574" s="38" t="str">
        <f t="shared" si="124"/>
        <v/>
      </c>
      <c r="P574" s="38" t="str">
        <f t="shared" si="113"/>
        <v/>
      </c>
      <c r="Q574" s="38" t="str">
        <f t="shared" si="114"/>
        <v/>
      </c>
      <c r="R574" s="38"/>
    </row>
    <row r="575" spans="1:18" x14ac:dyDescent="0.2">
      <c r="A575" t="str">
        <f t="shared" si="115"/>
        <v/>
      </c>
      <c r="B575" s="38" t="str">
        <f t="shared" si="116"/>
        <v/>
      </c>
      <c r="C575" s="38" t="str">
        <f t="shared" si="125"/>
        <v/>
      </c>
      <c r="D575" s="38" t="str">
        <f t="shared" si="117"/>
        <v/>
      </c>
      <c r="E575" s="38" t="str">
        <f t="shared" si="118"/>
        <v/>
      </c>
      <c r="F575" s="38" t="str">
        <f t="shared" si="119"/>
        <v/>
      </c>
      <c r="G575" s="38" t="str">
        <f t="shared" si="120"/>
        <v/>
      </c>
      <c r="H575" s="38" t="str">
        <f t="shared" si="121"/>
        <v/>
      </c>
      <c r="L575" t="str">
        <f t="shared" si="122"/>
        <v/>
      </c>
      <c r="M575" s="38" t="str">
        <f t="shared" si="112"/>
        <v/>
      </c>
      <c r="N575" s="38" t="str">
        <f t="shared" si="123"/>
        <v/>
      </c>
      <c r="O575" s="38" t="str">
        <f t="shared" si="124"/>
        <v/>
      </c>
      <c r="P575" s="38" t="str">
        <f t="shared" si="113"/>
        <v/>
      </c>
      <c r="Q575" s="38" t="str">
        <f t="shared" si="114"/>
        <v/>
      </c>
      <c r="R575" s="38"/>
    </row>
    <row r="576" spans="1:18" x14ac:dyDescent="0.2">
      <c r="A576" t="str">
        <f t="shared" si="115"/>
        <v/>
      </c>
      <c r="B576" s="38" t="str">
        <f t="shared" si="116"/>
        <v/>
      </c>
      <c r="C576" s="38" t="str">
        <f t="shared" si="125"/>
        <v/>
      </c>
      <c r="D576" s="38" t="str">
        <f t="shared" si="117"/>
        <v/>
      </c>
      <c r="E576" s="38" t="str">
        <f t="shared" si="118"/>
        <v/>
      </c>
      <c r="F576" s="38" t="str">
        <f t="shared" si="119"/>
        <v/>
      </c>
      <c r="G576" s="38" t="str">
        <f t="shared" si="120"/>
        <v/>
      </c>
      <c r="H576" s="38" t="str">
        <f t="shared" si="121"/>
        <v/>
      </c>
      <c r="L576" t="str">
        <f t="shared" si="122"/>
        <v/>
      </c>
      <c r="M576" s="38" t="str">
        <f t="shared" si="112"/>
        <v/>
      </c>
      <c r="N576" s="38" t="str">
        <f t="shared" si="123"/>
        <v/>
      </c>
      <c r="O576" s="38" t="str">
        <f t="shared" si="124"/>
        <v/>
      </c>
      <c r="P576" s="38" t="str">
        <f t="shared" si="113"/>
        <v/>
      </c>
      <c r="Q576" s="38" t="str">
        <f t="shared" si="114"/>
        <v/>
      </c>
      <c r="R576" s="38"/>
    </row>
    <row r="577" spans="1:18" x14ac:dyDescent="0.2">
      <c r="A577" t="str">
        <f t="shared" si="115"/>
        <v/>
      </c>
      <c r="B577" s="38" t="str">
        <f t="shared" si="116"/>
        <v/>
      </c>
      <c r="C577" s="38" t="str">
        <f t="shared" si="125"/>
        <v/>
      </c>
      <c r="D577" s="38" t="str">
        <f t="shared" si="117"/>
        <v/>
      </c>
      <c r="E577" s="38" t="str">
        <f t="shared" si="118"/>
        <v/>
      </c>
      <c r="F577" s="38" t="str">
        <f t="shared" si="119"/>
        <v/>
      </c>
      <c r="G577" s="38" t="str">
        <f t="shared" si="120"/>
        <v/>
      </c>
      <c r="H577" s="38" t="str">
        <f t="shared" si="121"/>
        <v/>
      </c>
      <c r="L577" t="str">
        <f t="shared" si="122"/>
        <v/>
      </c>
      <c r="M577" s="38" t="str">
        <f t="shared" si="112"/>
        <v/>
      </c>
      <c r="N577" s="38" t="str">
        <f t="shared" si="123"/>
        <v/>
      </c>
      <c r="O577" s="38" t="str">
        <f t="shared" si="124"/>
        <v/>
      </c>
      <c r="P577" s="38" t="str">
        <f t="shared" si="113"/>
        <v/>
      </c>
      <c r="Q577" s="38" t="str">
        <f t="shared" si="114"/>
        <v/>
      </c>
      <c r="R577" s="38"/>
    </row>
    <row r="578" spans="1:18" x14ac:dyDescent="0.2">
      <c r="A578" t="str">
        <f t="shared" si="115"/>
        <v/>
      </c>
      <c r="B578" s="38" t="str">
        <f t="shared" si="116"/>
        <v/>
      </c>
      <c r="C578" s="38" t="str">
        <f t="shared" si="125"/>
        <v/>
      </c>
      <c r="D578" s="38" t="str">
        <f t="shared" si="117"/>
        <v/>
      </c>
      <c r="E578" s="38" t="str">
        <f t="shared" si="118"/>
        <v/>
      </c>
      <c r="F578" s="38" t="str">
        <f t="shared" si="119"/>
        <v/>
      </c>
      <c r="G578" s="38" t="str">
        <f t="shared" si="120"/>
        <v/>
      </c>
      <c r="H578" s="38" t="str">
        <f t="shared" si="121"/>
        <v/>
      </c>
      <c r="L578" t="str">
        <f t="shared" si="122"/>
        <v/>
      </c>
      <c r="M578" s="38" t="str">
        <f t="shared" si="112"/>
        <v/>
      </c>
      <c r="N578" s="38" t="str">
        <f t="shared" si="123"/>
        <v/>
      </c>
      <c r="O578" s="38" t="str">
        <f t="shared" si="124"/>
        <v/>
      </c>
      <c r="P578" s="38" t="str">
        <f t="shared" si="113"/>
        <v/>
      </c>
      <c r="Q578" s="38" t="str">
        <f t="shared" si="114"/>
        <v/>
      </c>
      <c r="R578" s="38"/>
    </row>
    <row r="579" spans="1:18" x14ac:dyDescent="0.2">
      <c r="A579" t="str">
        <f t="shared" si="115"/>
        <v/>
      </c>
      <c r="B579" s="38" t="str">
        <f t="shared" si="116"/>
        <v/>
      </c>
      <c r="C579" s="38" t="str">
        <f t="shared" si="125"/>
        <v/>
      </c>
      <c r="D579" s="38" t="str">
        <f t="shared" si="117"/>
        <v/>
      </c>
      <c r="E579" s="38" t="str">
        <f t="shared" si="118"/>
        <v/>
      </c>
      <c r="F579" s="38" t="str">
        <f t="shared" si="119"/>
        <v/>
      </c>
      <c r="G579" s="38" t="str">
        <f t="shared" si="120"/>
        <v/>
      </c>
      <c r="H579" s="38" t="str">
        <f t="shared" si="121"/>
        <v/>
      </c>
      <c r="L579" t="str">
        <f t="shared" si="122"/>
        <v/>
      </c>
      <c r="M579" s="38" t="str">
        <f t="shared" si="112"/>
        <v/>
      </c>
      <c r="N579" s="38" t="str">
        <f t="shared" si="123"/>
        <v/>
      </c>
      <c r="O579" s="38" t="str">
        <f t="shared" si="124"/>
        <v/>
      </c>
      <c r="P579" s="38" t="str">
        <f t="shared" si="113"/>
        <v/>
      </c>
      <c r="Q579" s="38" t="str">
        <f t="shared" si="114"/>
        <v/>
      </c>
      <c r="R579" s="38"/>
    </row>
    <row r="580" spans="1:18" x14ac:dyDescent="0.2">
      <c r="A580" t="str">
        <f t="shared" si="115"/>
        <v/>
      </c>
      <c r="B580" s="38" t="str">
        <f t="shared" si="116"/>
        <v/>
      </c>
      <c r="C580" s="38" t="str">
        <f t="shared" si="125"/>
        <v/>
      </c>
      <c r="D580" s="38" t="str">
        <f t="shared" si="117"/>
        <v/>
      </c>
      <c r="E580" s="38" t="str">
        <f t="shared" si="118"/>
        <v/>
      </c>
      <c r="F580" s="38" t="str">
        <f t="shared" si="119"/>
        <v/>
      </c>
      <c r="G580" s="38" t="str">
        <f t="shared" si="120"/>
        <v/>
      </c>
      <c r="H580" s="38" t="str">
        <f t="shared" si="121"/>
        <v/>
      </c>
      <c r="L580" t="str">
        <f t="shared" si="122"/>
        <v/>
      </c>
      <c r="M580" s="38" t="str">
        <f t="shared" si="112"/>
        <v/>
      </c>
      <c r="N580" s="38" t="str">
        <f t="shared" si="123"/>
        <v/>
      </c>
      <c r="O580" s="38" t="str">
        <f t="shared" si="124"/>
        <v/>
      </c>
      <c r="P580" s="38" t="str">
        <f t="shared" si="113"/>
        <v/>
      </c>
      <c r="Q580" s="38" t="str">
        <f t="shared" si="114"/>
        <v/>
      </c>
      <c r="R580" s="38"/>
    </row>
    <row r="581" spans="1:18" x14ac:dyDescent="0.2">
      <c r="A581" t="str">
        <f t="shared" si="115"/>
        <v/>
      </c>
      <c r="B581" s="38" t="str">
        <f t="shared" si="116"/>
        <v/>
      </c>
      <c r="C581" s="38" t="str">
        <f t="shared" si="125"/>
        <v/>
      </c>
      <c r="D581" s="38" t="str">
        <f t="shared" si="117"/>
        <v/>
      </c>
      <c r="E581" s="38" t="str">
        <f t="shared" si="118"/>
        <v/>
      </c>
      <c r="F581" s="38" t="str">
        <f t="shared" si="119"/>
        <v/>
      </c>
      <c r="G581" s="38" t="str">
        <f t="shared" si="120"/>
        <v/>
      </c>
      <c r="H581" s="38" t="str">
        <f t="shared" si="121"/>
        <v/>
      </c>
      <c r="L581" t="str">
        <f t="shared" si="122"/>
        <v/>
      </c>
      <c r="M581" s="38" t="str">
        <f t="shared" si="112"/>
        <v/>
      </c>
      <c r="N581" s="38" t="str">
        <f t="shared" si="123"/>
        <v/>
      </c>
      <c r="O581" s="38" t="str">
        <f t="shared" si="124"/>
        <v/>
      </c>
      <c r="P581" s="38" t="str">
        <f t="shared" si="113"/>
        <v/>
      </c>
      <c r="Q581" s="38" t="str">
        <f t="shared" si="114"/>
        <v/>
      </c>
      <c r="R581" s="38"/>
    </row>
    <row r="582" spans="1:18" x14ac:dyDescent="0.2">
      <c r="A582" t="str">
        <f t="shared" si="115"/>
        <v/>
      </c>
      <c r="B582" s="38" t="str">
        <f t="shared" si="116"/>
        <v/>
      </c>
      <c r="C582" s="38" t="str">
        <f t="shared" si="125"/>
        <v/>
      </c>
      <c r="D582" s="38" t="str">
        <f t="shared" si="117"/>
        <v/>
      </c>
      <c r="E582" s="38" t="str">
        <f t="shared" si="118"/>
        <v/>
      </c>
      <c r="F582" s="38" t="str">
        <f t="shared" si="119"/>
        <v/>
      </c>
      <c r="G582" s="38" t="str">
        <f t="shared" si="120"/>
        <v/>
      </c>
      <c r="H582" s="38" t="str">
        <f t="shared" si="121"/>
        <v/>
      </c>
      <c r="L582" t="str">
        <f t="shared" si="122"/>
        <v/>
      </c>
      <c r="M582" s="38" t="str">
        <f t="shared" si="112"/>
        <v/>
      </c>
      <c r="N582" s="38" t="str">
        <f t="shared" si="123"/>
        <v/>
      </c>
      <c r="O582" s="38" t="str">
        <f t="shared" si="124"/>
        <v/>
      </c>
      <c r="P582" s="38" t="str">
        <f t="shared" si="113"/>
        <v/>
      </c>
      <c r="Q582" s="38" t="str">
        <f t="shared" si="114"/>
        <v/>
      </c>
      <c r="R582" s="38"/>
    </row>
    <row r="583" spans="1:18" x14ac:dyDescent="0.2">
      <c r="A583" t="str">
        <f t="shared" si="115"/>
        <v/>
      </c>
      <c r="B583" s="38" t="str">
        <f t="shared" si="116"/>
        <v/>
      </c>
      <c r="C583" s="38" t="str">
        <f t="shared" si="125"/>
        <v/>
      </c>
      <c r="D583" s="38" t="str">
        <f t="shared" si="117"/>
        <v/>
      </c>
      <c r="E583" s="38" t="str">
        <f t="shared" si="118"/>
        <v/>
      </c>
      <c r="F583" s="38" t="str">
        <f t="shared" si="119"/>
        <v/>
      </c>
      <c r="G583" s="38" t="str">
        <f t="shared" si="120"/>
        <v/>
      </c>
      <c r="H583" s="38" t="str">
        <f t="shared" si="121"/>
        <v/>
      </c>
      <c r="L583" t="str">
        <f t="shared" si="122"/>
        <v/>
      </c>
      <c r="M583" s="38" t="str">
        <f t="shared" si="112"/>
        <v/>
      </c>
      <c r="N583" s="38" t="str">
        <f t="shared" si="123"/>
        <v/>
      </c>
      <c r="O583" s="38" t="str">
        <f t="shared" si="124"/>
        <v/>
      </c>
      <c r="P583" s="38" t="str">
        <f t="shared" si="113"/>
        <v/>
      </c>
      <c r="Q583" s="38" t="str">
        <f t="shared" si="114"/>
        <v/>
      </c>
      <c r="R583" s="38"/>
    </row>
    <row r="584" spans="1:18" x14ac:dyDescent="0.2">
      <c r="A584" t="str">
        <f t="shared" si="115"/>
        <v/>
      </c>
      <c r="B584" s="38" t="str">
        <f t="shared" si="116"/>
        <v/>
      </c>
      <c r="C584" s="38" t="str">
        <f t="shared" si="125"/>
        <v/>
      </c>
      <c r="D584" s="38" t="str">
        <f t="shared" si="117"/>
        <v/>
      </c>
      <c r="E584" s="38" t="str">
        <f t="shared" si="118"/>
        <v/>
      </c>
      <c r="F584" s="38" t="str">
        <f t="shared" si="119"/>
        <v/>
      </c>
      <c r="G584" s="38" t="str">
        <f t="shared" si="120"/>
        <v/>
      </c>
      <c r="H584" s="38" t="str">
        <f t="shared" si="121"/>
        <v/>
      </c>
      <c r="L584" t="str">
        <f t="shared" si="122"/>
        <v/>
      </c>
      <c r="M584" s="38" t="str">
        <f t="shared" si="112"/>
        <v/>
      </c>
      <c r="N584" s="38" t="str">
        <f t="shared" si="123"/>
        <v/>
      </c>
      <c r="O584" s="38" t="str">
        <f t="shared" si="124"/>
        <v/>
      </c>
      <c r="P584" s="38" t="str">
        <f t="shared" si="113"/>
        <v/>
      </c>
      <c r="Q584" s="38" t="str">
        <f t="shared" si="114"/>
        <v/>
      </c>
      <c r="R584" s="38"/>
    </row>
    <row r="585" spans="1:18" x14ac:dyDescent="0.2">
      <c r="A585" t="str">
        <f t="shared" si="115"/>
        <v/>
      </c>
      <c r="B585" s="38" t="str">
        <f t="shared" si="116"/>
        <v/>
      </c>
      <c r="C585" s="38" t="str">
        <f t="shared" si="125"/>
        <v/>
      </c>
      <c r="D585" s="38" t="str">
        <f t="shared" si="117"/>
        <v/>
      </c>
      <c r="E585" s="38" t="str">
        <f t="shared" si="118"/>
        <v/>
      </c>
      <c r="F585" s="38" t="str">
        <f t="shared" si="119"/>
        <v/>
      </c>
      <c r="G585" s="38" t="str">
        <f t="shared" si="120"/>
        <v/>
      </c>
      <c r="H585" s="38" t="str">
        <f t="shared" si="121"/>
        <v/>
      </c>
      <c r="L585" t="str">
        <f t="shared" si="122"/>
        <v/>
      </c>
      <c r="M585" s="38" t="str">
        <f t="shared" si="112"/>
        <v/>
      </c>
      <c r="N585" s="38" t="str">
        <f t="shared" si="123"/>
        <v/>
      </c>
      <c r="O585" s="38" t="str">
        <f t="shared" si="124"/>
        <v/>
      </c>
      <c r="P585" s="38" t="str">
        <f t="shared" si="113"/>
        <v/>
      </c>
      <c r="Q585" s="38" t="str">
        <f t="shared" si="114"/>
        <v/>
      </c>
      <c r="R585" s="38"/>
    </row>
    <row r="586" spans="1:18" x14ac:dyDescent="0.2">
      <c r="A586" t="str">
        <f t="shared" si="115"/>
        <v/>
      </c>
      <c r="B586" s="38" t="str">
        <f t="shared" si="116"/>
        <v/>
      </c>
      <c r="C586" s="38" t="str">
        <f t="shared" si="125"/>
        <v/>
      </c>
      <c r="D586" s="38" t="str">
        <f t="shared" si="117"/>
        <v/>
      </c>
      <c r="E586" s="38" t="str">
        <f t="shared" si="118"/>
        <v/>
      </c>
      <c r="F586" s="38" t="str">
        <f t="shared" si="119"/>
        <v/>
      </c>
      <c r="G586" s="38" t="str">
        <f t="shared" si="120"/>
        <v/>
      </c>
      <c r="H586" s="38" t="str">
        <f t="shared" si="121"/>
        <v/>
      </c>
      <c r="L586" t="str">
        <f t="shared" si="122"/>
        <v/>
      </c>
      <c r="M586" s="38" t="str">
        <f t="shared" si="112"/>
        <v/>
      </c>
      <c r="N586" s="38" t="str">
        <f t="shared" si="123"/>
        <v/>
      </c>
      <c r="O586" s="38" t="str">
        <f t="shared" si="124"/>
        <v/>
      </c>
      <c r="P586" s="38" t="str">
        <f t="shared" si="113"/>
        <v/>
      </c>
      <c r="Q586" s="38" t="str">
        <f t="shared" si="114"/>
        <v/>
      </c>
      <c r="R586" s="38"/>
    </row>
    <row r="587" spans="1:18" x14ac:dyDescent="0.2">
      <c r="A587" t="str">
        <f t="shared" si="115"/>
        <v/>
      </c>
      <c r="B587" s="38" t="str">
        <f t="shared" si="116"/>
        <v/>
      </c>
      <c r="C587" s="38" t="str">
        <f t="shared" si="125"/>
        <v/>
      </c>
      <c r="D587" s="38" t="str">
        <f t="shared" si="117"/>
        <v/>
      </c>
      <c r="E587" s="38" t="str">
        <f t="shared" si="118"/>
        <v/>
      </c>
      <c r="F587" s="38" t="str">
        <f t="shared" si="119"/>
        <v/>
      </c>
      <c r="G587" s="38" t="str">
        <f t="shared" si="120"/>
        <v/>
      </c>
      <c r="H587" s="38" t="str">
        <f t="shared" si="121"/>
        <v/>
      </c>
      <c r="L587" t="str">
        <f t="shared" si="122"/>
        <v/>
      </c>
      <c r="M587" s="38" t="str">
        <f t="shared" si="112"/>
        <v/>
      </c>
      <c r="N587" s="38" t="str">
        <f t="shared" si="123"/>
        <v/>
      </c>
      <c r="O587" s="38" t="str">
        <f t="shared" si="124"/>
        <v/>
      </c>
      <c r="P587" s="38" t="str">
        <f t="shared" si="113"/>
        <v/>
      </c>
      <c r="Q587" s="38" t="str">
        <f t="shared" si="114"/>
        <v/>
      </c>
      <c r="R587" s="38"/>
    </row>
    <row r="588" spans="1:18" x14ac:dyDescent="0.2">
      <c r="A588" t="str">
        <f t="shared" si="115"/>
        <v/>
      </c>
      <c r="B588" s="38" t="str">
        <f t="shared" si="116"/>
        <v/>
      </c>
      <c r="C588" s="38" t="str">
        <f t="shared" si="125"/>
        <v/>
      </c>
      <c r="D588" s="38" t="str">
        <f t="shared" si="117"/>
        <v/>
      </c>
      <c r="E588" s="38" t="str">
        <f t="shared" si="118"/>
        <v/>
      </c>
      <c r="F588" s="38" t="str">
        <f t="shared" si="119"/>
        <v/>
      </c>
      <c r="G588" s="38" t="str">
        <f t="shared" si="120"/>
        <v/>
      </c>
      <c r="H588" s="38" t="str">
        <f t="shared" si="121"/>
        <v/>
      </c>
      <c r="L588" t="str">
        <f t="shared" si="122"/>
        <v/>
      </c>
      <c r="M588" s="38" t="str">
        <f t="shared" si="112"/>
        <v/>
      </c>
      <c r="N588" s="38" t="str">
        <f t="shared" si="123"/>
        <v/>
      </c>
      <c r="O588" s="38" t="str">
        <f t="shared" si="124"/>
        <v/>
      </c>
      <c r="P588" s="38" t="str">
        <f t="shared" si="113"/>
        <v/>
      </c>
      <c r="Q588" s="38" t="str">
        <f t="shared" si="114"/>
        <v/>
      </c>
      <c r="R588" s="38"/>
    </row>
    <row r="589" spans="1:18" x14ac:dyDescent="0.2">
      <c r="A589" t="str">
        <f t="shared" si="115"/>
        <v/>
      </c>
      <c r="B589" s="38" t="str">
        <f t="shared" si="116"/>
        <v/>
      </c>
      <c r="C589" s="38" t="str">
        <f t="shared" si="125"/>
        <v/>
      </c>
      <c r="D589" s="38" t="str">
        <f t="shared" si="117"/>
        <v/>
      </c>
      <c r="E589" s="38" t="str">
        <f t="shared" si="118"/>
        <v/>
      </c>
      <c r="F589" s="38" t="str">
        <f t="shared" si="119"/>
        <v/>
      </c>
      <c r="G589" s="38" t="str">
        <f t="shared" si="120"/>
        <v/>
      </c>
      <c r="H589" s="38" t="str">
        <f t="shared" si="121"/>
        <v/>
      </c>
      <c r="L589" t="str">
        <f t="shared" si="122"/>
        <v/>
      </c>
      <c r="M589" s="38" t="str">
        <f t="shared" si="112"/>
        <v/>
      </c>
      <c r="N589" s="38" t="str">
        <f t="shared" si="123"/>
        <v/>
      </c>
      <c r="O589" s="38" t="str">
        <f t="shared" si="124"/>
        <v/>
      </c>
      <c r="P589" s="38" t="str">
        <f t="shared" si="113"/>
        <v/>
      </c>
      <c r="Q589" s="38" t="str">
        <f t="shared" si="114"/>
        <v/>
      </c>
      <c r="R589" s="38"/>
    </row>
    <row r="590" spans="1:18" x14ac:dyDescent="0.2">
      <c r="A590" t="str">
        <f t="shared" si="115"/>
        <v/>
      </c>
      <c r="B590" s="38" t="str">
        <f t="shared" si="116"/>
        <v/>
      </c>
      <c r="C590" s="38" t="str">
        <f t="shared" si="125"/>
        <v/>
      </c>
      <c r="D590" s="38" t="str">
        <f t="shared" si="117"/>
        <v/>
      </c>
      <c r="E590" s="38" t="str">
        <f t="shared" si="118"/>
        <v/>
      </c>
      <c r="F590" s="38" t="str">
        <f t="shared" si="119"/>
        <v/>
      </c>
      <c r="G590" s="38" t="str">
        <f t="shared" si="120"/>
        <v/>
      </c>
      <c r="H590" s="38" t="str">
        <f t="shared" si="121"/>
        <v/>
      </c>
      <c r="L590" t="str">
        <f t="shared" si="122"/>
        <v/>
      </c>
      <c r="M590" s="38" t="str">
        <f t="shared" si="112"/>
        <v/>
      </c>
      <c r="N590" s="38" t="str">
        <f t="shared" si="123"/>
        <v/>
      </c>
      <c r="O590" s="38" t="str">
        <f t="shared" si="124"/>
        <v/>
      </c>
      <c r="P590" s="38" t="str">
        <f t="shared" si="113"/>
        <v/>
      </c>
      <c r="Q590" s="38" t="str">
        <f t="shared" si="114"/>
        <v/>
      </c>
      <c r="R590" s="38"/>
    </row>
    <row r="591" spans="1:18" x14ac:dyDescent="0.2">
      <c r="A591" t="str">
        <f t="shared" si="115"/>
        <v/>
      </c>
      <c r="B591" s="38" t="str">
        <f t="shared" si="116"/>
        <v/>
      </c>
      <c r="C591" s="38" t="str">
        <f t="shared" si="125"/>
        <v/>
      </c>
      <c r="D591" s="38" t="str">
        <f t="shared" si="117"/>
        <v/>
      </c>
      <c r="E591" s="38" t="str">
        <f t="shared" si="118"/>
        <v/>
      </c>
      <c r="F591" s="38" t="str">
        <f t="shared" si="119"/>
        <v/>
      </c>
      <c r="G591" s="38" t="str">
        <f t="shared" si="120"/>
        <v/>
      </c>
      <c r="H591" s="38" t="str">
        <f t="shared" si="121"/>
        <v/>
      </c>
      <c r="L591" t="str">
        <f t="shared" si="122"/>
        <v/>
      </c>
      <c r="M591" s="38" t="str">
        <f t="shared" si="112"/>
        <v/>
      </c>
      <c r="N591" s="38" t="str">
        <f t="shared" si="123"/>
        <v/>
      </c>
      <c r="O591" s="38" t="str">
        <f t="shared" si="124"/>
        <v/>
      </c>
      <c r="P591" s="38" t="str">
        <f t="shared" si="113"/>
        <v/>
      </c>
      <c r="Q591" s="38" t="str">
        <f t="shared" si="114"/>
        <v/>
      </c>
      <c r="R591" s="38"/>
    </row>
    <row r="592" spans="1:18" x14ac:dyDescent="0.2">
      <c r="A592" t="str">
        <f t="shared" si="115"/>
        <v/>
      </c>
      <c r="B592" s="38" t="str">
        <f t="shared" si="116"/>
        <v/>
      </c>
      <c r="C592" s="38" t="str">
        <f t="shared" si="125"/>
        <v/>
      </c>
      <c r="D592" s="38" t="str">
        <f t="shared" si="117"/>
        <v/>
      </c>
      <c r="E592" s="38" t="str">
        <f t="shared" si="118"/>
        <v/>
      </c>
      <c r="F592" s="38" t="str">
        <f t="shared" si="119"/>
        <v/>
      </c>
      <c r="G592" s="38" t="str">
        <f t="shared" si="120"/>
        <v/>
      </c>
      <c r="H592" s="38" t="str">
        <f t="shared" si="121"/>
        <v/>
      </c>
      <c r="L592" t="str">
        <f t="shared" si="122"/>
        <v/>
      </c>
      <c r="M592" s="38" t="str">
        <f t="shared" si="112"/>
        <v/>
      </c>
      <c r="N592" s="38" t="str">
        <f t="shared" si="123"/>
        <v/>
      </c>
      <c r="O592" s="38" t="str">
        <f t="shared" si="124"/>
        <v/>
      </c>
      <c r="P592" s="38" t="str">
        <f t="shared" si="113"/>
        <v/>
      </c>
      <c r="Q592" s="38" t="str">
        <f t="shared" si="114"/>
        <v/>
      </c>
      <c r="R592" s="38"/>
    </row>
    <row r="593" spans="1:18" x14ac:dyDescent="0.2">
      <c r="A593" t="str">
        <f t="shared" si="115"/>
        <v/>
      </c>
      <c r="B593" s="38" t="str">
        <f t="shared" si="116"/>
        <v/>
      </c>
      <c r="C593" s="38" t="str">
        <f t="shared" si="125"/>
        <v/>
      </c>
      <c r="D593" s="38" t="str">
        <f t="shared" si="117"/>
        <v/>
      </c>
      <c r="E593" s="38" t="str">
        <f t="shared" si="118"/>
        <v/>
      </c>
      <c r="F593" s="38" t="str">
        <f t="shared" si="119"/>
        <v/>
      </c>
      <c r="G593" s="38" t="str">
        <f t="shared" si="120"/>
        <v/>
      </c>
      <c r="H593" s="38" t="str">
        <f t="shared" si="121"/>
        <v/>
      </c>
      <c r="L593" t="str">
        <f t="shared" si="122"/>
        <v/>
      </c>
      <c r="M593" s="38" t="str">
        <f t="shared" si="112"/>
        <v/>
      </c>
      <c r="N593" s="38" t="str">
        <f t="shared" si="123"/>
        <v/>
      </c>
      <c r="O593" s="38" t="str">
        <f t="shared" si="124"/>
        <v/>
      </c>
      <c r="P593" s="38" t="str">
        <f t="shared" si="113"/>
        <v/>
      </c>
      <c r="Q593" s="38" t="str">
        <f t="shared" si="114"/>
        <v/>
      </c>
      <c r="R593" s="38"/>
    </row>
    <row r="594" spans="1:18" x14ac:dyDescent="0.2">
      <c r="A594" t="str">
        <f t="shared" si="115"/>
        <v/>
      </c>
      <c r="B594" s="38" t="str">
        <f t="shared" si="116"/>
        <v/>
      </c>
      <c r="C594" s="38" t="str">
        <f t="shared" si="125"/>
        <v/>
      </c>
      <c r="D594" s="38" t="str">
        <f t="shared" si="117"/>
        <v/>
      </c>
      <c r="E594" s="38" t="str">
        <f t="shared" si="118"/>
        <v/>
      </c>
      <c r="F594" s="38" t="str">
        <f t="shared" si="119"/>
        <v/>
      </c>
      <c r="G594" s="38" t="str">
        <f t="shared" si="120"/>
        <v/>
      </c>
      <c r="H594" s="38" t="str">
        <f t="shared" si="121"/>
        <v/>
      </c>
      <c r="L594" t="str">
        <f t="shared" si="122"/>
        <v/>
      </c>
      <c r="M594" s="38" t="str">
        <f t="shared" si="112"/>
        <v/>
      </c>
      <c r="N594" s="38" t="str">
        <f t="shared" si="123"/>
        <v/>
      </c>
      <c r="O594" s="38" t="str">
        <f t="shared" si="124"/>
        <v/>
      </c>
      <c r="P594" s="38" t="str">
        <f t="shared" si="113"/>
        <v/>
      </c>
      <c r="Q594" s="38" t="str">
        <f t="shared" si="114"/>
        <v/>
      </c>
      <c r="R594" s="38"/>
    </row>
    <row r="595" spans="1:18" x14ac:dyDescent="0.2">
      <c r="A595" t="str">
        <f t="shared" si="115"/>
        <v/>
      </c>
      <c r="B595" s="38" t="str">
        <f t="shared" si="116"/>
        <v/>
      </c>
      <c r="C595" s="38" t="str">
        <f t="shared" si="125"/>
        <v/>
      </c>
      <c r="D595" s="38" t="str">
        <f t="shared" si="117"/>
        <v/>
      </c>
      <c r="E595" s="38" t="str">
        <f t="shared" si="118"/>
        <v/>
      </c>
      <c r="F595" s="38" t="str">
        <f t="shared" si="119"/>
        <v/>
      </c>
      <c r="G595" s="38" t="str">
        <f t="shared" si="120"/>
        <v/>
      </c>
      <c r="H595" s="38" t="str">
        <f t="shared" si="121"/>
        <v/>
      </c>
      <c r="L595" t="str">
        <f t="shared" si="122"/>
        <v/>
      </c>
      <c r="M595" s="38" t="str">
        <f t="shared" si="112"/>
        <v/>
      </c>
      <c r="N595" s="38" t="str">
        <f t="shared" si="123"/>
        <v/>
      </c>
      <c r="O595" s="38" t="str">
        <f t="shared" si="124"/>
        <v/>
      </c>
      <c r="P595" s="38" t="str">
        <f t="shared" si="113"/>
        <v/>
      </c>
      <c r="Q595" s="38" t="str">
        <f t="shared" si="114"/>
        <v/>
      </c>
      <c r="R595" s="38"/>
    </row>
    <row r="596" spans="1:18" x14ac:dyDescent="0.2">
      <c r="A596" t="str">
        <f t="shared" si="115"/>
        <v/>
      </c>
      <c r="B596" s="38" t="str">
        <f t="shared" si="116"/>
        <v/>
      </c>
      <c r="C596" s="38" t="str">
        <f t="shared" si="125"/>
        <v/>
      </c>
      <c r="D596" s="38" t="str">
        <f t="shared" si="117"/>
        <v/>
      </c>
      <c r="E596" s="38" t="str">
        <f t="shared" si="118"/>
        <v/>
      </c>
      <c r="F596" s="38" t="str">
        <f t="shared" si="119"/>
        <v/>
      </c>
      <c r="G596" s="38" t="str">
        <f t="shared" si="120"/>
        <v/>
      </c>
      <c r="H596" s="38" t="str">
        <f t="shared" si="121"/>
        <v/>
      </c>
      <c r="L596" t="str">
        <f t="shared" si="122"/>
        <v/>
      </c>
      <c r="M596" s="38" t="str">
        <f t="shared" si="112"/>
        <v/>
      </c>
      <c r="N596" s="38" t="str">
        <f t="shared" si="123"/>
        <v/>
      </c>
      <c r="O596" s="38" t="str">
        <f t="shared" si="124"/>
        <v/>
      </c>
      <c r="P596" s="38" t="str">
        <f t="shared" si="113"/>
        <v/>
      </c>
      <c r="Q596" s="38" t="str">
        <f t="shared" si="114"/>
        <v/>
      </c>
      <c r="R596" s="38"/>
    </row>
    <row r="597" spans="1:18" x14ac:dyDescent="0.2">
      <c r="A597" t="str">
        <f t="shared" si="115"/>
        <v/>
      </c>
      <c r="B597" s="38" t="str">
        <f t="shared" si="116"/>
        <v/>
      </c>
      <c r="C597" s="38" t="str">
        <f t="shared" si="125"/>
        <v/>
      </c>
      <c r="D597" s="38" t="str">
        <f t="shared" si="117"/>
        <v/>
      </c>
      <c r="E597" s="38" t="str">
        <f t="shared" si="118"/>
        <v/>
      </c>
      <c r="F597" s="38" t="str">
        <f t="shared" si="119"/>
        <v/>
      </c>
      <c r="G597" s="38" t="str">
        <f t="shared" si="120"/>
        <v/>
      </c>
      <c r="H597" s="38" t="str">
        <f t="shared" si="121"/>
        <v/>
      </c>
      <c r="L597" t="str">
        <f t="shared" si="122"/>
        <v/>
      </c>
      <c r="M597" s="38" t="str">
        <f t="shared" si="112"/>
        <v/>
      </c>
      <c r="N597" s="38" t="str">
        <f t="shared" si="123"/>
        <v/>
      </c>
      <c r="O597" s="38" t="str">
        <f t="shared" si="124"/>
        <v/>
      </c>
      <c r="P597" s="38" t="str">
        <f t="shared" si="113"/>
        <v/>
      </c>
      <c r="Q597" s="38" t="str">
        <f t="shared" si="114"/>
        <v/>
      </c>
      <c r="R597" s="38"/>
    </row>
    <row r="598" spans="1:18" x14ac:dyDescent="0.2">
      <c r="A598" t="str">
        <f t="shared" si="115"/>
        <v/>
      </c>
      <c r="B598" s="38" t="str">
        <f t="shared" si="116"/>
        <v/>
      </c>
      <c r="C598" s="38" t="str">
        <f t="shared" si="125"/>
        <v/>
      </c>
      <c r="D598" s="38" t="str">
        <f t="shared" si="117"/>
        <v/>
      </c>
      <c r="E598" s="38" t="str">
        <f t="shared" si="118"/>
        <v/>
      </c>
      <c r="F598" s="38" t="str">
        <f t="shared" si="119"/>
        <v/>
      </c>
      <c r="G598" s="38" t="str">
        <f t="shared" si="120"/>
        <v/>
      </c>
      <c r="H598" s="38" t="str">
        <f t="shared" si="121"/>
        <v/>
      </c>
      <c r="L598" t="str">
        <f t="shared" si="122"/>
        <v/>
      </c>
      <c r="M598" s="38" t="str">
        <f t="shared" si="112"/>
        <v/>
      </c>
      <c r="N598" s="38" t="str">
        <f t="shared" si="123"/>
        <v/>
      </c>
      <c r="O598" s="38" t="str">
        <f t="shared" si="124"/>
        <v/>
      </c>
      <c r="P598" s="38" t="str">
        <f t="shared" si="113"/>
        <v/>
      </c>
      <c r="Q598" s="38" t="str">
        <f t="shared" si="114"/>
        <v/>
      </c>
      <c r="R598" s="38"/>
    </row>
    <row r="599" spans="1:18" x14ac:dyDescent="0.2">
      <c r="A599" t="str">
        <f t="shared" si="115"/>
        <v/>
      </c>
      <c r="B599" s="38" t="str">
        <f t="shared" si="116"/>
        <v/>
      </c>
      <c r="C599" s="38" t="str">
        <f t="shared" si="125"/>
        <v/>
      </c>
      <c r="D599" s="38" t="str">
        <f t="shared" si="117"/>
        <v/>
      </c>
      <c r="E599" s="38" t="str">
        <f t="shared" si="118"/>
        <v/>
      </c>
      <c r="F599" s="38" t="str">
        <f t="shared" si="119"/>
        <v/>
      </c>
      <c r="G599" s="38" t="str">
        <f t="shared" si="120"/>
        <v/>
      </c>
      <c r="H599" s="38" t="str">
        <f t="shared" si="121"/>
        <v/>
      </c>
      <c r="L599" t="str">
        <f t="shared" si="122"/>
        <v/>
      </c>
      <c r="M599" s="38" t="str">
        <f t="shared" si="112"/>
        <v/>
      </c>
      <c r="N599" s="38" t="str">
        <f t="shared" si="123"/>
        <v/>
      </c>
      <c r="O599" s="38" t="str">
        <f t="shared" si="124"/>
        <v/>
      </c>
      <c r="P599" s="38" t="str">
        <f t="shared" si="113"/>
        <v/>
      </c>
      <c r="Q599" s="38" t="str">
        <f t="shared" si="114"/>
        <v/>
      </c>
      <c r="R599" s="38"/>
    </row>
    <row r="600" spans="1:18" x14ac:dyDescent="0.2">
      <c r="A600" t="str">
        <f t="shared" si="115"/>
        <v/>
      </c>
      <c r="B600" s="38" t="str">
        <f t="shared" si="116"/>
        <v/>
      </c>
      <c r="C600" s="38" t="str">
        <f t="shared" si="125"/>
        <v/>
      </c>
      <c r="D600" s="38" t="str">
        <f t="shared" si="117"/>
        <v/>
      </c>
      <c r="E600" s="38" t="str">
        <f t="shared" si="118"/>
        <v/>
      </c>
      <c r="F600" s="38" t="str">
        <f t="shared" si="119"/>
        <v/>
      </c>
      <c r="G600" s="38" t="str">
        <f t="shared" si="120"/>
        <v/>
      </c>
      <c r="H600" s="38" t="str">
        <f t="shared" si="121"/>
        <v/>
      </c>
      <c r="L600" t="str">
        <f t="shared" si="122"/>
        <v/>
      </c>
      <c r="M600" s="38" t="str">
        <f t="shared" si="112"/>
        <v/>
      </c>
      <c r="N600" s="38" t="str">
        <f t="shared" si="123"/>
        <v/>
      </c>
      <c r="O600" s="38" t="str">
        <f t="shared" si="124"/>
        <v/>
      </c>
      <c r="P600" s="38" t="str">
        <f t="shared" si="113"/>
        <v/>
      </c>
      <c r="Q600" s="38" t="str">
        <f t="shared" si="114"/>
        <v/>
      </c>
      <c r="R600" s="38"/>
    </row>
    <row r="601" spans="1:18" x14ac:dyDescent="0.2">
      <c r="A601" t="str">
        <f t="shared" si="115"/>
        <v/>
      </c>
      <c r="B601" s="38" t="str">
        <f t="shared" si="116"/>
        <v/>
      </c>
      <c r="C601" s="38" t="str">
        <f t="shared" si="125"/>
        <v/>
      </c>
      <c r="D601" s="38" t="str">
        <f t="shared" si="117"/>
        <v/>
      </c>
      <c r="E601" s="38" t="str">
        <f t="shared" si="118"/>
        <v/>
      </c>
      <c r="F601" s="38" t="str">
        <f t="shared" si="119"/>
        <v/>
      </c>
      <c r="G601" s="38" t="str">
        <f t="shared" si="120"/>
        <v/>
      </c>
      <c r="H601" s="38" t="str">
        <f t="shared" si="121"/>
        <v/>
      </c>
      <c r="L601" t="str">
        <f t="shared" si="122"/>
        <v/>
      </c>
      <c r="M601" s="38" t="str">
        <f t="shared" si="112"/>
        <v/>
      </c>
      <c r="N601" s="38" t="str">
        <f t="shared" si="123"/>
        <v/>
      </c>
      <c r="O601" s="38" t="str">
        <f t="shared" si="124"/>
        <v/>
      </c>
      <c r="P601" s="38" t="str">
        <f t="shared" si="113"/>
        <v/>
      </c>
      <c r="Q601" s="38" t="str">
        <f t="shared" si="114"/>
        <v/>
      </c>
      <c r="R601" s="38"/>
    </row>
    <row r="602" spans="1:18" x14ac:dyDescent="0.2">
      <c r="A602" t="str">
        <f t="shared" si="115"/>
        <v/>
      </c>
      <c r="B602" s="38" t="str">
        <f t="shared" si="116"/>
        <v/>
      </c>
      <c r="C602" s="38" t="str">
        <f t="shared" si="125"/>
        <v/>
      </c>
      <c r="D602" s="38" t="str">
        <f t="shared" si="117"/>
        <v/>
      </c>
      <c r="E602" s="38" t="str">
        <f t="shared" si="118"/>
        <v/>
      </c>
      <c r="F602" s="38" t="str">
        <f t="shared" si="119"/>
        <v/>
      </c>
      <c r="G602" s="38" t="str">
        <f t="shared" si="120"/>
        <v/>
      </c>
      <c r="H602" s="38" t="str">
        <f t="shared" si="121"/>
        <v/>
      </c>
      <c r="L602" t="str">
        <f t="shared" si="122"/>
        <v/>
      </c>
      <c r="M602" s="38" t="str">
        <f t="shared" si="112"/>
        <v/>
      </c>
      <c r="N602" s="38" t="str">
        <f t="shared" si="123"/>
        <v/>
      </c>
      <c r="O602" s="38" t="str">
        <f t="shared" si="124"/>
        <v/>
      </c>
      <c r="P602" s="38" t="str">
        <f t="shared" si="113"/>
        <v/>
      </c>
      <c r="Q602" s="38" t="str">
        <f t="shared" si="114"/>
        <v/>
      </c>
      <c r="R602" s="38"/>
    </row>
    <row r="603" spans="1:18" x14ac:dyDescent="0.2">
      <c r="A603" t="str">
        <f t="shared" si="115"/>
        <v/>
      </c>
      <c r="B603" s="38" t="str">
        <f t="shared" si="116"/>
        <v/>
      </c>
      <c r="C603" s="38" t="str">
        <f t="shared" si="125"/>
        <v/>
      </c>
      <c r="D603" s="38" t="str">
        <f t="shared" si="117"/>
        <v/>
      </c>
      <c r="E603" s="38" t="str">
        <f t="shared" si="118"/>
        <v/>
      </c>
      <c r="F603" s="38" t="str">
        <f t="shared" si="119"/>
        <v/>
      </c>
      <c r="G603" s="38" t="str">
        <f t="shared" si="120"/>
        <v/>
      </c>
      <c r="H603" s="38" t="str">
        <f t="shared" si="121"/>
        <v/>
      </c>
      <c r="L603" t="str">
        <f t="shared" si="122"/>
        <v/>
      </c>
      <c r="M603" s="38" t="str">
        <f t="shared" si="112"/>
        <v/>
      </c>
      <c r="N603" s="38" t="str">
        <f t="shared" si="123"/>
        <v/>
      </c>
      <c r="O603" s="38" t="str">
        <f t="shared" si="124"/>
        <v/>
      </c>
      <c r="P603" s="38" t="str">
        <f t="shared" si="113"/>
        <v/>
      </c>
      <c r="Q603" s="38" t="str">
        <f t="shared" si="114"/>
        <v/>
      </c>
      <c r="R603" s="38"/>
    </row>
    <row r="604" spans="1:18" x14ac:dyDescent="0.2">
      <c r="A604" t="str">
        <f t="shared" si="115"/>
        <v/>
      </c>
      <c r="B604" s="38" t="str">
        <f t="shared" si="116"/>
        <v/>
      </c>
      <c r="C604" s="38" t="str">
        <f t="shared" si="125"/>
        <v/>
      </c>
      <c r="D604" s="38" t="str">
        <f t="shared" si="117"/>
        <v/>
      </c>
      <c r="E604" s="38" t="str">
        <f t="shared" si="118"/>
        <v/>
      </c>
      <c r="F604" s="38" t="str">
        <f t="shared" si="119"/>
        <v/>
      </c>
      <c r="G604" s="38" t="str">
        <f t="shared" si="120"/>
        <v/>
      </c>
      <c r="H604" s="38" t="str">
        <f t="shared" si="121"/>
        <v/>
      </c>
      <c r="L604" t="str">
        <f t="shared" si="122"/>
        <v/>
      </c>
      <c r="M604" s="38" t="str">
        <f t="shared" si="112"/>
        <v/>
      </c>
      <c r="N604" s="38" t="str">
        <f t="shared" si="123"/>
        <v/>
      </c>
      <c r="O604" s="38" t="str">
        <f t="shared" si="124"/>
        <v/>
      </c>
      <c r="P604" s="38" t="str">
        <f t="shared" si="113"/>
        <v/>
      </c>
      <c r="Q604" s="38" t="str">
        <f t="shared" si="114"/>
        <v/>
      </c>
      <c r="R604" s="38"/>
    </row>
    <row r="605" spans="1:18" x14ac:dyDescent="0.2">
      <c r="A605" t="str">
        <f t="shared" si="115"/>
        <v/>
      </c>
      <c r="B605" s="38" t="str">
        <f t="shared" si="116"/>
        <v/>
      </c>
      <c r="C605" s="38" t="str">
        <f t="shared" si="125"/>
        <v/>
      </c>
      <c r="D605" s="38" t="str">
        <f t="shared" si="117"/>
        <v/>
      </c>
      <c r="E605" s="38" t="str">
        <f t="shared" si="118"/>
        <v/>
      </c>
      <c r="F605" s="38" t="str">
        <f t="shared" si="119"/>
        <v/>
      </c>
      <c r="G605" s="38" t="str">
        <f t="shared" si="120"/>
        <v/>
      </c>
      <c r="H605" s="38" t="str">
        <f t="shared" si="121"/>
        <v/>
      </c>
      <c r="L605" t="str">
        <f t="shared" si="122"/>
        <v/>
      </c>
      <c r="M605" s="38" t="str">
        <f t="shared" si="112"/>
        <v/>
      </c>
      <c r="N605" s="38" t="str">
        <f t="shared" si="123"/>
        <v/>
      </c>
      <c r="O605" s="38" t="str">
        <f t="shared" si="124"/>
        <v/>
      </c>
      <c r="P605" s="38" t="str">
        <f t="shared" si="113"/>
        <v/>
      </c>
      <c r="Q605" s="38" t="str">
        <f t="shared" si="114"/>
        <v/>
      </c>
      <c r="R605" s="38"/>
    </row>
    <row r="606" spans="1:18" x14ac:dyDescent="0.2">
      <c r="A606" t="str">
        <f t="shared" si="115"/>
        <v/>
      </c>
      <c r="B606" s="38" t="str">
        <f t="shared" si="116"/>
        <v/>
      </c>
      <c r="C606" s="38" t="str">
        <f t="shared" si="125"/>
        <v/>
      </c>
      <c r="D606" s="38" t="str">
        <f t="shared" si="117"/>
        <v/>
      </c>
      <c r="E606" s="38" t="str">
        <f t="shared" si="118"/>
        <v/>
      </c>
      <c r="F606" s="38" t="str">
        <f t="shared" si="119"/>
        <v/>
      </c>
      <c r="G606" s="38" t="str">
        <f t="shared" si="120"/>
        <v/>
      </c>
      <c r="H606" s="38" t="str">
        <f t="shared" si="121"/>
        <v/>
      </c>
      <c r="L606" t="str">
        <f t="shared" si="122"/>
        <v/>
      </c>
      <c r="M606" s="38" t="str">
        <f t="shared" si="112"/>
        <v/>
      </c>
      <c r="N606" s="38" t="str">
        <f t="shared" si="123"/>
        <v/>
      </c>
      <c r="O606" s="38" t="str">
        <f t="shared" si="124"/>
        <v/>
      </c>
      <c r="P606" s="38" t="str">
        <f t="shared" si="113"/>
        <v/>
      </c>
      <c r="Q606" s="38" t="str">
        <f t="shared" si="114"/>
        <v/>
      </c>
      <c r="R606" s="38"/>
    </row>
    <row r="607" spans="1:18" x14ac:dyDescent="0.2">
      <c r="A607" t="str">
        <f t="shared" si="115"/>
        <v/>
      </c>
      <c r="B607" s="38" t="str">
        <f t="shared" si="116"/>
        <v/>
      </c>
      <c r="C607" s="38" t="str">
        <f t="shared" si="125"/>
        <v/>
      </c>
      <c r="D607" s="38" t="str">
        <f t="shared" si="117"/>
        <v/>
      </c>
      <c r="E607" s="38" t="str">
        <f t="shared" si="118"/>
        <v/>
      </c>
      <c r="F607" s="38" t="str">
        <f t="shared" si="119"/>
        <v/>
      </c>
      <c r="G607" s="38" t="str">
        <f t="shared" si="120"/>
        <v/>
      </c>
      <c r="H607" s="38" t="str">
        <f t="shared" si="121"/>
        <v/>
      </c>
      <c r="L607" t="str">
        <f t="shared" si="122"/>
        <v/>
      </c>
      <c r="M607" s="38" t="str">
        <f t="shared" si="112"/>
        <v/>
      </c>
      <c r="N607" s="38" t="str">
        <f t="shared" si="123"/>
        <v/>
      </c>
      <c r="O607" s="38" t="str">
        <f t="shared" si="124"/>
        <v/>
      </c>
      <c r="P607" s="38" t="str">
        <f t="shared" si="113"/>
        <v/>
      </c>
      <c r="Q607" s="38" t="str">
        <f t="shared" si="114"/>
        <v/>
      </c>
      <c r="R607" s="38"/>
    </row>
    <row r="608" spans="1:18" x14ac:dyDescent="0.2">
      <c r="A608" t="str">
        <f t="shared" si="115"/>
        <v/>
      </c>
      <c r="B608" s="38" t="str">
        <f t="shared" si="116"/>
        <v/>
      </c>
      <c r="C608" s="38" t="str">
        <f t="shared" si="125"/>
        <v/>
      </c>
      <c r="D608" s="38" t="str">
        <f t="shared" si="117"/>
        <v/>
      </c>
      <c r="E608" s="38" t="str">
        <f t="shared" si="118"/>
        <v/>
      </c>
      <c r="F608" s="38" t="str">
        <f t="shared" si="119"/>
        <v/>
      </c>
      <c r="G608" s="38" t="str">
        <f t="shared" si="120"/>
        <v/>
      </c>
      <c r="H608" s="38" t="str">
        <f t="shared" si="121"/>
        <v/>
      </c>
      <c r="L608" t="str">
        <f t="shared" si="122"/>
        <v/>
      </c>
      <c r="M608" s="38" t="str">
        <f t="shared" si="112"/>
        <v/>
      </c>
      <c r="N608" s="38" t="str">
        <f t="shared" si="123"/>
        <v/>
      </c>
      <c r="O608" s="38" t="str">
        <f t="shared" si="124"/>
        <v/>
      </c>
      <c r="P608" s="38" t="str">
        <f t="shared" si="113"/>
        <v/>
      </c>
      <c r="Q608" s="38" t="str">
        <f t="shared" si="114"/>
        <v/>
      </c>
      <c r="R608" s="38"/>
    </row>
    <row r="609" spans="1:18" x14ac:dyDescent="0.2">
      <c r="A609" t="str">
        <f t="shared" si="115"/>
        <v/>
      </c>
      <c r="B609" s="38" t="str">
        <f t="shared" si="116"/>
        <v/>
      </c>
      <c r="C609" s="38" t="str">
        <f t="shared" si="125"/>
        <v/>
      </c>
      <c r="D609" s="38" t="str">
        <f t="shared" si="117"/>
        <v/>
      </c>
      <c r="E609" s="38" t="str">
        <f t="shared" si="118"/>
        <v/>
      </c>
      <c r="F609" s="38" t="str">
        <f t="shared" si="119"/>
        <v/>
      </c>
      <c r="G609" s="38" t="str">
        <f t="shared" si="120"/>
        <v/>
      </c>
      <c r="H609" s="38" t="str">
        <f t="shared" si="121"/>
        <v/>
      </c>
      <c r="L609" t="str">
        <f t="shared" si="122"/>
        <v/>
      </c>
      <c r="M609" s="38" t="str">
        <f t="shared" ref="M609:M672" si="126">IF(L609="","",P608)</f>
        <v/>
      </c>
      <c r="N609" s="38" t="str">
        <f t="shared" si="123"/>
        <v/>
      </c>
      <c r="O609" s="38" t="str">
        <f t="shared" si="124"/>
        <v/>
      </c>
      <c r="P609" s="38" t="str">
        <f t="shared" ref="P609:P672" si="127">IF(L609="","", M609+N609+O609)</f>
        <v/>
      </c>
      <c r="Q609" s="38" t="str">
        <f t="shared" ref="Q609:Q672" si="128">IF(L609="","", (Q608+N609))</f>
        <v/>
      </c>
      <c r="R609" s="38"/>
    </row>
    <row r="610" spans="1:18" x14ac:dyDescent="0.2">
      <c r="A610" t="str">
        <f t="shared" ref="A610:A638" si="129">IF(A609&lt;($B$22*$B$23),A609+1,"")</f>
        <v/>
      </c>
      <c r="B610" s="38" t="str">
        <f t="shared" ref="B610:B638" si="130">IF(A610="","",F609)</f>
        <v/>
      </c>
      <c r="C610" s="38" t="str">
        <f t="shared" si="125"/>
        <v/>
      </c>
      <c r="D610" s="38" t="str">
        <f t="shared" ref="D610:D638" si="131">IF(A610="","", D609*(1+$B$21))</f>
        <v/>
      </c>
      <c r="E610" s="38" t="str">
        <f t="shared" ref="E610:E638" si="132">IF(D610="","",(D610-C610))</f>
        <v/>
      </c>
      <c r="F610" s="38" t="str">
        <f t="shared" ref="F610:F638" si="133">IF(A610="","", B610-E610)</f>
        <v/>
      </c>
      <c r="G610" s="38" t="str">
        <f t="shared" ref="G610:G638" si="134">IF(A610="","", (G609+C610))</f>
        <v/>
      </c>
      <c r="H610" s="38" t="str">
        <f t="shared" ref="H610:H638" si="135">IF(A610="","",(H609+E610))</f>
        <v/>
      </c>
      <c r="L610" t="str">
        <f t="shared" ref="L610:L673" si="136">IF(L609&lt;($B$8*$B$9),L609+1,"")</f>
        <v/>
      </c>
      <c r="M610" s="38" t="str">
        <f t="shared" si="126"/>
        <v/>
      </c>
      <c r="N610" s="38" t="str">
        <f t="shared" ref="N610:N673" si="137">IF(L610="","",(M610 *$B$6))</f>
        <v/>
      </c>
      <c r="O610" s="38" t="str">
        <f t="shared" ref="O610:O673" si="138">IF(L610="","",O609*(1+$B$7))</f>
        <v/>
      </c>
      <c r="P610" s="38" t="str">
        <f t="shared" si="127"/>
        <v/>
      </c>
      <c r="Q610" s="38" t="str">
        <f t="shared" si="128"/>
        <v/>
      </c>
      <c r="R610" s="38"/>
    </row>
    <row r="611" spans="1:18" x14ac:dyDescent="0.2">
      <c r="A611" t="str">
        <f t="shared" si="129"/>
        <v/>
      </c>
      <c r="B611" s="38" t="str">
        <f t="shared" si="130"/>
        <v/>
      </c>
      <c r="C611" s="38" t="str">
        <f t="shared" ref="C611:C638" si="139">IF(A611="","",(B611*$B$20))</f>
        <v/>
      </c>
      <c r="D611" s="38" t="str">
        <f t="shared" si="131"/>
        <v/>
      </c>
      <c r="E611" s="38" t="str">
        <f t="shared" si="132"/>
        <v/>
      </c>
      <c r="F611" s="38" t="str">
        <f t="shared" si="133"/>
        <v/>
      </c>
      <c r="G611" s="38" t="str">
        <f t="shared" si="134"/>
        <v/>
      </c>
      <c r="H611" s="38" t="str">
        <f t="shared" si="135"/>
        <v/>
      </c>
      <c r="L611" t="str">
        <f t="shared" si="136"/>
        <v/>
      </c>
      <c r="M611" s="38" t="str">
        <f t="shared" si="126"/>
        <v/>
      </c>
      <c r="N611" s="38" t="str">
        <f t="shared" si="137"/>
        <v/>
      </c>
      <c r="O611" s="38" t="str">
        <f t="shared" si="138"/>
        <v/>
      </c>
      <c r="P611" s="38" t="str">
        <f t="shared" si="127"/>
        <v/>
      </c>
      <c r="Q611" s="38" t="str">
        <f t="shared" si="128"/>
        <v/>
      </c>
      <c r="R611" s="38"/>
    </row>
    <row r="612" spans="1:18" x14ac:dyDescent="0.2">
      <c r="A612" t="str">
        <f t="shared" si="129"/>
        <v/>
      </c>
      <c r="B612" s="38" t="str">
        <f t="shared" si="130"/>
        <v/>
      </c>
      <c r="C612" s="38" t="str">
        <f t="shared" si="139"/>
        <v/>
      </c>
      <c r="D612" s="38" t="str">
        <f t="shared" si="131"/>
        <v/>
      </c>
      <c r="E612" s="38" t="str">
        <f t="shared" si="132"/>
        <v/>
      </c>
      <c r="F612" s="38" t="str">
        <f t="shared" si="133"/>
        <v/>
      </c>
      <c r="G612" s="38" t="str">
        <f t="shared" si="134"/>
        <v/>
      </c>
      <c r="H612" s="38" t="str">
        <f t="shared" si="135"/>
        <v/>
      </c>
      <c r="L612" t="str">
        <f t="shared" si="136"/>
        <v/>
      </c>
      <c r="M612" s="38" t="str">
        <f t="shared" si="126"/>
        <v/>
      </c>
      <c r="N612" s="38" t="str">
        <f t="shared" si="137"/>
        <v/>
      </c>
      <c r="O612" s="38" t="str">
        <f t="shared" si="138"/>
        <v/>
      </c>
      <c r="P612" s="38" t="str">
        <f t="shared" si="127"/>
        <v/>
      </c>
      <c r="Q612" s="38" t="str">
        <f t="shared" si="128"/>
        <v/>
      </c>
      <c r="R612" s="38"/>
    </row>
    <row r="613" spans="1:18" x14ac:dyDescent="0.2">
      <c r="A613" t="str">
        <f t="shared" si="129"/>
        <v/>
      </c>
      <c r="B613" s="38" t="str">
        <f t="shared" si="130"/>
        <v/>
      </c>
      <c r="C613" s="38" t="str">
        <f t="shared" si="139"/>
        <v/>
      </c>
      <c r="D613" s="38" t="str">
        <f t="shared" si="131"/>
        <v/>
      </c>
      <c r="E613" s="38" t="str">
        <f t="shared" si="132"/>
        <v/>
      </c>
      <c r="F613" s="38" t="str">
        <f t="shared" si="133"/>
        <v/>
      </c>
      <c r="G613" s="38" t="str">
        <f t="shared" si="134"/>
        <v/>
      </c>
      <c r="H613" s="38" t="str">
        <f t="shared" si="135"/>
        <v/>
      </c>
      <c r="L613" t="str">
        <f t="shared" si="136"/>
        <v/>
      </c>
      <c r="M613" s="38" t="str">
        <f t="shared" si="126"/>
        <v/>
      </c>
      <c r="N613" s="38" t="str">
        <f t="shared" si="137"/>
        <v/>
      </c>
      <c r="O613" s="38" t="str">
        <f t="shared" si="138"/>
        <v/>
      </c>
      <c r="P613" s="38" t="str">
        <f t="shared" si="127"/>
        <v/>
      </c>
      <c r="Q613" s="38" t="str">
        <f t="shared" si="128"/>
        <v/>
      </c>
      <c r="R613" s="38"/>
    </row>
    <row r="614" spans="1:18" x14ac:dyDescent="0.2">
      <c r="A614" t="str">
        <f t="shared" si="129"/>
        <v/>
      </c>
      <c r="B614" s="38" t="str">
        <f t="shared" si="130"/>
        <v/>
      </c>
      <c r="C614" s="38" t="str">
        <f t="shared" si="139"/>
        <v/>
      </c>
      <c r="D614" s="38" t="str">
        <f t="shared" si="131"/>
        <v/>
      </c>
      <c r="E614" s="38" t="str">
        <f t="shared" si="132"/>
        <v/>
      </c>
      <c r="F614" s="38" t="str">
        <f t="shared" si="133"/>
        <v/>
      </c>
      <c r="G614" s="38" t="str">
        <f t="shared" si="134"/>
        <v/>
      </c>
      <c r="H614" s="38" t="str">
        <f t="shared" si="135"/>
        <v/>
      </c>
      <c r="L614" t="str">
        <f t="shared" si="136"/>
        <v/>
      </c>
      <c r="M614" s="38" t="str">
        <f t="shared" si="126"/>
        <v/>
      </c>
      <c r="N614" s="38" t="str">
        <f t="shared" si="137"/>
        <v/>
      </c>
      <c r="O614" s="38" t="str">
        <f t="shared" si="138"/>
        <v/>
      </c>
      <c r="P614" s="38" t="str">
        <f t="shared" si="127"/>
        <v/>
      </c>
      <c r="Q614" s="38" t="str">
        <f t="shared" si="128"/>
        <v/>
      </c>
      <c r="R614" s="38"/>
    </row>
    <row r="615" spans="1:18" x14ac:dyDescent="0.2">
      <c r="A615" t="str">
        <f t="shared" si="129"/>
        <v/>
      </c>
      <c r="B615" s="38" t="str">
        <f t="shared" si="130"/>
        <v/>
      </c>
      <c r="C615" s="38" t="str">
        <f t="shared" si="139"/>
        <v/>
      </c>
      <c r="D615" s="38" t="str">
        <f t="shared" si="131"/>
        <v/>
      </c>
      <c r="E615" s="38" t="str">
        <f t="shared" si="132"/>
        <v/>
      </c>
      <c r="F615" s="38" t="str">
        <f t="shared" si="133"/>
        <v/>
      </c>
      <c r="G615" s="38" t="str">
        <f t="shared" si="134"/>
        <v/>
      </c>
      <c r="H615" s="38" t="str">
        <f t="shared" si="135"/>
        <v/>
      </c>
      <c r="L615" t="str">
        <f t="shared" si="136"/>
        <v/>
      </c>
      <c r="M615" s="38" t="str">
        <f t="shared" si="126"/>
        <v/>
      </c>
      <c r="N615" s="38" t="str">
        <f t="shared" si="137"/>
        <v/>
      </c>
      <c r="O615" s="38" t="str">
        <f t="shared" si="138"/>
        <v/>
      </c>
      <c r="P615" s="38" t="str">
        <f t="shared" si="127"/>
        <v/>
      </c>
      <c r="Q615" s="38" t="str">
        <f t="shared" si="128"/>
        <v/>
      </c>
      <c r="R615" s="38"/>
    </row>
    <row r="616" spans="1:18" x14ac:dyDescent="0.2">
      <c r="A616" t="str">
        <f t="shared" si="129"/>
        <v/>
      </c>
      <c r="B616" s="38" t="str">
        <f t="shared" si="130"/>
        <v/>
      </c>
      <c r="C616" s="38" t="str">
        <f t="shared" si="139"/>
        <v/>
      </c>
      <c r="D616" s="38" t="str">
        <f t="shared" si="131"/>
        <v/>
      </c>
      <c r="E616" s="38" t="str">
        <f t="shared" si="132"/>
        <v/>
      </c>
      <c r="F616" s="38" t="str">
        <f t="shared" si="133"/>
        <v/>
      </c>
      <c r="G616" s="38" t="str">
        <f t="shared" si="134"/>
        <v/>
      </c>
      <c r="H616" s="38" t="str">
        <f t="shared" si="135"/>
        <v/>
      </c>
      <c r="L616" t="str">
        <f t="shared" si="136"/>
        <v/>
      </c>
      <c r="M616" s="38" t="str">
        <f t="shared" si="126"/>
        <v/>
      </c>
      <c r="N616" s="38" t="str">
        <f t="shared" si="137"/>
        <v/>
      </c>
      <c r="O616" s="38" t="str">
        <f t="shared" si="138"/>
        <v/>
      </c>
      <c r="P616" s="38" t="str">
        <f t="shared" si="127"/>
        <v/>
      </c>
      <c r="Q616" s="38" t="str">
        <f t="shared" si="128"/>
        <v/>
      </c>
      <c r="R616" s="38"/>
    </row>
    <row r="617" spans="1:18" x14ac:dyDescent="0.2">
      <c r="A617" t="str">
        <f t="shared" si="129"/>
        <v/>
      </c>
      <c r="B617" s="38" t="str">
        <f t="shared" si="130"/>
        <v/>
      </c>
      <c r="C617" s="38" t="str">
        <f t="shared" si="139"/>
        <v/>
      </c>
      <c r="D617" s="38" t="str">
        <f t="shared" si="131"/>
        <v/>
      </c>
      <c r="E617" s="38" t="str">
        <f t="shared" si="132"/>
        <v/>
      </c>
      <c r="F617" s="38" t="str">
        <f t="shared" si="133"/>
        <v/>
      </c>
      <c r="G617" s="38" t="str">
        <f t="shared" si="134"/>
        <v/>
      </c>
      <c r="H617" s="38" t="str">
        <f t="shared" si="135"/>
        <v/>
      </c>
      <c r="L617" t="str">
        <f t="shared" si="136"/>
        <v/>
      </c>
      <c r="M617" s="38" t="str">
        <f t="shared" si="126"/>
        <v/>
      </c>
      <c r="N617" s="38" t="str">
        <f t="shared" si="137"/>
        <v/>
      </c>
      <c r="O617" s="38" t="str">
        <f t="shared" si="138"/>
        <v/>
      </c>
      <c r="P617" s="38" t="str">
        <f t="shared" si="127"/>
        <v/>
      </c>
      <c r="Q617" s="38" t="str">
        <f t="shared" si="128"/>
        <v/>
      </c>
      <c r="R617" s="38"/>
    </row>
    <row r="618" spans="1:18" x14ac:dyDescent="0.2">
      <c r="A618" t="str">
        <f t="shared" si="129"/>
        <v/>
      </c>
      <c r="B618" s="38" t="str">
        <f t="shared" si="130"/>
        <v/>
      </c>
      <c r="C618" s="38" t="str">
        <f t="shared" si="139"/>
        <v/>
      </c>
      <c r="D618" s="38" t="str">
        <f t="shared" si="131"/>
        <v/>
      </c>
      <c r="E618" s="38" t="str">
        <f t="shared" si="132"/>
        <v/>
      </c>
      <c r="F618" s="38" t="str">
        <f t="shared" si="133"/>
        <v/>
      </c>
      <c r="G618" s="38" t="str">
        <f t="shared" si="134"/>
        <v/>
      </c>
      <c r="H618" s="38" t="str">
        <f t="shared" si="135"/>
        <v/>
      </c>
      <c r="L618" t="str">
        <f t="shared" si="136"/>
        <v/>
      </c>
      <c r="M618" s="38" t="str">
        <f t="shared" si="126"/>
        <v/>
      </c>
      <c r="N618" s="38" t="str">
        <f t="shared" si="137"/>
        <v/>
      </c>
      <c r="O618" s="38" t="str">
        <f t="shared" si="138"/>
        <v/>
      </c>
      <c r="P618" s="38" t="str">
        <f t="shared" si="127"/>
        <v/>
      </c>
      <c r="Q618" s="38" t="str">
        <f t="shared" si="128"/>
        <v/>
      </c>
      <c r="R618" s="38"/>
    </row>
    <row r="619" spans="1:18" x14ac:dyDescent="0.2">
      <c r="A619" t="str">
        <f t="shared" si="129"/>
        <v/>
      </c>
      <c r="B619" s="38" t="str">
        <f t="shared" si="130"/>
        <v/>
      </c>
      <c r="C619" s="38" t="str">
        <f t="shared" si="139"/>
        <v/>
      </c>
      <c r="D619" s="38" t="str">
        <f t="shared" si="131"/>
        <v/>
      </c>
      <c r="E619" s="38" t="str">
        <f t="shared" si="132"/>
        <v/>
      </c>
      <c r="F619" s="38" t="str">
        <f t="shared" si="133"/>
        <v/>
      </c>
      <c r="G619" s="38" t="str">
        <f t="shared" si="134"/>
        <v/>
      </c>
      <c r="H619" s="38" t="str">
        <f t="shared" si="135"/>
        <v/>
      </c>
      <c r="L619" t="str">
        <f t="shared" si="136"/>
        <v/>
      </c>
      <c r="M619" s="38" t="str">
        <f t="shared" si="126"/>
        <v/>
      </c>
      <c r="N619" s="38" t="str">
        <f t="shared" si="137"/>
        <v/>
      </c>
      <c r="O619" s="38" t="str">
        <f t="shared" si="138"/>
        <v/>
      </c>
      <c r="P619" s="38" t="str">
        <f t="shared" si="127"/>
        <v/>
      </c>
      <c r="Q619" s="38" t="str">
        <f t="shared" si="128"/>
        <v/>
      </c>
      <c r="R619" s="38"/>
    </row>
    <row r="620" spans="1:18" x14ac:dyDescent="0.2">
      <c r="A620" t="str">
        <f t="shared" si="129"/>
        <v/>
      </c>
      <c r="B620" s="38" t="str">
        <f t="shared" si="130"/>
        <v/>
      </c>
      <c r="C620" s="38" t="str">
        <f t="shared" si="139"/>
        <v/>
      </c>
      <c r="D620" s="38" t="str">
        <f t="shared" si="131"/>
        <v/>
      </c>
      <c r="E620" s="38" t="str">
        <f t="shared" si="132"/>
        <v/>
      </c>
      <c r="F620" s="38" t="str">
        <f t="shared" si="133"/>
        <v/>
      </c>
      <c r="G620" s="38" t="str">
        <f t="shared" si="134"/>
        <v/>
      </c>
      <c r="H620" s="38" t="str">
        <f t="shared" si="135"/>
        <v/>
      </c>
      <c r="L620" t="str">
        <f t="shared" si="136"/>
        <v/>
      </c>
      <c r="M620" s="38" t="str">
        <f t="shared" si="126"/>
        <v/>
      </c>
      <c r="N620" s="38" t="str">
        <f t="shared" si="137"/>
        <v/>
      </c>
      <c r="O620" s="38" t="str">
        <f t="shared" si="138"/>
        <v/>
      </c>
      <c r="P620" s="38" t="str">
        <f t="shared" si="127"/>
        <v/>
      </c>
      <c r="Q620" s="38" t="str">
        <f t="shared" si="128"/>
        <v/>
      </c>
      <c r="R620" s="38"/>
    </row>
    <row r="621" spans="1:18" x14ac:dyDescent="0.2">
      <c r="A621" t="str">
        <f t="shared" si="129"/>
        <v/>
      </c>
      <c r="B621" s="38" t="str">
        <f t="shared" si="130"/>
        <v/>
      </c>
      <c r="C621" s="38" t="str">
        <f t="shared" si="139"/>
        <v/>
      </c>
      <c r="D621" s="38" t="str">
        <f t="shared" si="131"/>
        <v/>
      </c>
      <c r="E621" s="38" t="str">
        <f t="shared" si="132"/>
        <v/>
      </c>
      <c r="F621" s="38" t="str">
        <f t="shared" si="133"/>
        <v/>
      </c>
      <c r="G621" s="38" t="str">
        <f t="shared" si="134"/>
        <v/>
      </c>
      <c r="H621" s="38" t="str">
        <f t="shared" si="135"/>
        <v/>
      </c>
      <c r="L621" t="str">
        <f t="shared" si="136"/>
        <v/>
      </c>
      <c r="M621" s="38" t="str">
        <f t="shared" si="126"/>
        <v/>
      </c>
      <c r="N621" s="38" t="str">
        <f t="shared" si="137"/>
        <v/>
      </c>
      <c r="O621" s="38" t="str">
        <f t="shared" si="138"/>
        <v/>
      </c>
      <c r="P621" s="38" t="str">
        <f t="shared" si="127"/>
        <v/>
      </c>
      <c r="Q621" s="38" t="str">
        <f t="shared" si="128"/>
        <v/>
      </c>
      <c r="R621" s="38"/>
    </row>
    <row r="622" spans="1:18" x14ac:dyDescent="0.2">
      <c r="A622" t="str">
        <f t="shared" si="129"/>
        <v/>
      </c>
      <c r="B622" s="38" t="str">
        <f t="shared" si="130"/>
        <v/>
      </c>
      <c r="C622" s="38" t="str">
        <f t="shared" si="139"/>
        <v/>
      </c>
      <c r="D622" s="38" t="str">
        <f t="shared" si="131"/>
        <v/>
      </c>
      <c r="E622" s="38" t="str">
        <f t="shared" si="132"/>
        <v/>
      </c>
      <c r="F622" s="38" t="str">
        <f t="shared" si="133"/>
        <v/>
      </c>
      <c r="G622" s="38" t="str">
        <f t="shared" si="134"/>
        <v/>
      </c>
      <c r="H622" s="38" t="str">
        <f t="shared" si="135"/>
        <v/>
      </c>
      <c r="L622" t="str">
        <f t="shared" si="136"/>
        <v/>
      </c>
      <c r="M622" s="38" t="str">
        <f t="shared" si="126"/>
        <v/>
      </c>
      <c r="N622" s="38" t="str">
        <f t="shared" si="137"/>
        <v/>
      </c>
      <c r="O622" s="38" t="str">
        <f t="shared" si="138"/>
        <v/>
      </c>
      <c r="P622" s="38" t="str">
        <f t="shared" si="127"/>
        <v/>
      </c>
      <c r="Q622" s="38" t="str">
        <f t="shared" si="128"/>
        <v/>
      </c>
      <c r="R622" s="38"/>
    </row>
    <row r="623" spans="1:18" x14ac:dyDescent="0.2">
      <c r="A623" t="str">
        <f t="shared" si="129"/>
        <v/>
      </c>
      <c r="B623" s="38" t="str">
        <f t="shared" si="130"/>
        <v/>
      </c>
      <c r="C623" s="38" t="str">
        <f t="shared" si="139"/>
        <v/>
      </c>
      <c r="D623" s="38" t="str">
        <f t="shared" si="131"/>
        <v/>
      </c>
      <c r="E623" s="38" t="str">
        <f t="shared" si="132"/>
        <v/>
      </c>
      <c r="F623" s="38" t="str">
        <f t="shared" si="133"/>
        <v/>
      </c>
      <c r="G623" s="38" t="str">
        <f t="shared" si="134"/>
        <v/>
      </c>
      <c r="H623" s="38" t="str">
        <f t="shared" si="135"/>
        <v/>
      </c>
      <c r="L623" t="str">
        <f t="shared" si="136"/>
        <v/>
      </c>
      <c r="M623" s="38" t="str">
        <f t="shared" si="126"/>
        <v/>
      </c>
      <c r="N623" s="38" t="str">
        <f t="shared" si="137"/>
        <v/>
      </c>
      <c r="O623" s="38" t="str">
        <f t="shared" si="138"/>
        <v/>
      </c>
      <c r="P623" s="38" t="str">
        <f t="shared" si="127"/>
        <v/>
      </c>
      <c r="Q623" s="38" t="str">
        <f t="shared" si="128"/>
        <v/>
      </c>
      <c r="R623" s="38"/>
    </row>
    <row r="624" spans="1:18" x14ac:dyDescent="0.2">
      <c r="A624" t="str">
        <f t="shared" si="129"/>
        <v/>
      </c>
      <c r="B624" s="38" t="str">
        <f t="shared" si="130"/>
        <v/>
      </c>
      <c r="C624" s="38" t="str">
        <f t="shared" si="139"/>
        <v/>
      </c>
      <c r="D624" s="38" t="str">
        <f t="shared" si="131"/>
        <v/>
      </c>
      <c r="E624" s="38" t="str">
        <f t="shared" si="132"/>
        <v/>
      </c>
      <c r="F624" s="38" t="str">
        <f t="shared" si="133"/>
        <v/>
      </c>
      <c r="G624" s="38" t="str">
        <f t="shared" si="134"/>
        <v/>
      </c>
      <c r="H624" s="38" t="str">
        <f t="shared" si="135"/>
        <v/>
      </c>
      <c r="L624" t="str">
        <f t="shared" si="136"/>
        <v/>
      </c>
      <c r="M624" s="38" t="str">
        <f t="shared" si="126"/>
        <v/>
      </c>
      <c r="N624" s="38" t="str">
        <f t="shared" si="137"/>
        <v/>
      </c>
      <c r="O624" s="38" t="str">
        <f t="shared" si="138"/>
        <v/>
      </c>
      <c r="P624" s="38" t="str">
        <f t="shared" si="127"/>
        <v/>
      </c>
      <c r="Q624" s="38" t="str">
        <f t="shared" si="128"/>
        <v/>
      </c>
      <c r="R624" s="38"/>
    </row>
    <row r="625" spans="1:18" x14ac:dyDescent="0.2">
      <c r="A625" t="str">
        <f t="shared" si="129"/>
        <v/>
      </c>
      <c r="B625" s="38" t="str">
        <f t="shared" si="130"/>
        <v/>
      </c>
      <c r="C625" s="38" t="str">
        <f t="shared" si="139"/>
        <v/>
      </c>
      <c r="D625" s="38" t="str">
        <f t="shared" si="131"/>
        <v/>
      </c>
      <c r="E625" s="38" t="str">
        <f t="shared" si="132"/>
        <v/>
      </c>
      <c r="F625" s="38" t="str">
        <f t="shared" si="133"/>
        <v/>
      </c>
      <c r="G625" s="38" t="str">
        <f t="shared" si="134"/>
        <v/>
      </c>
      <c r="H625" s="38" t="str">
        <f t="shared" si="135"/>
        <v/>
      </c>
      <c r="L625" t="str">
        <f t="shared" si="136"/>
        <v/>
      </c>
      <c r="M625" s="38" t="str">
        <f t="shared" si="126"/>
        <v/>
      </c>
      <c r="N625" s="38" t="str">
        <f t="shared" si="137"/>
        <v/>
      </c>
      <c r="O625" s="38" t="str">
        <f t="shared" si="138"/>
        <v/>
      </c>
      <c r="P625" s="38" t="str">
        <f t="shared" si="127"/>
        <v/>
      </c>
      <c r="Q625" s="38" t="str">
        <f t="shared" si="128"/>
        <v/>
      </c>
      <c r="R625" s="38"/>
    </row>
    <row r="626" spans="1:18" x14ac:dyDescent="0.2">
      <c r="A626" t="str">
        <f t="shared" si="129"/>
        <v/>
      </c>
      <c r="B626" s="38" t="str">
        <f t="shared" si="130"/>
        <v/>
      </c>
      <c r="C626" s="38" t="str">
        <f t="shared" si="139"/>
        <v/>
      </c>
      <c r="D626" s="38" t="str">
        <f t="shared" si="131"/>
        <v/>
      </c>
      <c r="E626" s="38" t="str">
        <f t="shared" si="132"/>
        <v/>
      </c>
      <c r="F626" s="38" t="str">
        <f t="shared" si="133"/>
        <v/>
      </c>
      <c r="G626" s="38" t="str">
        <f t="shared" si="134"/>
        <v/>
      </c>
      <c r="H626" s="38" t="str">
        <f t="shared" si="135"/>
        <v/>
      </c>
      <c r="L626" t="str">
        <f t="shared" si="136"/>
        <v/>
      </c>
      <c r="M626" s="38" t="str">
        <f t="shared" si="126"/>
        <v/>
      </c>
      <c r="N626" s="38" t="str">
        <f t="shared" si="137"/>
        <v/>
      </c>
      <c r="O626" s="38" t="str">
        <f t="shared" si="138"/>
        <v/>
      </c>
      <c r="P626" s="38" t="str">
        <f t="shared" si="127"/>
        <v/>
      </c>
      <c r="Q626" s="38" t="str">
        <f t="shared" si="128"/>
        <v/>
      </c>
      <c r="R626" s="38"/>
    </row>
    <row r="627" spans="1:18" x14ac:dyDescent="0.2">
      <c r="A627" t="str">
        <f t="shared" si="129"/>
        <v/>
      </c>
      <c r="B627" s="38" t="str">
        <f t="shared" si="130"/>
        <v/>
      </c>
      <c r="C627" s="38" t="str">
        <f t="shared" si="139"/>
        <v/>
      </c>
      <c r="D627" s="38" t="str">
        <f t="shared" si="131"/>
        <v/>
      </c>
      <c r="E627" s="38" t="str">
        <f t="shared" si="132"/>
        <v/>
      </c>
      <c r="F627" s="38" t="str">
        <f t="shared" si="133"/>
        <v/>
      </c>
      <c r="G627" s="38" t="str">
        <f t="shared" si="134"/>
        <v/>
      </c>
      <c r="H627" s="38" t="str">
        <f t="shared" si="135"/>
        <v/>
      </c>
      <c r="L627" t="str">
        <f t="shared" si="136"/>
        <v/>
      </c>
      <c r="M627" s="38" t="str">
        <f t="shared" si="126"/>
        <v/>
      </c>
      <c r="N627" s="38" t="str">
        <f t="shared" si="137"/>
        <v/>
      </c>
      <c r="O627" s="38" t="str">
        <f t="shared" si="138"/>
        <v/>
      </c>
      <c r="P627" s="38" t="str">
        <f t="shared" si="127"/>
        <v/>
      </c>
      <c r="Q627" s="38" t="str">
        <f t="shared" si="128"/>
        <v/>
      </c>
      <c r="R627" s="38"/>
    </row>
    <row r="628" spans="1:18" x14ac:dyDescent="0.2">
      <c r="A628" t="str">
        <f t="shared" si="129"/>
        <v/>
      </c>
      <c r="B628" s="38" t="str">
        <f t="shared" si="130"/>
        <v/>
      </c>
      <c r="C628" s="38" t="str">
        <f t="shared" si="139"/>
        <v/>
      </c>
      <c r="D628" s="38" t="str">
        <f t="shared" si="131"/>
        <v/>
      </c>
      <c r="E628" s="38" t="str">
        <f t="shared" si="132"/>
        <v/>
      </c>
      <c r="F628" s="38" t="str">
        <f t="shared" si="133"/>
        <v/>
      </c>
      <c r="G628" s="38" t="str">
        <f t="shared" si="134"/>
        <v/>
      </c>
      <c r="H628" s="38" t="str">
        <f t="shared" si="135"/>
        <v/>
      </c>
      <c r="L628" t="str">
        <f t="shared" si="136"/>
        <v/>
      </c>
      <c r="M628" s="38" t="str">
        <f t="shared" si="126"/>
        <v/>
      </c>
      <c r="N628" s="38" t="str">
        <f t="shared" si="137"/>
        <v/>
      </c>
      <c r="O628" s="38" t="str">
        <f t="shared" si="138"/>
        <v/>
      </c>
      <c r="P628" s="38" t="str">
        <f t="shared" si="127"/>
        <v/>
      </c>
      <c r="Q628" s="38" t="str">
        <f t="shared" si="128"/>
        <v/>
      </c>
      <c r="R628" s="38"/>
    </row>
    <row r="629" spans="1:18" x14ac:dyDescent="0.2">
      <c r="A629" t="str">
        <f t="shared" si="129"/>
        <v/>
      </c>
      <c r="B629" s="38" t="str">
        <f t="shared" si="130"/>
        <v/>
      </c>
      <c r="C629" s="38" t="str">
        <f t="shared" si="139"/>
        <v/>
      </c>
      <c r="D629" s="38" t="str">
        <f t="shared" si="131"/>
        <v/>
      </c>
      <c r="E629" s="38" t="str">
        <f t="shared" si="132"/>
        <v/>
      </c>
      <c r="F629" s="38" t="str">
        <f t="shared" si="133"/>
        <v/>
      </c>
      <c r="G629" s="38" t="str">
        <f t="shared" si="134"/>
        <v/>
      </c>
      <c r="H629" s="38" t="str">
        <f t="shared" si="135"/>
        <v/>
      </c>
      <c r="L629" t="str">
        <f t="shared" si="136"/>
        <v/>
      </c>
      <c r="M629" s="38" t="str">
        <f t="shared" si="126"/>
        <v/>
      </c>
      <c r="N629" s="38" t="str">
        <f t="shared" si="137"/>
        <v/>
      </c>
      <c r="O629" s="38" t="str">
        <f t="shared" si="138"/>
        <v/>
      </c>
      <c r="P629" s="38" t="str">
        <f t="shared" si="127"/>
        <v/>
      </c>
      <c r="Q629" s="38" t="str">
        <f t="shared" si="128"/>
        <v/>
      </c>
      <c r="R629" s="38"/>
    </row>
    <row r="630" spans="1:18" x14ac:dyDescent="0.2">
      <c r="A630" t="str">
        <f t="shared" si="129"/>
        <v/>
      </c>
      <c r="B630" s="38" t="str">
        <f t="shared" si="130"/>
        <v/>
      </c>
      <c r="C630" s="38" t="str">
        <f t="shared" si="139"/>
        <v/>
      </c>
      <c r="D630" s="38" t="str">
        <f t="shared" si="131"/>
        <v/>
      </c>
      <c r="E630" s="38" t="str">
        <f t="shared" si="132"/>
        <v/>
      </c>
      <c r="F630" s="38" t="str">
        <f t="shared" si="133"/>
        <v/>
      </c>
      <c r="G630" s="38" t="str">
        <f t="shared" si="134"/>
        <v/>
      </c>
      <c r="H630" s="38" t="str">
        <f t="shared" si="135"/>
        <v/>
      </c>
      <c r="L630" t="str">
        <f t="shared" si="136"/>
        <v/>
      </c>
      <c r="M630" s="38" t="str">
        <f t="shared" si="126"/>
        <v/>
      </c>
      <c r="N630" s="38" t="str">
        <f t="shared" si="137"/>
        <v/>
      </c>
      <c r="O630" s="38" t="str">
        <f t="shared" si="138"/>
        <v/>
      </c>
      <c r="P630" s="38" t="str">
        <f t="shared" si="127"/>
        <v/>
      </c>
      <c r="Q630" s="38" t="str">
        <f t="shared" si="128"/>
        <v/>
      </c>
      <c r="R630" s="38"/>
    </row>
    <row r="631" spans="1:18" x14ac:dyDescent="0.2">
      <c r="A631" t="str">
        <f t="shared" si="129"/>
        <v/>
      </c>
      <c r="B631" s="38" t="str">
        <f t="shared" si="130"/>
        <v/>
      </c>
      <c r="C631" s="38" t="str">
        <f t="shared" si="139"/>
        <v/>
      </c>
      <c r="D631" s="38" t="str">
        <f t="shared" si="131"/>
        <v/>
      </c>
      <c r="E631" s="38" t="str">
        <f t="shared" si="132"/>
        <v/>
      </c>
      <c r="F631" s="38" t="str">
        <f t="shared" si="133"/>
        <v/>
      </c>
      <c r="G631" s="38" t="str">
        <f t="shared" si="134"/>
        <v/>
      </c>
      <c r="H631" s="38" t="str">
        <f t="shared" si="135"/>
        <v/>
      </c>
      <c r="L631" t="str">
        <f t="shared" si="136"/>
        <v/>
      </c>
      <c r="M631" s="38" t="str">
        <f t="shared" si="126"/>
        <v/>
      </c>
      <c r="N631" s="38" t="str">
        <f t="shared" si="137"/>
        <v/>
      </c>
      <c r="O631" s="38" t="str">
        <f t="shared" si="138"/>
        <v/>
      </c>
      <c r="P631" s="38" t="str">
        <f t="shared" si="127"/>
        <v/>
      </c>
      <c r="Q631" s="38" t="str">
        <f t="shared" si="128"/>
        <v/>
      </c>
      <c r="R631" s="38"/>
    </row>
    <row r="632" spans="1:18" x14ac:dyDescent="0.2">
      <c r="A632" t="str">
        <f t="shared" si="129"/>
        <v/>
      </c>
      <c r="B632" s="38" t="str">
        <f t="shared" si="130"/>
        <v/>
      </c>
      <c r="C632" s="38" t="str">
        <f t="shared" si="139"/>
        <v/>
      </c>
      <c r="D632" s="38" t="str">
        <f t="shared" si="131"/>
        <v/>
      </c>
      <c r="E632" s="38" t="str">
        <f t="shared" si="132"/>
        <v/>
      </c>
      <c r="F632" s="38" t="str">
        <f t="shared" si="133"/>
        <v/>
      </c>
      <c r="G632" s="38" t="str">
        <f t="shared" si="134"/>
        <v/>
      </c>
      <c r="H632" s="38" t="str">
        <f t="shared" si="135"/>
        <v/>
      </c>
      <c r="L632" t="str">
        <f t="shared" si="136"/>
        <v/>
      </c>
      <c r="M632" s="38" t="str">
        <f t="shared" si="126"/>
        <v/>
      </c>
      <c r="N632" s="38" t="str">
        <f t="shared" si="137"/>
        <v/>
      </c>
      <c r="O632" s="38" t="str">
        <f t="shared" si="138"/>
        <v/>
      </c>
      <c r="P632" s="38" t="str">
        <f t="shared" si="127"/>
        <v/>
      </c>
      <c r="Q632" s="38" t="str">
        <f t="shared" si="128"/>
        <v/>
      </c>
      <c r="R632" s="38"/>
    </row>
    <row r="633" spans="1:18" x14ac:dyDescent="0.2">
      <c r="A633" t="str">
        <f t="shared" si="129"/>
        <v/>
      </c>
      <c r="B633" s="38" t="str">
        <f t="shared" si="130"/>
        <v/>
      </c>
      <c r="C633" s="38" t="str">
        <f t="shared" si="139"/>
        <v/>
      </c>
      <c r="D633" s="38" t="str">
        <f t="shared" si="131"/>
        <v/>
      </c>
      <c r="E633" s="38" t="str">
        <f t="shared" si="132"/>
        <v/>
      </c>
      <c r="F633" s="38" t="str">
        <f t="shared" si="133"/>
        <v/>
      </c>
      <c r="G633" s="38" t="str">
        <f t="shared" si="134"/>
        <v/>
      </c>
      <c r="H633" s="38" t="str">
        <f t="shared" si="135"/>
        <v/>
      </c>
      <c r="L633" t="str">
        <f t="shared" si="136"/>
        <v/>
      </c>
      <c r="M633" s="38" t="str">
        <f t="shared" si="126"/>
        <v/>
      </c>
      <c r="N633" s="38" t="str">
        <f t="shared" si="137"/>
        <v/>
      </c>
      <c r="O633" s="38" t="str">
        <f t="shared" si="138"/>
        <v/>
      </c>
      <c r="P633" s="38" t="str">
        <f t="shared" si="127"/>
        <v/>
      </c>
      <c r="Q633" s="38" t="str">
        <f t="shared" si="128"/>
        <v/>
      </c>
      <c r="R633" s="38"/>
    </row>
    <row r="634" spans="1:18" x14ac:dyDescent="0.2">
      <c r="A634" t="str">
        <f t="shared" si="129"/>
        <v/>
      </c>
      <c r="B634" s="38" t="str">
        <f t="shared" si="130"/>
        <v/>
      </c>
      <c r="C634" s="38" t="str">
        <f t="shared" si="139"/>
        <v/>
      </c>
      <c r="D634" s="38" t="str">
        <f t="shared" si="131"/>
        <v/>
      </c>
      <c r="E634" s="38" t="str">
        <f t="shared" si="132"/>
        <v/>
      </c>
      <c r="F634" s="38" t="str">
        <f t="shared" si="133"/>
        <v/>
      </c>
      <c r="G634" s="38" t="str">
        <f t="shared" si="134"/>
        <v/>
      </c>
      <c r="H634" s="38" t="str">
        <f t="shared" si="135"/>
        <v/>
      </c>
      <c r="L634" t="str">
        <f t="shared" si="136"/>
        <v/>
      </c>
      <c r="M634" s="38" t="str">
        <f t="shared" si="126"/>
        <v/>
      </c>
      <c r="N634" s="38" t="str">
        <f t="shared" si="137"/>
        <v/>
      </c>
      <c r="O634" s="38" t="str">
        <f t="shared" si="138"/>
        <v/>
      </c>
      <c r="P634" s="38" t="str">
        <f t="shared" si="127"/>
        <v/>
      </c>
      <c r="Q634" s="38" t="str">
        <f t="shared" si="128"/>
        <v/>
      </c>
      <c r="R634" s="38"/>
    </row>
    <row r="635" spans="1:18" x14ac:dyDescent="0.2">
      <c r="A635" t="str">
        <f t="shared" si="129"/>
        <v/>
      </c>
      <c r="B635" s="38" t="str">
        <f t="shared" si="130"/>
        <v/>
      </c>
      <c r="C635" s="38" t="str">
        <f t="shared" si="139"/>
        <v/>
      </c>
      <c r="D635" s="38" t="str">
        <f t="shared" si="131"/>
        <v/>
      </c>
      <c r="E635" s="38" t="str">
        <f t="shared" si="132"/>
        <v/>
      </c>
      <c r="F635" s="38" t="str">
        <f t="shared" si="133"/>
        <v/>
      </c>
      <c r="G635" s="38" t="str">
        <f t="shared" si="134"/>
        <v/>
      </c>
      <c r="H635" s="38" t="str">
        <f t="shared" si="135"/>
        <v/>
      </c>
      <c r="L635" t="str">
        <f t="shared" si="136"/>
        <v/>
      </c>
      <c r="M635" s="38" t="str">
        <f t="shared" si="126"/>
        <v/>
      </c>
      <c r="N635" s="38" t="str">
        <f t="shared" si="137"/>
        <v/>
      </c>
      <c r="O635" s="38" t="str">
        <f t="shared" si="138"/>
        <v/>
      </c>
      <c r="P635" s="38" t="str">
        <f t="shared" si="127"/>
        <v/>
      </c>
      <c r="Q635" s="38" t="str">
        <f t="shared" si="128"/>
        <v/>
      </c>
      <c r="R635" s="38"/>
    </row>
    <row r="636" spans="1:18" x14ac:dyDescent="0.2">
      <c r="A636" t="str">
        <f t="shared" si="129"/>
        <v/>
      </c>
      <c r="B636" s="38" t="str">
        <f t="shared" si="130"/>
        <v/>
      </c>
      <c r="C636" s="38" t="str">
        <f t="shared" si="139"/>
        <v/>
      </c>
      <c r="D636" s="38" t="str">
        <f t="shared" si="131"/>
        <v/>
      </c>
      <c r="E636" s="38" t="str">
        <f t="shared" si="132"/>
        <v/>
      </c>
      <c r="F636" s="38" t="str">
        <f t="shared" si="133"/>
        <v/>
      </c>
      <c r="G636" s="38" t="str">
        <f t="shared" si="134"/>
        <v/>
      </c>
      <c r="H636" s="38" t="str">
        <f t="shared" si="135"/>
        <v/>
      </c>
      <c r="L636" t="str">
        <f t="shared" si="136"/>
        <v/>
      </c>
      <c r="M636" s="38" t="str">
        <f t="shared" si="126"/>
        <v/>
      </c>
      <c r="N636" s="38" t="str">
        <f t="shared" si="137"/>
        <v/>
      </c>
      <c r="O636" s="38" t="str">
        <f t="shared" si="138"/>
        <v/>
      </c>
      <c r="P636" s="38" t="str">
        <f t="shared" si="127"/>
        <v/>
      </c>
      <c r="Q636" s="38" t="str">
        <f t="shared" si="128"/>
        <v/>
      </c>
      <c r="R636" s="38"/>
    </row>
    <row r="637" spans="1:18" x14ac:dyDescent="0.2">
      <c r="A637" t="str">
        <f t="shared" si="129"/>
        <v/>
      </c>
      <c r="B637" s="38" t="str">
        <f t="shared" si="130"/>
        <v/>
      </c>
      <c r="C637" s="38" t="str">
        <f t="shared" si="139"/>
        <v/>
      </c>
      <c r="D637" s="38" t="str">
        <f t="shared" si="131"/>
        <v/>
      </c>
      <c r="E637" s="38" t="str">
        <f t="shared" si="132"/>
        <v/>
      </c>
      <c r="F637" s="38" t="str">
        <f t="shared" si="133"/>
        <v/>
      </c>
      <c r="G637" s="38" t="str">
        <f t="shared" si="134"/>
        <v/>
      </c>
      <c r="H637" s="38" t="str">
        <f t="shared" si="135"/>
        <v/>
      </c>
      <c r="L637" t="str">
        <f t="shared" si="136"/>
        <v/>
      </c>
      <c r="M637" s="38" t="str">
        <f t="shared" si="126"/>
        <v/>
      </c>
      <c r="N637" s="38" t="str">
        <f t="shared" si="137"/>
        <v/>
      </c>
      <c r="O637" s="38" t="str">
        <f t="shared" si="138"/>
        <v/>
      </c>
      <c r="P637" s="38" t="str">
        <f t="shared" si="127"/>
        <v/>
      </c>
      <c r="Q637" s="38" t="str">
        <f t="shared" si="128"/>
        <v/>
      </c>
      <c r="R637" s="38"/>
    </row>
    <row r="638" spans="1:18" x14ac:dyDescent="0.2">
      <c r="A638" t="str">
        <f t="shared" si="129"/>
        <v/>
      </c>
      <c r="B638" s="38" t="str">
        <f t="shared" si="130"/>
        <v/>
      </c>
      <c r="C638" s="38" t="str">
        <f t="shared" si="139"/>
        <v/>
      </c>
      <c r="D638" s="38" t="str">
        <f t="shared" si="131"/>
        <v/>
      </c>
      <c r="E638" s="38" t="str">
        <f t="shared" si="132"/>
        <v/>
      </c>
      <c r="F638" s="38" t="str">
        <f t="shared" si="133"/>
        <v/>
      </c>
      <c r="G638" s="38" t="str">
        <f t="shared" si="134"/>
        <v/>
      </c>
      <c r="H638" s="38" t="str">
        <f t="shared" si="135"/>
        <v/>
      </c>
      <c r="L638" t="str">
        <f t="shared" si="136"/>
        <v/>
      </c>
      <c r="M638" s="38" t="str">
        <f t="shared" si="126"/>
        <v/>
      </c>
      <c r="N638" s="38" t="str">
        <f t="shared" si="137"/>
        <v/>
      </c>
      <c r="O638" s="38" t="str">
        <f t="shared" si="138"/>
        <v/>
      </c>
      <c r="P638" s="38" t="str">
        <f t="shared" si="127"/>
        <v/>
      </c>
      <c r="Q638" s="38" t="str">
        <f t="shared" si="128"/>
        <v/>
      </c>
      <c r="R638" s="38"/>
    </row>
    <row r="639" spans="1:18" x14ac:dyDescent="0.2">
      <c r="L639" t="str">
        <f t="shared" si="136"/>
        <v/>
      </c>
      <c r="M639" s="38" t="str">
        <f t="shared" si="126"/>
        <v/>
      </c>
      <c r="N639" s="38" t="str">
        <f t="shared" si="137"/>
        <v/>
      </c>
      <c r="O639" s="38" t="str">
        <f t="shared" si="138"/>
        <v/>
      </c>
      <c r="P639" s="38" t="str">
        <f t="shared" si="127"/>
        <v/>
      </c>
      <c r="Q639" s="38" t="str">
        <f t="shared" si="128"/>
        <v/>
      </c>
      <c r="R639" s="38"/>
    </row>
    <row r="640" spans="1:18" x14ac:dyDescent="0.2">
      <c r="L640" t="str">
        <f t="shared" si="136"/>
        <v/>
      </c>
      <c r="M640" s="38" t="str">
        <f t="shared" si="126"/>
        <v/>
      </c>
      <c r="N640" s="38" t="str">
        <f t="shared" si="137"/>
        <v/>
      </c>
      <c r="O640" s="38" t="str">
        <f t="shared" si="138"/>
        <v/>
      </c>
      <c r="P640" s="38" t="str">
        <f t="shared" si="127"/>
        <v/>
      </c>
      <c r="Q640" s="38" t="str">
        <f t="shared" si="128"/>
        <v/>
      </c>
      <c r="R640" s="38"/>
    </row>
    <row r="641" spans="12:18" x14ac:dyDescent="0.2">
      <c r="L641" t="str">
        <f t="shared" si="136"/>
        <v/>
      </c>
      <c r="M641" s="38" t="str">
        <f t="shared" si="126"/>
        <v/>
      </c>
      <c r="N641" s="38" t="str">
        <f t="shared" si="137"/>
        <v/>
      </c>
      <c r="O641" s="38" t="str">
        <f t="shared" si="138"/>
        <v/>
      </c>
      <c r="P641" s="38" t="str">
        <f t="shared" si="127"/>
        <v/>
      </c>
      <c r="Q641" s="38" t="str">
        <f t="shared" si="128"/>
        <v/>
      </c>
      <c r="R641" s="38"/>
    </row>
    <row r="642" spans="12:18" x14ac:dyDescent="0.2">
      <c r="L642" t="str">
        <f t="shared" si="136"/>
        <v/>
      </c>
      <c r="M642" s="38" t="str">
        <f t="shared" si="126"/>
        <v/>
      </c>
      <c r="N642" s="38" t="str">
        <f t="shared" si="137"/>
        <v/>
      </c>
      <c r="O642" s="38" t="str">
        <f t="shared" si="138"/>
        <v/>
      </c>
      <c r="P642" s="38" t="str">
        <f t="shared" si="127"/>
        <v/>
      </c>
      <c r="Q642" s="38" t="str">
        <f t="shared" si="128"/>
        <v/>
      </c>
      <c r="R642" s="38"/>
    </row>
    <row r="643" spans="12:18" x14ac:dyDescent="0.2">
      <c r="L643" t="str">
        <f t="shared" si="136"/>
        <v/>
      </c>
      <c r="M643" s="38" t="str">
        <f t="shared" si="126"/>
        <v/>
      </c>
      <c r="N643" s="38" t="str">
        <f t="shared" si="137"/>
        <v/>
      </c>
      <c r="O643" s="38" t="str">
        <f t="shared" si="138"/>
        <v/>
      </c>
      <c r="P643" s="38" t="str">
        <f t="shared" si="127"/>
        <v/>
      </c>
      <c r="Q643" s="38" t="str">
        <f t="shared" si="128"/>
        <v/>
      </c>
      <c r="R643" s="38"/>
    </row>
    <row r="644" spans="12:18" x14ac:dyDescent="0.2">
      <c r="L644" t="str">
        <f t="shared" si="136"/>
        <v/>
      </c>
      <c r="M644" s="38" t="str">
        <f t="shared" si="126"/>
        <v/>
      </c>
      <c r="N644" s="38" t="str">
        <f t="shared" si="137"/>
        <v/>
      </c>
      <c r="O644" s="38" t="str">
        <f t="shared" si="138"/>
        <v/>
      </c>
      <c r="P644" s="38" t="str">
        <f t="shared" si="127"/>
        <v/>
      </c>
      <c r="Q644" s="38" t="str">
        <f t="shared" si="128"/>
        <v/>
      </c>
      <c r="R644" s="38"/>
    </row>
    <row r="645" spans="12:18" x14ac:dyDescent="0.2">
      <c r="L645" t="str">
        <f t="shared" si="136"/>
        <v/>
      </c>
      <c r="M645" s="38" t="str">
        <f t="shared" si="126"/>
        <v/>
      </c>
      <c r="N645" s="38" t="str">
        <f t="shared" si="137"/>
        <v/>
      </c>
      <c r="O645" s="38" t="str">
        <f t="shared" si="138"/>
        <v/>
      </c>
      <c r="P645" s="38" t="str">
        <f t="shared" si="127"/>
        <v/>
      </c>
      <c r="Q645" s="38" t="str">
        <f t="shared" si="128"/>
        <v/>
      </c>
      <c r="R645" s="38"/>
    </row>
    <row r="646" spans="12:18" x14ac:dyDescent="0.2">
      <c r="L646" t="str">
        <f t="shared" si="136"/>
        <v/>
      </c>
      <c r="M646" s="38" t="str">
        <f t="shared" si="126"/>
        <v/>
      </c>
      <c r="N646" s="38" t="str">
        <f t="shared" si="137"/>
        <v/>
      </c>
      <c r="O646" s="38" t="str">
        <f t="shared" si="138"/>
        <v/>
      </c>
      <c r="P646" s="38" t="str">
        <f t="shared" si="127"/>
        <v/>
      </c>
      <c r="Q646" s="38" t="str">
        <f t="shared" si="128"/>
        <v/>
      </c>
      <c r="R646" s="38"/>
    </row>
    <row r="647" spans="12:18" x14ac:dyDescent="0.2">
      <c r="L647" t="str">
        <f t="shared" si="136"/>
        <v/>
      </c>
      <c r="M647" s="38" t="str">
        <f t="shared" si="126"/>
        <v/>
      </c>
      <c r="N647" s="38" t="str">
        <f t="shared" si="137"/>
        <v/>
      </c>
      <c r="O647" s="38" t="str">
        <f t="shared" si="138"/>
        <v/>
      </c>
      <c r="P647" s="38" t="str">
        <f t="shared" si="127"/>
        <v/>
      </c>
      <c r="Q647" s="38" t="str">
        <f t="shared" si="128"/>
        <v/>
      </c>
      <c r="R647" s="38"/>
    </row>
    <row r="648" spans="12:18" x14ac:dyDescent="0.2">
      <c r="L648" t="str">
        <f t="shared" si="136"/>
        <v/>
      </c>
      <c r="M648" s="38" t="str">
        <f t="shared" si="126"/>
        <v/>
      </c>
      <c r="N648" s="38" t="str">
        <f t="shared" si="137"/>
        <v/>
      </c>
      <c r="O648" s="38" t="str">
        <f t="shared" si="138"/>
        <v/>
      </c>
      <c r="P648" s="38" t="str">
        <f t="shared" si="127"/>
        <v/>
      </c>
      <c r="Q648" s="38" t="str">
        <f t="shared" si="128"/>
        <v/>
      </c>
      <c r="R648" s="38"/>
    </row>
    <row r="649" spans="12:18" x14ac:dyDescent="0.2">
      <c r="L649" t="str">
        <f t="shared" si="136"/>
        <v/>
      </c>
      <c r="M649" s="38" t="str">
        <f t="shared" si="126"/>
        <v/>
      </c>
      <c r="N649" s="38" t="str">
        <f t="shared" si="137"/>
        <v/>
      </c>
      <c r="O649" s="38" t="str">
        <f t="shared" si="138"/>
        <v/>
      </c>
      <c r="P649" s="38" t="str">
        <f t="shared" si="127"/>
        <v/>
      </c>
      <c r="Q649" s="38" t="str">
        <f t="shared" si="128"/>
        <v/>
      </c>
      <c r="R649" s="38"/>
    </row>
    <row r="650" spans="12:18" x14ac:dyDescent="0.2">
      <c r="L650" t="str">
        <f t="shared" si="136"/>
        <v/>
      </c>
      <c r="M650" s="38" t="str">
        <f t="shared" si="126"/>
        <v/>
      </c>
      <c r="N650" s="38" t="str">
        <f t="shared" si="137"/>
        <v/>
      </c>
      <c r="O650" s="38" t="str">
        <f t="shared" si="138"/>
        <v/>
      </c>
      <c r="P650" s="38" t="str">
        <f t="shared" si="127"/>
        <v/>
      </c>
      <c r="Q650" s="38" t="str">
        <f t="shared" si="128"/>
        <v/>
      </c>
      <c r="R650" s="38"/>
    </row>
    <row r="651" spans="12:18" x14ac:dyDescent="0.2">
      <c r="L651" t="str">
        <f t="shared" si="136"/>
        <v/>
      </c>
      <c r="M651" s="38" t="str">
        <f t="shared" si="126"/>
        <v/>
      </c>
      <c r="N651" s="38" t="str">
        <f t="shared" si="137"/>
        <v/>
      </c>
      <c r="O651" s="38" t="str">
        <f t="shared" si="138"/>
        <v/>
      </c>
      <c r="P651" s="38" t="str">
        <f t="shared" si="127"/>
        <v/>
      </c>
      <c r="Q651" s="38" t="str">
        <f t="shared" si="128"/>
        <v/>
      </c>
      <c r="R651" s="38"/>
    </row>
    <row r="652" spans="12:18" x14ac:dyDescent="0.2">
      <c r="L652" t="str">
        <f t="shared" si="136"/>
        <v/>
      </c>
      <c r="M652" s="38" t="str">
        <f t="shared" si="126"/>
        <v/>
      </c>
      <c r="N652" s="38" t="str">
        <f t="shared" si="137"/>
        <v/>
      </c>
      <c r="O652" s="38" t="str">
        <f t="shared" si="138"/>
        <v/>
      </c>
      <c r="P652" s="38" t="str">
        <f t="shared" si="127"/>
        <v/>
      </c>
      <c r="Q652" s="38" t="str">
        <f t="shared" si="128"/>
        <v/>
      </c>
      <c r="R652" s="38"/>
    </row>
    <row r="653" spans="12:18" x14ac:dyDescent="0.2">
      <c r="L653" t="str">
        <f t="shared" si="136"/>
        <v/>
      </c>
      <c r="M653" s="38" t="str">
        <f t="shared" si="126"/>
        <v/>
      </c>
      <c r="N653" s="38" t="str">
        <f t="shared" si="137"/>
        <v/>
      </c>
      <c r="O653" s="38" t="str">
        <f t="shared" si="138"/>
        <v/>
      </c>
      <c r="P653" s="38" t="str">
        <f t="shared" si="127"/>
        <v/>
      </c>
      <c r="Q653" s="38" t="str">
        <f t="shared" si="128"/>
        <v/>
      </c>
      <c r="R653" s="38"/>
    </row>
    <row r="654" spans="12:18" x14ac:dyDescent="0.2">
      <c r="L654" t="str">
        <f t="shared" si="136"/>
        <v/>
      </c>
      <c r="M654" s="38" t="str">
        <f t="shared" si="126"/>
        <v/>
      </c>
      <c r="N654" s="38" t="str">
        <f t="shared" si="137"/>
        <v/>
      </c>
      <c r="O654" s="38" t="str">
        <f t="shared" si="138"/>
        <v/>
      </c>
      <c r="P654" s="38" t="str">
        <f t="shared" si="127"/>
        <v/>
      </c>
      <c r="Q654" s="38" t="str">
        <f t="shared" si="128"/>
        <v/>
      </c>
      <c r="R654" s="38"/>
    </row>
    <row r="655" spans="12:18" x14ac:dyDescent="0.2">
      <c r="L655" t="str">
        <f t="shared" si="136"/>
        <v/>
      </c>
      <c r="M655" s="38" t="str">
        <f t="shared" si="126"/>
        <v/>
      </c>
      <c r="N655" s="38" t="str">
        <f t="shared" si="137"/>
        <v/>
      </c>
      <c r="O655" s="38" t="str">
        <f t="shared" si="138"/>
        <v/>
      </c>
      <c r="P655" s="38" t="str">
        <f t="shared" si="127"/>
        <v/>
      </c>
      <c r="Q655" s="38" t="str">
        <f t="shared" si="128"/>
        <v/>
      </c>
      <c r="R655" s="38"/>
    </row>
    <row r="656" spans="12:18" x14ac:dyDescent="0.2">
      <c r="L656" t="str">
        <f t="shared" si="136"/>
        <v/>
      </c>
      <c r="M656" s="38" t="str">
        <f t="shared" si="126"/>
        <v/>
      </c>
      <c r="N656" s="38" t="str">
        <f t="shared" si="137"/>
        <v/>
      </c>
      <c r="O656" s="38" t="str">
        <f t="shared" si="138"/>
        <v/>
      </c>
      <c r="P656" s="38" t="str">
        <f t="shared" si="127"/>
        <v/>
      </c>
      <c r="Q656" s="38" t="str">
        <f t="shared" si="128"/>
        <v/>
      </c>
      <c r="R656" s="38"/>
    </row>
    <row r="657" spans="12:18" x14ac:dyDescent="0.2">
      <c r="L657" t="str">
        <f t="shared" si="136"/>
        <v/>
      </c>
      <c r="M657" s="38" t="str">
        <f t="shared" si="126"/>
        <v/>
      </c>
      <c r="N657" s="38" t="str">
        <f t="shared" si="137"/>
        <v/>
      </c>
      <c r="O657" s="38" t="str">
        <f t="shared" si="138"/>
        <v/>
      </c>
      <c r="P657" s="38" t="str">
        <f t="shared" si="127"/>
        <v/>
      </c>
      <c r="Q657" s="38" t="str">
        <f t="shared" si="128"/>
        <v/>
      </c>
      <c r="R657" s="38"/>
    </row>
    <row r="658" spans="12:18" x14ac:dyDescent="0.2">
      <c r="L658" t="str">
        <f t="shared" si="136"/>
        <v/>
      </c>
      <c r="M658" s="38" t="str">
        <f t="shared" si="126"/>
        <v/>
      </c>
      <c r="N658" s="38" t="str">
        <f t="shared" si="137"/>
        <v/>
      </c>
      <c r="O658" s="38" t="str">
        <f t="shared" si="138"/>
        <v/>
      </c>
      <c r="P658" s="38" t="str">
        <f t="shared" si="127"/>
        <v/>
      </c>
      <c r="Q658" s="38" t="str">
        <f t="shared" si="128"/>
        <v/>
      </c>
      <c r="R658" s="38"/>
    </row>
    <row r="659" spans="12:18" x14ac:dyDescent="0.2">
      <c r="L659" t="str">
        <f t="shared" si="136"/>
        <v/>
      </c>
      <c r="M659" s="38" t="str">
        <f t="shared" si="126"/>
        <v/>
      </c>
      <c r="N659" s="38" t="str">
        <f t="shared" si="137"/>
        <v/>
      </c>
      <c r="O659" s="38" t="str">
        <f t="shared" si="138"/>
        <v/>
      </c>
      <c r="P659" s="38" t="str">
        <f t="shared" si="127"/>
        <v/>
      </c>
      <c r="Q659" s="38" t="str">
        <f t="shared" si="128"/>
        <v/>
      </c>
      <c r="R659" s="38"/>
    </row>
    <row r="660" spans="12:18" x14ac:dyDescent="0.2">
      <c r="L660" t="str">
        <f t="shared" si="136"/>
        <v/>
      </c>
      <c r="M660" s="38" t="str">
        <f t="shared" si="126"/>
        <v/>
      </c>
      <c r="N660" s="38" t="str">
        <f t="shared" si="137"/>
        <v/>
      </c>
      <c r="O660" s="38" t="str">
        <f t="shared" si="138"/>
        <v/>
      </c>
      <c r="P660" s="38" t="str">
        <f t="shared" si="127"/>
        <v/>
      </c>
      <c r="Q660" s="38" t="str">
        <f t="shared" si="128"/>
        <v/>
      </c>
      <c r="R660" s="38"/>
    </row>
    <row r="661" spans="12:18" x14ac:dyDescent="0.2">
      <c r="L661" t="str">
        <f t="shared" si="136"/>
        <v/>
      </c>
      <c r="M661" s="38" t="str">
        <f t="shared" si="126"/>
        <v/>
      </c>
      <c r="N661" s="38" t="str">
        <f t="shared" si="137"/>
        <v/>
      </c>
      <c r="O661" s="38" t="str">
        <f t="shared" si="138"/>
        <v/>
      </c>
      <c r="P661" s="38" t="str">
        <f t="shared" si="127"/>
        <v/>
      </c>
      <c r="Q661" s="38" t="str">
        <f t="shared" si="128"/>
        <v/>
      </c>
      <c r="R661" s="38"/>
    </row>
    <row r="662" spans="12:18" x14ac:dyDescent="0.2">
      <c r="L662" t="str">
        <f t="shared" si="136"/>
        <v/>
      </c>
      <c r="M662" s="38" t="str">
        <f t="shared" si="126"/>
        <v/>
      </c>
      <c r="N662" s="38" t="str">
        <f t="shared" si="137"/>
        <v/>
      </c>
      <c r="O662" s="38" t="str">
        <f t="shared" si="138"/>
        <v/>
      </c>
      <c r="P662" s="38" t="str">
        <f t="shared" si="127"/>
        <v/>
      </c>
      <c r="Q662" s="38" t="str">
        <f t="shared" si="128"/>
        <v/>
      </c>
      <c r="R662" s="38"/>
    </row>
    <row r="663" spans="12:18" x14ac:dyDescent="0.2">
      <c r="L663" t="str">
        <f t="shared" si="136"/>
        <v/>
      </c>
      <c r="M663" s="38" t="str">
        <f t="shared" si="126"/>
        <v/>
      </c>
      <c r="N663" s="38" t="str">
        <f t="shared" si="137"/>
        <v/>
      </c>
      <c r="O663" s="38" t="str">
        <f t="shared" si="138"/>
        <v/>
      </c>
      <c r="P663" s="38" t="str">
        <f t="shared" si="127"/>
        <v/>
      </c>
      <c r="Q663" s="38" t="str">
        <f t="shared" si="128"/>
        <v/>
      </c>
      <c r="R663" s="38"/>
    </row>
    <row r="664" spans="12:18" x14ac:dyDescent="0.2">
      <c r="L664" t="str">
        <f t="shared" si="136"/>
        <v/>
      </c>
      <c r="M664" s="38" t="str">
        <f t="shared" si="126"/>
        <v/>
      </c>
      <c r="N664" s="38" t="str">
        <f t="shared" si="137"/>
        <v/>
      </c>
      <c r="O664" s="38" t="str">
        <f t="shared" si="138"/>
        <v/>
      </c>
      <c r="P664" s="38" t="str">
        <f t="shared" si="127"/>
        <v/>
      </c>
      <c r="Q664" s="38" t="str">
        <f t="shared" si="128"/>
        <v/>
      </c>
      <c r="R664" s="38"/>
    </row>
    <row r="665" spans="12:18" x14ac:dyDescent="0.2">
      <c r="L665" t="str">
        <f t="shared" si="136"/>
        <v/>
      </c>
      <c r="M665" s="38" t="str">
        <f t="shared" si="126"/>
        <v/>
      </c>
      <c r="N665" s="38" t="str">
        <f t="shared" si="137"/>
        <v/>
      </c>
      <c r="O665" s="38" t="str">
        <f t="shared" si="138"/>
        <v/>
      </c>
      <c r="P665" s="38" t="str">
        <f t="shared" si="127"/>
        <v/>
      </c>
      <c r="Q665" s="38" t="str">
        <f t="shared" si="128"/>
        <v/>
      </c>
      <c r="R665" s="38"/>
    </row>
    <row r="666" spans="12:18" x14ac:dyDescent="0.2">
      <c r="L666" t="str">
        <f t="shared" si="136"/>
        <v/>
      </c>
      <c r="M666" s="38" t="str">
        <f t="shared" si="126"/>
        <v/>
      </c>
      <c r="N666" s="38" t="str">
        <f t="shared" si="137"/>
        <v/>
      </c>
      <c r="O666" s="38" t="str">
        <f t="shared" si="138"/>
        <v/>
      </c>
      <c r="P666" s="38" t="str">
        <f t="shared" si="127"/>
        <v/>
      </c>
      <c r="Q666" s="38" t="str">
        <f t="shared" si="128"/>
        <v/>
      </c>
      <c r="R666" s="38"/>
    </row>
    <row r="667" spans="12:18" x14ac:dyDescent="0.2">
      <c r="L667" t="str">
        <f t="shared" si="136"/>
        <v/>
      </c>
      <c r="M667" s="38" t="str">
        <f t="shared" si="126"/>
        <v/>
      </c>
      <c r="N667" s="38" t="str">
        <f t="shared" si="137"/>
        <v/>
      </c>
      <c r="O667" s="38" t="str">
        <f t="shared" si="138"/>
        <v/>
      </c>
      <c r="P667" s="38" t="str">
        <f t="shared" si="127"/>
        <v/>
      </c>
      <c r="Q667" s="38" t="str">
        <f t="shared" si="128"/>
        <v/>
      </c>
      <c r="R667" s="38"/>
    </row>
    <row r="668" spans="12:18" x14ac:dyDescent="0.2">
      <c r="L668" t="str">
        <f t="shared" si="136"/>
        <v/>
      </c>
      <c r="M668" s="38" t="str">
        <f t="shared" si="126"/>
        <v/>
      </c>
      <c r="N668" s="38" t="str">
        <f t="shared" si="137"/>
        <v/>
      </c>
      <c r="O668" s="38" t="str">
        <f t="shared" si="138"/>
        <v/>
      </c>
      <c r="P668" s="38" t="str">
        <f t="shared" si="127"/>
        <v/>
      </c>
      <c r="Q668" s="38" t="str">
        <f t="shared" si="128"/>
        <v/>
      </c>
      <c r="R668" s="38"/>
    </row>
    <row r="669" spans="12:18" x14ac:dyDescent="0.2">
      <c r="L669" t="str">
        <f t="shared" si="136"/>
        <v/>
      </c>
      <c r="M669" s="38" t="str">
        <f t="shared" si="126"/>
        <v/>
      </c>
      <c r="N669" s="38" t="str">
        <f t="shared" si="137"/>
        <v/>
      </c>
      <c r="O669" s="38" t="str">
        <f t="shared" si="138"/>
        <v/>
      </c>
      <c r="P669" s="38" t="str">
        <f t="shared" si="127"/>
        <v/>
      </c>
      <c r="Q669" s="38" t="str">
        <f t="shared" si="128"/>
        <v/>
      </c>
      <c r="R669" s="38"/>
    </row>
    <row r="670" spans="12:18" x14ac:dyDescent="0.2">
      <c r="L670" t="str">
        <f t="shared" si="136"/>
        <v/>
      </c>
      <c r="M670" s="38" t="str">
        <f t="shared" si="126"/>
        <v/>
      </c>
      <c r="N670" s="38" t="str">
        <f t="shared" si="137"/>
        <v/>
      </c>
      <c r="O670" s="38" t="str">
        <f t="shared" si="138"/>
        <v/>
      </c>
      <c r="P670" s="38" t="str">
        <f t="shared" si="127"/>
        <v/>
      </c>
      <c r="Q670" s="38" t="str">
        <f t="shared" si="128"/>
        <v/>
      </c>
      <c r="R670" s="38"/>
    </row>
    <row r="671" spans="12:18" x14ac:dyDescent="0.2">
      <c r="L671" t="str">
        <f t="shared" si="136"/>
        <v/>
      </c>
      <c r="M671" s="38" t="str">
        <f t="shared" si="126"/>
        <v/>
      </c>
      <c r="N671" s="38" t="str">
        <f t="shared" si="137"/>
        <v/>
      </c>
      <c r="O671" s="38" t="str">
        <f t="shared" si="138"/>
        <v/>
      </c>
      <c r="P671" s="38" t="str">
        <f t="shared" si="127"/>
        <v/>
      </c>
      <c r="Q671" s="38" t="str">
        <f t="shared" si="128"/>
        <v/>
      </c>
      <c r="R671" s="38"/>
    </row>
    <row r="672" spans="12:18" x14ac:dyDescent="0.2">
      <c r="L672" t="str">
        <f t="shared" si="136"/>
        <v/>
      </c>
      <c r="M672" s="38" t="str">
        <f t="shared" si="126"/>
        <v/>
      </c>
      <c r="N672" s="38" t="str">
        <f t="shared" si="137"/>
        <v/>
      </c>
      <c r="O672" s="38" t="str">
        <f t="shared" si="138"/>
        <v/>
      </c>
      <c r="P672" s="38" t="str">
        <f t="shared" si="127"/>
        <v/>
      </c>
      <c r="Q672" s="38" t="str">
        <f t="shared" si="128"/>
        <v/>
      </c>
      <c r="R672" s="38"/>
    </row>
    <row r="673" spans="12:18" x14ac:dyDescent="0.2">
      <c r="L673" t="str">
        <f t="shared" si="136"/>
        <v/>
      </c>
      <c r="M673" s="38" t="str">
        <f t="shared" ref="M673:M736" si="140">IF(L673="","",P672)</f>
        <v/>
      </c>
      <c r="N673" s="38" t="str">
        <f t="shared" si="137"/>
        <v/>
      </c>
      <c r="O673" s="38" t="str">
        <f t="shared" si="138"/>
        <v/>
      </c>
      <c r="P673" s="38" t="str">
        <f t="shared" ref="P673:P732" si="141">IF(L673="","", M673+N673+O673)</f>
        <v/>
      </c>
      <c r="Q673" s="38" t="str">
        <f t="shared" ref="Q673:Q736" si="142">IF(L673="","", (Q672+N673))</f>
        <v/>
      </c>
      <c r="R673" s="38"/>
    </row>
    <row r="674" spans="12:18" x14ac:dyDescent="0.2">
      <c r="L674" t="str">
        <f t="shared" ref="L674:L737" si="143">IF(L673&lt;($B$8*$B$9),L673+1,"")</f>
        <v/>
      </c>
      <c r="M674" s="38" t="str">
        <f t="shared" si="140"/>
        <v/>
      </c>
      <c r="N674" s="38" t="str">
        <f t="shared" ref="N674:N737" si="144">IF(L674="","",(M674 *$B$6))</f>
        <v/>
      </c>
      <c r="O674" s="38" t="str">
        <f t="shared" ref="O674:O737" si="145">IF(L674="","",O673*(1+$B$7))</f>
        <v/>
      </c>
      <c r="P674" s="38" t="str">
        <f t="shared" si="141"/>
        <v/>
      </c>
      <c r="Q674" s="38" t="str">
        <f t="shared" si="142"/>
        <v/>
      </c>
      <c r="R674" s="38"/>
    </row>
    <row r="675" spans="12:18" x14ac:dyDescent="0.2">
      <c r="L675" t="str">
        <f t="shared" si="143"/>
        <v/>
      </c>
      <c r="M675" s="38" t="str">
        <f t="shared" si="140"/>
        <v/>
      </c>
      <c r="N675" s="38" t="str">
        <f t="shared" si="144"/>
        <v/>
      </c>
      <c r="O675" s="38" t="str">
        <f t="shared" si="145"/>
        <v/>
      </c>
      <c r="P675" s="38" t="str">
        <f t="shared" si="141"/>
        <v/>
      </c>
      <c r="Q675" s="38" t="str">
        <f t="shared" si="142"/>
        <v/>
      </c>
      <c r="R675" s="38"/>
    </row>
    <row r="676" spans="12:18" x14ac:dyDescent="0.2">
      <c r="L676" t="str">
        <f t="shared" si="143"/>
        <v/>
      </c>
      <c r="M676" s="38" t="str">
        <f t="shared" si="140"/>
        <v/>
      </c>
      <c r="N676" s="38" t="str">
        <f t="shared" si="144"/>
        <v/>
      </c>
      <c r="O676" s="38" t="str">
        <f t="shared" si="145"/>
        <v/>
      </c>
      <c r="P676" s="38" t="str">
        <f t="shared" si="141"/>
        <v/>
      </c>
      <c r="Q676" s="38" t="str">
        <f t="shared" si="142"/>
        <v/>
      </c>
      <c r="R676" s="38"/>
    </row>
    <row r="677" spans="12:18" x14ac:dyDescent="0.2">
      <c r="L677" t="str">
        <f t="shared" si="143"/>
        <v/>
      </c>
      <c r="M677" s="38" t="str">
        <f t="shared" si="140"/>
        <v/>
      </c>
      <c r="N677" s="38" t="str">
        <f t="shared" si="144"/>
        <v/>
      </c>
      <c r="O677" s="38" t="str">
        <f t="shared" si="145"/>
        <v/>
      </c>
      <c r="P677" s="38" t="str">
        <f t="shared" si="141"/>
        <v/>
      </c>
      <c r="Q677" s="38" t="str">
        <f t="shared" si="142"/>
        <v/>
      </c>
      <c r="R677" s="38"/>
    </row>
    <row r="678" spans="12:18" x14ac:dyDescent="0.2">
      <c r="L678" t="str">
        <f t="shared" si="143"/>
        <v/>
      </c>
      <c r="M678" s="38" t="str">
        <f t="shared" si="140"/>
        <v/>
      </c>
      <c r="N678" s="38" t="str">
        <f t="shared" si="144"/>
        <v/>
      </c>
      <c r="O678" s="38" t="str">
        <f t="shared" si="145"/>
        <v/>
      </c>
      <c r="P678" s="38" t="str">
        <f t="shared" si="141"/>
        <v/>
      </c>
      <c r="Q678" s="38" t="str">
        <f t="shared" si="142"/>
        <v/>
      </c>
      <c r="R678" s="38"/>
    </row>
    <row r="679" spans="12:18" x14ac:dyDescent="0.2">
      <c r="L679" t="str">
        <f t="shared" si="143"/>
        <v/>
      </c>
      <c r="M679" s="38" t="str">
        <f t="shared" si="140"/>
        <v/>
      </c>
      <c r="N679" s="38" t="str">
        <f t="shared" si="144"/>
        <v/>
      </c>
      <c r="O679" s="38" t="str">
        <f t="shared" si="145"/>
        <v/>
      </c>
      <c r="P679" s="38" t="str">
        <f t="shared" si="141"/>
        <v/>
      </c>
      <c r="Q679" s="38" t="str">
        <f t="shared" si="142"/>
        <v/>
      </c>
      <c r="R679" s="38"/>
    </row>
    <row r="680" spans="12:18" x14ac:dyDescent="0.2">
      <c r="L680" t="str">
        <f t="shared" si="143"/>
        <v/>
      </c>
      <c r="M680" s="38" t="str">
        <f t="shared" si="140"/>
        <v/>
      </c>
      <c r="N680" s="38" t="str">
        <f t="shared" si="144"/>
        <v/>
      </c>
      <c r="O680" s="38" t="str">
        <f t="shared" si="145"/>
        <v/>
      </c>
      <c r="P680" s="38" t="str">
        <f t="shared" si="141"/>
        <v/>
      </c>
      <c r="Q680" s="38" t="str">
        <f t="shared" si="142"/>
        <v/>
      </c>
      <c r="R680" s="38"/>
    </row>
    <row r="681" spans="12:18" x14ac:dyDescent="0.2">
      <c r="L681" t="str">
        <f t="shared" si="143"/>
        <v/>
      </c>
      <c r="M681" s="38" t="str">
        <f t="shared" si="140"/>
        <v/>
      </c>
      <c r="N681" s="38" t="str">
        <f t="shared" si="144"/>
        <v/>
      </c>
      <c r="O681" s="38" t="str">
        <f t="shared" si="145"/>
        <v/>
      </c>
      <c r="P681" s="38" t="str">
        <f t="shared" si="141"/>
        <v/>
      </c>
      <c r="Q681" s="38" t="str">
        <f t="shared" si="142"/>
        <v/>
      </c>
      <c r="R681" s="38"/>
    </row>
    <row r="682" spans="12:18" x14ac:dyDescent="0.2">
      <c r="L682" t="str">
        <f t="shared" si="143"/>
        <v/>
      </c>
      <c r="M682" s="38" t="str">
        <f t="shared" si="140"/>
        <v/>
      </c>
      <c r="N682" s="38" t="str">
        <f t="shared" si="144"/>
        <v/>
      </c>
      <c r="O682" s="38" t="str">
        <f t="shared" si="145"/>
        <v/>
      </c>
      <c r="P682" s="38" t="str">
        <f t="shared" si="141"/>
        <v/>
      </c>
      <c r="Q682" s="38" t="str">
        <f t="shared" si="142"/>
        <v/>
      </c>
      <c r="R682" s="38"/>
    </row>
    <row r="683" spans="12:18" x14ac:dyDescent="0.2">
      <c r="L683" t="str">
        <f t="shared" si="143"/>
        <v/>
      </c>
      <c r="M683" s="38" t="str">
        <f t="shared" si="140"/>
        <v/>
      </c>
      <c r="N683" s="38" t="str">
        <f t="shared" si="144"/>
        <v/>
      </c>
      <c r="O683" s="38" t="str">
        <f t="shared" si="145"/>
        <v/>
      </c>
      <c r="P683" s="38" t="str">
        <f t="shared" si="141"/>
        <v/>
      </c>
      <c r="Q683" s="38" t="str">
        <f t="shared" si="142"/>
        <v/>
      </c>
      <c r="R683" s="38"/>
    </row>
    <row r="684" spans="12:18" x14ac:dyDescent="0.2">
      <c r="L684" t="str">
        <f t="shared" si="143"/>
        <v/>
      </c>
      <c r="M684" s="38" t="str">
        <f t="shared" si="140"/>
        <v/>
      </c>
      <c r="N684" s="38" t="str">
        <f t="shared" si="144"/>
        <v/>
      </c>
      <c r="O684" s="38" t="str">
        <f t="shared" si="145"/>
        <v/>
      </c>
      <c r="P684" s="38" t="str">
        <f t="shared" si="141"/>
        <v/>
      </c>
      <c r="Q684" s="38" t="str">
        <f t="shared" si="142"/>
        <v/>
      </c>
      <c r="R684" s="38"/>
    </row>
    <row r="685" spans="12:18" x14ac:dyDescent="0.2">
      <c r="L685" t="str">
        <f t="shared" si="143"/>
        <v/>
      </c>
      <c r="M685" s="38" t="str">
        <f t="shared" si="140"/>
        <v/>
      </c>
      <c r="N685" s="38" t="str">
        <f t="shared" si="144"/>
        <v/>
      </c>
      <c r="O685" s="38" t="str">
        <f t="shared" si="145"/>
        <v/>
      </c>
      <c r="P685" s="38" t="str">
        <f t="shared" si="141"/>
        <v/>
      </c>
      <c r="Q685" s="38" t="str">
        <f t="shared" si="142"/>
        <v/>
      </c>
      <c r="R685" s="38"/>
    </row>
    <row r="686" spans="12:18" x14ac:dyDescent="0.2">
      <c r="L686" t="str">
        <f t="shared" si="143"/>
        <v/>
      </c>
      <c r="M686" s="38" t="str">
        <f t="shared" si="140"/>
        <v/>
      </c>
      <c r="N686" s="38" t="str">
        <f t="shared" si="144"/>
        <v/>
      </c>
      <c r="O686" s="38" t="str">
        <f t="shared" si="145"/>
        <v/>
      </c>
      <c r="P686" s="38" t="str">
        <f t="shared" si="141"/>
        <v/>
      </c>
      <c r="Q686" s="38" t="str">
        <f t="shared" si="142"/>
        <v/>
      </c>
      <c r="R686" s="38"/>
    </row>
    <row r="687" spans="12:18" x14ac:dyDescent="0.2">
      <c r="L687" t="str">
        <f t="shared" si="143"/>
        <v/>
      </c>
      <c r="M687" s="38" t="str">
        <f t="shared" si="140"/>
        <v/>
      </c>
      <c r="N687" s="38" t="str">
        <f t="shared" si="144"/>
        <v/>
      </c>
      <c r="O687" s="38" t="str">
        <f t="shared" si="145"/>
        <v/>
      </c>
      <c r="P687" s="38" t="str">
        <f t="shared" si="141"/>
        <v/>
      </c>
      <c r="Q687" s="38" t="str">
        <f t="shared" si="142"/>
        <v/>
      </c>
      <c r="R687" s="38"/>
    </row>
    <row r="688" spans="12:18" x14ac:dyDescent="0.2">
      <c r="L688" t="str">
        <f t="shared" si="143"/>
        <v/>
      </c>
      <c r="M688" s="38" t="str">
        <f t="shared" si="140"/>
        <v/>
      </c>
      <c r="N688" s="38" t="str">
        <f t="shared" si="144"/>
        <v/>
      </c>
      <c r="O688" s="38" t="str">
        <f t="shared" si="145"/>
        <v/>
      </c>
      <c r="P688" s="38" t="str">
        <f t="shared" si="141"/>
        <v/>
      </c>
      <c r="Q688" s="38" t="str">
        <f t="shared" si="142"/>
        <v/>
      </c>
      <c r="R688" s="38"/>
    </row>
    <row r="689" spans="12:18" x14ac:dyDescent="0.2">
      <c r="L689" t="str">
        <f t="shared" si="143"/>
        <v/>
      </c>
      <c r="M689" s="38" t="str">
        <f t="shared" si="140"/>
        <v/>
      </c>
      <c r="N689" s="38" t="str">
        <f t="shared" si="144"/>
        <v/>
      </c>
      <c r="O689" s="38" t="str">
        <f t="shared" si="145"/>
        <v/>
      </c>
      <c r="P689" s="38" t="str">
        <f t="shared" si="141"/>
        <v/>
      </c>
      <c r="Q689" s="38" t="str">
        <f t="shared" si="142"/>
        <v/>
      </c>
      <c r="R689" s="38"/>
    </row>
    <row r="690" spans="12:18" x14ac:dyDescent="0.2">
      <c r="L690" t="str">
        <f t="shared" si="143"/>
        <v/>
      </c>
      <c r="M690" s="38" t="str">
        <f t="shared" si="140"/>
        <v/>
      </c>
      <c r="N690" s="38" t="str">
        <f t="shared" si="144"/>
        <v/>
      </c>
      <c r="O690" s="38" t="str">
        <f t="shared" si="145"/>
        <v/>
      </c>
      <c r="P690" s="38" t="str">
        <f t="shared" si="141"/>
        <v/>
      </c>
      <c r="Q690" s="38" t="str">
        <f t="shared" si="142"/>
        <v/>
      </c>
      <c r="R690" s="38"/>
    </row>
    <row r="691" spans="12:18" x14ac:dyDescent="0.2">
      <c r="L691" t="str">
        <f t="shared" si="143"/>
        <v/>
      </c>
      <c r="M691" s="38" t="str">
        <f t="shared" si="140"/>
        <v/>
      </c>
      <c r="N691" s="38" t="str">
        <f t="shared" si="144"/>
        <v/>
      </c>
      <c r="O691" s="38" t="str">
        <f t="shared" si="145"/>
        <v/>
      </c>
      <c r="P691" s="38" t="str">
        <f t="shared" si="141"/>
        <v/>
      </c>
      <c r="Q691" s="38" t="str">
        <f t="shared" si="142"/>
        <v/>
      </c>
      <c r="R691" s="38"/>
    </row>
    <row r="692" spans="12:18" x14ac:dyDescent="0.2">
      <c r="L692" t="str">
        <f t="shared" si="143"/>
        <v/>
      </c>
      <c r="M692" s="38" t="str">
        <f t="shared" si="140"/>
        <v/>
      </c>
      <c r="N692" s="38" t="str">
        <f t="shared" si="144"/>
        <v/>
      </c>
      <c r="O692" s="38" t="str">
        <f t="shared" si="145"/>
        <v/>
      </c>
      <c r="P692" s="38" t="str">
        <f t="shared" si="141"/>
        <v/>
      </c>
      <c r="Q692" s="38" t="str">
        <f t="shared" si="142"/>
        <v/>
      </c>
      <c r="R692" s="38"/>
    </row>
    <row r="693" spans="12:18" x14ac:dyDescent="0.2">
      <c r="L693" t="str">
        <f t="shared" si="143"/>
        <v/>
      </c>
      <c r="M693" s="38" t="str">
        <f t="shared" si="140"/>
        <v/>
      </c>
      <c r="N693" s="38" t="str">
        <f t="shared" si="144"/>
        <v/>
      </c>
      <c r="O693" s="38" t="str">
        <f t="shared" si="145"/>
        <v/>
      </c>
      <c r="P693" s="38" t="str">
        <f t="shared" si="141"/>
        <v/>
      </c>
      <c r="Q693" s="38" t="str">
        <f t="shared" si="142"/>
        <v/>
      </c>
      <c r="R693" s="38"/>
    </row>
    <row r="694" spans="12:18" x14ac:dyDescent="0.2">
      <c r="L694" t="str">
        <f t="shared" si="143"/>
        <v/>
      </c>
      <c r="M694" s="38" t="str">
        <f t="shared" si="140"/>
        <v/>
      </c>
      <c r="N694" s="38" t="str">
        <f t="shared" si="144"/>
        <v/>
      </c>
      <c r="O694" s="38" t="str">
        <f t="shared" si="145"/>
        <v/>
      </c>
      <c r="P694" s="38" t="str">
        <f t="shared" si="141"/>
        <v/>
      </c>
      <c r="Q694" s="38" t="str">
        <f t="shared" si="142"/>
        <v/>
      </c>
      <c r="R694" s="38"/>
    </row>
    <row r="695" spans="12:18" x14ac:dyDescent="0.2">
      <c r="L695" t="str">
        <f t="shared" si="143"/>
        <v/>
      </c>
      <c r="M695" s="38" t="str">
        <f t="shared" si="140"/>
        <v/>
      </c>
      <c r="N695" s="38" t="str">
        <f t="shared" si="144"/>
        <v/>
      </c>
      <c r="O695" s="38" t="str">
        <f t="shared" si="145"/>
        <v/>
      </c>
      <c r="P695" s="38" t="str">
        <f t="shared" si="141"/>
        <v/>
      </c>
      <c r="Q695" s="38" t="str">
        <f t="shared" si="142"/>
        <v/>
      </c>
      <c r="R695" s="38"/>
    </row>
    <row r="696" spans="12:18" x14ac:dyDescent="0.2">
      <c r="L696" t="str">
        <f t="shared" si="143"/>
        <v/>
      </c>
      <c r="M696" s="38" t="str">
        <f t="shared" si="140"/>
        <v/>
      </c>
      <c r="N696" s="38" t="str">
        <f t="shared" si="144"/>
        <v/>
      </c>
      <c r="O696" s="38" t="str">
        <f t="shared" si="145"/>
        <v/>
      </c>
      <c r="P696" s="38" t="str">
        <f t="shared" si="141"/>
        <v/>
      </c>
      <c r="Q696" s="38" t="str">
        <f t="shared" si="142"/>
        <v/>
      </c>
      <c r="R696" s="38"/>
    </row>
    <row r="697" spans="12:18" x14ac:dyDescent="0.2">
      <c r="L697" t="str">
        <f t="shared" si="143"/>
        <v/>
      </c>
      <c r="M697" s="38" t="str">
        <f t="shared" si="140"/>
        <v/>
      </c>
      <c r="N697" s="38" t="str">
        <f t="shared" si="144"/>
        <v/>
      </c>
      <c r="O697" s="38" t="str">
        <f t="shared" si="145"/>
        <v/>
      </c>
      <c r="P697" s="38" t="str">
        <f t="shared" si="141"/>
        <v/>
      </c>
      <c r="Q697" s="38" t="str">
        <f t="shared" si="142"/>
        <v/>
      </c>
      <c r="R697" s="38"/>
    </row>
    <row r="698" spans="12:18" x14ac:dyDescent="0.2">
      <c r="L698" t="str">
        <f t="shared" si="143"/>
        <v/>
      </c>
      <c r="M698" s="38" t="str">
        <f t="shared" si="140"/>
        <v/>
      </c>
      <c r="N698" s="38" t="str">
        <f t="shared" si="144"/>
        <v/>
      </c>
      <c r="O698" s="38" t="str">
        <f t="shared" si="145"/>
        <v/>
      </c>
      <c r="P698" s="38" t="str">
        <f t="shared" si="141"/>
        <v/>
      </c>
      <c r="Q698" s="38" t="str">
        <f t="shared" si="142"/>
        <v/>
      </c>
      <c r="R698" s="38"/>
    </row>
    <row r="699" spans="12:18" x14ac:dyDescent="0.2">
      <c r="L699" t="str">
        <f t="shared" si="143"/>
        <v/>
      </c>
      <c r="M699" s="38" t="str">
        <f t="shared" si="140"/>
        <v/>
      </c>
      <c r="N699" s="38" t="str">
        <f t="shared" si="144"/>
        <v/>
      </c>
      <c r="O699" s="38" t="str">
        <f t="shared" si="145"/>
        <v/>
      </c>
      <c r="P699" s="38" t="str">
        <f t="shared" si="141"/>
        <v/>
      </c>
      <c r="Q699" s="38" t="str">
        <f t="shared" si="142"/>
        <v/>
      </c>
      <c r="R699" s="38"/>
    </row>
    <row r="700" spans="12:18" x14ac:dyDescent="0.2">
      <c r="L700" t="str">
        <f t="shared" si="143"/>
        <v/>
      </c>
      <c r="M700" s="38" t="str">
        <f t="shared" si="140"/>
        <v/>
      </c>
      <c r="N700" s="38" t="str">
        <f t="shared" si="144"/>
        <v/>
      </c>
      <c r="O700" s="38" t="str">
        <f t="shared" si="145"/>
        <v/>
      </c>
      <c r="P700" s="38" t="str">
        <f t="shared" si="141"/>
        <v/>
      </c>
      <c r="Q700" s="38" t="str">
        <f t="shared" si="142"/>
        <v/>
      </c>
      <c r="R700" s="38"/>
    </row>
    <row r="701" spans="12:18" x14ac:dyDescent="0.2">
      <c r="L701" t="str">
        <f t="shared" si="143"/>
        <v/>
      </c>
      <c r="M701" s="38" t="str">
        <f t="shared" si="140"/>
        <v/>
      </c>
      <c r="N701" s="38" t="str">
        <f t="shared" si="144"/>
        <v/>
      </c>
      <c r="O701" s="38" t="str">
        <f t="shared" si="145"/>
        <v/>
      </c>
      <c r="P701" s="38" t="str">
        <f t="shared" si="141"/>
        <v/>
      </c>
      <c r="Q701" s="38" t="str">
        <f t="shared" si="142"/>
        <v/>
      </c>
      <c r="R701" s="38"/>
    </row>
    <row r="702" spans="12:18" x14ac:dyDescent="0.2">
      <c r="L702" t="str">
        <f t="shared" si="143"/>
        <v/>
      </c>
      <c r="M702" s="38" t="str">
        <f t="shared" si="140"/>
        <v/>
      </c>
      <c r="N702" s="38" t="str">
        <f t="shared" si="144"/>
        <v/>
      </c>
      <c r="O702" s="38" t="str">
        <f t="shared" si="145"/>
        <v/>
      </c>
      <c r="P702" s="38" t="str">
        <f t="shared" si="141"/>
        <v/>
      </c>
      <c r="Q702" s="38" t="str">
        <f t="shared" si="142"/>
        <v/>
      </c>
      <c r="R702" s="38"/>
    </row>
    <row r="703" spans="12:18" x14ac:dyDescent="0.2">
      <c r="L703" t="str">
        <f t="shared" si="143"/>
        <v/>
      </c>
      <c r="M703" s="38" t="str">
        <f t="shared" si="140"/>
        <v/>
      </c>
      <c r="N703" s="38" t="str">
        <f t="shared" si="144"/>
        <v/>
      </c>
      <c r="O703" s="38" t="str">
        <f t="shared" si="145"/>
        <v/>
      </c>
      <c r="P703" s="38" t="str">
        <f t="shared" si="141"/>
        <v/>
      </c>
      <c r="Q703" s="38" t="str">
        <f t="shared" si="142"/>
        <v/>
      </c>
      <c r="R703" s="38"/>
    </row>
    <row r="704" spans="12:18" x14ac:dyDescent="0.2">
      <c r="L704" t="str">
        <f t="shared" si="143"/>
        <v/>
      </c>
      <c r="M704" s="38" t="str">
        <f t="shared" si="140"/>
        <v/>
      </c>
      <c r="N704" s="38" t="str">
        <f t="shared" si="144"/>
        <v/>
      </c>
      <c r="O704" s="38" t="str">
        <f t="shared" si="145"/>
        <v/>
      </c>
      <c r="P704" s="38" t="str">
        <f t="shared" si="141"/>
        <v/>
      </c>
      <c r="Q704" s="38" t="str">
        <f t="shared" si="142"/>
        <v/>
      </c>
      <c r="R704" s="38"/>
    </row>
    <row r="705" spans="12:18" x14ac:dyDescent="0.2">
      <c r="L705" t="str">
        <f t="shared" si="143"/>
        <v/>
      </c>
      <c r="M705" s="38" t="str">
        <f t="shared" si="140"/>
        <v/>
      </c>
      <c r="N705" s="38" t="str">
        <f t="shared" si="144"/>
        <v/>
      </c>
      <c r="O705" s="38" t="str">
        <f t="shared" si="145"/>
        <v/>
      </c>
      <c r="P705" s="38" t="str">
        <f t="shared" si="141"/>
        <v/>
      </c>
      <c r="Q705" s="38" t="str">
        <f t="shared" si="142"/>
        <v/>
      </c>
      <c r="R705" s="38"/>
    </row>
    <row r="706" spans="12:18" x14ac:dyDescent="0.2">
      <c r="L706" t="str">
        <f t="shared" si="143"/>
        <v/>
      </c>
      <c r="M706" s="38" t="str">
        <f t="shared" si="140"/>
        <v/>
      </c>
      <c r="N706" s="38" t="str">
        <f t="shared" si="144"/>
        <v/>
      </c>
      <c r="O706" s="38" t="str">
        <f t="shared" si="145"/>
        <v/>
      </c>
      <c r="P706" s="38" t="str">
        <f t="shared" si="141"/>
        <v/>
      </c>
      <c r="Q706" s="38" t="str">
        <f t="shared" si="142"/>
        <v/>
      </c>
      <c r="R706" s="38"/>
    </row>
    <row r="707" spans="12:18" x14ac:dyDescent="0.2">
      <c r="L707" t="str">
        <f t="shared" si="143"/>
        <v/>
      </c>
      <c r="M707" s="38" t="str">
        <f t="shared" si="140"/>
        <v/>
      </c>
      <c r="N707" s="38" t="str">
        <f t="shared" si="144"/>
        <v/>
      </c>
      <c r="O707" s="38" t="str">
        <f t="shared" si="145"/>
        <v/>
      </c>
      <c r="P707" s="38" t="str">
        <f t="shared" si="141"/>
        <v/>
      </c>
      <c r="Q707" s="38" t="str">
        <f t="shared" si="142"/>
        <v/>
      </c>
      <c r="R707" s="38"/>
    </row>
    <row r="708" spans="12:18" x14ac:dyDescent="0.2">
      <c r="L708" t="str">
        <f t="shared" si="143"/>
        <v/>
      </c>
      <c r="M708" s="38" t="str">
        <f t="shared" si="140"/>
        <v/>
      </c>
      <c r="N708" s="38" t="str">
        <f t="shared" si="144"/>
        <v/>
      </c>
      <c r="O708" s="38" t="str">
        <f t="shared" si="145"/>
        <v/>
      </c>
      <c r="P708" s="38" t="str">
        <f t="shared" si="141"/>
        <v/>
      </c>
      <c r="Q708" s="38" t="str">
        <f t="shared" si="142"/>
        <v/>
      </c>
      <c r="R708" s="38"/>
    </row>
    <row r="709" spans="12:18" x14ac:dyDescent="0.2">
      <c r="L709" t="str">
        <f t="shared" si="143"/>
        <v/>
      </c>
      <c r="M709" s="38" t="str">
        <f t="shared" si="140"/>
        <v/>
      </c>
      <c r="N709" s="38" t="str">
        <f t="shared" si="144"/>
        <v/>
      </c>
      <c r="O709" s="38" t="str">
        <f t="shared" si="145"/>
        <v/>
      </c>
      <c r="P709" s="38" t="str">
        <f t="shared" si="141"/>
        <v/>
      </c>
      <c r="Q709" s="38" t="str">
        <f t="shared" si="142"/>
        <v/>
      </c>
      <c r="R709" s="38"/>
    </row>
    <row r="710" spans="12:18" x14ac:dyDescent="0.2">
      <c r="L710" t="str">
        <f t="shared" si="143"/>
        <v/>
      </c>
      <c r="M710" s="38" t="str">
        <f t="shared" si="140"/>
        <v/>
      </c>
      <c r="N710" s="38" t="str">
        <f t="shared" si="144"/>
        <v/>
      </c>
      <c r="O710" s="38" t="str">
        <f t="shared" si="145"/>
        <v/>
      </c>
      <c r="P710" s="38" t="str">
        <f t="shared" si="141"/>
        <v/>
      </c>
      <c r="Q710" s="38" t="str">
        <f t="shared" si="142"/>
        <v/>
      </c>
      <c r="R710" s="38"/>
    </row>
    <row r="711" spans="12:18" x14ac:dyDescent="0.2">
      <c r="L711" t="str">
        <f t="shared" si="143"/>
        <v/>
      </c>
      <c r="M711" s="38" t="str">
        <f t="shared" si="140"/>
        <v/>
      </c>
      <c r="N711" s="38" t="str">
        <f t="shared" si="144"/>
        <v/>
      </c>
      <c r="O711" s="38" t="str">
        <f t="shared" si="145"/>
        <v/>
      </c>
      <c r="P711" s="38" t="str">
        <f t="shared" si="141"/>
        <v/>
      </c>
      <c r="Q711" s="38" t="str">
        <f t="shared" si="142"/>
        <v/>
      </c>
      <c r="R711" s="38"/>
    </row>
    <row r="712" spans="12:18" x14ac:dyDescent="0.2">
      <c r="L712" t="str">
        <f t="shared" si="143"/>
        <v/>
      </c>
      <c r="M712" s="38" t="str">
        <f t="shared" si="140"/>
        <v/>
      </c>
      <c r="N712" s="38" t="str">
        <f t="shared" si="144"/>
        <v/>
      </c>
      <c r="O712" s="38" t="str">
        <f t="shared" si="145"/>
        <v/>
      </c>
      <c r="P712" s="38" t="str">
        <f t="shared" si="141"/>
        <v/>
      </c>
      <c r="Q712" s="38" t="str">
        <f t="shared" si="142"/>
        <v/>
      </c>
      <c r="R712" s="38"/>
    </row>
    <row r="713" spans="12:18" x14ac:dyDescent="0.2">
      <c r="L713" t="str">
        <f t="shared" si="143"/>
        <v/>
      </c>
      <c r="M713" s="38" t="str">
        <f t="shared" si="140"/>
        <v/>
      </c>
      <c r="N713" s="38" t="str">
        <f t="shared" si="144"/>
        <v/>
      </c>
      <c r="O713" s="38" t="str">
        <f t="shared" si="145"/>
        <v/>
      </c>
      <c r="P713" s="38" t="str">
        <f t="shared" si="141"/>
        <v/>
      </c>
      <c r="Q713" s="38" t="str">
        <f t="shared" si="142"/>
        <v/>
      </c>
      <c r="R713" s="38"/>
    </row>
    <row r="714" spans="12:18" x14ac:dyDescent="0.2">
      <c r="L714" t="str">
        <f t="shared" si="143"/>
        <v/>
      </c>
      <c r="M714" s="38" t="str">
        <f t="shared" si="140"/>
        <v/>
      </c>
      <c r="N714" s="38" t="str">
        <f t="shared" si="144"/>
        <v/>
      </c>
      <c r="O714" s="38" t="str">
        <f t="shared" si="145"/>
        <v/>
      </c>
      <c r="P714" s="38" t="str">
        <f t="shared" si="141"/>
        <v/>
      </c>
      <c r="Q714" s="38" t="str">
        <f t="shared" si="142"/>
        <v/>
      </c>
      <c r="R714" s="38"/>
    </row>
    <row r="715" spans="12:18" x14ac:dyDescent="0.2">
      <c r="L715" t="str">
        <f t="shared" si="143"/>
        <v/>
      </c>
      <c r="M715" s="38" t="str">
        <f t="shared" si="140"/>
        <v/>
      </c>
      <c r="N715" s="38" t="str">
        <f t="shared" si="144"/>
        <v/>
      </c>
      <c r="O715" s="38" t="str">
        <f t="shared" si="145"/>
        <v/>
      </c>
      <c r="P715" s="38" t="str">
        <f t="shared" si="141"/>
        <v/>
      </c>
      <c r="Q715" s="38" t="str">
        <f t="shared" si="142"/>
        <v/>
      </c>
      <c r="R715" s="38"/>
    </row>
    <row r="716" spans="12:18" x14ac:dyDescent="0.2">
      <c r="L716" t="str">
        <f t="shared" si="143"/>
        <v/>
      </c>
      <c r="M716" s="38" t="str">
        <f t="shared" si="140"/>
        <v/>
      </c>
      <c r="N716" s="38" t="str">
        <f t="shared" si="144"/>
        <v/>
      </c>
      <c r="O716" s="38" t="str">
        <f t="shared" si="145"/>
        <v/>
      </c>
      <c r="P716" s="38" t="str">
        <f t="shared" si="141"/>
        <v/>
      </c>
      <c r="Q716" s="38" t="str">
        <f t="shared" si="142"/>
        <v/>
      </c>
      <c r="R716" s="38"/>
    </row>
    <row r="717" spans="12:18" x14ac:dyDescent="0.2">
      <c r="L717" t="str">
        <f t="shared" si="143"/>
        <v/>
      </c>
      <c r="M717" s="38" t="str">
        <f t="shared" si="140"/>
        <v/>
      </c>
      <c r="N717" s="38" t="str">
        <f t="shared" si="144"/>
        <v/>
      </c>
      <c r="O717" s="38" t="str">
        <f t="shared" si="145"/>
        <v/>
      </c>
      <c r="P717" s="38" t="str">
        <f t="shared" si="141"/>
        <v/>
      </c>
      <c r="Q717" s="38" t="str">
        <f t="shared" si="142"/>
        <v/>
      </c>
      <c r="R717" s="38"/>
    </row>
    <row r="718" spans="12:18" x14ac:dyDescent="0.2">
      <c r="L718" t="str">
        <f t="shared" si="143"/>
        <v/>
      </c>
      <c r="M718" s="38" t="str">
        <f t="shared" si="140"/>
        <v/>
      </c>
      <c r="N718" s="38" t="str">
        <f t="shared" si="144"/>
        <v/>
      </c>
      <c r="O718" s="38" t="str">
        <f t="shared" si="145"/>
        <v/>
      </c>
      <c r="P718" s="38" t="str">
        <f t="shared" si="141"/>
        <v/>
      </c>
      <c r="Q718" s="38" t="str">
        <f t="shared" si="142"/>
        <v/>
      </c>
      <c r="R718" s="38"/>
    </row>
    <row r="719" spans="12:18" x14ac:dyDescent="0.2">
      <c r="L719" t="str">
        <f t="shared" si="143"/>
        <v/>
      </c>
      <c r="M719" s="38" t="str">
        <f t="shared" si="140"/>
        <v/>
      </c>
      <c r="N719" s="38" t="str">
        <f t="shared" si="144"/>
        <v/>
      </c>
      <c r="O719" s="38" t="str">
        <f t="shared" si="145"/>
        <v/>
      </c>
      <c r="P719" s="38" t="str">
        <f t="shared" si="141"/>
        <v/>
      </c>
      <c r="Q719" s="38" t="str">
        <f t="shared" si="142"/>
        <v/>
      </c>
      <c r="R719" s="38"/>
    </row>
    <row r="720" spans="12:18" x14ac:dyDescent="0.2">
      <c r="L720" t="str">
        <f t="shared" si="143"/>
        <v/>
      </c>
      <c r="M720" s="38" t="str">
        <f t="shared" si="140"/>
        <v/>
      </c>
      <c r="N720" s="38" t="str">
        <f t="shared" si="144"/>
        <v/>
      </c>
      <c r="O720" s="38" t="str">
        <f t="shared" si="145"/>
        <v/>
      </c>
      <c r="P720" s="38" t="str">
        <f t="shared" si="141"/>
        <v/>
      </c>
      <c r="Q720" s="38" t="str">
        <f t="shared" si="142"/>
        <v/>
      </c>
      <c r="R720" s="38"/>
    </row>
    <row r="721" spans="12:18" x14ac:dyDescent="0.2">
      <c r="L721" t="str">
        <f t="shared" si="143"/>
        <v/>
      </c>
      <c r="M721" s="38" t="str">
        <f t="shared" si="140"/>
        <v/>
      </c>
      <c r="N721" s="38" t="str">
        <f t="shared" si="144"/>
        <v/>
      </c>
      <c r="O721" s="38" t="str">
        <f t="shared" si="145"/>
        <v/>
      </c>
      <c r="P721" s="38" t="str">
        <f t="shared" si="141"/>
        <v/>
      </c>
      <c r="Q721" s="38" t="str">
        <f t="shared" si="142"/>
        <v/>
      </c>
      <c r="R721" s="38"/>
    </row>
    <row r="722" spans="12:18" x14ac:dyDescent="0.2">
      <c r="L722" t="str">
        <f t="shared" si="143"/>
        <v/>
      </c>
      <c r="M722" s="38" t="str">
        <f t="shared" si="140"/>
        <v/>
      </c>
      <c r="N722" s="38" t="str">
        <f t="shared" si="144"/>
        <v/>
      </c>
      <c r="O722" s="38" t="str">
        <f t="shared" si="145"/>
        <v/>
      </c>
      <c r="P722" s="38" t="str">
        <f t="shared" si="141"/>
        <v/>
      </c>
      <c r="Q722" s="38" t="str">
        <f t="shared" si="142"/>
        <v/>
      </c>
      <c r="R722" s="38"/>
    </row>
    <row r="723" spans="12:18" x14ac:dyDescent="0.2">
      <c r="L723" t="str">
        <f t="shared" si="143"/>
        <v/>
      </c>
      <c r="M723" s="38" t="str">
        <f t="shared" si="140"/>
        <v/>
      </c>
      <c r="N723" s="38" t="str">
        <f t="shared" si="144"/>
        <v/>
      </c>
      <c r="O723" s="38" t="str">
        <f t="shared" si="145"/>
        <v/>
      </c>
      <c r="P723" s="38" t="str">
        <f t="shared" si="141"/>
        <v/>
      </c>
      <c r="Q723" s="38" t="str">
        <f t="shared" si="142"/>
        <v/>
      </c>
      <c r="R723" s="38"/>
    </row>
    <row r="724" spans="12:18" x14ac:dyDescent="0.2">
      <c r="L724" t="str">
        <f t="shared" si="143"/>
        <v/>
      </c>
      <c r="M724" s="38" t="str">
        <f t="shared" si="140"/>
        <v/>
      </c>
      <c r="N724" s="38" t="str">
        <f t="shared" si="144"/>
        <v/>
      </c>
      <c r="O724" s="38" t="str">
        <f t="shared" si="145"/>
        <v/>
      </c>
      <c r="P724" s="38" t="str">
        <f t="shared" si="141"/>
        <v/>
      </c>
      <c r="Q724" s="38" t="str">
        <f t="shared" si="142"/>
        <v/>
      </c>
      <c r="R724" s="38"/>
    </row>
    <row r="725" spans="12:18" x14ac:dyDescent="0.2">
      <c r="L725" t="str">
        <f t="shared" si="143"/>
        <v/>
      </c>
      <c r="M725" s="38" t="str">
        <f t="shared" si="140"/>
        <v/>
      </c>
      <c r="N725" s="38" t="str">
        <f t="shared" si="144"/>
        <v/>
      </c>
      <c r="O725" s="38" t="str">
        <f t="shared" si="145"/>
        <v/>
      </c>
      <c r="P725" s="38" t="str">
        <f t="shared" si="141"/>
        <v/>
      </c>
      <c r="Q725" s="38" t="str">
        <f t="shared" si="142"/>
        <v/>
      </c>
      <c r="R725" s="38"/>
    </row>
    <row r="726" spans="12:18" x14ac:dyDescent="0.2">
      <c r="L726" t="str">
        <f t="shared" si="143"/>
        <v/>
      </c>
      <c r="M726" s="38" t="str">
        <f t="shared" si="140"/>
        <v/>
      </c>
      <c r="N726" s="38" t="str">
        <f t="shared" si="144"/>
        <v/>
      </c>
      <c r="O726" s="38" t="str">
        <f t="shared" si="145"/>
        <v/>
      </c>
      <c r="P726" s="38" t="str">
        <f t="shared" si="141"/>
        <v/>
      </c>
      <c r="Q726" s="38" t="str">
        <f t="shared" si="142"/>
        <v/>
      </c>
      <c r="R726" s="38"/>
    </row>
    <row r="727" spans="12:18" x14ac:dyDescent="0.2">
      <c r="L727" t="str">
        <f t="shared" si="143"/>
        <v/>
      </c>
      <c r="M727" s="38" t="str">
        <f t="shared" si="140"/>
        <v/>
      </c>
      <c r="N727" s="38" t="str">
        <f t="shared" si="144"/>
        <v/>
      </c>
      <c r="O727" s="38" t="str">
        <f t="shared" si="145"/>
        <v/>
      </c>
      <c r="P727" s="38" t="str">
        <f t="shared" si="141"/>
        <v/>
      </c>
      <c r="Q727" s="38" t="str">
        <f t="shared" si="142"/>
        <v/>
      </c>
      <c r="R727" s="38"/>
    </row>
    <row r="728" spans="12:18" x14ac:dyDescent="0.2">
      <c r="L728" t="str">
        <f t="shared" si="143"/>
        <v/>
      </c>
      <c r="M728" s="38" t="str">
        <f t="shared" si="140"/>
        <v/>
      </c>
      <c r="N728" s="38" t="str">
        <f t="shared" si="144"/>
        <v/>
      </c>
      <c r="O728" s="38" t="str">
        <f t="shared" si="145"/>
        <v/>
      </c>
      <c r="P728" s="38" t="str">
        <f t="shared" si="141"/>
        <v/>
      </c>
      <c r="Q728" s="38" t="str">
        <f t="shared" si="142"/>
        <v/>
      </c>
      <c r="R728" s="38"/>
    </row>
    <row r="729" spans="12:18" x14ac:dyDescent="0.2">
      <c r="L729" t="str">
        <f t="shared" si="143"/>
        <v/>
      </c>
      <c r="M729" s="38" t="str">
        <f t="shared" si="140"/>
        <v/>
      </c>
      <c r="N729" s="38" t="str">
        <f t="shared" si="144"/>
        <v/>
      </c>
      <c r="O729" s="38" t="str">
        <f t="shared" si="145"/>
        <v/>
      </c>
      <c r="P729" s="38" t="str">
        <f t="shared" si="141"/>
        <v/>
      </c>
      <c r="Q729" s="38" t="str">
        <f t="shared" si="142"/>
        <v/>
      </c>
      <c r="R729" s="38"/>
    </row>
    <row r="730" spans="12:18" x14ac:dyDescent="0.2">
      <c r="L730" t="str">
        <f t="shared" si="143"/>
        <v/>
      </c>
      <c r="M730" s="38" t="str">
        <f t="shared" si="140"/>
        <v/>
      </c>
      <c r="N730" s="38" t="str">
        <f t="shared" si="144"/>
        <v/>
      </c>
      <c r="O730" s="38" t="str">
        <f t="shared" si="145"/>
        <v/>
      </c>
      <c r="P730" s="38" t="str">
        <f t="shared" si="141"/>
        <v/>
      </c>
      <c r="Q730" s="38" t="str">
        <f t="shared" si="142"/>
        <v/>
      </c>
      <c r="R730" s="38"/>
    </row>
    <row r="731" spans="12:18" x14ac:dyDescent="0.2">
      <c r="L731" t="str">
        <f t="shared" si="143"/>
        <v/>
      </c>
      <c r="M731" s="38" t="str">
        <f t="shared" si="140"/>
        <v/>
      </c>
      <c r="N731" s="38" t="str">
        <f t="shared" si="144"/>
        <v/>
      </c>
      <c r="O731" s="38" t="str">
        <f t="shared" si="145"/>
        <v/>
      </c>
      <c r="P731" s="38" t="str">
        <f t="shared" si="141"/>
        <v/>
      </c>
      <c r="Q731" s="38" t="str">
        <f t="shared" si="142"/>
        <v/>
      </c>
      <c r="R731" s="38"/>
    </row>
    <row r="732" spans="12:18" x14ac:dyDescent="0.2">
      <c r="L732" t="str">
        <f t="shared" si="143"/>
        <v/>
      </c>
      <c r="M732" s="38" t="str">
        <f t="shared" si="140"/>
        <v/>
      </c>
      <c r="N732" s="38" t="str">
        <f t="shared" si="144"/>
        <v/>
      </c>
      <c r="O732" s="38" t="str">
        <f t="shared" si="145"/>
        <v/>
      </c>
      <c r="P732" s="38" t="str">
        <f t="shared" si="141"/>
        <v/>
      </c>
      <c r="Q732" s="38" t="str">
        <f t="shared" si="142"/>
        <v/>
      </c>
      <c r="R732" s="38"/>
    </row>
    <row r="733" spans="12:18" x14ac:dyDescent="0.2">
      <c r="L733" t="str">
        <f t="shared" si="143"/>
        <v/>
      </c>
      <c r="M733" s="38" t="str">
        <f t="shared" si="140"/>
        <v/>
      </c>
      <c r="N733" s="38" t="str">
        <f t="shared" si="144"/>
        <v/>
      </c>
      <c r="O733" s="38" t="str">
        <f t="shared" si="145"/>
        <v/>
      </c>
      <c r="P733" s="38" t="str">
        <f>IF(L733="","", M733-#REF!)</f>
        <v/>
      </c>
      <c r="Q733" s="38" t="str">
        <f t="shared" si="142"/>
        <v/>
      </c>
      <c r="R733" s="38"/>
    </row>
    <row r="734" spans="12:18" x14ac:dyDescent="0.2">
      <c r="L734" t="str">
        <f t="shared" si="143"/>
        <v/>
      </c>
      <c r="M734" s="38" t="str">
        <f t="shared" si="140"/>
        <v/>
      </c>
      <c r="N734" s="38" t="str">
        <f t="shared" si="144"/>
        <v/>
      </c>
      <c r="O734" s="38" t="str">
        <f t="shared" si="145"/>
        <v/>
      </c>
      <c r="P734" s="38" t="str">
        <f>IF(L734="","", M734-#REF!)</f>
        <v/>
      </c>
      <c r="Q734" s="38" t="str">
        <f t="shared" si="142"/>
        <v/>
      </c>
      <c r="R734" s="38"/>
    </row>
    <row r="735" spans="12:18" x14ac:dyDescent="0.2">
      <c r="L735" t="str">
        <f t="shared" si="143"/>
        <v/>
      </c>
      <c r="M735" s="38" t="str">
        <f t="shared" si="140"/>
        <v/>
      </c>
      <c r="N735" s="38" t="str">
        <f t="shared" si="144"/>
        <v/>
      </c>
      <c r="O735" s="38" t="str">
        <f t="shared" si="145"/>
        <v/>
      </c>
      <c r="P735" s="38" t="str">
        <f>IF(L735="","", M735-#REF!)</f>
        <v/>
      </c>
      <c r="Q735" s="38" t="str">
        <f t="shared" si="142"/>
        <v/>
      </c>
      <c r="R735" s="38"/>
    </row>
    <row r="736" spans="12:18" x14ac:dyDescent="0.2">
      <c r="L736" t="str">
        <f t="shared" si="143"/>
        <v/>
      </c>
      <c r="M736" s="38" t="str">
        <f t="shared" si="140"/>
        <v/>
      </c>
      <c r="N736" s="38" t="str">
        <f t="shared" si="144"/>
        <v/>
      </c>
      <c r="O736" s="38" t="str">
        <f t="shared" si="145"/>
        <v/>
      </c>
      <c r="P736" s="38" t="str">
        <f>IF(L736="","", M736-#REF!)</f>
        <v/>
      </c>
      <c r="Q736" s="38" t="str">
        <f t="shared" si="142"/>
        <v/>
      </c>
      <c r="R736" s="38"/>
    </row>
    <row r="737" spans="12:18" x14ac:dyDescent="0.2">
      <c r="L737" t="str">
        <f t="shared" si="143"/>
        <v/>
      </c>
      <c r="M737" s="38" t="str">
        <f t="shared" ref="M737:M800" si="146">IF(L737="","",P736)</f>
        <v/>
      </c>
      <c r="N737" s="38" t="str">
        <f t="shared" si="144"/>
        <v/>
      </c>
      <c r="O737" s="38" t="str">
        <f t="shared" si="145"/>
        <v/>
      </c>
      <c r="P737" s="38" t="str">
        <f>IF(L737="","", M737-#REF!)</f>
        <v/>
      </c>
      <c r="Q737" s="38" t="str">
        <f t="shared" ref="Q737:Q800" si="147">IF(L737="","", (Q736+N737))</f>
        <v/>
      </c>
      <c r="R737" s="38"/>
    </row>
    <row r="738" spans="12:18" x14ac:dyDescent="0.2">
      <c r="L738" t="str">
        <f t="shared" ref="L738:L801" si="148">IF(L737&lt;($B$8*$B$9),L737+1,"")</f>
        <v/>
      </c>
      <c r="M738" s="38" t="str">
        <f t="shared" si="146"/>
        <v/>
      </c>
      <c r="N738" s="38" t="str">
        <f t="shared" ref="N738:N801" si="149">IF(L738="","",(M738 *$B$6))</f>
        <v/>
      </c>
      <c r="O738" s="38" t="str">
        <f t="shared" ref="O738:O801" si="150">IF(L738="","",O737*(1+$B$7))</f>
        <v/>
      </c>
      <c r="P738" s="38" t="str">
        <f>IF(L738="","", M738-#REF!)</f>
        <v/>
      </c>
      <c r="Q738" s="38" t="str">
        <f t="shared" si="147"/>
        <v/>
      </c>
      <c r="R738" s="38"/>
    </row>
    <row r="739" spans="12:18" x14ac:dyDescent="0.2">
      <c r="L739" t="str">
        <f t="shared" si="148"/>
        <v/>
      </c>
      <c r="M739" s="38" t="str">
        <f t="shared" si="146"/>
        <v/>
      </c>
      <c r="N739" s="38" t="str">
        <f t="shared" si="149"/>
        <v/>
      </c>
      <c r="O739" s="38" t="str">
        <f t="shared" si="150"/>
        <v/>
      </c>
      <c r="P739" s="38" t="str">
        <f>IF(L739="","", M739-#REF!)</f>
        <v/>
      </c>
      <c r="Q739" s="38" t="str">
        <f t="shared" si="147"/>
        <v/>
      </c>
      <c r="R739" s="38"/>
    </row>
    <row r="740" spans="12:18" x14ac:dyDescent="0.2">
      <c r="L740" t="str">
        <f t="shared" si="148"/>
        <v/>
      </c>
      <c r="M740" s="38" t="str">
        <f t="shared" si="146"/>
        <v/>
      </c>
      <c r="N740" s="38" t="str">
        <f t="shared" si="149"/>
        <v/>
      </c>
      <c r="O740" s="38" t="str">
        <f t="shared" si="150"/>
        <v/>
      </c>
      <c r="P740" s="38" t="str">
        <f>IF(L740="","", M740-#REF!)</f>
        <v/>
      </c>
      <c r="Q740" s="38" t="str">
        <f t="shared" si="147"/>
        <v/>
      </c>
      <c r="R740" s="38"/>
    </row>
    <row r="741" spans="12:18" x14ac:dyDescent="0.2">
      <c r="L741" t="str">
        <f t="shared" si="148"/>
        <v/>
      </c>
      <c r="M741" s="38" t="str">
        <f t="shared" si="146"/>
        <v/>
      </c>
      <c r="N741" s="38" t="str">
        <f t="shared" si="149"/>
        <v/>
      </c>
      <c r="O741" s="38" t="str">
        <f t="shared" si="150"/>
        <v/>
      </c>
      <c r="P741" s="38" t="str">
        <f>IF(L741="","", M741-#REF!)</f>
        <v/>
      </c>
      <c r="Q741" s="38" t="str">
        <f t="shared" si="147"/>
        <v/>
      </c>
      <c r="R741" s="38"/>
    </row>
    <row r="742" spans="12:18" x14ac:dyDescent="0.2">
      <c r="L742" t="str">
        <f t="shared" si="148"/>
        <v/>
      </c>
      <c r="M742" s="38" t="str">
        <f t="shared" si="146"/>
        <v/>
      </c>
      <c r="N742" s="38" t="str">
        <f t="shared" si="149"/>
        <v/>
      </c>
      <c r="O742" s="38" t="str">
        <f t="shared" si="150"/>
        <v/>
      </c>
      <c r="P742" s="38" t="str">
        <f>IF(L742="","", M742-#REF!)</f>
        <v/>
      </c>
      <c r="Q742" s="38" t="str">
        <f t="shared" si="147"/>
        <v/>
      </c>
      <c r="R742" s="38"/>
    </row>
    <row r="743" spans="12:18" x14ac:dyDescent="0.2">
      <c r="L743" t="str">
        <f t="shared" si="148"/>
        <v/>
      </c>
      <c r="M743" s="38" t="str">
        <f t="shared" si="146"/>
        <v/>
      </c>
      <c r="N743" s="38" t="str">
        <f t="shared" si="149"/>
        <v/>
      </c>
      <c r="O743" s="38" t="str">
        <f t="shared" si="150"/>
        <v/>
      </c>
      <c r="P743" s="38" t="str">
        <f>IF(L743="","", M743-#REF!)</f>
        <v/>
      </c>
      <c r="Q743" s="38" t="str">
        <f t="shared" si="147"/>
        <v/>
      </c>
      <c r="R743" s="38"/>
    </row>
    <row r="744" spans="12:18" x14ac:dyDescent="0.2">
      <c r="L744" t="str">
        <f t="shared" si="148"/>
        <v/>
      </c>
      <c r="M744" s="38" t="str">
        <f t="shared" si="146"/>
        <v/>
      </c>
      <c r="N744" s="38" t="str">
        <f t="shared" si="149"/>
        <v/>
      </c>
      <c r="O744" s="38" t="str">
        <f t="shared" si="150"/>
        <v/>
      </c>
      <c r="P744" s="38" t="str">
        <f>IF(L744="","", M744-#REF!)</f>
        <v/>
      </c>
      <c r="Q744" s="38" t="str">
        <f t="shared" si="147"/>
        <v/>
      </c>
      <c r="R744" s="38"/>
    </row>
    <row r="745" spans="12:18" x14ac:dyDescent="0.2">
      <c r="L745" t="str">
        <f t="shared" si="148"/>
        <v/>
      </c>
      <c r="M745" s="38" t="str">
        <f t="shared" si="146"/>
        <v/>
      </c>
      <c r="N745" s="38" t="str">
        <f t="shared" si="149"/>
        <v/>
      </c>
      <c r="O745" s="38" t="str">
        <f t="shared" si="150"/>
        <v/>
      </c>
      <c r="P745" s="38" t="str">
        <f>IF(L745="","", M745-#REF!)</f>
        <v/>
      </c>
      <c r="Q745" s="38" t="str">
        <f t="shared" si="147"/>
        <v/>
      </c>
      <c r="R745" s="38"/>
    </row>
    <row r="746" spans="12:18" x14ac:dyDescent="0.2">
      <c r="L746" t="str">
        <f t="shared" si="148"/>
        <v/>
      </c>
      <c r="M746" s="38" t="str">
        <f t="shared" si="146"/>
        <v/>
      </c>
      <c r="N746" s="38" t="str">
        <f t="shared" si="149"/>
        <v/>
      </c>
      <c r="O746" s="38" t="str">
        <f t="shared" si="150"/>
        <v/>
      </c>
      <c r="P746" s="38" t="str">
        <f>IF(L746="","", M746-#REF!)</f>
        <v/>
      </c>
      <c r="Q746" s="38" t="str">
        <f t="shared" si="147"/>
        <v/>
      </c>
      <c r="R746" s="38"/>
    </row>
    <row r="747" spans="12:18" x14ac:dyDescent="0.2">
      <c r="L747" t="str">
        <f t="shared" si="148"/>
        <v/>
      </c>
      <c r="M747" s="38" t="str">
        <f t="shared" si="146"/>
        <v/>
      </c>
      <c r="N747" s="38" t="str">
        <f t="shared" si="149"/>
        <v/>
      </c>
      <c r="O747" s="38" t="str">
        <f t="shared" si="150"/>
        <v/>
      </c>
      <c r="P747" s="38" t="str">
        <f>IF(L747="","", M747-#REF!)</f>
        <v/>
      </c>
      <c r="Q747" s="38" t="str">
        <f t="shared" si="147"/>
        <v/>
      </c>
      <c r="R747" s="38"/>
    </row>
    <row r="748" spans="12:18" x14ac:dyDescent="0.2">
      <c r="L748" t="str">
        <f t="shared" si="148"/>
        <v/>
      </c>
      <c r="M748" s="38" t="str">
        <f t="shared" si="146"/>
        <v/>
      </c>
      <c r="N748" s="38" t="str">
        <f t="shared" si="149"/>
        <v/>
      </c>
      <c r="O748" s="38" t="str">
        <f t="shared" si="150"/>
        <v/>
      </c>
      <c r="P748" s="38" t="str">
        <f>IF(L748="","", M748-#REF!)</f>
        <v/>
      </c>
      <c r="Q748" s="38" t="str">
        <f t="shared" si="147"/>
        <v/>
      </c>
      <c r="R748" s="38"/>
    </row>
    <row r="749" spans="12:18" x14ac:dyDescent="0.2">
      <c r="L749" t="str">
        <f t="shared" si="148"/>
        <v/>
      </c>
      <c r="M749" s="38" t="str">
        <f t="shared" si="146"/>
        <v/>
      </c>
      <c r="N749" s="38" t="str">
        <f t="shared" si="149"/>
        <v/>
      </c>
      <c r="O749" s="38" t="str">
        <f t="shared" si="150"/>
        <v/>
      </c>
      <c r="P749" s="38" t="str">
        <f>IF(L749="","", M749-#REF!)</f>
        <v/>
      </c>
      <c r="Q749" s="38" t="str">
        <f t="shared" si="147"/>
        <v/>
      </c>
      <c r="R749" s="38"/>
    </row>
    <row r="750" spans="12:18" x14ac:dyDescent="0.2">
      <c r="L750" t="str">
        <f t="shared" si="148"/>
        <v/>
      </c>
      <c r="M750" s="38" t="str">
        <f t="shared" si="146"/>
        <v/>
      </c>
      <c r="N750" s="38" t="str">
        <f t="shared" si="149"/>
        <v/>
      </c>
      <c r="O750" s="38" t="str">
        <f t="shared" si="150"/>
        <v/>
      </c>
      <c r="P750" s="38" t="str">
        <f>IF(L750="","", M750-#REF!)</f>
        <v/>
      </c>
      <c r="Q750" s="38" t="str">
        <f t="shared" si="147"/>
        <v/>
      </c>
      <c r="R750" s="38"/>
    </row>
    <row r="751" spans="12:18" x14ac:dyDescent="0.2">
      <c r="L751" t="str">
        <f t="shared" si="148"/>
        <v/>
      </c>
      <c r="M751" s="38" t="str">
        <f t="shared" si="146"/>
        <v/>
      </c>
      <c r="N751" s="38" t="str">
        <f t="shared" si="149"/>
        <v/>
      </c>
      <c r="O751" s="38" t="str">
        <f t="shared" si="150"/>
        <v/>
      </c>
      <c r="P751" s="38" t="str">
        <f>IF(L751="","", M751-#REF!)</f>
        <v/>
      </c>
      <c r="Q751" s="38" t="str">
        <f t="shared" si="147"/>
        <v/>
      </c>
      <c r="R751" s="38"/>
    </row>
    <row r="752" spans="12:18" x14ac:dyDescent="0.2">
      <c r="L752" t="str">
        <f t="shared" si="148"/>
        <v/>
      </c>
      <c r="M752" s="38" t="str">
        <f t="shared" si="146"/>
        <v/>
      </c>
      <c r="N752" s="38" t="str">
        <f t="shared" si="149"/>
        <v/>
      </c>
      <c r="O752" s="38" t="str">
        <f t="shared" si="150"/>
        <v/>
      </c>
      <c r="P752" s="38" t="str">
        <f>IF(L752="","", M752-#REF!)</f>
        <v/>
      </c>
      <c r="Q752" s="38" t="str">
        <f t="shared" si="147"/>
        <v/>
      </c>
      <c r="R752" s="38"/>
    </row>
    <row r="753" spans="12:18" x14ac:dyDescent="0.2">
      <c r="L753" t="str">
        <f t="shared" si="148"/>
        <v/>
      </c>
      <c r="M753" s="38" t="str">
        <f t="shared" si="146"/>
        <v/>
      </c>
      <c r="N753" s="38" t="str">
        <f t="shared" si="149"/>
        <v/>
      </c>
      <c r="O753" s="38" t="str">
        <f t="shared" si="150"/>
        <v/>
      </c>
      <c r="P753" s="38" t="str">
        <f>IF(L753="","", M753-#REF!)</f>
        <v/>
      </c>
      <c r="Q753" s="38" t="str">
        <f t="shared" si="147"/>
        <v/>
      </c>
      <c r="R753" s="38"/>
    </row>
    <row r="754" spans="12:18" x14ac:dyDescent="0.2">
      <c r="L754" t="str">
        <f t="shared" si="148"/>
        <v/>
      </c>
      <c r="M754" s="38" t="str">
        <f t="shared" si="146"/>
        <v/>
      </c>
      <c r="N754" s="38" t="str">
        <f t="shared" si="149"/>
        <v/>
      </c>
      <c r="O754" s="38" t="str">
        <f t="shared" si="150"/>
        <v/>
      </c>
      <c r="P754" s="38" t="str">
        <f>IF(L754="","", M754-#REF!)</f>
        <v/>
      </c>
      <c r="Q754" s="38" t="str">
        <f t="shared" si="147"/>
        <v/>
      </c>
      <c r="R754" s="38"/>
    </row>
    <row r="755" spans="12:18" x14ac:dyDescent="0.2">
      <c r="L755" t="str">
        <f t="shared" si="148"/>
        <v/>
      </c>
      <c r="M755" s="38" t="str">
        <f t="shared" si="146"/>
        <v/>
      </c>
      <c r="N755" s="38" t="str">
        <f t="shared" si="149"/>
        <v/>
      </c>
      <c r="O755" s="38" t="str">
        <f t="shared" si="150"/>
        <v/>
      </c>
      <c r="P755" s="38" t="str">
        <f>IF(L755="","", M755-#REF!)</f>
        <v/>
      </c>
      <c r="Q755" s="38" t="str">
        <f t="shared" si="147"/>
        <v/>
      </c>
      <c r="R755" s="38"/>
    </row>
    <row r="756" spans="12:18" x14ac:dyDescent="0.2">
      <c r="L756" t="str">
        <f t="shared" si="148"/>
        <v/>
      </c>
      <c r="M756" s="38" t="str">
        <f t="shared" si="146"/>
        <v/>
      </c>
      <c r="N756" s="38" t="str">
        <f t="shared" si="149"/>
        <v/>
      </c>
      <c r="O756" s="38" t="str">
        <f t="shared" si="150"/>
        <v/>
      </c>
      <c r="P756" s="38" t="str">
        <f>IF(L756="","", M756-#REF!)</f>
        <v/>
      </c>
      <c r="Q756" s="38" t="str">
        <f t="shared" si="147"/>
        <v/>
      </c>
      <c r="R756" s="38"/>
    </row>
    <row r="757" spans="12:18" x14ac:dyDescent="0.2">
      <c r="L757" t="str">
        <f t="shared" si="148"/>
        <v/>
      </c>
      <c r="M757" s="38" t="str">
        <f t="shared" si="146"/>
        <v/>
      </c>
      <c r="N757" s="38" t="str">
        <f t="shared" si="149"/>
        <v/>
      </c>
      <c r="O757" s="38" t="str">
        <f t="shared" si="150"/>
        <v/>
      </c>
      <c r="P757" s="38" t="str">
        <f>IF(L757="","", M757-#REF!)</f>
        <v/>
      </c>
      <c r="Q757" s="38" t="str">
        <f t="shared" si="147"/>
        <v/>
      </c>
      <c r="R757" s="38"/>
    </row>
    <row r="758" spans="12:18" x14ac:dyDescent="0.2">
      <c r="L758" t="str">
        <f t="shared" si="148"/>
        <v/>
      </c>
      <c r="M758" s="38" t="str">
        <f t="shared" si="146"/>
        <v/>
      </c>
      <c r="N758" s="38" t="str">
        <f t="shared" si="149"/>
        <v/>
      </c>
      <c r="O758" s="38" t="str">
        <f t="shared" si="150"/>
        <v/>
      </c>
      <c r="P758" s="38" t="str">
        <f>IF(L758="","", M758-#REF!)</f>
        <v/>
      </c>
      <c r="Q758" s="38" t="str">
        <f t="shared" si="147"/>
        <v/>
      </c>
      <c r="R758" s="38"/>
    </row>
    <row r="759" spans="12:18" x14ac:dyDescent="0.2">
      <c r="L759" t="str">
        <f t="shared" si="148"/>
        <v/>
      </c>
      <c r="M759" s="38" t="str">
        <f t="shared" si="146"/>
        <v/>
      </c>
      <c r="N759" s="38" t="str">
        <f t="shared" si="149"/>
        <v/>
      </c>
      <c r="O759" s="38" t="str">
        <f t="shared" si="150"/>
        <v/>
      </c>
      <c r="P759" s="38" t="str">
        <f>IF(L759="","", M759-#REF!)</f>
        <v/>
      </c>
      <c r="Q759" s="38" t="str">
        <f t="shared" si="147"/>
        <v/>
      </c>
      <c r="R759" s="38"/>
    </row>
    <row r="760" spans="12:18" x14ac:dyDescent="0.2">
      <c r="L760" t="str">
        <f t="shared" si="148"/>
        <v/>
      </c>
      <c r="M760" s="38" t="str">
        <f t="shared" si="146"/>
        <v/>
      </c>
      <c r="N760" s="38" t="str">
        <f t="shared" si="149"/>
        <v/>
      </c>
      <c r="O760" s="38" t="str">
        <f t="shared" si="150"/>
        <v/>
      </c>
      <c r="P760" s="38" t="str">
        <f>IF(L760="","", M760-#REF!)</f>
        <v/>
      </c>
      <c r="Q760" s="38" t="str">
        <f t="shared" si="147"/>
        <v/>
      </c>
      <c r="R760" s="38"/>
    </row>
    <row r="761" spans="12:18" x14ac:dyDescent="0.2">
      <c r="L761" t="str">
        <f t="shared" si="148"/>
        <v/>
      </c>
      <c r="M761" s="38" t="str">
        <f t="shared" si="146"/>
        <v/>
      </c>
      <c r="N761" s="38" t="str">
        <f t="shared" si="149"/>
        <v/>
      </c>
      <c r="O761" s="38" t="str">
        <f t="shared" si="150"/>
        <v/>
      </c>
      <c r="P761" s="38" t="str">
        <f>IF(L761="","", M761-#REF!)</f>
        <v/>
      </c>
      <c r="Q761" s="38" t="str">
        <f t="shared" si="147"/>
        <v/>
      </c>
      <c r="R761" s="38"/>
    </row>
    <row r="762" spans="12:18" x14ac:dyDescent="0.2">
      <c r="L762" t="str">
        <f t="shared" si="148"/>
        <v/>
      </c>
      <c r="M762" s="38" t="str">
        <f t="shared" si="146"/>
        <v/>
      </c>
      <c r="N762" s="38" t="str">
        <f t="shared" si="149"/>
        <v/>
      </c>
      <c r="O762" s="38" t="str">
        <f t="shared" si="150"/>
        <v/>
      </c>
      <c r="P762" s="38" t="str">
        <f>IF(L762="","", M762-#REF!)</f>
        <v/>
      </c>
      <c r="Q762" s="38" t="str">
        <f t="shared" si="147"/>
        <v/>
      </c>
      <c r="R762" s="38"/>
    </row>
    <row r="763" spans="12:18" x14ac:dyDescent="0.2">
      <c r="L763" t="str">
        <f t="shared" si="148"/>
        <v/>
      </c>
      <c r="M763" s="38" t="str">
        <f t="shared" si="146"/>
        <v/>
      </c>
      <c r="N763" s="38" t="str">
        <f t="shared" si="149"/>
        <v/>
      </c>
      <c r="O763" s="38" t="str">
        <f t="shared" si="150"/>
        <v/>
      </c>
      <c r="P763" s="38" t="str">
        <f>IF(L763="","", M763-#REF!)</f>
        <v/>
      </c>
      <c r="Q763" s="38" t="str">
        <f t="shared" si="147"/>
        <v/>
      </c>
      <c r="R763" s="38"/>
    </row>
    <row r="764" spans="12:18" x14ac:dyDescent="0.2">
      <c r="L764" t="str">
        <f t="shared" si="148"/>
        <v/>
      </c>
      <c r="M764" s="38" t="str">
        <f t="shared" si="146"/>
        <v/>
      </c>
      <c r="N764" s="38" t="str">
        <f t="shared" si="149"/>
        <v/>
      </c>
      <c r="O764" s="38" t="str">
        <f t="shared" si="150"/>
        <v/>
      </c>
      <c r="P764" s="38" t="str">
        <f>IF(L764="","", M764-#REF!)</f>
        <v/>
      </c>
      <c r="Q764" s="38" t="str">
        <f t="shared" si="147"/>
        <v/>
      </c>
      <c r="R764" s="38"/>
    </row>
    <row r="765" spans="12:18" x14ac:dyDescent="0.2">
      <c r="L765" t="str">
        <f t="shared" si="148"/>
        <v/>
      </c>
      <c r="M765" s="38" t="str">
        <f t="shared" si="146"/>
        <v/>
      </c>
      <c r="N765" s="38" t="str">
        <f t="shared" si="149"/>
        <v/>
      </c>
      <c r="O765" s="38" t="str">
        <f t="shared" si="150"/>
        <v/>
      </c>
      <c r="P765" s="38" t="str">
        <f>IF(L765="","", M765-#REF!)</f>
        <v/>
      </c>
      <c r="Q765" s="38" t="str">
        <f t="shared" si="147"/>
        <v/>
      </c>
      <c r="R765" s="38"/>
    </row>
    <row r="766" spans="12:18" x14ac:dyDescent="0.2">
      <c r="L766" t="str">
        <f t="shared" si="148"/>
        <v/>
      </c>
      <c r="M766" s="38" t="str">
        <f t="shared" si="146"/>
        <v/>
      </c>
      <c r="N766" s="38" t="str">
        <f t="shared" si="149"/>
        <v/>
      </c>
      <c r="O766" s="38" t="str">
        <f t="shared" si="150"/>
        <v/>
      </c>
      <c r="P766" s="38" t="str">
        <f>IF(L766="","", M766-#REF!)</f>
        <v/>
      </c>
      <c r="Q766" s="38" t="str">
        <f t="shared" si="147"/>
        <v/>
      </c>
      <c r="R766" s="38"/>
    </row>
    <row r="767" spans="12:18" x14ac:dyDescent="0.2">
      <c r="L767" t="str">
        <f t="shared" si="148"/>
        <v/>
      </c>
      <c r="M767" s="38" t="str">
        <f t="shared" si="146"/>
        <v/>
      </c>
      <c r="N767" s="38" t="str">
        <f t="shared" si="149"/>
        <v/>
      </c>
      <c r="O767" s="38" t="str">
        <f t="shared" si="150"/>
        <v/>
      </c>
      <c r="P767" s="38" t="str">
        <f>IF(L767="","", M767-#REF!)</f>
        <v/>
      </c>
      <c r="Q767" s="38" t="str">
        <f t="shared" si="147"/>
        <v/>
      </c>
      <c r="R767" s="38"/>
    </row>
    <row r="768" spans="12:18" x14ac:dyDescent="0.2">
      <c r="L768" t="str">
        <f t="shared" si="148"/>
        <v/>
      </c>
      <c r="M768" s="38" t="str">
        <f t="shared" si="146"/>
        <v/>
      </c>
      <c r="N768" s="38" t="str">
        <f t="shared" si="149"/>
        <v/>
      </c>
      <c r="O768" s="38" t="str">
        <f t="shared" si="150"/>
        <v/>
      </c>
      <c r="P768" s="38" t="str">
        <f>IF(L768="","", M768-#REF!)</f>
        <v/>
      </c>
      <c r="Q768" s="38" t="str">
        <f t="shared" si="147"/>
        <v/>
      </c>
      <c r="R768" s="38"/>
    </row>
    <row r="769" spans="12:18" x14ac:dyDescent="0.2">
      <c r="L769" t="str">
        <f t="shared" si="148"/>
        <v/>
      </c>
      <c r="M769" s="38" t="str">
        <f t="shared" si="146"/>
        <v/>
      </c>
      <c r="N769" s="38" t="str">
        <f t="shared" si="149"/>
        <v/>
      </c>
      <c r="O769" s="38" t="str">
        <f t="shared" si="150"/>
        <v/>
      </c>
      <c r="P769" s="38" t="str">
        <f>IF(L769="","", M769-#REF!)</f>
        <v/>
      </c>
      <c r="Q769" s="38" t="str">
        <f t="shared" si="147"/>
        <v/>
      </c>
      <c r="R769" s="38"/>
    </row>
    <row r="770" spans="12:18" x14ac:dyDescent="0.2">
      <c r="L770" t="str">
        <f t="shared" si="148"/>
        <v/>
      </c>
      <c r="M770" s="38" t="str">
        <f t="shared" si="146"/>
        <v/>
      </c>
      <c r="N770" s="38" t="str">
        <f t="shared" si="149"/>
        <v/>
      </c>
      <c r="O770" s="38" t="str">
        <f t="shared" si="150"/>
        <v/>
      </c>
      <c r="P770" s="38" t="str">
        <f>IF(L770="","", M770-#REF!)</f>
        <v/>
      </c>
      <c r="Q770" s="38" t="str">
        <f t="shared" si="147"/>
        <v/>
      </c>
      <c r="R770" s="38"/>
    </row>
    <row r="771" spans="12:18" x14ac:dyDescent="0.2">
      <c r="L771" t="str">
        <f t="shared" si="148"/>
        <v/>
      </c>
      <c r="M771" s="38" t="str">
        <f t="shared" si="146"/>
        <v/>
      </c>
      <c r="N771" s="38" t="str">
        <f t="shared" si="149"/>
        <v/>
      </c>
      <c r="O771" s="38" t="str">
        <f t="shared" si="150"/>
        <v/>
      </c>
      <c r="P771" s="38" t="str">
        <f>IF(L771="","", M771-#REF!)</f>
        <v/>
      </c>
      <c r="Q771" s="38" t="str">
        <f t="shared" si="147"/>
        <v/>
      </c>
      <c r="R771" s="38"/>
    </row>
    <row r="772" spans="12:18" x14ac:dyDescent="0.2">
      <c r="L772" t="str">
        <f t="shared" si="148"/>
        <v/>
      </c>
      <c r="M772" s="38" t="str">
        <f t="shared" si="146"/>
        <v/>
      </c>
      <c r="N772" s="38" t="str">
        <f t="shared" si="149"/>
        <v/>
      </c>
      <c r="O772" s="38" t="str">
        <f t="shared" si="150"/>
        <v/>
      </c>
      <c r="P772" s="38" t="str">
        <f>IF(L772="","", M772-#REF!)</f>
        <v/>
      </c>
      <c r="Q772" s="38" t="str">
        <f t="shared" si="147"/>
        <v/>
      </c>
      <c r="R772" s="38"/>
    </row>
    <row r="773" spans="12:18" x14ac:dyDescent="0.2">
      <c r="L773" t="str">
        <f t="shared" si="148"/>
        <v/>
      </c>
      <c r="M773" s="38" t="str">
        <f t="shared" si="146"/>
        <v/>
      </c>
      <c r="N773" s="38" t="str">
        <f t="shared" si="149"/>
        <v/>
      </c>
      <c r="O773" s="38" t="str">
        <f t="shared" si="150"/>
        <v/>
      </c>
      <c r="P773" s="38" t="str">
        <f>IF(L773="","", M773-#REF!)</f>
        <v/>
      </c>
      <c r="Q773" s="38" t="str">
        <f t="shared" si="147"/>
        <v/>
      </c>
      <c r="R773" s="38"/>
    </row>
    <row r="774" spans="12:18" x14ac:dyDescent="0.2">
      <c r="L774" t="str">
        <f t="shared" si="148"/>
        <v/>
      </c>
      <c r="M774" s="38" t="str">
        <f t="shared" si="146"/>
        <v/>
      </c>
      <c r="N774" s="38" t="str">
        <f t="shared" si="149"/>
        <v/>
      </c>
      <c r="O774" s="38" t="str">
        <f t="shared" si="150"/>
        <v/>
      </c>
      <c r="P774" s="38" t="str">
        <f>IF(L774="","", M774-#REF!)</f>
        <v/>
      </c>
      <c r="Q774" s="38" t="str">
        <f t="shared" si="147"/>
        <v/>
      </c>
      <c r="R774" s="38"/>
    </row>
    <row r="775" spans="12:18" x14ac:dyDescent="0.2">
      <c r="L775" t="str">
        <f t="shared" si="148"/>
        <v/>
      </c>
      <c r="M775" s="38" t="str">
        <f t="shared" si="146"/>
        <v/>
      </c>
      <c r="N775" s="38" t="str">
        <f t="shared" si="149"/>
        <v/>
      </c>
      <c r="O775" s="38" t="str">
        <f t="shared" si="150"/>
        <v/>
      </c>
      <c r="P775" s="38" t="str">
        <f>IF(L775="","", M775-#REF!)</f>
        <v/>
      </c>
      <c r="Q775" s="38" t="str">
        <f t="shared" si="147"/>
        <v/>
      </c>
      <c r="R775" s="38"/>
    </row>
    <row r="776" spans="12:18" x14ac:dyDescent="0.2">
      <c r="L776" t="str">
        <f t="shared" si="148"/>
        <v/>
      </c>
      <c r="M776" s="38" t="str">
        <f t="shared" si="146"/>
        <v/>
      </c>
      <c r="N776" s="38" t="str">
        <f t="shared" si="149"/>
        <v/>
      </c>
      <c r="O776" s="38" t="str">
        <f t="shared" si="150"/>
        <v/>
      </c>
      <c r="P776" s="38" t="str">
        <f>IF(L776="","", M776-#REF!)</f>
        <v/>
      </c>
      <c r="Q776" s="38" t="str">
        <f t="shared" si="147"/>
        <v/>
      </c>
      <c r="R776" s="38"/>
    </row>
    <row r="777" spans="12:18" x14ac:dyDescent="0.2">
      <c r="L777" t="str">
        <f t="shared" si="148"/>
        <v/>
      </c>
      <c r="M777" s="38" t="str">
        <f t="shared" si="146"/>
        <v/>
      </c>
      <c r="N777" s="38" t="str">
        <f t="shared" si="149"/>
        <v/>
      </c>
      <c r="O777" s="38" t="str">
        <f t="shared" si="150"/>
        <v/>
      </c>
      <c r="P777" s="38" t="str">
        <f>IF(L777="","", M777-#REF!)</f>
        <v/>
      </c>
      <c r="Q777" s="38" t="str">
        <f t="shared" si="147"/>
        <v/>
      </c>
      <c r="R777" s="38"/>
    </row>
    <row r="778" spans="12:18" x14ac:dyDescent="0.2">
      <c r="L778" t="str">
        <f t="shared" si="148"/>
        <v/>
      </c>
      <c r="M778" s="38" t="str">
        <f t="shared" si="146"/>
        <v/>
      </c>
      <c r="N778" s="38" t="str">
        <f t="shared" si="149"/>
        <v/>
      </c>
      <c r="O778" s="38" t="str">
        <f t="shared" si="150"/>
        <v/>
      </c>
      <c r="P778" s="38" t="str">
        <f>IF(L778="","", M778-#REF!)</f>
        <v/>
      </c>
      <c r="Q778" s="38" t="str">
        <f t="shared" si="147"/>
        <v/>
      </c>
      <c r="R778" s="38"/>
    </row>
    <row r="779" spans="12:18" x14ac:dyDescent="0.2">
      <c r="L779" t="str">
        <f t="shared" si="148"/>
        <v/>
      </c>
      <c r="M779" s="38" t="str">
        <f t="shared" si="146"/>
        <v/>
      </c>
      <c r="N779" s="38" t="str">
        <f t="shared" si="149"/>
        <v/>
      </c>
      <c r="O779" s="38" t="str">
        <f t="shared" si="150"/>
        <v/>
      </c>
      <c r="P779" s="38" t="str">
        <f>IF(L779="","", M779-#REF!)</f>
        <v/>
      </c>
      <c r="Q779" s="38" t="str">
        <f t="shared" si="147"/>
        <v/>
      </c>
      <c r="R779" s="38"/>
    </row>
    <row r="780" spans="12:18" x14ac:dyDescent="0.2">
      <c r="L780" t="str">
        <f t="shared" si="148"/>
        <v/>
      </c>
      <c r="M780" s="38" t="str">
        <f t="shared" si="146"/>
        <v/>
      </c>
      <c r="N780" s="38" t="str">
        <f t="shared" si="149"/>
        <v/>
      </c>
      <c r="O780" s="38" t="str">
        <f t="shared" si="150"/>
        <v/>
      </c>
      <c r="P780" s="38" t="str">
        <f>IF(L780="","", M780-#REF!)</f>
        <v/>
      </c>
      <c r="Q780" s="38" t="str">
        <f t="shared" si="147"/>
        <v/>
      </c>
      <c r="R780" s="38"/>
    </row>
    <row r="781" spans="12:18" x14ac:dyDescent="0.2">
      <c r="L781" t="str">
        <f t="shared" si="148"/>
        <v/>
      </c>
      <c r="M781" s="38" t="str">
        <f t="shared" si="146"/>
        <v/>
      </c>
      <c r="N781" s="38" t="str">
        <f t="shared" si="149"/>
        <v/>
      </c>
      <c r="O781" s="38" t="str">
        <f t="shared" si="150"/>
        <v/>
      </c>
      <c r="P781" s="38" t="str">
        <f>IF(L781="","", M781-#REF!)</f>
        <v/>
      </c>
      <c r="Q781" s="38" t="str">
        <f t="shared" si="147"/>
        <v/>
      </c>
      <c r="R781" s="38"/>
    </row>
    <row r="782" spans="12:18" x14ac:dyDescent="0.2">
      <c r="L782" t="str">
        <f t="shared" si="148"/>
        <v/>
      </c>
      <c r="M782" s="38" t="str">
        <f t="shared" si="146"/>
        <v/>
      </c>
      <c r="N782" s="38" t="str">
        <f t="shared" si="149"/>
        <v/>
      </c>
      <c r="O782" s="38" t="str">
        <f t="shared" si="150"/>
        <v/>
      </c>
      <c r="P782" s="38" t="str">
        <f>IF(L782="","", M782-#REF!)</f>
        <v/>
      </c>
      <c r="Q782" s="38" t="str">
        <f t="shared" si="147"/>
        <v/>
      </c>
      <c r="R782" s="38"/>
    </row>
    <row r="783" spans="12:18" x14ac:dyDescent="0.2">
      <c r="L783" t="str">
        <f t="shared" si="148"/>
        <v/>
      </c>
      <c r="M783" s="38" t="str">
        <f t="shared" si="146"/>
        <v/>
      </c>
      <c r="N783" s="38" t="str">
        <f t="shared" si="149"/>
        <v/>
      </c>
      <c r="O783" s="38" t="str">
        <f t="shared" si="150"/>
        <v/>
      </c>
      <c r="P783" s="38" t="str">
        <f>IF(L783="","", M783-#REF!)</f>
        <v/>
      </c>
      <c r="Q783" s="38" t="str">
        <f t="shared" si="147"/>
        <v/>
      </c>
      <c r="R783" s="38"/>
    </row>
    <row r="784" spans="12:18" x14ac:dyDescent="0.2">
      <c r="L784" t="str">
        <f t="shared" si="148"/>
        <v/>
      </c>
      <c r="M784" s="38" t="str">
        <f t="shared" si="146"/>
        <v/>
      </c>
      <c r="N784" s="38" t="str">
        <f t="shared" si="149"/>
        <v/>
      </c>
      <c r="O784" s="38" t="str">
        <f t="shared" si="150"/>
        <v/>
      </c>
      <c r="P784" s="38" t="str">
        <f>IF(L784="","", M784-#REF!)</f>
        <v/>
      </c>
      <c r="Q784" s="38" t="str">
        <f t="shared" si="147"/>
        <v/>
      </c>
      <c r="R784" s="38"/>
    </row>
    <row r="785" spans="12:18" x14ac:dyDescent="0.2">
      <c r="L785" t="str">
        <f t="shared" si="148"/>
        <v/>
      </c>
      <c r="M785" s="38" t="str">
        <f t="shared" si="146"/>
        <v/>
      </c>
      <c r="N785" s="38" t="str">
        <f t="shared" si="149"/>
        <v/>
      </c>
      <c r="O785" s="38" t="str">
        <f t="shared" si="150"/>
        <v/>
      </c>
      <c r="P785" s="38" t="str">
        <f>IF(L785="","", M785-#REF!)</f>
        <v/>
      </c>
      <c r="Q785" s="38" t="str">
        <f t="shared" si="147"/>
        <v/>
      </c>
      <c r="R785" s="38"/>
    </row>
    <row r="786" spans="12:18" x14ac:dyDescent="0.2">
      <c r="L786" t="str">
        <f t="shared" si="148"/>
        <v/>
      </c>
      <c r="M786" s="38" t="str">
        <f t="shared" si="146"/>
        <v/>
      </c>
      <c r="N786" s="38" t="str">
        <f t="shared" si="149"/>
        <v/>
      </c>
      <c r="O786" s="38" t="str">
        <f t="shared" si="150"/>
        <v/>
      </c>
      <c r="P786" s="38" t="str">
        <f>IF(L786="","", M786-#REF!)</f>
        <v/>
      </c>
      <c r="Q786" s="38" t="str">
        <f t="shared" si="147"/>
        <v/>
      </c>
      <c r="R786" s="38"/>
    </row>
    <row r="787" spans="12:18" x14ac:dyDescent="0.2">
      <c r="L787" t="str">
        <f t="shared" si="148"/>
        <v/>
      </c>
      <c r="M787" s="38" t="str">
        <f t="shared" si="146"/>
        <v/>
      </c>
      <c r="N787" s="38" t="str">
        <f t="shared" si="149"/>
        <v/>
      </c>
      <c r="O787" s="38" t="str">
        <f t="shared" si="150"/>
        <v/>
      </c>
      <c r="P787" s="38" t="str">
        <f>IF(L787="","", M787-#REF!)</f>
        <v/>
      </c>
      <c r="Q787" s="38" t="str">
        <f t="shared" si="147"/>
        <v/>
      </c>
      <c r="R787" s="38"/>
    </row>
    <row r="788" spans="12:18" x14ac:dyDescent="0.2">
      <c r="L788" t="str">
        <f t="shared" si="148"/>
        <v/>
      </c>
      <c r="M788" s="38" t="str">
        <f t="shared" si="146"/>
        <v/>
      </c>
      <c r="N788" s="38" t="str">
        <f t="shared" si="149"/>
        <v/>
      </c>
      <c r="O788" s="38" t="str">
        <f t="shared" si="150"/>
        <v/>
      </c>
      <c r="P788" s="38" t="str">
        <f>IF(L788="","", M788-#REF!)</f>
        <v/>
      </c>
      <c r="Q788" s="38" t="str">
        <f t="shared" si="147"/>
        <v/>
      </c>
      <c r="R788" s="38"/>
    </row>
    <row r="789" spans="12:18" x14ac:dyDescent="0.2">
      <c r="L789" t="str">
        <f t="shared" si="148"/>
        <v/>
      </c>
      <c r="M789" s="38" t="str">
        <f t="shared" si="146"/>
        <v/>
      </c>
      <c r="N789" s="38" t="str">
        <f t="shared" si="149"/>
        <v/>
      </c>
      <c r="O789" s="38" t="str">
        <f t="shared" si="150"/>
        <v/>
      </c>
      <c r="P789" s="38" t="str">
        <f>IF(L789="","", M789-#REF!)</f>
        <v/>
      </c>
      <c r="Q789" s="38" t="str">
        <f t="shared" si="147"/>
        <v/>
      </c>
      <c r="R789" s="38"/>
    </row>
    <row r="790" spans="12:18" x14ac:dyDescent="0.2">
      <c r="L790" t="str">
        <f t="shared" si="148"/>
        <v/>
      </c>
      <c r="M790" s="38" t="str">
        <f t="shared" si="146"/>
        <v/>
      </c>
      <c r="N790" s="38" t="str">
        <f t="shared" si="149"/>
        <v/>
      </c>
      <c r="O790" s="38" t="str">
        <f t="shared" si="150"/>
        <v/>
      </c>
      <c r="P790" s="38" t="str">
        <f>IF(L790="","", M790-#REF!)</f>
        <v/>
      </c>
      <c r="Q790" s="38" t="str">
        <f t="shared" si="147"/>
        <v/>
      </c>
      <c r="R790" s="38"/>
    </row>
    <row r="791" spans="12:18" x14ac:dyDescent="0.2">
      <c r="L791" t="str">
        <f t="shared" si="148"/>
        <v/>
      </c>
      <c r="M791" s="38" t="str">
        <f t="shared" si="146"/>
        <v/>
      </c>
      <c r="N791" s="38" t="str">
        <f t="shared" si="149"/>
        <v/>
      </c>
      <c r="O791" s="38" t="str">
        <f t="shared" si="150"/>
        <v/>
      </c>
      <c r="P791" s="38" t="str">
        <f>IF(L791="","", M791-#REF!)</f>
        <v/>
      </c>
      <c r="Q791" s="38" t="str">
        <f t="shared" si="147"/>
        <v/>
      </c>
      <c r="R791" s="38"/>
    </row>
    <row r="792" spans="12:18" x14ac:dyDescent="0.2">
      <c r="L792" t="str">
        <f t="shared" si="148"/>
        <v/>
      </c>
      <c r="M792" s="38" t="str">
        <f t="shared" si="146"/>
        <v/>
      </c>
      <c r="N792" s="38" t="str">
        <f t="shared" si="149"/>
        <v/>
      </c>
      <c r="O792" s="38" t="str">
        <f t="shared" si="150"/>
        <v/>
      </c>
      <c r="P792" s="38" t="str">
        <f>IF(L792="","", M792-#REF!)</f>
        <v/>
      </c>
      <c r="Q792" s="38" t="str">
        <f t="shared" si="147"/>
        <v/>
      </c>
      <c r="R792" s="38"/>
    </row>
    <row r="793" spans="12:18" x14ac:dyDescent="0.2">
      <c r="L793" t="str">
        <f t="shared" si="148"/>
        <v/>
      </c>
      <c r="M793" s="38" t="str">
        <f t="shared" si="146"/>
        <v/>
      </c>
      <c r="N793" s="38" t="str">
        <f t="shared" si="149"/>
        <v/>
      </c>
      <c r="O793" s="38" t="str">
        <f t="shared" si="150"/>
        <v/>
      </c>
      <c r="P793" s="38" t="str">
        <f>IF(L793="","", M793-#REF!)</f>
        <v/>
      </c>
      <c r="Q793" s="38" t="str">
        <f t="shared" si="147"/>
        <v/>
      </c>
      <c r="R793" s="38"/>
    </row>
    <row r="794" spans="12:18" x14ac:dyDescent="0.2">
      <c r="L794" t="str">
        <f t="shared" si="148"/>
        <v/>
      </c>
      <c r="M794" s="38" t="str">
        <f t="shared" si="146"/>
        <v/>
      </c>
      <c r="N794" s="38" t="str">
        <f t="shared" si="149"/>
        <v/>
      </c>
      <c r="O794" s="38" t="str">
        <f t="shared" si="150"/>
        <v/>
      </c>
      <c r="P794" s="38" t="str">
        <f>IF(L794="","", M794-#REF!)</f>
        <v/>
      </c>
      <c r="Q794" s="38" t="str">
        <f t="shared" si="147"/>
        <v/>
      </c>
      <c r="R794" s="38"/>
    </row>
    <row r="795" spans="12:18" x14ac:dyDescent="0.2">
      <c r="L795" t="str">
        <f t="shared" si="148"/>
        <v/>
      </c>
      <c r="M795" s="38" t="str">
        <f t="shared" si="146"/>
        <v/>
      </c>
      <c r="N795" s="38" t="str">
        <f t="shared" si="149"/>
        <v/>
      </c>
      <c r="O795" s="38" t="str">
        <f t="shared" si="150"/>
        <v/>
      </c>
      <c r="P795" s="38" t="str">
        <f>IF(L795="","", M795-#REF!)</f>
        <v/>
      </c>
      <c r="Q795" s="38" t="str">
        <f t="shared" si="147"/>
        <v/>
      </c>
      <c r="R795" s="38"/>
    </row>
    <row r="796" spans="12:18" x14ac:dyDescent="0.2">
      <c r="L796" t="str">
        <f t="shared" si="148"/>
        <v/>
      </c>
      <c r="M796" s="38" t="str">
        <f t="shared" si="146"/>
        <v/>
      </c>
      <c r="N796" s="38" t="str">
        <f t="shared" si="149"/>
        <v/>
      </c>
      <c r="O796" s="38" t="str">
        <f t="shared" si="150"/>
        <v/>
      </c>
      <c r="P796" s="38" t="str">
        <f>IF(L796="","", M796-#REF!)</f>
        <v/>
      </c>
      <c r="Q796" s="38" t="str">
        <f t="shared" si="147"/>
        <v/>
      </c>
      <c r="R796" s="38"/>
    </row>
    <row r="797" spans="12:18" x14ac:dyDescent="0.2">
      <c r="L797" t="str">
        <f t="shared" si="148"/>
        <v/>
      </c>
      <c r="M797" s="38" t="str">
        <f t="shared" si="146"/>
        <v/>
      </c>
      <c r="N797" s="38" t="str">
        <f t="shared" si="149"/>
        <v/>
      </c>
      <c r="O797" s="38" t="str">
        <f t="shared" si="150"/>
        <v/>
      </c>
      <c r="P797" s="38" t="str">
        <f>IF(L797="","", M797-#REF!)</f>
        <v/>
      </c>
      <c r="Q797" s="38" t="str">
        <f t="shared" si="147"/>
        <v/>
      </c>
      <c r="R797" s="38"/>
    </row>
    <row r="798" spans="12:18" x14ac:dyDescent="0.2">
      <c r="L798" t="str">
        <f t="shared" si="148"/>
        <v/>
      </c>
      <c r="M798" s="38" t="str">
        <f t="shared" si="146"/>
        <v/>
      </c>
      <c r="N798" s="38" t="str">
        <f t="shared" si="149"/>
        <v/>
      </c>
      <c r="O798" s="38" t="str">
        <f t="shared" si="150"/>
        <v/>
      </c>
      <c r="P798" s="38" t="str">
        <f>IF(L798="","", M798-#REF!)</f>
        <v/>
      </c>
      <c r="Q798" s="38" t="str">
        <f t="shared" si="147"/>
        <v/>
      </c>
      <c r="R798" s="38"/>
    </row>
    <row r="799" spans="12:18" x14ac:dyDescent="0.2">
      <c r="L799" t="str">
        <f t="shared" si="148"/>
        <v/>
      </c>
      <c r="M799" s="38" t="str">
        <f t="shared" si="146"/>
        <v/>
      </c>
      <c r="N799" s="38" t="str">
        <f t="shared" si="149"/>
        <v/>
      </c>
      <c r="O799" s="38" t="str">
        <f t="shared" si="150"/>
        <v/>
      </c>
      <c r="P799" s="38" t="str">
        <f>IF(L799="","", M799-#REF!)</f>
        <v/>
      </c>
      <c r="Q799" s="38" t="str">
        <f t="shared" si="147"/>
        <v/>
      </c>
      <c r="R799" s="38"/>
    </row>
    <row r="800" spans="12:18" x14ac:dyDescent="0.2">
      <c r="L800" t="str">
        <f t="shared" si="148"/>
        <v/>
      </c>
      <c r="M800" s="38" t="str">
        <f t="shared" si="146"/>
        <v/>
      </c>
      <c r="N800" s="38" t="str">
        <f t="shared" si="149"/>
        <v/>
      </c>
      <c r="O800" s="38" t="str">
        <f t="shared" si="150"/>
        <v/>
      </c>
      <c r="P800" s="38" t="str">
        <f>IF(L800="","", M800-#REF!)</f>
        <v/>
      </c>
      <c r="Q800" s="38" t="str">
        <f t="shared" si="147"/>
        <v/>
      </c>
      <c r="R800" s="38"/>
    </row>
    <row r="801" spans="12:18" x14ac:dyDescent="0.2">
      <c r="L801" t="str">
        <f t="shared" si="148"/>
        <v/>
      </c>
      <c r="M801" s="38" t="str">
        <f t="shared" ref="M801:M864" si="151">IF(L801="","",P800)</f>
        <v/>
      </c>
      <c r="N801" s="38" t="str">
        <f t="shared" si="149"/>
        <v/>
      </c>
      <c r="O801" s="38" t="str">
        <f t="shared" si="150"/>
        <v/>
      </c>
      <c r="P801" s="38" t="str">
        <f>IF(L801="","", M801-#REF!)</f>
        <v/>
      </c>
      <c r="Q801" s="38" t="str">
        <f t="shared" ref="Q801:Q864" si="152">IF(L801="","", (Q800+N801))</f>
        <v/>
      </c>
      <c r="R801" s="38"/>
    </row>
    <row r="802" spans="12:18" x14ac:dyDescent="0.2">
      <c r="L802" t="str">
        <f t="shared" ref="L802:L865" si="153">IF(L801&lt;($B$8*$B$9),L801+1,"")</f>
        <v/>
      </c>
      <c r="M802" s="38" t="str">
        <f t="shared" si="151"/>
        <v/>
      </c>
      <c r="N802" s="38" t="str">
        <f t="shared" ref="N802:N865" si="154">IF(L802="","",(M802 *$B$6))</f>
        <v/>
      </c>
      <c r="O802" s="38" t="str">
        <f t="shared" ref="O802:O865" si="155">IF(L802="","",O801*(1+$B$7))</f>
        <v/>
      </c>
      <c r="P802" s="38" t="str">
        <f>IF(L802="","", M802-#REF!)</f>
        <v/>
      </c>
      <c r="Q802" s="38" t="str">
        <f t="shared" si="152"/>
        <v/>
      </c>
      <c r="R802" s="38"/>
    </row>
    <row r="803" spans="12:18" x14ac:dyDescent="0.2">
      <c r="L803" t="str">
        <f t="shared" si="153"/>
        <v/>
      </c>
      <c r="M803" s="38" t="str">
        <f t="shared" si="151"/>
        <v/>
      </c>
      <c r="N803" s="38" t="str">
        <f t="shared" si="154"/>
        <v/>
      </c>
      <c r="O803" s="38" t="str">
        <f t="shared" si="155"/>
        <v/>
      </c>
      <c r="P803" s="38" t="str">
        <f>IF(L803="","", M803-#REF!)</f>
        <v/>
      </c>
      <c r="Q803" s="38" t="str">
        <f t="shared" si="152"/>
        <v/>
      </c>
      <c r="R803" s="38"/>
    </row>
    <row r="804" spans="12:18" x14ac:dyDescent="0.2">
      <c r="L804" t="str">
        <f t="shared" si="153"/>
        <v/>
      </c>
      <c r="M804" s="38" t="str">
        <f t="shared" si="151"/>
        <v/>
      </c>
      <c r="N804" s="38" t="str">
        <f t="shared" si="154"/>
        <v/>
      </c>
      <c r="O804" s="38" t="str">
        <f t="shared" si="155"/>
        <v/>
      </c>
      <c r="P804" s="38" t="str">
        <f>IF(L804="","", M804-#REF!)</f>
        <v/>
      </c>
      <c r="Q804" s="38" t="str">
        <f t="shared" si="152"/>
        <v/>
      </c>
      <c r="R804" s="38"/>
    </row>
    <row r="805" spans="12:18" x14ac:dyDescent="0.2">
      <c r="L805" t="str">
        <f t="shared" si="153"/>
        <v/>
      </c>
      <c r="M805" s="38" t="str">
        <f t="shared" si="151"/>
        <v/>
      </c>
      <c r="N805" s="38" t="str">
        <f t="shared" si="154"/>
        <v/>
      </c>
      <c r="O805" s="38" t="str">
        <f t="shared" si="155"/>
        <v/>
      </c>
      <c r="P805" s="38" t="str">
        <f>IF(L805="","", M805-#REF!)</f>
        <v/>
      </c>
      <c r="Q805" s="38" t="str">
        <f t="shared" si="152"/>
        <v/>
      </c>
      <c r="R805" s="38"/>
    </row>
    <row r="806" spans="12:18" x14ac:dyDescent="0.2">
      <c r="L806" t="str">
        <f t="shared" si="153"/>
        <v/>
      </c>
      <c r="M806" s="38" t="str">
        <f t="shared" si="151"/>
        <v/>
      </c>
      <c r="N806" s="38" t="str">
        <f t="shared" si="154"/>
        <v/>
      </c>
      <c r="O806" s="38" t="str">
        <f t="shared" si="155"/>
        <v/>
      </c>
      <c r="P806" s="38" t="str">
        <f>IF(L806="","", M806-#REF!)</f>
        <v/>
      </c>
      <c r="Q806" s="38" t="str">
        <f t="shared" si="152"/>
        <v/>
      </c>
      <c r="R806" s="38"/>
    </row>
    <row r="807" spans="12:18" x14ac:dyDescent="0.2">
      <c r="L807" t="str">
        <f t="shared" si="153"/>
        <v/>
      </c>
      <c r="M807" s="38" t="str">
        <f t="shared" si="151"/>
        <v/>
      </c>
      <c r="N807" s="38" t="str">
        <f t="shared" si="154"/>
        <v/>
      </c>
      <c r="O807" s="38" t="str">
        <f t="shared" si="155"/>
        <v/>
      </c>
      <c r="P807" s="38" t="str">
        <f>IF(L807="","", M807-#REF!)</f>
        <v/>
      </c>
      <c r="Q807" s="38" t="str">
        <f t="shared" si="152"/>
        <v/>
      </c>
      <c r="R807" s="38"/>
    </row>
    <row r="808" spans="12:18" x14ac:dyDescent="0.2">
      <c r="L808" t="str">
        <f t="shared" si="153"/>
        <v/>
      </c>
      <c r="M808" s="38" t="str">
        <f t="shared" si="151"/>
        <v/>
      </c>
      <c r="N808" s="38" t="str">
        <f t="shared" si="154"/>
        <v/>
      </c>
      <c r="O808" s="38" t="str">
        <f t="shared" si="155"/>
        <v/>
      </c>
      <c r="P808" s="38" t="str">
        <f>IF(L808="","", M808-#REF!)</f>
        <v/>
      </c>
      <c r="Q808" s="38" t="str">
        <f t="shared" si="152"/>
        <v/>
      </c>
      <c r="R808" s="38"/>
    </row>
    <row r="809" spans="12:18" x14ac:dyDescent="0.2">
      <c r="L809" t="str">
        <f t="shared" si="153"/>
        <v/>
      </c>
      <c r="M809" s="38" t="str">
        <f t="shared" si="151"/>
        <v/>
      </c>
      <c r="N809" s="38" t="str">
        <f t="shared" si="154"/>
        <v/>
      </c>
      <c r="O809" s="38" t="str">
        <f t="shared" si="155"/>
        <v/>
      </c>
      <c r="P809" s="38" t="str">
        <f>IF(L809="","", M809-#REF!)</f>
        <v/>
      </c>
      <c r="Q809" s="38" t="str">
        <f t="shared" si="152"/>
        <v/>
      </c>
      <c r="R809" s="38"/>
    </row>
    <row r="810" spans="12:18" x14ac:dyDescent="0.2">
      <c r="L810" t="str">
        <f t="shared" si="153"/>
        <v/>
      </c>
      <c r="M810" s="38" t="str">
        <f t="shared" si="151"/>
        <v/>
      </c>
      <c r="N810" s="38" t="str">
        <f t="shared" si="154"/>
        <v/>
      </c>
      <c r="O810" s="38" t="str">
        <f t="shared" si="155"/>
        <v/>
      </c>
      <c r="P810" s="38" t="str">
        <f>IF(L810="","", M810-#REF!)</f>
        <v/>
      </c>
      <c r="Q810" s="38" t="str">
        <f t="shared" si="152"/>
        <v/>
      </c>
      <c r="R810" s="38"/>
    </row>
    <row r="811" spans="12:18" x14ac:dyDescent="0.2">
      <c r="L811" t="str">
        <f t="shared" si="153"/>
        <v/>
      </c>
      <c r="M811" s="38" t="str">
        <f t="shared" si="151"/>
        <v/>
      </c>
      <c r="N811" s="38" t="str">
        <f t="shared" si="154"/>
        <v/>
      </c>
      <c r="O811" s="38" t="str">
        <f t="shared" si="155"/>
        <v/>
      </c>
      <c r="P811" s="38" t="str">
        <f>IF(L811="","", M811-#REF!)</f>
        <v/>
      </c>
      <c r="Q811" s="38" t="str">
        <f t="shared" si="152"/>
        <v/>
      </c>
      <c r="R811" s="38"/>
    </row>
    <row r="812" spans="12:18" x14ac:dyDescent="0.2">
      <c r="L812" t="str">
        <f t="shared" si="153"/>
        <v/>
      </c>
      <c r="M812" s="38" t="str">
        <f t="shared" si="151"/>
        <v/>
      </c>
      <c r="N812" s="38" t="str">
        <f t="shared" si="154"/>
        <v/>
      </c>
      <c r="O812" s="38" t="str">
        <f t="shared" si="155"/>
        <v/>
      </c>
      <c r="P812" s="38" t="str">
        <f>IF(L812="","", M812-#REF!)</f>
        <v/>
      </c>
      <c r="Q812" s="38" t="str">
        <f t="shared" si="152"/>
        <v/>
      </c>
      <c r="R812" s="38"/>
    </row>
    <row r="813" spans="12:18" x14ac:dyDescent="0.2">
      <c r="L813" t="str">
        <f t="shared" si="153"/>
        <v/>
      </c>
      <c r="M813" s="38" t="str">
        <f t="shared" si="151"/>
        <v/>
      </c>
      <c r="N813" s="38" t="str">
        <f t="shared" si="154"/>
        <v/>
      </c>
      <c r="O813" s="38" t="str">
        <f t="shared" si="155"/>
        <v/>
      </c>
      <c r="P813" s="38" t="str">
        <f>IF(L813="","", M813-#REF!)</f>
        <v/>
      </c>
      <c r="Q813" s="38" t="str">
        <f t="shared" si="152"/>
        <v/>
      </c>
      <c r="R813" s="38"/>
    </row>
    <row r="814" spans="12:18" x14ac:dyDescent="0.2">
      <c r="L814" t="str">
        <f t="shared" si="153"/>
        <v/>
      </c>
      <c r="M814" s="38" t="str">
        <f t="shared" si="151"/>
        <v/>
      </c>
      <c r="N814" s="38" t="str">
        <f t="shared" si="154"/>
        <v/>
      </c>
      <c r="O814" s="38" t="str">
        <f t="shared" si="155"/>
        <v/>
      </c>
      <c r="P814" s="38" t="str">
        <f>IF(L814="","", M814-#REF!)</f>
        <v/>
      </c>
      <c r="Q814" s="38" t="str">
        <f t="shared" si="152"/>
        <v/>
      </c>
      <c r="R814" s="38"/>
    </row>
    <row r="815" spans="12:18" x14ac:dyDescent="0.2">
      <c r="L815" t="str">
        <f t="shared" si="153"/>
        <v/>
      </c>
      <c r="M815" s="38" t="str">
        <f t="shared" si="151"/>
        <v/>
      </c>
      <c r="N815" s="38" t="str">
        <f t="shared" si="154"/>
        <v/>
      </c>
      <c r="O815" s="38" t="str">
        <f t="shared" si="155"/>
        <v/>
      </c>
      <c r="P815" s="38" t="str">
        <f>IF(L815="","", M815-#REF!)</f>
        <v/>
      </c>
      <c r="Q815" s="38" t="str">
        <f t="shared" si="152"/>
        <v/>
      </c>
      <c r="R815" s="38"/>
    </row>
    <row r="816" spans="12:18" x14ac:dyDescent="0.2">
      <c r="L816" t="str">
        <f t="shared" si="153"/>
        <v/>
      </c>
      <c r="M816" s="38" t="str">
        <f t="shared" si="151"/>
        <v/>
      </c>
      <c r="N816" s="38" t="str">
        <f t="shared" si="154"/>
        <v/>
      </c>
      <c r="O816" s="38" t="str">
        <f t="shared" si="155"/>
        <v/>
      </c>
      <c r="P816" s="38" t="str">
        <f>IF(L816="","", M816-#REF!)</f>
        <v/>
      </c>
      <c r="Q816" s="38" t="str">
        <f t="shared" si="152"/>
        <v/>
      </c>
      <c r="R816" s="38"/>
    </row>
    <row r="817" spans="12:18" x14ac:dyDescent="0.2">
      <c r="L817" t="str">
        <f t="shared" si="153"/>
        <v/>
      </c>
      <c r="M817" s="38" t="str">
        <f t="shared" si="151"/>
        <v/>
      </c>
      <c r="N817" s="38" t="str">
        <f t="shared" si="154"/>
        <v/>
      </c>
      <c r="O817" s="38" t="str">
        <f t="shared" si="155"/>
        <v/>
      </c>
      <c r="P817" s="38" t="str">
        <f>IF(L817="","", M817-#REF!)</f>
        <v/>
      </c>
      <c r="Q817" s="38" t="str">
        <f t="shared" si="152"/>
        <v/>
      </c>
      <c r="R817" s="38"/>
    </row>
    <row r="818" spans="12:18" x14ac:dyDescent="0.2">
      <c r="L818" t="str">
        <f t="shared" si="153"/>
        <v/>
      </c>
      <c r="M818" s="38" t="str">
        <f t="shared" si="151"/>
        <v/>
      </c>
      <c r="N818" s="38" t="str">
        <f t="shared" si="154"/>
        <v/>
      </c>
      <c r="O818" s="38" t="str">
        <f t="shared" si="155"/>
        <v/>
      </c>
      <c r="P818" s="38" t="str">
        <f>IF(L818="","", M818-#REF!)</f>
        <v/>
      </c>
      <c r="Q818" s="38" t="str">
        <f t="shared" si="152"/>
        <v/>
      </c>
      <c r="R818" s="38"/>
    </row>
    <row r="819" spans="12:18" x14ac:dyDescent="0.2">
      <c r="L819" t="str">
        <f t="shared" si="153"/>
        <v/>
      </c>
      <c r="M819" s="38" t="str">
        <f t="shared" si="151"/>
        <v/>
      </c>
      <c r="N819" s="38" t="str">
        <f t="shared" si="154"/>
        <v/>
      </c>
      <c r="O819" s="38" t="str">
        <f t="shared" si="155"/>
        <v/>
      </c>
      <c r="P819" s="38" t="str">
        <f>IF(L819="","", M819-#REF!)</f>
        <v/>
      </c>
      <c r="Q819" s="38" t="str">
        <f t="shared" si="152"/>
        <v/>
      </c>
      <c r="R819" s="38"/>
    </row>
    <row r="820" spans="12:18" x14ac:dyDescent="0.2">
      <c r="L820" t="str">
        <f t="shared" si="153"/>
        <v/>
      </c>
      <c r="M820" s="38" t="str">
        <f t="shared" si="151"/>
        <v/>
      </c>
      <c r="N820" s="38" t="str">
        <f t="shared" si="154"/>
        <v/>
      </c>
      <c r="O820" s="38" t="str">
        <f t="shared" si="155"/>
        <v/>
      </c>
      <c r="P820" s="38" t="str">
        <f>IF(L820="","", M820-#REF!)</f>
        <v/>
      </c>
      <c r="Q820" s="38" t="str">
        <f t="shared" si="152"/>
        <v/>
      </c>
      <c r="R820" s="38"/>
    </row>
    <row r="821" spans="12:18" x14ac:dyDescent="0.2">
      <c r="L821" t="str">
        <f t="shared" si="153"/>
        <v/>
      </c>
      <c r="M821" s="38" t="str">
        <f t="shared" si="151"/>
        <v/>
      </c>
      <c r="N821" s="38" t="str">
        <f t="shared" si="154"/>
        <v/>
      </c>
      <c r="O821" s="38" t="str">
        <f t="shared" si="155"/>
        <v/>
      </c>
      <c r="P821" s="38" t="str">
        <f>IF(L821="","", M821-#REF!)</f>
        <v/>
      </c>
      <c r="Q821" s="38" t="str">
        <f t="shared" si="152"/>
        <v/>
      </c>
      <c r="R821" s="38"/>
    </row>
    <row r="822" spans="12:18" x14ac:dyDescent="0.2">
      <c r="L822" t="str">
        <f t="shared" si="153"/>
        <v/>
      </c>
      <c r="M822" s="38" t="str">
        <f t="shared" si="151"/>
        <v/>
      </c>
      <c r="N822" s="38" t="str">
        <f t="shared" si="154"/>
        <v/>
      </c>
      <c r="O822" s="38" t="str">
        <f t="shared" si="155"/>
        <v/>
      </c>
      <c r="P822" s="38" t="str">
        <f>IF(L822="","", M822-#REF!)</f>
        <v/>
      </c>
      <c r="Q822" s="38" t="str">
        <f t="shared" si="152"/>
        <v/>
      </c>
      <c r="R822" s="38"/>
    </row>
    <row r="823" spans="12:18" x14ac:dyDescent="0.2">
      <c r="L823" t="str">
        <f t="shared" si="153"/>
        <v/>
      </c>
      <c r="M823" s="38" t="str">
        <f t="shared" si="151"/>
        <v/>
      </c>
      <c r="N823" s="38" t="str">
        <f t="shared" si="154"/>
        <v/>
      </c>
      <c r="O823" s="38" t="str">
        <f t="shared" si="155"/>
        <v/>
      </c>
      <c r="P823" s="38" t="str">
        <f>IF(L823="","", M823-#REF!)</f>
        <v/>
      </c>
      <c r="Q823" s="38" t="str">
        <f t="shared" si="152"/>
        <v/>
      </c>
      <c r="R823" s="38"/>
    </row>
    <row r="824" spans="12:18" x14ac:dyDescent="0.2">
      <c r="L824" t="str">
        <f t="shared" si="153"/>
        <v/>
      </c>
      <c r="M824" s="38" t="str">
        <f t="shared" si="151"/>
        <v/>
      </c>
      <c r="N824" s="38" t="str">
        <f t="shared" si="154"/>
        <v/>
      </c>
      <c r="O824" s="38" t="str">
        <f t="shared" si="155"/>
        <v/>
      </c>
      <c r="P824" s="38" t="str">
        <f>IF(L824="","", M824-#REF!)</f>
        <v/>
      </c>
      <c r="Q824" s="38" t="str">
        <f t="shared" si="152"/>
        <v/>
      </c>
      <c r="R824" s="38"/>
    </row>
    <row r="825" spans="12:18" x14ac:dyDescent="0.2">
      <c r="L825" t="str">
        <f t="shared" si="153"/>
        <v/>
      </c>
      <c r="M825" s="38" t="str">
        <f t="shared" si="151"/>
        <v/>
      </c>
      <c r="N825" s="38" t="str">
        <f t="shared" si="154"/>
        <v/>
      </c>
      <c r="O825" s="38" t="str">
        <f t="shared" si="155"/>
        <v/>
      </c>
      <c r="P825" s="38" t="str">
        <f>IF(L825="","", M825-#REF!)</f>
        <v/>
      </c>
      <c r="Q825" s="38" t="str">
        <f t="shared" si="152"/>
        <v/>
      </c>
      <c r="R825" s="38"/>
    </row>
    <row r="826" spans="12:18" x14ac:dyDescent="0.2">
      <c r="L826" t="str">
        <f t="shared" si="153"/>
        <v/>
      </c>
      <c r="M826" s="38" t="str">
        <f t="shared" si="151"/>
        <v/>
      </c>
      <c r="N826" s="38" t="str">
        <f t="shared" si="154"/>
        <v/>
      </c>
      <c r="O826" s="38" t="str">
        <f t="shared" si="155"/>
        <v/>
      </c>
      <c r="P826" s="38" t="str">
        <f>IF(L826="","", M826-#REF!)</f>
        <v/>
      </c>
      <c r="Q826" s="38" t="str">
        <f t="shared" si="152"/>
        <v/>
      </c>
      <c r="R826" s="38"/>
    </row>
    <row r="827" spans="12:18" x14ac:dyDescent="0.2">
      <c r="L827" t="str">
        <f t="shared" si="153"/>
        <v/>
      </c>
      <c r="M827" s="38" t="str">
        <f t="shared" si="151"/>
        <v/>
      </c>
      <c r="N827" s="38" t="str">
        <f t="shared" si="154"/>
        <v/>
      </c>
      <c r="O827" s="38" t="str">
        <f t="shared" si="155"/>
        <v/>
      </c>
      <c r="P827" s="38" t="str">
        <f>IF(L827="","", M827-#REF!)</f>
        <v/>
      </c>
      <c r="Q827" s="38" t="str">
        <f t="shared" si="152"/>
        <v/>
      </c>
      <c r="R827" s="38"/>
    </row>
    <row r="828" spans="12:18" x14ac:dyDescent="0.2">
      <c r="L828" t="str">
        <f t="shared" si="153"/>
        <v/>
      </c>
      <c r="M828" s="38" t="str">
        <f t="shared" si="151"/>
        <v/>
      </c>
      <c r="N828" s="38" t="str">
        <f t="shared" si="154"/>
        <v/>
      </c>
      <c r="O828" s="38" t="str">
        <f t="shared" si="155"/>
        <v/>
      </c>
      <c r="P828" s="38" t="str">
        <f>IF(L828="","", M828-#REF!)</f>
        <v/>
      </c>
      <c r="Q828" s="38" t="str">
        <f t="shared" si="152"/>
        <v/>
      </c>
      <c r="R828" s="38"/>
    </row>
    <row r="829" spans="12:18" x14ac:dyDescent="0.2">
      <c r="L829" t="str">
        <f t="shared" si="153"/>
        <v/>
      </c>
      <c r="M829" s="38" t="str">
        <f t="shared" si="151"/>
        <v/>
      </c>
      <c r="N829" s="38" t="str">
        <f t="shared" si="154"/>
        <v/>
      </c>
      <c r="O829" s="38" t="str">
        <f t="shared" si="155"/>
        <v/>
      </c>
      <c r="P829" s="38" t="str">
        <f>IF(L829="","", M829-#REF!)</f>
        <v/>
      </c>
      <c r="Q829" s="38" t="str">
        <f t="shared" si="152"/>
        <v/>
      </c>
      <c r="R829" s="38"/>
    </row>
    <row r="830" spans="12:18" x14ac:dyDescent="0.2">
      <c r="L830" t="str">
        <f t="shared" si="153"/>
        <v/>
      </c>
      <c r="M830" s="38" t="str">
        <f t="shared" si="151"/>
        <v/>
      </c>
      <c r="N830" s="38" t="str">
        <f t="shared" si="154"/>
        <v/>
      </c>
      <c r="O830" s="38" t="str">
        <f t="shared" si="155"/>
        <v/>
      </c>
      <c r="P830" s="38" t="str">
        <f>IF(L830="","", M830-#REF!)</f>
        <v/>
      </c>
      <c r="Q830" s="38" t="str">
        <f t="shared" si="152"/>
        <v/>
      </c>
      <c r="R830" s="38"/>
    </row>
    <row r="831" spans="12:18" x14ac:dyDescent="0.2">
      <c r="L831" t="str">
        <f t="shared" si="153"/>
        <v/>
      </c>
      <c r="M831" s="38" t="str">
        <f t="shared" si="151"/>
        <v/>
      </c>
      <c r="N831" s="38" t="str">
        <f t="shared" si="154"/>
        <v/>
      </c>
      <c r="O831" s="38" t="str">
        <f t="shared" si="155"/>
        <v/>
      </c>
      <c r="P831" s="38" t="str">
        <f>IF(L831="","", M831-#REF!)</f>
        <v/>
      </c>
      <c r="Q831" s="38" t="str">
        <f t="shared" si="152"/>
        <v/>
      </c>
      <c r="R831" s="38"/>
    </row>
    <row r="832" spans="12:18" x14ac:dyDescent="0.2">
      <c r="L832" t="str">
        <f t="shared" si="153"/>
        <v/>
      </c>
      <c r="M832" s="38" t="str">
        <f t="shared" si="151"/>
        <v/>
      </c>
      <c r="N832" s="38" t="str">
        <f t="shared" si="154"/>
        <v/>
      </c>
      <c r="O832" s="38" t="str">
        <f t="shared" si="155"/>
        <v/>
      </c>
      <c r="P832" s="38" t="str">
        <f>IF(L832="","", M832-#REF!)</f>
        <v/>
      </c>
      <c r="Q832" s="38" t="str">
        <f t="shared" si="152"/>
        <v/>
      </c>
      <c r="R832" s="38"/>
    </row>
    <row r="833" spans="12:18" x14ac:dyDescent="0.2">
      <c r="L833" t="str">
        <f t="shared" si="153"/>
        <v/>
      </c>
      <c r="M833" s="38" t="str">
        <f t="shared" si="151"/>
        <v/>
      </c>
      <c r="N833" s="38" t="str">
        <f t="shared" si="154"/>
        <v/>
      </c>
      <c r="O833" s="38" t="str">
        <f t="shared" si="155"/>
        <v/>
      </c>
      <c r="P833" s="38" t="str">
        <f>IF(L833="","", M833-#REF!)</f>
        <v/>
      </c>
      <c r="Q833" s="38" t="str">
        <f t="shared" si="152"/>
        <v/>
      </c>
      <c r="R833" s="38"/>
    </row>
    <row r="834" spans="12:18" x14ac:dyDescent="0.2">
      <c r="L834" t="str">
        <f t="shared" si="153"/>
        <v/>
      </c>
      <c r="M834" s="38" t="str">
        <f t="shared" si="151"/>
        <v/>
      </c>
      <c r="N834" s="38" t="str">
        <f t="shared" si="154"/>
        <v/>
      </c>
      <c r="O834" s="38" t="str">
        <f t="shared" si="155"/>
        <v/>
      </c>
      <c r="P834" s="38" t="str">
        <f>IF(L834="","", M834-#REF!)</f>
        <v/>
      </c>
      <c r="Q834" s="38" t="str">
        <f t="shared" si="152"/>
        <v/>
      </c>
      <c r="R834" s="38"/>
    </row>
    <row r="835" spans="12:18" x14ac:dyDescent="0.2">
      <c r="L835" t="str">
        <f t="shared" si="153"/>
        <v/>
      </c>
      <c r="M835" s="38" t="str">
        <f t="shared" si="151"/>
        <v/>
      </c>
      <c r="N835" s="38" t="str">
        <f t="shared" si="154"/>
        <v/>
      </c>
      <c r="O835" s="38" t="str">
        <f t="shared" si="155"/>
        <v/>
      </c>
      <c r="P835" s="38" t="str">
        <f>IF(L835="","", M835-#REF!)</f>
        <v/>
      </c>
      <c r="Q835" s="38" t="str">
        <f t="shared" si="152"/>
        <v/>
      </c>
      <c r="R835" s="38"/>
    </row>
    <row r="836" spans="12:18" x14ac:dyDescent="0.2">
      <c r="L836" t="str">
        <f t="shared" si="153"/>
        <v/>
      </c>
      <c r="M836" s="38" t="str">
        <f t="shared" si="151"/>
        <v/>
      </c>
      <c r="N836" s="38" t="str">
        <f t="shared" si="154"/>
        <v/>
      </c>
      <c r="O836" s="38" t="str">
        <f t="shared" si="155"/>
        <v/>
      </c>
      <c r="P836" s="38" t="str">
        <f>IF(L836="","", M836-#REF!)</f>
        <v/>
      </c>
      <c r="Q836" s="38" t="str">
        <f t="shared" si="152"/>
        <v/>
      </c>
      <c r="R836" s="38"/>
    </row>
    <row r="837" spans="12:18" x14ac:dyDescent="0.2">
      <c r="L837" t="str">
        <f t="shared" si="153"/>
        <v/>
      </c>
      <c r="M837" s="38" t="str">
        <f t="shared" si="151"/>
        <v/>
      </c>
      <c r="N837" s="38" t="str">
        <f t="shared" si="154"/>
        <v/>
      </c>
      <c r="O837" s="38" t="str">
        <f t="shared" si="155"/>
        <v/>
      </c>
      <c r="P837" s="38" t="str">
        <f>IF(L837="","", M837-#REF!)</f>
        <v/>
      </c>
      <c r="Q837" s="38" t="str">
        <f t="shared" si="152"/>
        <v/>
      </c>
      <c r="R837" s="38"/>
    </row>
    <row r="838" spans="12:18" x14ac:dyDescent="0.2">
      <c r="L838" t="str">
        <f t="shared" si="153"/>
        <v/>
      </c>
      <c r="M838" s="38" t="str">
        <f t="shared" si="151"/>
        <v/>
      </c>
      <c r="N838" s="38" t="str">
        <f t="shared" si="154"/>
        <v/>
      </c>
      <c r="O838" s="38" t="str">
        <f t="shared" si="155"/>
        <v/>
      </c>
      <c r="P838" s="38" t="str">
        <f>IF(L838="","", M838-#REF!)</f>
        <v/>
      </c>
      <c r="Q838" s="38" t="str">
        <f t="shared" si="152"/>
        <v/>
      </c>
      <c r="R838" s="38"/>
    </row>
    <row r="839" spans="12:18" x14ac:dyDescent="0.2">
      <c r="L839" t="str">
        <f t="shared" si="153"/>
        <v/>
      </c>
      <c r="M839" s="38" t="str">
        <f t="shared" si="151"/>
        <v/>
      </c>
      <c r="N839" s="38" t="str">
        <f t="shared" si="154"/>
        <v/>
      </c>
      <c r="O839" s="38" t="str">
        <f t="shared" si="155"/>
        <v/>
      </c>
      <c r="P839" s="38" t="str">
        <f>IF(L839="","", M839-#REF!)</f>
        <v/>
      </c>
      <c r="Q839" s="38" t="str">
        <f t="shared" si="152"/>
        <v/>
      </c>
      <c r="R839" s="38"/>
    </row>
    <row r="840" spans="12:18" x14ac:dyDescent="0.2">
      <c r="L840" t="str">
        <f t="shared" si="153"/>
        <v/>
      </c>
      <c r="M840" s="38" t="str">
        <f t="shared" si="151"/>
        <v/>
      </c>
      <c r="N840" s="38" t="str">
        <f t="shared" si="154"/>
        <v/>
      </c>
      <c r="O840" s="38" t="str">
        <f t="shared" si="155"/>
        <v/>
      </c>
      <c r="P840" s="38" t="str">
        <f>IF(L840="","", M840-#REF!)</f>
        <v/>
      </c>
      <c r="Q840" s="38" t="str">
        <f t="shared" si="152"/>
        <v/>
      </c>
      <c r="R840" s="38"/>
    </row>
    <row r="841" spans="12:18" x14ac:dyDescent="0.2">
      <c r="L841" t="str">
        <f t="shared" si="153"/>
        <v/>
      </c>
      <c r="M841" s="38" t="str">
        <f t="shared" si="151"/>
        <v/>
      </c>
      <c r="N841" s="38" t="str">
        <f t="shared" si="154"/>
        <v/>
      </c>
      <c r="O841" s="38" t="str">
        <f t="shared" si="155"/>
        <v/>
      </c>
      <c r="P841" s="38" t="str">
        <f>IF(L841="","", M841-#REF!)</f>
        <v/>
      </c>
      <c r="Q841" s="38" t="str">
        <f t="shared" si="152"/>
        <v/>
      </c>
      <c r="R841" s="38"/>
    </row>
    <row r="842" spans="12:18" x14ac:dyDescent="0.2">
      <c r="L842" t="str">
        <f t="shared" si="153"/>
        <v/>
      </c>
      <c r="M842" s="38" t="str">
        <f t="shared" si="151"/>
        <v/>
      </c>
      <c r="N842" s="38" t="str">
        <f t="shared" si="154"/>
        <v/>
      </c>
      <c r="O842" s="38" t="str">
        <f t="shared" si="155"/>
        <v/>
      </c>
      <c r="P842" s="38" t="str">
        <f>IF(L842="","", M842-#REF!)</f>
        <v/>
      </c>
      <c r="Q842" s="38" t="str">
        <f t="shared" si="152"/>
        <v/>
      </c>
      <c r="R842" s="38"/>
    </row>
    <row r="843" spans="12:18" x14ac:dyDescent="0.2">
      <c r="L843" t="str">
        <f t="shared" si="153"/>
        <v/>
      </c>
      <c r="M843" s="38" t="str">
        <f t="shared" si="151"/>
        <v/>
      </c>
      <c r="N843" s="38" t="str">
        <f t="shared" si="154"/>
        <v/>
      </c>
      <c r="O843" s="38" t="str">
        <f t="shared" si="155"/>
        <v/>
      </c>
      <c r="P843" s="38" t="str">
        <f>IF(L843="","", M843-#REF!)</f>
        <v/>
      </c>
      <c r="Q843" s="38" t="str">
        <f t="shared" si="152"/>
        <v/>
      </c>
      <c r="R843" s="38"/>
    </row>
    <row r="844" spans="12:18" x14ac:dyDescent="0.2">
      <c r="L844" t="str">
        <f t="shared" si="153"/>
        <v/>
      </c>
      <c r="M844" s="38" t="str">
        <f t="shared" si="151"/>
        <v/>
      </c>
      <c r="N844" s="38" t="str">
        <f t="shared" si="154"/>
        <v/>
      </c>
      <c r="O844" s="38" t="str">
        <f t="shared" si="155"/>
        <v/>
      </c>
      <c r="P844" s="38" t="str">
        <f>IF(L844="","", M844-#REF!)</f>
        <v/>
      </c>
      <c r="Q844" s="38" t="str">
        <f t="shared" si="152"/>
        <v/>
      </c>
      <c r="R844" s="38"/>
    </row>
    <row r="845" spans="12:18" x14ac:dyDescent="0.2">
      <c r="L845" t="str">
        <f t="shared" si="153"/>
        <v/>
      </c>
      <c r="M845" s="38" t="str">
        <f t="shared" si="151"/>
        <v/>
      </c>
      <c r="N845" s="38" t="str">
        <f t="shared" si="154"/>
        <v/>
      </c>
      <c r="O845" s="38" t="str">
        <f t="shared" si="155"/>
        <v/>
      </c>
      <c r="P845" s="38" t="str">
        <f>IF(L845="","", M845-#REF!)</f>
        <v/>
      </c>
      <c r="Q845" s="38" t="str">
        <f t="shared" si="152"/>
        <v/>
      </c>
      <c r="R845" s="38"/>
    </row>
    <row r="846" spans="12:18" x14ac:dyDescent="0.2">
      <c r="L846" t="str">
        <f t="shared" si="153"/>
        <v/>
      </c>
      <c r="M846" s="38" t="str">
        <f t="shared" si="151"/>
        <v/>
      </c>
      <c r="N846" s="38" t="str">
        <f t="shared" si="154"/>
        <v/>
      </c>
      <c r="O846" s="38" t="str">
        <f t="shared" si="155"/>
        <v/>
      </c>
      <c r="P846" s="38" t="str">
        <f>IF(L846="","", M846-#REF!)</f>
        <v/>
      </c>
      <c r="Q846" s="38" t="str">
        <f t="shared" si="152"/>
        <v/>
      </c>
      <c r="R846" s="38"/>
    </row>
    <row r="847" spans="12:18" x14ac:dyDescent="0.2">
      <c r="L847" t="str">
        <f t="shared" si="153"/>
        <v/>
      </c>
      <c r="M847" s="38" t="str">
        <f t="shared" si="151"/>
        <v/>
      </c>
      <c r="N847" s="38" t="str">
        <f t="shared" si="154"/>
        <v/>
      </c>
      <c r="O847" s="38" t="str">
        <f t="shared" si="155"/>
        <v/>
      </c>
      <c r="P847" s="38" t="str">
        <f>IF(L847="","", M847-#REF!)</f>
        <v/>
      </c>
      <c r="Q847" s="38" t="str">
        <f t="shared" si="152"/>
        <v/>
      </c>
      <c r="R847" s="38"/>
    </row>
    <row r="848" spans="12:18" x14ac:dyDescent="0.2">
      <c r="L848" t="str">
        <f t="shared" si="153"/>
        <v/>
      </c>
      <c r="M848" s="38" t="str">
        <f t="shared" si="151"/>
        <v/>
      </c>
      <c r="N848" s="38" t="str">
        <f t="shared" si="154"/>
        <v/>
      </c>
      <c r="O848" s="38" t="str">
        <f t="shared" si="155"/>
        <v/>
      </c>
      <c r="P848" s="38" t="str">
        <f>IF(L848="","", M848-#REF!)</f>
        <v/>
      </c>
      <c r="Q848" s="38" t="str">
        <f t="shared" si="152"/>
        <v/>
      </c>
      <c r="R848" s="38"/>
    </row>
    <row r="849" spans="12:18" x14ac:dyDescent="0.2">
      <c r="L849" t="str">
        <f t="shared" si="153"/>
        <v/>
      </c>
      <c r="M849" s="38" t="str">
        <f t="shared" si="151"/>
        <v/>
      </c>
      <c r="N849" s="38" t="str">
        <f t="shared" si="154"/>
        <v/>
      </c>
      <c r="O849" s="38" t="str">
        <f t="shared" si="155"/>
        <v/>
      </c>
      <c r="P849" s="38" t="str">
        <f>IF(L849="","", M849-#REF!)</f>
        <v/>
      </c>
      <c r="Q849" s="38" t="str">
        <f t="shared" si="152"/>
        <v/>
      </c>
      <c r="R849" s="38"/>
    </row>
    <row r="850" spans="12:18" x14ac:dyDescent="0.2">
      <c r="L850" t="str">
        <f t="shared" si="153"/>
        <v/>
      </c>
      <c r="M850" s="38" t="str">
        <f t="shared" si="151"/>
        <v/>
      </c>
      <c r="N850" s="38" t="str">
        <f t="shared" si="154"/>
        <v/>
      </c>
      <c r="O850" s="38" t="str">
        <f t="shared" si="155"/>
        <v/>
      </c>
      <c r="P850" s="38" t="str">
        <f>IF(L850="","", M850-#REF!)</f>
        <v/>
      </c>
      <c r="Q850" s="38" t="str">
        <f t="shared" si="152"/>
        <v/>
      </c>
      <c r="R850" s="38"/>
    </row>
    <row r="851" spans="12:18" x14ac:dyDescent="0.2">
      <c r="L851" t="str">
        <f t="shared" si="153"/>
        <v/>
      </c>
      <c r="M851" s="38" t="str">
        <f t="shared" si="151"/>
        <v/>
      </c>
      <c r="N851" s="38" t="str">
        <f t="shared" si="154"/>
        <v/>
      </c>
      <c r="O851" s="38" t="str">
        <f t="shared" si="155"/>
        <v/>
      </c>
      <c r="P851" s="38" t="str">
        <f>IF(L851="","", M851-#REF!)</f>
        <v/>
      </c>
      <c r="Q851" s="38" t="str">
        <f t="shared" si="152"/>
        <v/>
      </c>
      <c r="R851" s="38"/>
    </row>
    <row r="852" spans="12:18" x14ac:dyDescent="0.2">
      <c r="L852" t="str">
        <f t="shared" si="153"/>
        <v/>
      </c>
      <c r="M852" s="38" t="str">
        <f t="shared" si="151"/>
        <v/>
      </c>
      <c r="N852" s="38" t="str">
        <f t="shared" si="154"/>
        <v/>
      </c>
      <c r="O852" s="38" t="str">
        <f t="shared" si="155"/>
        <v/>
      </c>
      <c r="P852" s="38" t="str">
        <f>IF(L852="","", M852-#REF!)</f>
        <v/>
      </c>
      <c r="Q852" s="38" t="str">
        <f t="shared" si="152"/>
        <v/>
      </c>
      <c r="R852" s="38"/>
    </row>
    <row r="853" spans="12:18" x14ac:dyDescent="0.2">
      <c r="L853" t="str">
        <f t="shared" si="153"/>
        <v/>
      </c>
      <c r="M853" s="38" t="str">
        <f t="shared" si="151"/>
        <v/>
      </c>
      <c r="N853" s="38" t="str">
        <f t="shared" si="154"/>
        <v/>
      </c>
      <c r="O853" s="38" t="str">
        <f t="shared" si="155"/>
        <v/>
      </c>
      <c r="P853" s="38" t="str">
        <f>IF(L853="","", M853-#REF!)</f>
        <v/>
      </c>
      <c r="Q853" s="38" t="str">
        <f t="shared" si="152"/>
        <v/>
      </c>
      <c r="R853" s="38"/>
    </row>
    <row r="854" spans="12:18" x14ac:dyDescent="0.2">
      <c r="L854" t="str">
        <f t="shared" si="153"/>
        <v/>
      </c>
      <c r="M854" s="38" t="str">
        <f t="shared" si="151"/>
        <v/>
      </c>
      <c r="N854" s="38" t="str">
        <f t="shared" si="154"/>
        <v/>
      </c>
      <c r="O854" s="38" t="str">
        <f t="shared" si="155"/>
        <v/>
      </c>
      <c r="P854" s="38" t="str">
        <f>IF(L854="","", M854-#REF!)</f>
        <v/>
      </c>
      <c r="Q854" s="38" t="str">
        <f t="shared" si="152"/>
        <v/>
      </c>
      <c r="R854" s="38"/>
    </row>
    <row r="855" spans="12:18" x14ac:dyDescent="0.2">
      <c r="L855" t="str">
        <f t="shared" si="153"/>
        <v/>
      </c>
      <c r="M855" s="38" t="str">
        <f t="shared" si="151"/>
        <v/>
      </c>
      <c r="N855" s="38" t="str">
        <f t="shared" si="154"/>
        <v/>
      </c>
      <c r="O855" s="38" t="str">
        <f t="shared" si="155"/>
        <v/>
      </c>
      <c r="P855" s="38" t="str">
        <f>IF(L855="","", M855-#REF!)</f>
        <v/>
      </c>
      <c r="Q855" s="38" t="str">
        <f t="shared" si="152"/>
        <v/>
      </c>
      <c r="R855" s="38"/>
    </row>
    <row r="856" spans="12:18" x14ac:dyDescent="0.2">
      <c r="L856" t="str">
        <f t="shared" si="153"/>
        <v/>
      </c>
      <c r="M856" s="38" t="str">
        <f t="shared" si="151"/>
        <v/>
      </c>
      <c r="N856" s="38" t="str">
        <f t="shared" si="154"/>
        <v/>
      </c>
      <c r="O856" s="38" t="str">
        <f t="shared" si="155"/>
        <v/>
      </c>
      <c r="P856" s="38" t="str">
        <f>IF(L856="","", M856-#REF!)</f>
        <v/>
      </c>
      <c r="Q856" s="38" t="str">
        <f t="shared" si="152"/>
        <v/>
      </c>
      <c r="R856" s="38"/>
    </row>
    <row r="857" spans="12:18" x14ac:dyDescent="0.2">
      <c r="L857" t="str">
        <f t="shared" si="153"/>
        <v/>
      </c>
      <c r="M857" s="38" t="str">
        <f t="shared" si="151"/>
        <v/>
      </c>
      <c r="N857" s="38" t="str">
        <f t="shared" si="154"/>
        <v/>
      </c>
      <c r="O857" s="38" t="str">
        <f t="shared" si="155"/>
        <v/>
      </c>
      <c r="P857" s="38" t="str">
        <f>IF(L857="","", M857-#REF!)</f>
        <v/>
      </c>
      <c r="Q857" s="38" t="str">
        <f t="shared" si="152"/>
        <v/>
      </c>
      <c r="R857" s="38"/>
    </row>
    <row r="858" spans="12:18" x14ac:dyDescent="0.2">
      <c r="L858" t="str">
        <f t="shared" si="153"/>
        <v/>
      </c>
      <c r="M858" s="38" t="str">
        <f t="shared" si="151"/>
        <v/>
      </c>
      <c r="N858" s="38" t="str">
        <f t="shared" si="154"/>
        <v/>
      </c>
      <c r="O858" s="38" t="str">
        <f t="shared" si="155"/>
        <v/>
      </c>
      <c r="P858" s="38" t="str">
        <f>IF(L858="","", M858-#REF!)</f>
        <v/>
      </c>
      <c r="Q858" s="38" t="str">
        <f t="shared" si="152"/>
        <v/>
      </c>
      <c r="R858" s="38"/>
    </row>
    <row r="859" spans="12:18" x14ac:dyDescent="0.2">
      <c r="L859" t="str">
        <f t="shared" si="153"/>
        <v/>
      </c>
      <c r="M859" s="38" t="str">
        <f t="shared" si="151"/>
        <v/>
      </c>
      <c r="N859" s="38" t="str">
        <f t="shared" si="154"/>
        <v/>
      </c>
      <c r="O859" s="38" t="str">
        <f t="shared" si="155"/>
        <v/>
      </c>
      <c r="P859" s="38" t="str">
        <f>IF(L859="","", M859-#REF!)</f>
        <v/>
      </c>
      <c r="Q859" s="38" t="str">
        <f t="shared" si="152"/>
        <v/>
      </c>
      <c r="R859" s="38"/>
    </row>
    <row r="860" spans="12:18" x14ac:dyDescent="0.2">
      <c r="L860" t="str">
        <f t="shared" si="153"/>
        <v/>
      </c>
      <c r="M860" s="38" t="str">
        <f t="shared" si="151"/>
        <v/>
      </c>
      <c r="N860" s="38" t="str">
        <f t="shared" si="154"/>
        <v/>
      </c>
      <c r="O860" s="38" t="str">
        <f t="shared" si="155"/>
        <v/>
      </c>
      <c r="P860" s="38" t="str">
        <f>IF(L860="","", M860-#REF!)</f>
        <v/>
      </c>
      <c r="Q860" s="38" t="str">
        <f t="shared" si="152"/>
        <v/>
      </c>
      <c r="R860" s="38"/>
    </row>
    <row r="861" spans="12:18" x14ac:dyDescent="0.2">
      <c r="L861" t="str">
        <f t="shared" si="153"/>
        <v/>
      </c>
      <c r="M861" s="38" t="str">
        <f t="shared" si="151"/>
        <v/>
      </c>
      <c r="N861" s="38" t="str">
        <f t="shared" si="154"/>
        <v/>
      </c>
      <c r="O861" s="38" t="str">
        <f t="shared" si="155"/>
        <v/>
      </c>
      <c r="P861" s="38" t="str">
        <f>IF(L861="","", M861-#REF!)</f>
        <v/>
      </c>
      <c r="Q861" s="38" t="str">
        <f t="shared" si="152"/>
        <v/>
      </c>
      <c r="R861" s="38"/>
    </row>
    <row r="862" spans="12:18" x14ac:dyDescent="0.2">
      <c r="L862" t="str">
        <f t="shared" si="153"/>
        <v/>
      </c>
      <c r="M862" s="38" t="str">
        <f t="shared" si="151"/>
        <v/>
      </c>
      <c r="N862" s="38" t="str">
        <f t="shared" si="154"/>
        <v/>
      </c>
      <c r="O862" s="38" t="str">
        <f t="shared" si="155"/>
        <v/>
      </c>
      <c r="P862" s="38" t="str">
        <f>IF(L862="","", M862-#REF!)</f>
        <v/>
      </c>
      <c r="Q862" s="38" t="str">
        <f t="shared" si="152"/>
        <v/>
      </c>
      <c r="R862" s="38"/>
    </row>
    <row r="863" spans="12:18" x14ac:dyDescent="0.2">
      <c r="L863" t="str">
        <f t="shared" si="153"/>
        <v/>
      </c>
      <c r="M863" s="38" t="str">
        <f t="shared" si="151"/>
        <v/>
      </c>
      <c r="N863" s="38" t="str">
        <f t="shared" si="154"/>
        <v/>
      </c>
      <c r="O863" s="38" t="str">
        <f t="shared" si="155"/>
        <v/>
      </c>
      <c r="P863" s="38" t="str">
        <f>IF(L863="","", M863-#REF!)</f>
        <v/>
      </c>
      <c r="Q863" s="38" t="str">
        <f t="shared" si="152"/>
        <v/>
      </c>
      <c r="R863" s="38"/>
    </row>
    <row r="864" spans="12:18" x14ac:dyDescent="0.2">
      <c r="L864" t="str">
        <f t="shared" si="153"/>
        <v/>
      </c>
      <c r="M864" s="38" t="str">
        <f t="shared" si="151"/>
        <v/>
      </c>
      <c r="N864" s="38" t="str">
        <f t="shared" si="154"/>
        <v/>
      </c>
      <c r="O864" s="38" t="str">
        <f t="shared" si="155"/>
        <v/>
      </c>
      <c r="P864" s="38" t="str">
        <f>IF(L864="","", M864-#REF!)</f>
        <v/>
      </c>
      <c r="Q864" s="38" t="str">
        <f t="shared" si="152"/>
        <v/>
      </c>
      <c r="R864" s="38"/>
    </row>
    <row r="865" spans="12:18" x14ac:dyDescent="0.2">
      <c r="L865" t="str">
        <f t="shared" si="153"/>
        <v/>
      </c>
      <c r="M865" s="38" t="str">
        <f t="shared" ref="M865:M890" si="156">IF(L865="","",P864)</f>
        <v/>
      </c>
      <c r="N865" s="38" t="str">
        <f t="shared" si="154"/>
        <v/>
      </c>
      <c r="O865" s="38" t="str">
        <f t="shared" si="155"/>
        <v/>
      </c>
      <c r="P865" s="38" t="str">
        <f>IF(L865="","", M865-#REF!)</f>
        <v/>
      </c>
      <c r="Q865" s="38" t="str">
        <f t="shared" ref="Q865:Q890" si="157">IF(L865="","", (Q864+N865))</f>
        <v/>
      </c>
      <c r="R865" s="38"/>
    </row>
    <row r="866" spans="12:18" x14ac:dyDescent="0.2">
      <c r="L866" t="str">
        <f t="shared" ref="L866:L890" si="158">IF(L865&lt;($B$8*$B$9),L865+1,"")</f>
        <v/>
      </c>
      <c r="M866" s="38" t="str">
        <f t="shared" si="156"/>
        <v/>
      </c>
      <c r="N866" s="38" t="str">
        <f t="shared" ref="N866:N890" si="159">IF(L866="","",(M866 *$B$6))</f>
        <v/>
      </c>
      <c r="O866" s="38" t="str">
        <f t="shared" ref="O866:O890" si="160">IF(L866="","",O865*(1+$B$7))</f>
        <v/>
      </c>
      <c r="P866" s="38" t="str">
        <f>IF(L866="","", M866-#REF!)</f>
        <v/>
      </c>
      <c r="Q866" s="38" t="str">
        <f t="shared" si="157"/>
        <v/>
      </c>
      <c r="R866" s="38"/>
    </row>
    <row r="867" spans="12:18" x14ac:dyDescent="0.2">
      <c r="L867" t="str">
        <f t="shared" si="158"/>
        <v/>
      </c>
      <c r="M867" s="38" t="str">
        <f t="shared" si="156"/>
        <v/>
      </c>
      <c r="N867" s="38" t="str">
        <f t="shared" si="159"/>
        <v/>
      </c>
      <c r="O867" s="38" t="str">
        <f t="shared" si="160"/>
        <v/>
      </c>
      <c r="P867" s="38" t="str">
        <f>IF(L867="","", M867-#REF!)</f>
        <v/>
      </c>
      <c r="Q867" s="38" t="str">
        <f t="shared" si="157"/>
        <v/>
      </c>
      <c r="R867" s="38"/>
    </row>
    <row r="868" spans="12:18" x14ac:dyDescent="0.2">
      <c r="L868" t="str">
        <f t="shared" si="158"/>
        <v/>
      </c>
      <c r="M868" s="38" t="str">
        <f t="shared" si="156"/>
        <v/>
      </c>
      <c r="N868" s="38" t="str">
        <f t="shared" si="159"/>
        <v/>
      </c>
      <c r="O868" s="38" t="str">
        <f t="shared" si="160"/>
        <v/>
      </c>
      <c r="P868" s="38" t="str">
        <f>IF(L868="","", M868-#REF!)</f>
        <v/>
      </c>
      <c r="Q868" s="38" t="str">
        <f t="shared" si="157"/>
        <v/>
      </c>
      <c r="R868" s="38"/>
    </row>
    <row r="869" spans="12:18" x14ac:dyDescent="0.2">
      <c r="L869" t="str">
        <f t="shared" si="158"/>
        <v/>
      </c>
      <c r="M869" s="38" t="str">
        <f t="shared" si="156"/>
        <v/>
      </c>
      <c r="N869" s="38" t="str">
        <f t="shared" si="159"/>
        <v/>
      </c>
      <c r="O869" s="38" t="str">
        <f t="shared" si="160"/>
        <v/>
      </c>
      <c r="P869" s="38" t="str">
        <f>IF(L869="","", M869-#REF!)</f>
        <v/>
      </c>
      <c r="Q869" s="38" t="str">
        <f t="shared" si="157"/>
        <v/>
      </c>
      <c r="R869" s="38"/>
    </row>
    <row r="870" spans="12:18" x14ac:dyDescent="0.2">
      <c r="L870" t="str">
        <f t="shared" si="158"/>
        <v/>
      </c>
      <c r="M870" s="38" t="str">
        <f t="shared" si="156"/>
        <v/>
      </c>
      <c r="N870" s="38" t="str">
        <f t="shared" si="159"/>
        <v/>
      </c>
      <c r="O870" s="38" t="str">
        <f t="shared" si="160"/>
        <v/>
      </c>
      <c r="P870" s="38" t="str">
        <f>IF(L870="","", M870-#REF!)</f>
        <v/>
      </c>
      <c r="Q870" s="38" t="str">
        <f t="shared" si="157"/>
        <v/>
      </c>
      <c r="R870" s="38"/>
    </row>
    <row r="871" spans="12:18" x14ac:dyDescent="0.2">
      <c r="L871" t="str">
        <f t="shared" si="158"/>
        <v/>
      </c>
      <c r="M871" s="38" t="str">
        <f t="shared" si="156"/>
        <v/>
      </c>
      <c r="N871" s="38" t="str">
        <f t="shared" si="159"/>
        <v/>
      </c>
      <c r="O871" s="38" t="str">
        <f t="shared" si="160"/>
        <v/>
      </c>
      <c r="P871" s="38" t="str">
        <f>IF(L871="","", M871-#REF!)</f>
        <v/>
      </c>
      <c r="Q871" s="38" t="str">
        <f t="shared" si="157"/>
        <v/>
      </c>
      <c r="R871" s="38"/>
    </row>
    <row r="872" spans="12:18" x14ac:dyDescent="0.2">
      <c r="L872" t="str">
        <f t="shared" si="158"/>
        <v/>
      </c>
      <c r="M872" s="38" t="str">
        <f t="shared" si="156"/>
        <v/>
      </c>
      <c r="N872" s="38" t="str">
        <f t="shared" si="159"/>
        <v/>
      </c>
      <c r="O872" s="38" t="str">
        <f t="shared" si="160"/>
        <v/>
      </c>
      <c r="P872" s="38" t="str">
        <f>IF(L872="","", M872-#REF!)</f>
        <v/>
      </c>
      <c r="Q872" s="38" t="str">
        <f t="shared" si="157"/>
        <v/>
      </c>
      <c r="R872" s="38"/>
    </row>
    <row r="873" spans="12:18" x14ac:dyDescent="0.2">
      <c r="L873" t="str">
        <f t="shared" si="158"/>
        <v/>
      </c>
      <c r="M873" s="38" t="str">
        <f t="shared" si="156"/>
        <v/>
      </c>
      <c r="N873" s="38" t="str">
        <f t="shared" si="159"/>
        <v/>
      </c>
      <c r="O873" s="38" t="str">
        <f t="shared" si="160"/>
        <v/>
      </c>
      <c r="P873" s="38" t="str">
        <f>IF(L873="","", M873-#REF!)</f>
        <v/>
      </c>
      <c r="Q873" s="38" t="str">
        <f t="shared" si="157"/>
        <v/>
      </c>
      <c r="R873" s="38"/>
    </row>
    <row r="874" spans="12:18" x14ac:dyDescent="0.2">
      <c r="L874" t="str">
        <f t="shared" si="158"/>
        <v/>
      </c>
      <c r="M874" s="38" t="str">
        <f t="shared" si="156"/>
        <v/>
      </c>
      <c r="N874" s="38" t="str">
        <f t="shared" si="159"/>
        <v/>
      </c>
      <c r="O874" s="38" t="str">
        <f t="shared" si="160"/>
        <v/>
      </c>
      <c r="P874" s="38" t="str">
        <f>IF(L874="","", M874-#REF!)</f>
        <v/>
      </c>
      <c r="Q874" s="38" t="str">
        <f t="shared" si="157"/>
        <v/>
      </c>
      <c r="R874" s="38"/>
    </row>
    <row r="875" spans="12:18" x14ac:dyDescent="0.2">
      <c r="L875" t="str">
        <f t="shared" si="158"/>
        <v/>
      </c>
      <c r="M875" s="38" t="str">
        <f t="shared" si="156"/>
        <v/>
      </c>
      <c r="N875" s="38" t="str">
        <f t="shared" si="159"/>
        <v/>
      </c>
      <c r="O875" s="38" t="str">
        <f t="shared" si="160"/>
        <v/>
      </c>
      <c r="P875" s="38" t="str">
        <f>IF(L875="","", M875-#REF!)</f>
        <v/>
      </c>
      <c r="Q875" s="38" t="str">
        <f t="shared" si="157"/>
        <v/>
      </c>
      <c r="R875" s="38"/>
    </row>
    <row r="876" spans="12:18" x14ac:dyDescent="0.2">
      <c r="L876" t="str">
        <f t="shared" si="158"/>
        <v/>
      </c>
      <c r="M876" s="38" t="str">
        <f t="shared" si="156"/>
        <v/>
      </c>
      <c r="N876" s="38" t="str">
        <f t="shared" si="159"/>
        <v/>
      </c>
      <c r="O876" s="38" t="str">
        <f t="shared" si="160"/>
        <v/>
      </c>
      <c r="P876" s="38" t="str">
        <f>IF(L876="","", M876-#REF!)</f>
        <v/>
      </c>
      <c r="Q876" s="38" t="str">
        <f t="shared" si="157"/>
        <v/>
      </c>
      <c r="R876" s="38"/>
    </row>
    <row r="877" spans="12:18" x14ac:dyDescent="0.2">
      <c r="L877" t="str">
        <f t="shared" si="158"/>
        <v/>
      </c>
      <c r="M877" s="38" t="str">
        <f t="shared" si="156"/>
        <v/>
      </c>
      <c r="N877" s="38" t="str">
        <f t="shared" si="159"/>
        <v/>
      </c>
      <c r="O877" s="38" t="str">
        <f t="shared" si="160"/>
        <v/>
      </c>
      <c r="P877" s="38" t="str">
        <f>IF(L877="","", M877-#REF!)</f>
        <v/>
      </c>
      <c r="Q877" s="38" t="str">
        <f t="shared" si="157"/>
        <v/>
      </c>
      <c r="R877" s="38"/>
    </row>
    <row r="878" spans="12:18" x14ac:dyDescent="0.2">
      <c r="L878" t="str">
        <f t="shared" si="158"/>
        <v/>
      </c>
      <c r="M878" s="38" t="str">
        <f t="shared" si="156"/>
        <v/>
      </c>
      <c r="N878" s="38" t="str">
        <f t="shared" si="159"/>
        <v/>
      </c>
      <c r="O878" s="38" t="str">
        <f t="shared" si="160"/>
        <v/>
      </c>
      <c r="P878" s="38" t="str">
        <f>IF(L878="","", M878-#REF!)</f>
        <v/>
      </c>
      <c r="Q878" s="38" t="str">
        <f t="shared" si="157"/>
        <v/>
      </c>
      <c r="R878" s="38"/>
    </row>
    <row r="879" spans="12:18" x14ac:dyDescent="0.2">
      <c r="L879" t="str">
        <f t="shared" si="158"/>
        <v/>
      </c>
      <c r="M879" s="38" t="str">
        <f t="shared" si="156"/>
        <v/>
      </c>
      <c r="N879" s="38" t="str">
        <f t="shared" si="159"/>
        <v/>
      </c>
      <c r="O879" s="38" t="str">
        <f t="shared" si="160"/>
        <v/>
      </c>
      <c r="P879" s="38" t="str">
        <f>IF(L879="","", M879-#REF!)</f>
        <v/>
      </c>
      <c r="Q879" s="38" t="str">
        <f t="shared" si="157"/>
        <v/>
      </c>
      <c r="R879" s="38"/>
    </row>
    <row r="880" spans="12:18" x14ac:dyDescent="0.2">
      <c r="L880" t="str">
        <f t="shared" si="158"/>
        <v/>
      </c>
      <c r="M880" s="38" t="str">
        <f t="shared" si="156"/>
        <v/>
      </c>
      <c r="N880" s="38" t="str">
        <f t="shared" si="159"/>
        <v/>
      </c>
      <c r="O880" s="38" t="str">
        <f t="shared" si="160"/>
        <v/>
      </c>
      <c r="P880" s="38" t="str">
        <f>IF(L880="","", M880-#REF!)</f>
        <v/>
      </c>
      <c r="Q880" s="38" t="str">
        <f t="shared" si="157"/>
        <v/>
      </c>
      <c r="R880" s="38"/>
    </row>
    <row r="881" spans="12:18" x14ac:dyDescent="0.2">
      <c r="L881" t="str">
        <f t="shared" si="158"/>
        <v/>
      </c>
      <c r="M881" s="38" t="str">
        <f t="shared" si="156"/>
        <v/>
      </c>
      <c r="N881" s="38" t="str">
        <f t="shared" si="159"/>
        <v/>
      </c>
      <c r="O881" s="38" t="str">
        <f t="shared" si="160"/>
        <v/>
      </c>
      <c r="P881" s="38" t="str">
        <f>IF(L881="","", M881-#REF!)</f>
        <v/>
      </c>
      <c r="Q881" s="38" t="str">
        <f t="shared" si="157"/>
        <v/>
      </c>
      <c r="R881" s="38"/>
    </row>
    <row r="882" spans="12:18" x14ac:dyDescent="0.2">
      <c r="L882" t="str">
        <f t="shared" si="158"/>
        <v/>
      </c>
      <c r="M882" s="38" t="str">
        <f t="shared" si="156"/>
        <v/>
      </c>
      <c r="N882" s="38" t="str">
        <f t="shared" si="159"/>
        <v/>
      </c>
      <c r="O882" s="38" t="str">
        <f t="shared" si="160"/>
        <v/>
      </c>
      <c r="P882" s="38" t="str">
        <f>IF(L882="","", M882-#REF!)</f>
        <v/>
      </c>
      <c r="Q882" s="38" t="str">
        <f t="shared" si="157"/>
        <v/>
      </c>
      <c r="R882" s="38"/>
    </row>
    <row r="883" spans="12:18" x14ac:dyDescent="0.2">
      <c r="L883" t="str">
        <f t="shared" si="158"/>
        <v/>
      </c>
      <c r="M883" s="38" t="str">
        <f t="shared" si="156"/>
        <v/>
      </c>
      <c r="N883" s="38" t="str">
        <f t="shared" si="159"/>
        <v/>
      </c>
      <c r="O883" s="38" t="str">
        <f t="shared" si="160"/>
        <v/>
      </c>
      <c r="P883" s="38" t="str">
        <f>IF(L883="","", M883-#REF!)</f>
        <v/>
      </c>
      <c r="Q883" s="38" t="str">
        <f t="shared" si="157"/>
        <v/>
      </c>
      <c r="R883" s="38"/>
    </row>
    <row r="884" spans="12:18" x14ac:dyDescent="0.2">
      <c r="L884" t="str">
        <f t="shared" si="158"/>
        <v/>
      </c>
      <c r="M884" s="38" t="str">
        <f t="shared" si="156"/>
        <v/>
      </c>
      <c r="N884" s="38" t="str">
        <f t="shared" si="159"/>
        <v/>
      </c>
      <c r="O884" s="38" t="str">
        <f t="shared" si="160"/>
        <v/>
      </c>
      <c r="P884" s="38" t="str">
        <f>IF(L884="","", M884-#REF!)</f>
        <v/>
      </c>
      <c r="Q884" s="38" t="str">
        <f t="shared" si="157"/>
        <v/>
      </c>
      <c r="R884" s="38"/>
    </row>
    <row r="885" spans="12:18" x14ac:dyDescent="0.2">
      <c r="L885" t="str">
        <f t="shared" si="158"/>
        <v/>
      </c>
      <c r="M885" s="38" t="str">
        <f t="shared" si="156"/>
        <v/>
      </c>
      <c r="N885" s="38" t="str">
        <f t="shared" si="159"/>
        <v/>
      </c>
      <c r="O885" s="38" t="str">
        <f t="shared" si="160"/>
        <v/>
      </c>
      <c r="P885" s="38" t="str">
        <f>IF(L885="","", M885-#REF!)</f>
        <v/>
      </c>
      <c r="Q885" s="38" t="str">
        <f t="shared" si="157"/>
        <v/>
      </c>
      <c r="R885" s="38"/>
    </row>
    <row r="886" spans="12:18" x14ac:dyDescent="0.2">
      <c r="L886" t="str">
        <f t="shared" si="158"/>
        <v/>
      </c>
      <c r="M886" s="38" t="str">
        <f t="shared" si="156"/>
        <v/>
      </c>
      <c r="N886" s="38" t="str">
        <f t="shared" si="159"/>
        <v/>
      </c>
      <c r="O886" s="38" t="str">
        <f t="shared" si="160"/>
        <v/>
      </c>
      <c r="P886" s="38" t="str">
        <f>IF(L886="","", M886-#REF!)</f>
        <v/>
      </c>
      <c r="Q886" s="38" t="str">
        <f t="shared" si="157"/>
        <v/>
      </c>
      <c r="R886" s="38"/>
    </row>
    <row r="887" spans="12:18" x14ac:dyDescent="0.2">
      <c r="L887" t="str">
        <f t="shared" si="158"/>
        <v/>
      </c>
      <c r="M887" s="38" t="str">
        <f t="shared" si="156"/>
        <v/>
      </c>
      <c r="N887" s="38" t="str">
        <f t="shared" si="159"/>
        <v/>
      </c>
      <c r="O887" s="38" t="str">
        <f t="shared" si="160"/>
        <v/>
      </c>
      <c r="P887" s="38" t="str">
        <f>IF(L887="","", M887-#REF!)</f>
        <v/>
      </c>
      <c r="Q887" s="38" t="str">
        <f t="shared" si="157"/>
        <v/>
      </c>
      <c r="R887" s="38"/>
    </row>
    <row r="888" spans="12:18" x14ac:dyDescent="0.2">
      <c r="L888" t="str">
        <f t="shared" si="158"/>
        <v/>
      </c>
      <c r="M888" s="38" t="str">
        <f t="shared" si="156"/>
        <v/>
      </c>
      <c r="N888" s="38" t="str">
        <f t="shared" si="159"/>
        <v/>
      </c>
      <c r="O888" s="38" t="str">
        <f t="shared" si="160"/>
        <v/>
      </c>
      <c r="P888" s="38" t="str">
        <f>IF(L888="","", M888-#REF!)</f>
        <v/>
      </c>
      <c r="Q888" s="38" t="str">
        <f t="shared" si="157"/>
        <v/>
      </c>
      <c r="R888" s="38" t="str">
        <f>IF(L888="","",(R887+#REF!))</f>
        <v/>
      </c>
    </row>
    <row r="889" spans="12:18" x14ac:dyDescent="0.2">
      <c r="L889" t="str">
        <f t="shared" si="158"/>
        <v/>
      </c>
      <c r="M889" s="38" t="str">
        <f t="shared" si="156"/>
        <v/>
      </c>
      <c r="N889" s="38" t="str">
        <f t="shared" si="159"/>
        <v/>
      </c>
      <c r="O889" s="38" t="str">
        <f t="shared" si="160"/>
        <v/>
      </c>
      <c r="P889" s="38" t="str">
        <f>IF(L889="","", M889-#REF!)</f>
        <v/>
      </c>
      <c r="Q889" s="38" t="str">
        <f t="shared" si="157"/>
        <v/>
      </c>
      <c r="R889" s="38" t="str">
        <f>IF(L889="","",(R888+#REF!))</f>
        <v/>
      </c>
    </row>
    <row r="890" spans="12:18" x14ac:dyDescent="0.2">
      <c r="L890" t="str">
        <f t="shared" si="158"/>
        <v/>
      </c>
      <c r="M890" s="38" t="str">
        <f t="shared" si="156"/>
        <v/>
      </c>
      <c r="N890" s="38" t="str">
        <f t="shared" si="159"/>
        <v/>
      </c>
      <c r="O890" s="38" t="str">
        <f t="shared" si="160"/>
        <v/>
      </c>
      <c r="P890" s="38" t="str">
        <f>IF(L890="","", M890-#REF!)</f>
        <v/>
      </c>
      <c r="Q890" s="38" t="str">
        <f t="shared" si="157"/>
        <v/>
      </c>
      <c r="R890" s="38" t="str">
        <f>IF(L890="","",(R889+#REF!))</f>
        <v/>
      </c>
    </row>
  </sheetData>
  <mergeCells count="4">
    <mergeCell ref="A3:B3"/>
    <mergeCell ref="A17:B17"/>
    <mergeCell ref="A30:H30"/>
    <mergeCell ref="L30:R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HOME PAGE</vt:lpstr>
      <vt:lpstr>Assignment1(Back End)</vt:lpstr>
      <vt:lpstr>Assignment1(User Interface)</vt:lpstr>
      <vt:lpstr>Assignment2 (Back End)</vt:lpstr>
      <vt:lpstr>Assignment2(User Interface)</vt:lpstr>
      <vt:lpstr>Assignment3 (Back End)</vt:lpstr>
      <vt:lpstr>Assignment3 (User Interface)</vt:lpstr>
      <vt:lpstr>Assignment4 (Back End)</vt:lpstr>
      <vt:lpstr>Assignment4 (User Interface)</vt:lpstr>
      <vt:lpstr>Investment(Single + Annuity)</vt:lpstr>
      <vt:lpstr>Investments back office</vt:lpstr>
      <vt:lpstr>Assignment6 (Back Office)</vt:lpstr>
      <vt:lpstr>Assignment6 (User Interface)</vt:lpstr>
      <vt:lpstr>Single + Increasing Annuity</vt:lpstr>
      <vt:lpstr>Single + Increasing Annuity(Bac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NGUBANE</dc:creator>
  <cp:lastModifiedBy>A Ngubane</cp:lastModifiedBy>
  <dcterms:created xsi:type="dcterms:W3CDTF">2025-02-21T08:30:52Z</dcterms:created>
  <dcterms:modified xsi:type="dcterms:W3CDTF">2025-08-22T19:59:24Z</dcterms:modified>
</cp:coreProperties>
</file>